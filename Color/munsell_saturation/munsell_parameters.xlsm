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2" windowWidth="21060" windowHeight="9528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12" i="1" l="1"/>
  <c r="I11" i="1"/>
  <c r="I10" i="1"/>
  <c r="I9" i="1"/>
  <c r="I8" i="1"/>
  <c r="I7" i="1"/>
  <c r="I6" i="1"/>
  <c r="I5" i="1"/>
  <c r="I4" i="1"/>
  <c r="I3" i="1"/>
  <c r="I2" i="1"/>
  <c r="H12" i="1"/>
  <c r="H11" i="1"/>
  <c r="H10" i="1"/>
  <c r="H9" i="1"/>
  <c r="H8" i="1"/>
  <c r="H7" i="1"/>
  <c r="H6" i="1"/>
  <c r="H5" i="1"/>
  <c r="H4" i="1"/>
  <c r="H3" i="1"/>
  <c r="H2" i="1"/>
  <c r="G12" i="1"/>
  <c r="G11" i="1"/>
  <c r="G10" i="1"/>
  <c r="G9" i="1"/>
  <c r="G8" i="1"/>
  <c r="G7" i="1"/>
  <c r="G6" i="1"/>
  <c r="G5" i="1"/>
  <c r="G4" i="1"/>
  <c r="G3" i="1"/>
  <c r="G2" i="1"/>
  <c r="K12" i="1"/>
  <c r="K11" i="1"/>
  <c r="K10" i="1"/>
  <c r="K9" i="1"/>
  <c r="K8" i="1"/>
  <c r="K7" i="1"/>
  <c r="K6" i="1"/>
  <c r="K5" i="1"/>
  <c r="K4" i="1"/>
  <c r="K3" i="1"/>
  <c r="K2" i="1"/>
  <c r="B1637" i="1" l="1"/>
  <c r="A1637" i="1"/>
  <c r="B1636" i="1"/>
  <c r="A1636" i="1"/>
  <c r="B1635" i="1"/>
  <c r="A1635" i="1"/>
  <c r="B1634" i="1"/>
  <c r="A1634" i="1"/>
  <c r="B1633" i="1"/>
  <c r="A1633" i="1"/>
  <c r="B1632" i="1"/>
  <c r="A1632" i="1"/>
  <c r="B1631" i="1"/>
  <c r="A1631" i="1"/>
  <c r="B1630" i="1"/>
  <c r="A1630" i="1"/>
  <c r="B1629" i="1"/>
  <c r="A1629" i="1"/>
  <c r="B1628" i="1"/>
  <c r="A1628" i="1"/>
  <c r="B1627" i="1"/>
  <c r="A1627" i="1"/>
  <c r="B1626" i="1"/>
  <c r="A1626" i="1"/>
  <c r="B1625" i="1"/>
  <c r="A1625" i="1"/>
  <c r="B1624" i="1"/>
  <c r="A1624" i="1"/>
  <c r="B1623" i="1"/>
  <c r="A1623" i="1"/>
  <c r="B1622" i="1"/>
  <c r="A1622" i="1"/>
  <c r="B1621" i="1"/>
  <c r="A1621" i="1"/>
  <c r="B1620" i="1"/>
  <c r="A1620" i="1"/>
  <c r="B1619" i="1"/>
  <c r="A1619" i="1"/>
  <c r="B1618" i="1"/>
  <c r="A1618" i="1"/>
  <c r="B1617" i="1"/>
  <c r="A1617" i="1"/>
  <c r="B1616" i="1"/>
  <c r="A1616" i="1"/>
  <c r="B1615" i="1"/>
  <c r="A1615" i="1"/>
  <c r="B1614" i="1"/>
  <c r="A1614" i="1"/>
  <c r="B1613" i="1"/>
  <c r="A1613" i="1"/>
  <c r="B1612" i="1"/>
  <c r="A1612" i="1"/>
  <c r="B1611" i="1"/>
  <c r="A1611" i="1"/>
  <c r="B1610" i="1"/>
  <c r="A1610" i="1"/>
  <c r="B1609" i="1"/>
  <c r="A1609" i="1"/>
  <c r="B1608" i="1"/>
  <c r="A1608" i="1"/>
  <c r="B1607" i="1"/>
  <c r="A1607" i="1"/>
  <c r="B1606" i="1"/>
  <c r="A1606" i="1"/>
  <c r="B1605" i="1"/>
  <c r="A1605" i="1"/>
  <c r="B1604" i="1"/>
  <c r="A1604" i="1"/>
  <c r="B1603" i="1"/>
  <c r="A1603" i="1"/>
  <c r="B1602" i="1"/>
  <c r="A1602" i="1"/>
  <c r="B1601" i="1"/>
  <c r="A1601" i="1"/>
  <c r="B1600" i="1"/>
  <c r="A1600" i="1"/>
  <c r="B1599" i="1"/>
  <c r="A1599" i="1"/>
  <c r="B1598" i="1"/>
  <c r="A1598" i="1"/>
  <c r="B1597" i="1"/>
  <c r="A1597" i="1"/>
  <c r="B1596" i="1"/>
  <c r="A1596" i="1"/>
  <c r="B1595" i="1"/>
  <c r="A1595" i="1"/>
  <c r="B1594" i="1"/>
  <c r="A1594" i="1"/>
  <c r="B1593" i="1"/>
  <c r="A1593" i="1"/>
  <c r="B1592" i="1"/>
  <c r="A1592" i="1"/>
  <c r="B1591" i="1"/>
  <c r="A1591" i="1"/>
  <c r="B1590" i="1"/>
  <c r="A1590" i="1"/>
  <c r="B1589" i="1"/>
  <c r="A1589" i="1"/>
  <c r="B1588" i="1"/>
  <c r="A1588" i="1"/>
  <c r="B1587" i="1"/>
  <c r="A1587" i="1"/>
  <c r="B1586" i="1"/>
  <c r="A1586" i="1"/>
  <c r="B1585" i="1"/>
  <c r="A1585" i="1"/>
  <c r="B1584" i="1"/>
  <c r="A1584" i="1"/>
  <c r="B1583" i="1"/>
  <c r="A1583" i="1"/>
  <c r="B1582" i="1"/>
  <c r="A1582" i="1"/>
  <c r="B1581" i="1"/>
  <c r="A1581" i="1"/>
  <c r="B1580" i="1"/>
  <c r="A1580" i="1"/>
  <c r="B1579" i="1"/>
  <c r="A1579" i="1"/>
  <c r="B1578" i="1"/>
  <c r="A1578" i="1"/>
  <c r="B1577" i="1"/>
  <c r="A1577" i="1"/>
  <c r="B1576" i="1"/>
  <c r="A1576" i="1"/>
  <c r="B1575" i="1"/>
  <c r="A1575" i="1"/>
  <c r="B1574" i="1"/>
  <c r="A1574" i="1"/>
  <c r="B1573" i="1"/>
  <c r="A1573" i="1"/>
  <c r="B1572" i="1"/>
  <c r="A1572" i="1"/>
  <c r="B1571" i="1"/>
  <c r="A1571" i="1"/>
  <c r="B1570" i="1"/>
  <c r="A1570" i="1"/>
  <c r="B1569" i="1"/>
  <c r="A1569" i="1"/>
  <c r="B1568" i="1"/>
  <c r="A1568" i="1"/>
  <c r="B1567" i="1"/>
  <c r="A1567" i="1"/>
  <c r="B1566" i="1"/>
  <c r="A1566" i="1"/>
  <c r="B1565" i="1"/>
  <c r="A1565" i="1"/>
  <c r="B1564" i="1"/>
  <c r="A1564" i="1"/>
  <c r="B1563" i="1"/>
  <c r="A1563" i="1"/>
  <c r="B1562" i="1"/>
  <c r="A1562" i="1"/>
  <c r="B1561" i="1"/>
  <c r="A1561" i="1"/>
  <c r="B1560" i="1"/>
  <c r="A1560" i="1"/>
  <c r="B1559" i="1"/>
  <c r="A1559" i="1"/>
  <c r="B1558" i="1"/>
  <c r="A1558" i="1"/>
  <c r="B1557" i="1"/>
  <c r="A1557" i="1"/>
  <c r="B1556" i="1"/>
  <c r="A1556" i="1"/>
  <c r="B1555" i="1"/>
  <c r="A1555" i="1"/>
  <c r="B1554" i="1"/>
  <c r="A1554" i="1"/>
  <c r="B1553" i="1"/>
  <c r="A1553" i="1"/>
  <c r="B1552" i="1"/>
  <c r="A1552" i="1"/>
  <c r="B1551" i="1"/>
  <c r="A1551" i="1"/>
  <c r="B1550" i="1"/>
  <c r="A1550" i="1"/>
  <c r="B1549" i="1"/>
  <c r="A1549" i="1"/>
  <c r="B1548" i="1"/>
  <c r="A1548" i="1"/>
  <c r="B1547" i="1"/>
  <c r="A1547" i="1"/>
  <c r="B1546" i="1"/>
  <c r="A1546" i="1"/>
  <c r="B1545" i="1"/>
  <c r="A1545" i="1"/>
  <c r="B1544" i="1"/>
  <c r="A1544" i="1"/>
  <c r="B1543" i="1"/>
  <c r="A1543" i="1"/>
  <c r="B1542" i="1"/>
  <c r="A1542" i="1"/>
  <c r="B1541" i="1"/>
  <c r="A1541" i="1"/>
  <c r="B1540" i="1"/>
  <c r="A1540" i="1"/>
  <c r="B1539" i="1"/>
  <c r="A1539" i="1"/>
  <c r="B1538" i="1"/>
  <c r="A1538" i="1"/>
  <c r="B1537" i="1"/>
  <c r="A1537" i="1"/>
  <c r="B1536" i="1"/>
  <c r="A1536" i="1"/>
  <c r="B1535" i="1"/>
  <c r="A1535" i="1"/>
  <c r="B1534" i="1"/>
  <c r="A1534" i="1"/>
  <c r="B1533" i="1"/>
  <c r="A1533" i="1"/>
  <c r="B1532" i="1"/>
  <c r="A1532" i="1"/>
  <c r="B1531" i="1"/>
  <c r="A1531" i="1"/>
  <c r="B1530" i="1"/>
  <c r="A1530" i="1"/>
  <c r="B1529" i="1"/>
  <c r="A1529" i="1"/>
  <c r="B1528" i="1"/>
  <c r="A1528" i="1"/>
  <c r="B1527" i="1"/>
  <c r="A1527" i="1"/>
  <c r="B1526" i="1"/>
  <c r="A1526" i="1"/>
  <c r="B1525" i="1"/>
  <c r="A1525" i="1"/>
  <c r="B1524" i="1"/>
  <c r="A1524" i="1"/>
  <c r="B1523" i="1"/>
  <c r="A1523" i="1"/>
  <c r="B1522" i="1"/>
  <c r="A1522" i="1"/>
  <c r="B1521" i="1"/>
  <c r="A1521" i="1"/>
  <c r="B1520" i="1"/>
  <c r="A1520" i="1"/>
  <c r="B1519" i="1"/>
  <c r="A1519" i="1"/>
  <c r="B1518" i="1"/>
  <c r="A1518" i="1"/>
  <c r="B1517" i="1"/>
  <c r="A1517" i="1"/>
  <c r="B1516" i="1"/>
  <c r="A1516" i="1"/>
  <c r="B1515" i="1"/>
  <c r="A1515" i="1"/>
  <c r="B1514" i="1"/>
  <c r="A1514" i="1"/>
  <c r="B1513" i="1"/>
  <c r="A1513" i="1"/>
  <c r="B1512" i="1"/>
  <c r="A1512" i="1"/>
  <c r="B1511" i="1"/>
  <c r="A1511" i="1"/>
  <c r="B1510" i="1"/>
  <c r="A1510" i="1"/>
  <c r="B1509" i="1"/>
  <c r="A1509" i="1"/>
  <c r="B1508" i="1"/>
  <c r="A1508" i="1"/>
  <c r="B1507" i="1"/>
  <c r="A1507" i="1"/>
  <c r="B1506" i="1"/>
  <c r="A1506" i="1"/>
  <c r="B1505" i="1"/>
  <c r="A1505" i="1"/>
  <c r="B1504" i="1"/>
  <c r="A1504" i="1"/>
  <c r="B1503" i="1"/>
  <c r="A1503" i="1"/>
  <c r="B1502" i="1"/>
  <c r="A1502" i="1"/>
  <c r="B1501" i="1"/>
  <c r="A1501" i="1"/>
  <c r="B1500" i="1"/>
  <c r="A1500" i="1"/>
  <c r="B1499" i="1"/>
  <c r="A1499" i="1"/>
  <c r="B1498" i="1"/>
  <c r="A1498" i="1"/>
  <c r="B1497" i="1"/>
  <c r="A1497" i="1"/>
  <c r="B1496" i="1"/>
  <c r="A1496" i="1"/>
  <c r="B1495" i="1"/>
  <c r="A1495" i="1"/>
  <c r="B1494" i="1"/>
  <c r="A1494" i="1"/>
  <c r="B1493" i="1"/>
  <c r="A1493" i="1"/>
  <c r="B1492" i="1"/>
  <c r="A1492" i="1"/>
  <c r="B1491" i="1"/>
  <c r="A1491" i="1"/>
  <c r="B1490" i="1"/>
  <c r="A1490" i="1"/>
  <c r="B1489" i="1"/>
  <c r="A1489" i="1"/>
  <c r="B1488" i="1"/>
  <c r="A1488" i="1"/>
  <c r="B1487" i="1"/>
  <c r="A1487" i="1"/>
  <c r="B1486" i="1"/>
  <c r="A1486" i="1"/>
  <c r="B1485" i="1"/>
  <c r="A1485" i="1"/>
  <c r="B1484" i="1"/>
  <c r="A1484" i="1"/>
  <c r="B1483" i="1"/>
  <c r="A1483" i="1"/>
  <c r="B1482" i="1"/>
  <c r="A1482" i="1"/>
  <c r="B1481" i="1"/>
  <c r="A1481" i="1"/>
  <c r="B1480" i="1"/>
  <c r="A1480" i="1"/>
  <c r="B1479" i="1"/>
  <c r="A1479" i="1"/>
  <c r="B1478" i="1"/>
  <c r="A1478" i="1"/>
  <c r="B1477" i="1"/>
  <c r="A1477" i="1"/>
  <c r="B1476" i="1"/>
  <c r="A1476" i="1"/>
  <c r="B1475" i="1"/>
  <c r="A1475" i="1"/>
  <c r="B1474" i="1"/>
  <c r="A1474" i="1"/>
  <c r="B1473" i="1"/>
  <c r="A1473" i="1"/>
  <c r="B1472" i="1"/>
  <c r="A1472" i="1"/>
  <c r="B1471" i="1"/>
  <c r="A1471" i="1"/>
  <c r="B1470" i="1"/>
  <c r="A1470" i="1"/>
  <c r="B1469" i="1"/>
  <c r="A1469" i="1"/>
  <c r="B1468" i="1"/>
  <c r="A1468" i="1"/>
  <c r="B1467" i="1"/>
  <c r="A1467" i="1"/>
  <c r="B1466" i="1"/>
  <c r="A1466" i="1"/>
  <c r="B1465" i="1"/>
  <c r="A1465" i="1"/>
  <c r="B1464" i="1"/>
  <c r="A1464" i="1"/>
  <c r="B1463" i="1"/>
  <c r="A1463" i="1"/>
  <c r="B1462" i="1"/>
  <c r="A1462" i="1"/>
  <c r="B1461" i="1"/>
  <c r="A1461" i="1"/>
  <c r="B1460" i="1"/>
  <c r="A1460" i="1"/>
  <c r="B1459" i="1"/>
  <c r="A1459" i="1"/>
  <c r="B1458" i="1"/>
  <c r="A1458" i="1"/>
  <c r="B1457" i="1"/>
  <c r="A1457" i="1"/>
  <c r="B1456" i="1"/>
  <c r="A1456" i="1"/>
  <c r="B1455" i="1"/>
  <c r="A1455" i="1"/>
  <c r="B1454" i="1"/>
  <c r="A1454" i="1"/>
  <c r="B1453" i="1"/>
  <c r="A1453" i="1"/>
  <c r="B1452" i="1"/>
  <c r="A1452" i="1"/>
  <c r="B1451" i="1"/>
  <c r="A1451" i="1"/>
  <c r="B1450" i="1"/>
  <c r="A1450" i="1"/>
  <c r="B1449" i="1"/>
  <c r="A1449" i="1"/>
  <c r="B1448" i="1"/>
  <c r="A1448" i="1"/>
  <c r="B1447" i="1"/>
  <c r="A1447" i="1"/>
  <c r="B1446" i="1"/>
  <c r="A1446" i="1"/>
  <c r="B1445" i="1"/>
  <c r="A1445" i="1"/>
  <c r="B1444" i="1"/>
  <c r="A1444" i="1"/>
  <c r="B1443" i="1"/>
  <c r="A1443" i="1"/>
  <c r="B1442" i="1"/>
  <c r="A1442" i="1"/>
  <c r="B1441" i="1"/>
  <c r="A1441" i="1"/>
  <c r="B1440" i="1"/>
  <c r="A1440" i="1"/>
  <c r="B1439" i="1"/>
  <c r="A1439" i="1"/>
  <c r="B1438" i="1"/>
  <c r="A1438" i="1"/>
  <c r="B1437" i="1"/>
  <c r="A1437" i="1"/>
  <c r="B1436" i="1"/>
  <c r="A1436" i="1"/>
  <c r="B1435" i="1"/>
  <c r="A1435" i="1"/>
  <c r="B1434" i="1"/>
  <c r="A1434" i="1"/>
  <c r="B1433" i="1"/>
  <c r="A1433" i="1"/>
  <c r="B1432" i="1"/>
  <c r="A1432" i="1"/>
  <c r="B1431" i="1"/>
  <c r="A1431" i="1"/>
  <c r="B1430" i="1"/>
  <c r="A1430" i="1"/>
  <c r="B1429" i="1"/>
  <c r="A1429" i="1"/>
  <c r="B1428" i="1"/>
  <c r="A1428" i="1"/>
  <c r="B1427" i="1"/>
  <c r="A1427" i="1"/>
  <c r="B1426" i="1"/>
  <c r="A1426" i="1"/>
  <c r="B1425" i="1"/>
  <c r="A1425" i="1"/>
  <c r="B1424" i="1"/>
  <c r="A1424" i="1"/>
  <c r="B1423" i="1"/>
  <c r="A1423" i="1"/>
  <c r="B1422" i="1"/>
  <c r="A1422" i="1"/>
  <c r="B1421" i="1"/>
  <c r="A1421" i="1"/>
  <c r="B1420" i="1"/>
  <c r="A1420" i="1"/>
  <c r="B1419" i="1"/>
  <c r="A1419" i="1"/>
  <c r="B1418" i="1"/>
  <c r="A1418" i="1"/>
  <c r="B1417" i="1"/>
  <c r="A1417" i="1"/>
  <c r="B1416" i="1"/>
  <c r="A1416" i="1"/>
  <c r="B1415" i="1"/>
  <c r="A1415" i="1"/>
  <c r="B1414" i="1"/>
  <c r="A1414" i="1"/>
  <c r="B1413" i="1"/>
  <c r="A1413" i="1"/>
  <c r="B1412" i="1"/>
  <c r="A1412" i="1"/>
  <c r="B1411" i="1"/>
  <c r="A1411" i="1"/>
  <c r="B1410" i="1"/>
  <c r="A1410" i="1"/>
  <c r="B1409" i="1"/>
  <c r="A1409" i="1"/>
  <c r="B1408" i="1"/>
  <c r="A1408" i="1"/>
  <c r="B1407" i="1"/>
  <c r="A1407" i="1"/>
  <c r="B1406" i="1"/>
  <c r="A1406" i="1"/>
  <c r="B1405" i="1"/>
  <c r="A1405" i="1"/>
  <c r="B1404" i="1"/>
  <c r="A1404" i="1"/>
  <c r="B1403" i="1"/>
  <c r="A1403" i="1"/>
  <c r="B1402" i="1"/>
  <c r="A1402" i="1"/>
  <c r="B1401" i="1"/>
  <c r="A1401" i="1"/>
  <c r="B1400" i="1"/>
  <c r="A1400" i="1"/>
  <c r="B1399" i="1"/>
  <c r="A1399" i="1"/>
  <c r="B1398" i="1"/>
  <c r="A1398" i="1"/>
  <c r="B1397" i="1"/>
  <c r="A1397" i="1"/>
  <c r="B1396" i="1"/>
  <c r="A1396" i="1"/>
  <c r="B1395" i="1"/>
  <c r="A1395" i="1"/>
  <c r="B1394" i="1"/>
  <c r="A1394" i="1"/>
  <c r="B1393" i="1"/>
  <c r="A1393" i="1"/>
  <c r="B1392" i="1"/>
  <c r="A1392" i="1"/>
  <c r="B1391" i="1"/>
  <c r="A1391" i="1"/>
  <c r="B1390" i="1"/>
  <c r="A1390" i="1"/>
  <c r="B1389" i="1"/>
  <c r="A1389" i="1"/>
  <c r="B1388" i="1"/>
  <c r="A1388" i="1"/>
  <c r="B1387" i="1"/>
  <c r="A1387" i="1"/>
  <c r="B1386" i="1"/>
  <c r="A1386" i="1"/>
  <c r="B1385" i="1"/>
  <c r="A1385" i="1"/>
  <c r="B1384" i="1"/>
  <c r="A1384" i="1"/>
  <c r="B1383" i="1"/>
  <c r="A1383" i="1"/>
  <c r="B1382" i="1"/>
  <c r="A1382" i="1"/>
  <c r="B1381" i="1"/>
  <c r="A1381" i="1"/>
  <c r="B1380" i="1"/>
  <c r="A1380" i="1"/>
  <c r="B1379" i="1"/>
  <c r="A1379" i="1"/>
  <c r="B1378" i="1"/>
  <c r="A1378" i="1"/>
  <c r="B1377" i="1"/>
  <c r="A1377" i="1"/>
  <c r="B1376" i="1"/>
  <c r="A1376" i="1"/>
  <c r="B1375" i="1"/>
  <c r="A1375" i="1"/>
  <c r="B1374" i="1"/>
  <c r="A1374" i="1"/>
  <c r="B1373" i="1"/>
  <c r="A1373" i="1"/>
  <c r="B1372" i="1"/>
  <c r="A1372" i="1"/>
  <c r="B1371" i="1"/>
  <c r="A1371" i="1"/>
  <c r="B1370" i="1"/>
  <c r="A1370" i="1"/>
  <c r="B1369" i="1"/>
  <c r="A1369" i="1"/>
  <c r="B1368" i="1"/>
  <c r="A1368" i="1"/>
  <c r="B1367" i="1"/>
  <c r="A1367" i="1"/>
  <c r="B1366" i="1"/>
  <c r="A1366" i="1"/>
  <c r="B1365" i="1"/>
  <c r="A1365" i="1"/>
  <c r="B1364" i="1"/>
  <c r="A1364" i="1"/>
  <c r="B1363" i="1"/>
  <c r="A1363" i="1"/>
  <c r="B1362" i="1"/>
  <c r="A1362" i="1"/>
  <c r="B1361" i="1"/>
  <c r="A1361" i="1"/>
  <c r="B1360" i="1"/>
  <c r="A1360" i="1"/>
  <c r="B1359" i="1"/>
  <c r="A1359" i="1"/>
  <c r="B1358" i="1"/>
  <c r="A1358" i="1"/>
  <c r="B1357" i="1"/>
  <c r="A1357" i="1"/>
  <c r="B1356" i="1"/>
  <c r="A1356" i="1"/>
  <c r="B1355" i="1"/>
  <c r="A1355" i="1"/>
  <c r="B1354" i="1"/>
  <c r="A1354" i="1"/>
  <c r="B1353" i="1"/>
  <c r="A1353" i="1"/>
  <c r="B1352" i="1"/>
  <c r="A1352" i="1"/>
  <c r="B1351" i="1"/>
  <c r="A1351" i="1"/>
  <c r="B1350" i="1"/>
  <c r="A1350" i="1"/>
  <c r="B1349" i="1"/>
  <c r="A1349" i="1"/>
  <c r="B1348" i="1"/>
  <c r="A1348" i="1"/>
  <c r="B1347" i="1"/>
  <c r="A1347" i="1"/>
  <c r="B1346" i="1"/>
  <c r="A1346" i="1"/>
  <c r="B1345" i="1"/>
  <c r="A1345" i="1"/>
  <c r="B1344" i="1"/>
  <c r="A1344" i="1"/>
  <c r="B1343" i="1"/>
  <c r="A1343" i="1"/>
  <c r="B1342" i="1"/>
  <c r="A1342" i="1"/>
  <c r="B1341" i="1"/>
  <c r="A1341" i="1"/>
  <c r="B1340" i="1"/>
  <c r="A1340" i="1"/>
  <c r="B1339" i="1"/>
  <c r="A1339" i="1"/>
  <c r="B1338" i="1"/>
  <c r="A1338" i="1"/>
  <c r="B1337" i="1"/>
  <c r="A1337" i="1"/>
  <c r="B1336" i="1"/>
  <c r="A1336" i="1"/>
  <c r="B1335" i="1"/>
  <c r="A1335" i="1"/>
  <c r="B1334" i="1"/>
  <c r="A1334" i="1"/>
  <c r="B1333" i="1"/>
  <c r="A1333" i="1"/>
  <c r="B1332" i="1"/>
  <c r="A1332" i="1"/>
  <c r="B1331" i="1"/>
  <c r="A1331" i="1"/>
  <c r="B1330" i="1"/>
  <c r="A1330" i="1"/>
  <c r="B1329" i="1"/>
  <c r="A1329" i="1"/>
  <c r="B1328" i="1"/>
  <c r="A1328" i="1"/>
  <c r="B1327" i="1"/>
  <c r="A1327" i="1"/>
  <c r="B1326" i="1"/>
  <c r="A1326" i="1"/>
  <c r="B1325" i="1"/>
  <c r="A1325" i="1"/>
  <c r="B1324" i="1"/>
  <c r="A1324" i="1"/>
  <c r="B1323" i="1"/>
  <c r="A1323" i="1"/>
  <c r="B1322" i="1"/>
  <c r="A1322" i="1"/>
  <c r="B1321" i="1"/>
  <c r="A1321" i="1"/>
  <c r="B1320" i="1"/>
  <c r="A1320" i="1"/>
  <c r="B1319" i="1"/>
  <c r="A1319" i="1"/>
  <c r="B1318" i="1"/>
  <c r="A1318" i="1"/>
  <c r="B1317" i="1"/>
  <c r="A1317" i="1"/>
  <c r="B1316" i="1"/>
  <c r="A1316" i="1"/>
  <c r="B1315" i="1"/>
  <c r="A1315" i="1"/>
  <c r="B1314" i="1"/>
  <c r="A1314" i="1"/>
  <c r="B1313" i="1"/>
  <c r="A1313" i="1"/>
  <c r="B1312" i="1"/>
  <c r="A1312" i="1"/>
  <c r="B1311" i="1"/>
  <c r="A1311" i="1"/>
  <c r="B1310" i="1"/>
  <c r="A1310" i="1"/>
  <c r="B1309" i="1"/>
  <c r="A1309" i="1"/>
  <c r="B1308" i="1"/>
  <c r="A1308" i="1"/>
  <c r="B1307" i="1"/>
  <c r="A1307" i="1"/>
  <c r="B1306" i="1"/>
  <c r="A1306" i="1"/>
  <c r="B1305" i="1"/>
  <c r="A1305" i="1"/>
  <c r="B1304" i="1"/>
  <c r="A1304" i="1"/>
  <c r="B1303" i="1"/>
  <c r="A1303" i="1"/>
  <c r="B1302" i="1"/>
  <c r="A1302" i="1"/>
  <c r="B1301" i="1"/>
  <c r="A1301" i="1"/>
  <c r="B1300" i="1"/>
  <c r="A1300" i="1"/>
  <c r="B1299" i="1"/>
  <c r="A1299" i="1"/>
  <c r="B1298" i="1"/>
  <c r="A1298" i="1"/>
  <c r="B1297" i="1"/>
  <c r="A1297" i="1"/>
  <c r="B1296" i="1"/>
  <c r="A1296" i="1"/>
  <c r="B1295" i="1"/>
  <c r="A1295" i="1"/>
  <c r="B1294" i="1"/>
  <c r="A1294" i="1"/>
  <c r="B1293" i="1"/>
  <c r="A1293" i="1"/>
  <c r="B1292" i="1"/>
  <c r="A1292" i="1"/>
  <c r="B1291" i="1"/>
  <c r="A1291" i="1"/>
  <c r="B1290" i="1"/>
  <c r="A1290" i="1"/>
  <c r="B1289" i="1"/>
  <c r="A1289" i="1"/>
  <c r="B1288" i="1"/>
  <c r="A1288" i="1"/>
  <c r="B1287" i="1"/>
  <c r="A1287" i="1"/>
  <c r="B1286" i="1"/>
  <c r="A1286" i="1"/>
  <c r="B1285" i="1"/>
  <c r="A1285" i="1"/>
  <c r="B1284" i="1"/>
  <c r="A1284" i="1"/>
  <c r="B1283" i="1"/>
  <c r="A1283" i="1"/>
  <c r="B1282" i="1"/>
  <c r="A1282" i="1"/>
  <c r="B1281" i="1"/>
  <c r="A1281" i="1"/>
  <c r="B1280" i="1"/>
  <c r="A1280" i="1"/>
  <c r="B1279" i="1"/>
  <c r="A1279" i="1"/>
  <c r="B1278" i="1"/>
  <c r="A1278" i="1"/>
  <c r="B1277" i="1"/>
  <c r="A1277" i="1"/>
  <c r="B1276" i="1"/>
  <c r="A1276" i="1"/>
  <c r="B1275" i="1"/>
  <c r="A1275" i="1"/>
  <c r="B1274" i="1"/>
  <c r="A1274" i="1"/>
  <c r="B1273" i="1"/>
  <c r="A1273" i="1"/>
  <c r="B1272" i="1"/>
  <c r="A1272" i="1"/>
  <c r="B1271" i="1"/>
  <c r="A1271" i="1"/>
  <c r="B1270" i="1"/>
  <c r="A1270" i="1"/>
  <c r="B1269" i="1"/>
  <c r="A1269" i="1"/>
  <c r="B1268" i="1"/>
  <c r="A1268" i="1"/>
  <c r="B1267" i="1"/>
  <c r="A1267" i="1"/>
  <c r="B1266" i="1"/>
  <c r="A1266" i="1"/>
  <c r="B1265" i="1"/>
  <c r="A1265" i="1"/>
  <c r="B1264" i="1"/>
  <c r="A1264" i="1"/>
  <c r="B1263" i="1"/>
  <c r="A1263" i="1"/>
  <c r="B1262" i="1"/>
  <c r="A1262" i="1"/>
  <c r="B1261" i="1"/>
  <c r="A1261" i="1"/>
  <c r="B1260" i="1"/>
  <c r="A1260" i="1"/>
  <c r="B1259" i="1"/>
  <c r="A1259" i="1"/>
  <c r="B1258" i="1"/>
  <c r="A1258" i="1"/>
  <c r="B1257" i="1"/>
  <c r="A1257" i="1"/>
  <c r="B1256" i="1"/>
  <c r="A1256" i="1"/>
  <c r="B1255" i="1"/>
  <c r="A1255" i="1"/>
  <c r="B1254" i="1"/>
  <c r="A1254" i="1"/>
  <c r="B1253" i="1"/>
  <c r="A1253" i="1"/>
  <c r="B1252" i="1"/>
  <c r="A1252" i="1"/>
  <c r="B1251" i="1"/>
  <c r="A1251" i="1"/>
  <c r="B1250" i="1"/>
  <c r="A1250" i="1"/>
  <c r="B1249" i="1"/>
  <c r="A1249" i="1"/>
  <c r="B1248" i="1"/>
  <c r="A1248" i="1"/>
  <c r="B1247" i="1"/>
  <c r="A1247" i="1"/>
  <c r="B1246" i="1"/>
  <c r="A1246" i="1"/>
  <c r="B1245" i="1"/>
  <c r="A1245" i="1"/>
  <c r="B1244" i="1"/>
  <c r="A1244" i="1"/>
  <c r="B1243" i="1"/>
  <c r="A1243" i="1"/>
  <c r="B1242" i="1"/>
  <c r="A1242" i="1"/>
  <c r="B1241" i="1"/>
  <c r="A1241" i="1"/>
  <c r="B1240" i="1"/>
  <c r="A1240" i="1"/>
  <c r="B1239" i="1"/>
  <c r="A1239" i="1"/>
  <c r="B1238" i="1"/>
  <c r="A1238" i="1"/>
  <c r="B1237" i="1"/>
  <c r="A1237" i="1"/>
  <c r="B1236" i="1"/>
  <c r="A1236" i="1"/>
  <c r="B1235" i="1"/>
  <c r="A1235" i="1"/>
  <c r="B1234" i="1"/>
  <c r="A1234" i="1"/>
  <c r="B1233" i="1"/>
  <c r="A1233" i="1"/>
  <c r="B1232" i="1"/>
  <c r="A1232" i="1"/>
  <c r="B1231" i="1"/>
  <c r="A1231" i="1"/>
  <c r="B1230" i="1"/>
  <c r="A1230" i="1"/>
  <c r="B1229" i="1"/>
  <c r="A1229" i="1"/>
  <c r="B1228" i="1"/>
  <c r="A1228" i="1"/>
  <c r="B1227" i="1"/>
  <c r="A1227" i="1"/>
  <c r="B1226" i="1"/>
  <c r="A1226" i="1"/>
  <c r="B1225" i="1"/>
  <c r="A1225" i="1"/>
  <c r="B1224" i="1"/>
  <c r="A1224" i="1"/>
  <c r="B1223" i="1"/>
  <c r="A1223" i="1"/>
  <c r="B1222" i="1"/>
  <c r="A1222" i="1"/>
  <c r="B1221" i="1"/>
  <c r="A1221" i="1"/>
  <c r="B1220" i="1"/>
  <c r="A1220" i="1"/>
  <c r="B1219" i="1"/>
  <c r="A1219" i="1"/>
  <c r="B1218" i="1"/>
  <c r="A1218" i="1"/>
  <c r="B1217" i="1"/>
  <c r="A1217" i="1"/>
  <c r="B1216" i="1"/>
  <c r="A1216" i="1"/>
  <c r="B1215" i="1"/>
  <c r="A1215" i="1"/>
  <c r="B1214" i="1"/>
  <c r="A1214" i="1"/>
  <c r="B1213" i="1"/>
  <c r="A1213" i="1"/>
  <c r="B1212" i="1"/>
  <c r="A1212" i="1"/>
  <c r="B1211" i="1"/>
  <c r="A1211" i="1"/>
  <c r="B1210" i="1"/>
  <c r="A1210" i="1"/>
  <c r="B1209" i="1"/>
  <c r="A1209" i="1"/>
  <c r="B1208" i="1"/>
  <c r="A1208" i="1"/>
  <c r="B1207" i="1"/>
  <c r="A1207" i="1"/>
  <c r="B1206" i="1"/>
  <c r="A1206" i="1"/>
  <c r="B1205" i="1"/>
  <c r="A1205" i="1"/>
  <c r="B1204" i="1"/>
  <c r="A1204" i="1"/>
  <c r="B1203" i="1"/>
  <c r="A1203" i="1"/>
  <c r="B1202" i="1"/>
  <c r="A1202" i="1"/>
  <c r="B1201" i="1"/>
  <c r="A1201" i="1"/>
  <c r="B1200" i="1"/>
  <c r="A1200" i="1"/>
  <c r="B1199" i="1"/>
  <c r="A1199" i="1"/>
  <c r="B1198" i="1"/>
  <c r="A1198" i="1"/>
  <c r="B1197" i="1"/>
  <c r="A1197" i="1"/>
  <c r="B1196" i="1"/>
  <c r="A1196" i="1"/>
  <c r="B1195" i="1"/>
  <c r="A1195" i="1"/>
  <c r="B1194" i="1"/>
  <c r="A1194" i="1"/>
  <c r="B1193" i="1"/>
  <c r="A1193" i="1"/>
  <c r="B1192" i="1"/>
  <c r="A1192" i="1"/>
  <c r="B1191" i="1"/>
  <c r="A1191" i="1"/>
  <c r="B1190" i="1"/>
  <c r="A1190" i="1"/>
  <c r="B1189" i="1"/>
  <c r="A1189" i="1"/>
  <c r="B1188" i="1"/>
  <c r="A1188" i="1"/>
  <c r="B1187" i="1"/>
  <c r="A1187" i="1"/>
  <c r="B1186" i="1"/>
  <c r="A1186" i="1"/>
  <c r="B1185" i="1"/>
  <c r="A1185" i="1"/>
  <c r="B1184" i="1"/>
  <c r="A1184" i="1"/>
  <c r="B1183" i="1"/>
  <c r="A1183" i="1"/>
  <c r="B1182" i="1"/>
  <c r="A1182" i="1"/>
  <c r="B1181" i="1"/>
  <c r="A1181" i="1"/>
  <c r="B1180" i="1"/>
  <c r="A1180" i="1"/>
  <c r="B1179" i="1"/>
  <c r="A1179" i="1"/>
  <c r="B1178" i="1"/>
  <c r="A1178" i="1"/>
  <c r="B1177" i="1"/>
  <c r="A1177" i="1"/>
  <c r="B1176" i="1"/>
  <c r="A1176" i="1"/>
  <c r="B1175" i="1"/>
  <c r="A1175" i="1"/>
  <c r="B1174" i="1"/>
  <c r="A1174" i="1"/>
  <c r="B1173" i="1"/>
  <c r="A1173" i="1"/>
  <c r="B1172" i="1"/>
  <c r="A1172" i="1"/>
  <c r="B1171" i="1"/>
  <c r="A1171" i="1"/>
  <c r="B1170" i="1"/>
  <c r="A1170" i="1"/>
  <c r="B1169" i="1"/>
  <c r="A1169" i="1"/>
  <c r="B1168" i="1"/>
  <c r="A1168" i="1"/>
  <c r="B1167" i="1"/>
  <c r="A1167" i="1"/>
  <c r="B1166" i="1"/>
  <c r="A1166" i="1"/>
  <c r="B1165" i="1"/>
  <c r="A1165" i="1"/>
  <c r="B1164" i="1"/>
  <c r="A1164" i="1"/>
  <c r="B1163" i="1"/>
  <c r="A1163" i="1"/>
  <c r="B1162" i="1"/>
  <c r="A1162" i="1"/>
  <c r="B1161" i="1"/>
  <c r="A1161" i="1"/>
  <c r="B1160" i="1"/>
  <c r="A1160" i="1"/>
  <c r="B1159" i="1"/>
  <c r="A1159" i="1"/>
  <c r="B1158" i="1"/>
  <c r="A1158" i="1"/>
  <c r="B1157" i="1"/>
  <c r="A1157" i="1"/>
  <c r="B1156" i="1"/>
  <c r="A1156" i="1"/>
  <c r="B1155" i="1"/>
  <c r="A1155" i="1"/>
  <c r="B1154" i="1"/>
  <c r="A1154" i="1"/>
  <c r="B1153" i="1"/>
  <c r="A1153" i="1"/>
  <c r="B1152" i="1"/>
  <c r="A1152" i="1"/>
  <c r="B1151" i="1"/>
  <c r="A1151" i="1"/>
  <c r="B1150" i="1"/>
  <c r="A1150" i="1"/>
  <c r="B1149" i="1"/>
  <c r="A1149" i="1"/>
  <c r="B1148" i="1"/>
  <c r="A1148" i="1"/>
  <c r="B1147" i="1"/>
  <c r="A1147" i="1"/>
  <c r="B1146" i="1"/>
  <c r="A1146" i="1"/>
  <c r="B1145" i="1"/>
  <c r="A1145" i="1"/>
  <c r="B1144" i="1"/>
  <c r="A1144" i="1"/>
  <c r="B1143" i="1"/>
  <c r="A1143" i="1"/>
  <c r="B1142" i="1"/>
  <c r="A1142" i="1"/>
  <c r="B1141" i="1"/>
  <c r="A1141" i="1"/>
  <c r="B1140" i="1"/>
  <c r="A1140" i="1"/>
  <c r="B1139" i="1"/>
  <c r="A1139" i="1"/>
  <c r="B1138" i="1"/>
  <c r="A1138" i="1"/>
  <c r="B1137" i="1"/>
  <c r="A1137" i="1"/>
  <c r="B1136" i="1"/>
  <c r="A1136" i="1"/>
  <c r="B1135" i="1"/>
  <c r="A1135" i="1"/>
  <c r="B1134" i="1"/>
  <c r="A1134" i="1"/>
  <c r="B1133" i="1"/>
  <c r="A1133" i="1"/>
  <c r="B1132" i="1"/>
  <c r="A1132" i="1"/>
  <c r="B1131" i="1"/>
  <c r="A1131" i="1"/>
  <c r="B1130" i="1"/>
  <c r="A1130" i="1"/>
  <c r="B1129" i="1"/>
  <c r="A1129" i="1"/>
  <c r="B1128" i="1"/>
  <c r="A1128" i="1"/>
  <c r="B1127" i="1"/>
  <c r="A1127" i="1"/>
  <c r="B1126" i="1"/>
  <c r="A1126" i="1"/>
  <c r="B1125" i="1"/>
  <c r="A1125" i="1"/>
  <c r="B1124" i="1"/>
  <c r="A1124" i="1"/>
  <c r="B1123" i="1"/>
  <c r="A1123" i="1"/>
  <c r="B1122" i="1"/>
  <c r="A1122" i="1"/>
  <c r="B1121" i="1"/>
  <c r="A1121" i="1"/>
  <c r="B1120" i="1"/>
  <c r="A1120" i="1"/>
  <c r="B1119" i="1"/>
  <c r="A1119" i="1"/>
  <c r="B1118" i="1"/>
  <c r="A1118" i="1"/>
  <c r="B1117" i="1"/>
  <c r="A1117" i="1"/>
  <c r="B1116" i="1"/>
  <c r="A1116" i="1"/>
  <c r="B1115" i="1"/>
  <c r="A1115" i="1"/>
  <c r="B1114" i="1"/>
  <c r="A1114" i="1"/>
  <c r="B1113" i="1"/>
  <c r="A1113" i="1"/>
  <c r="B1112" i="1"/>
  <c r="A1112" i="1"/>
  <c r="B1111" i="1"/>
  <c r="A1111" i="1"/>
  <c r="B1110" i="1"/>
  <c r="A1110" i="1"/>
  <c r="B1109" i="1"/>
  <c r="A1109" i="1"/>
  <c r="B1108" i="1"/>
  <c r="A1108" i="1"/>
  <c r="B1107" i="1"/>
  <c r="A1107" i="1"/>
  <c r="B1106" i="1"/>
  <c r="A1106" i="1"/>
  <c r="B1105" i="1"/>
  <c r="A1105" i="1"/>
  <c r="B1104" i="1"/>
  <c r="A1104" i="1"/>
  <c r="B1103" i="1"/>
  <c r="A1103" i="1"/>
  <c r="B1102" i="1"/>
  <c r="A1102" i="1"/>
  <c r="B1101" i="1"/>
  <c r="A1101" i="1"/>
  <c r="B1100" i="1"/>
  <c r="A1100" i="1"/>
  <c r="B1099" i="1"/>
  <c r="A1099" i="1"/>
  <c r="B1098" i="1"/>
  <c r="A1098" i="1"/>
  <c r="B1097" i="1"/>
  <c r="A1097" i="1"/>
  <c r="B1096" i="1"/>
  <c r="A1096" i="1"/>
  <c r="B1095" i="1"/>
  <c r="A1095" i="1"/>
  <c r="B1094" i="1"/>
  <c r="A1094" i="1"/>
  <c r="B1093" i="1"/>
  <c r="A1093" i="1"/>
  <c r="B1092" i="1"/>
  <c r="A1092" i="1"/>
  <c r="B1091" i="1"/>
  <c r="A1091" i="1"/>
  <c r="B1090" i="1"/>
  <c r="A1090" i="1"/>
  <c r="B1089" i="1"/>
  <c r="A1089" i="1"/>
  <c r="B1088" i="1"/>
  <c r="A1088" i="1"/>
  <c r="B1087" i="1"/>
  <c r="A1087" i="1"/>
  <c r="B1086" i="1"/>
  <c r="A1086" i="1"/>
  <c r="B1085" i="1"/>
  <c r="A1085" i="1"/>
  <c r="B1084" i="1"/>
  <c r="A1084" i="1"/>
  <c r="B1083" i="1"/>
  <c r="A1083" i="1"/>
  <c r="B1082" i="1"/>
  <c r="A1082" i="1"/>
  <c r="B1081" i="1"/>
  <c r="A1081" i="1"/>
  <c r="B1080" i="1"/>
  <c r="A1080" i="1"/>
  <c r="B1079" i="1"/>
  <c r="A1079" i="1"/>
  <c r="B1078" i="1"/>
  <c r="A1078" i="1"/>
  <c r="B1077" i="1"/>
  <c r="A1077" i="1"/>
  <c r="B1076" i="1"/>
  <c r="A1076" i="1"/>
  <c r="B1075" i="1"/>
  <c r="A1075" i="1"/>
  <c r="B1074" i="1"/>
  <c r="A1074" i="1"/>
  <c r="B1073" i="1"/>
  <c r="A1073" i="1"/>
  <c r="B1072" i="1"/>
  <c r="A1072" i="1"/>
  <c r="B1071" i="1"/>
  <c r="A1071" i="1"/>
  <c r="B1070" i="1"/>
  <c r="A1070" i="1"/>
  <c r="B1069" i="1"/>
  <c r="A1069" i="1"/>
  <c r="B1068" i="1"/>
  <c r="A1068" i="1"/>
  <c r="B1067" i="1"/>
  <c r="A1067" i="1"/>
  <c r="B1066" i="1"/>
  <c r="A1066" i="1"/>
  <c r="B1065" i="1"/>
  <c r="A1065" i="1"/>
  <c r="B1064" i="1"/>
  <c r="A1064" i="1"/>
  <c r="B1063" i="1"/>
  <c r="A1063" i="1"/>
  <c r="B1062" i="1"/>
  <c r="A1062" i="1"/>
  <c r="B1061" i="1"/>
  <c r="A1061" i="1"/>
  <c r="B1060" i="1"/>
  <c r="A1060" i="1"/>
  <c r="B1059" i="1"/>
  <c r="A1059" i="1"/>
  <c r="B1058" i="1"/>
  <c r="A1058" i="1"/>
  <c r="B1057" i="1"/>
  <c r="A1057" i="1"/>
  <c r="B1056" i="1"/>
  <c r="A1056" i="1"/>
  <c r="B1055" i="1"/>
  <c r="A1055" i="1"/>
  <c r="B1054" i="1"/>
  <c r="A1054" i="1"/>
  <c r="B1053" i="1"/>
  <c r="A1053" i="1"/>
  <c r="B1052" i="1"/>
  <c r="A1052" i="1"/>
  <c r="B1051" i="1"/>
  <c r="A1051" i="1"/>
  <c r="B1050" i="1"/>
  <c r="A1050" i="1"/>
  <c r="B1049" i="1"/>
  <c r="A1049" i="1"/>
  <c r="B1048" i="1"/>
  <c r="A1048" i="1"/>
  <c r="B1047" i="1"/>
  <c r="A1047" i="1"/>
  <c r="B1046" i="1"/>
  <c r="A1046" i="1"/>
  <c r="B1045" i="1"/>
  <c r="A1045" i="1"/>
  <c r="B1044" i="1"/>
  <c r="A1044" i="1"/>
  <c r="B1043" i="1"/>
  <c r="A1043" i="1"/>
  <c r="B1042" i="1"/>
  <c r="A1042" i="1"/>
  <c r="B1041" i="1"/>
  <c r="A1041" i="1"/>
  <c r="B1040" i="1"/>
  <c r="A1040" i="1"/>
  <c r="B1039" i="1"/>
  <c r="A1039" i="1"/>
  <c r="B1038" i="1"/>
  <c r="A1038" i="1"/>
  <c r="B1037" i="1"/>
  <c r="A1037" i="1"/>
  <c r="B1036" i="1"/>
  <c r="A1036" i="1"/>
  <c r="B1035" i="1"/>
  <c r="A1035" i="1"/>
  <c r="B1034" i="1"/>
  <c r="A1034" i="1"/>
  <c r="B1033" i="1"/>
  <c r="A1033" i="1"/>
  <c r="B1032" i="1"/>
  <c r="A1032" i="1"/>
  <c r="B1031" i="1"/>
  <c r="A1031" i="1"/>
  <c r="B1030" i="1"/>
  <c r="A1030" i="1"/>
  <c r="B1029" i="1"/>
  <c r="A1029" i="1"/>
  <c r="B1028" i="1"/>
  <c r="A1028" i="1"/>
  <c r="B1027" i="1"/>
  <c r="A1027" i="1"/>
  <c r="B1026" i="1"/>
  <c r="A1026" i="1"/>
  <c r="B1025" i="1"/>
  <c r="A1025" i="1"/>
  <c r="B1024" i="1"/>
  <c r="A1024" i="1"/>
  <c r="B1023" i="1"/>
  <c r="A1023" i="1"/>
  <c r="B1022" i="1"/>
  <c r="A1022" i="1"/>
  <c r="B1021" i="1"/>
  <c r="A1021" i="1"/>
  <c r="B1020" i="1"/>
  <c r="A1020" i="1"/>
  <c r="B1019" i="1"/>
  <c r="A1019" i="1"/>
  <c r="B1018" i="1"/>
  <c r="A1018" i="1"/>
  <c r="B1017" i="1"/>
  <c r="A1017" i="1"/>
  <c r="B1016" i="1"/>
  <c r="A1016" i="1"/>
  <c r="B1015" i="1"/>
  <c r="A1015" i="1"/>
  <c r="B1014" i="1"/>
  <c r="A1014" i="1"/>
  <c r="B1013" i="1"/>
  <c r="A1013" i="1"/>
  <c r="B1012" i="1"/>
  <c r="A1012" i="1"/>
  <c r="B1011" i="1"/>
  <c r="A1011" i="1"/>
  <c r="B1010" i="1"/>
  <c r="A1010" i="1"/>
  <c r="B1009" i="1"/>
  <c r="A1009" i="1"/>
  <c r="B1008" i="1"/>
  <c r="A1008" i="1"/>
  <c r="B1007" i="1"/>
  <c r="A1007" i="1"/>
  <c r="B1006" i="1"/>
  <c r="A1006" i="1"/>
  <c r="B1005" i="1"/>
  <c r="A1005" i="1"/>
  <c r="B1004" i="1"/>
  <c r="A1004" i="1"/>
  <c r="B1003" i="1"/>
  <c r="A1003" i="1"/>
  <c r="B1002" i="1"/>
  <c r="A1002" i="1"/>
  <c r="B1001" i="1"/>
  <c r="A1001" i="1"/>
  <c r="B1000" i="1"/>
  <c r="A1000" i="1"/>
  <c r="B999" i="1"/>
  <c r="A999" i="1"/>
  <c r="B998" i="1"/>
  <c r="A998" i="1"/>
  <c r="B997" i="1"/>
  <c r="A997" i="1"/>
  <c r="B996" i="1"/>
  <c r="A996" i="1"/>
  <c r="B995" i="1"/>
  <c r="A995" i="1"/>
  <c r="B994" i="1"/>
  <c r="A994" i="1"/>
  <c r="B993" i="1"/>
  <c r="A993" i="1"/>
  <c r="B992" i="1"/>
  <c r="A992" i="1"/>
  <c r="B991" i="1"/>
  <c r="A991" i="1"/>
  <c r="B990" i="1"/>
  <c r="A990" i="1"/>
  <c r="B989" i="1"/>
  <c r="A989" i="1"/>
  <c r="B988" i="1"/>
  <c r="A988" i="1"/>
  <c r="B987" i="1"/>
  <c r="A987" i="1"/>
  <c r="B986" i="1"/>
  <c r="A986" i="1"/>
  <c r="B985" i="1"/>
  <c r="A985" i="1"/>
  <c r="B984" i="1"/>
  <c r="A984" i="1"/>
  <c r="B983" i="1"/>
  <c r="A983" i="1"/>
  <c r="B982" i="1"/>
  <c r="A982" i="1"/>
  <c r="B981" i="1"/>
  <c r="A981" i="1"/>
  <c r="B980" i="1"/>
  <c r="A980" i="1"/>
  <c r="B979" i="1"/>
  <c r="A979" i="1"/>
  <c r="B978" i="1"/>
  <c r="A978" i="1"/>
  <c r="B977" i="1"/>
  <c r="A977" i="1"/>
  <c r="B976" i="1"/>
  <c r="A976" i="1"/>
  <c r="B975" i="1"/>
  <c r="A975" i="1"/>
  <c r="B974" i="1"/>
  <c r="A974" i="1"/>
  <c r="B973" i="1"/>
  <c r="A973" i="1"/>
  <c r="B972" i="1"/>
  <c r="A972" i="1"/>
  <c r="B971" i="1"/>
  <c r="A971" i="1"/>
  <c r="B970" i="1"/>
  <c r="A970" i="1"/>
  <c r="B969" i="1"/>
  <c r="A969" i="1"/>
  <c r="B968" i="1"/>
  <c r="A968" i="1"/>
  <c r="B967" i="1"/>
  <c r="A967" i="1"/>
  <c r="B966" i="1"/>
  <c r="A966" i="1"/>
  <c r="B965" i="1"/>
  <c r="A965" i="1"/>
  <c r="B964" i="1"/>
  <c r="A964" i="1"/>
  <c r="B963" i="1"/>
  <c r="A963" i="1"/>
  <c r="B962" i="1"/>
  <c r="A962" i="1"/>
  <c r="B961" i="1"/>
  <c r="A961" i="1"/>
  <c r="B960" i="1"/>
  <c r="A960" i="1"/>
  <c r="B959" i="1"/>
  <c r="A959" i="1"/>
  <c r="B958" i="1"/>
  <c r="A958" i="1"/>
  <c r="B957" i="1"/>
  <c r="A957" i="1"/>
  <c r="B956" i="1"/>
  <c r="A956" i="1"/>
  <c r="B955" i="1"/>
  <c r="A955" i="1"/>
  <c r="B954" i="1"/>
  <c r="A954" i="1"/>
  <c r="B953" i="1"/>
  <c r="A953" i="1"/>
  <c r="B952" i="1"/>
  <c r="A952" i="1"/>
  <c r="B951" i="1"/>
  <c r="A951" i="1"/>
  <c r="B950" i="1"/>
  <c r="A950" i="1"/>
  <c r="B949" i="1"/>
  <c r="A949" i="1"/>
  <c r="B948" i="1"/>
  <c r="A948" i="1"/>
  <c r="B947" i="1"/>
  <c r="A947" i="1"/>
  <c r="B946" i="1"/>
  <c r="A946" i="1"/>
  <c r="B945" i="1"/>
  <c r="A945" i="1"/>
  <c r="B944" i="1"/>
  <c r="A944" i="1"/>
  <c r="B943" i="1"/>
  <c r="A943" i="1"/>
  <c r="B942" i="1"/>
  <c r="A942" i="1"/>
  <c r="B941" i="1"/>
  <c r="A941" i="1"/>
  <c r="B940" i="1"/>
  <c r="A940" i="1"/>
  <c r="B939" i="1"/>
  <c r="A939" i="1"/>
  <c r="B938" i="1"/>
  <c r="A938" i="1"/>
  <c r="B937" i="1"/>
  <c r="A937" i="1"/>
  <c r="B936" i="1"/>
  <c r="A936" i="1"/>
  <c r="B935" i="1"/>
  <c r="A935" i="1"/>
  <c r="B934" i="1"/>
  <c r="A934" i="1"/>
  <c r="B933" i="1"/>
  <c r="A933" i="1"/>
  <c r="B932" i="1"/>
  <c r="A932" i="1"/>
  <c r="B931" i="1"/>
  <c r="A931" i="1"/>
  <c r="B930" i="1"/>
  <c r="A930" i="1"/>
  <c r="B929" i="1"/>
  <c r="A929" i="1"/>
  <c r="B928" i="1"/>
  <c r="A928" i="1"/>
  <c r="B927" i="1"/>
  <c r="A927" i="1"/>
  <c r="B926" i="1"/>
  <c r="A926" i="1"/>
  <c r="B925" i="1"/>
  <c r="A925" i="1"/>
  <c r="B924" i="1"/>
  <c r="A924" i="1"/>
  <c r="B923" i="1"/>
  <c r="A923" i="1"/>
  <c r="B922" i="1"/>
  <c r="A922" i="1"/>
  <c r="B921" i="1"/>
  <c r="A921" i="1"/>
  <c r="B920" i="1"/>
  <c r="A920" i="1"/>
  <c r="B919" i="1"/>
  <c r="A919" i="1"/>
  <c r="B918" i="1"/>
  <c r="A918" i="1"/>
  <c r="B917" i="1"/>
  <c r="A917" i="1"/>
  <c r="B916" i="1"/>
  <c r="A916" i="1"/>
  <c r="B915" i="1"/>
  <c r="A915" i="1"/>
  <c r="B914" i="1"/>
  <c r="A914" i="1"/>
  <c r="B913" i="1"/>
  <c r="A913" i="1"/>
  <c r="B912" i="1"/>
  <c r="A912" i="1"/>
  <c r="B911" i="1"/>
  <c r="A911" i="1"/>
  <c r="B910" i="1"/>
  <c r="A910" i="1"/>
  <c r="B909" i="1"/>
  <c r="A909" i="1"/>
  <c r="B908" i="1"/>
  <c r="A908" i="1"/>
  <c r="B907" i="1"/>
  <c r="A907" i="1"/>
  <c r="B906" i="1"/>
  <c r="A906" i="1"/>
  <c r="B905" i="1"/>
  <c r="A905" i="1"/>
  <c r="B904" i="1"/>
  <c r="A904" i="1"/>
  <c r="B903" i="1"/>
  <c r="A903" i="1"/>
  <c r="B902" i="1"/>
  <c r="A902" i="1"/>
  <c r="B901" i="1"/>
  <c r="A901" i="1"/>
  <c r="B900" i="1"/>
  <c r="A900" i="1"/>
  <c r="B899" i="1"/>
  <c r="A899" i="1"/>
  <c r="B898" i="1"/>
  <c r="A898" i="1"/>
  <c r="B897" i="1"/>
  <c r="A897" i="1"/>
  <c r="B896" i="1"/>
  <c r="A896" i="1"/>
  <c r="B895" i="1"/>
  <c r="A895" i="1"/>
  <c r="B894" i="1"/>
  <c r="A894" i="1"/>
  <c r="B893" i="1"/>
  <c r="A893" i="1"/>
  <c r="B892" i="1"/>
  <c r="A892" i="1"/>
  <c r="B891" i="1"/>
  <c r="A891" i="1"/>
  <c r="B890" i="1"/>
  <c r="A890" i="1"/>
  <c r="B889" i="1"/>
  <c r="A889" i="1"/>
  <c r="B888" i="1"/>
  <c r="A888" i="1"/>
  <c r="B887" i="1"/>
  <c r="A887" i="1"/>
  <c r="B886" i="1"/>
  <c r="A886" i="1"/>
  <c r="B885" i="1"/>
  <c r="A885" i="1"/>
  <c r="B884" i="1"/>
  <c r="A884" i="1"/>
  <c r="B883" i="1"/>
  <c r="A883" i="1"/>
  <c r="B882" i="1"/>
  <c r="A882" i="1"/>
  <c r="B881" i="1"/>
  <c r="A881" i="1"/>
  <c r="B880" i="1"/>
  <c r="A880" i="1"/>
  <c r="B879" i="1"/>
  <c r="A879" i="1"/>
  <c r="B878" i="1"/>
  <c r="A878" i="1"/>
  <c r="B877" i="1"/>
  <c r="A877" i="1"/>
  <c r="B876" i="1"/>
  <c r="A876" i="1"/>
  <c r="B875" i="1"/>
  <c r="A875" i="1"/>
  <c r="B874" i="1"/>
  <c r="A874" i="1"/>
  <c r="B873" i="1"/>
  <c r="A873" i="1"/>
  <c r="B872" i="1"/>
  <c r="A872" i="1"/>
  <c r="B871" i="1"/>
  <c r="A871" i="1"/>
  <c r="B870" i="1"/>
  <c r="A870" i="1"/>
  <c r="B869" i="1"/>
  <c r="A869" i="1"/>
  <c r="B868" i="1"/>
  <c r="A868" i="1"/>
  <c r="B867" i="1"/>
  <c r="A867" i="1"/>
  <c r="B866" i="1"/>
  <c r="A866" i="1"/>
  <c r="B865" i="1"/>
  <c r="A865" i="1"/>
  <c r="B864" i="1"/>
  <c r="A864" i="1"/>
  <c r="B863" i="1"/>
  <c r="A863" i="1"/>
  <c r="B862" i="1"/>
  <c r="A862" i="1"/>
  <c r="B861" i="1"/>
  <c r="A861" i="1"/>
  <c r="B860" i="1"/>
  <c r="A860" i="1"/>
  <c r="B859" i="1"/>
  <c r="A859" i="1"/>
  <c r="B858" i="1"/>
  <c r="A858" i="1"/>
  <c r="B857" i="1"/>
  <c r="A857" i="1"/>
  <c r="B856" i="1"/>
  <c r="A856" i="1"/>
  <c r="B855" i="1"/>
  <c r="A855" i="1"/>
  <c r="B854" i="1"/>
  <c r="A854" i="1"/>
  <c r="B853" i="1"/>
  <c r="A853" i="1"/>
  <c r="B852" i="1"/>
  <c r="A852" i="1"/>
  <c r="B851" i="1"/>
  <c r="A851" i="1"/>
  <c r="B850" i="1"/>
  <c r="A850" i="1"/>
  <c r="B849" i="1"/>
  <c r="A849" i="1"/>
  <c r="B848" i="1"/>
  <c r="A848" i="1"/>
  <c r="B847" i="1"/>
  <c r="A847" i="1"/>
  <c r="B846" i="1"/>
  <c r="A846" i="1"/>
  <c r="B845" i="1"/>
  <c r="A845" i="1"/>
  <c r="B844" i="1"/>
  <c r="A844" i="1"/>
  <c r="B843" i="1"/>
  <c r="A843" i="1"/>
  <c r="B842" i="1"/>
  <c r="A842" i="1"/>
  <c r="B841" i="1"/>
  <c r="A841" i="1"/>
  <c r="B840" i="1"/>
  <c r="A840" i="1"/>
  <c r="B839" i="1"/>
  <c r="A839" i="1"/>
  <c r="B838" i="1"/>
  <c r="A838" i="1"/>
  <c r="B837" i="1"/>
  <c r="A837" i="1"/>
  <c r="B836" i="1"/>
  <c r="A836" i="1"/>
  <c r="B835" i="1"/>
  <c r="A835" i="1"/>
  <c r="B834" i="1"/>
  <c r="A834" i="1"/>
  <c r="B833" i="1"/>
  <c r="A833" i="1"/>
  <c r="B832" i="1"/>
  <c r="A832" i="1"/>
  <c r="B831" i="1"/>
  <c r="A831" i="1"/>
  <c r="B830" i="1"/>
  <c r="A830" i="1"/>
  <c r="B829" i="1"/>
  <c r="A829" i="1"/>
  <c r="B828" i="1"/>
  <c r="A828" i="1"/>
  <c r="B827" i="1"/>
  <c r="A827" i="1"/>
  <c r="B826" i="1"/>
  <c r="A826" i="1"/>
  <c r="B825" i="1"/>
  <c r="A825" i="1"/>
  <c r="B824" i="1"/>
  <c r="A824" i="1"/>
  <c r="B823" i="1"/>
  <c r="A823" i="1"/>
  <c r="B822" i="1"/>
  <c r="A822" i="1"/>
  <c r="B821" i="1"/>
  <c r="A821" i="1"/>
  <c r="B820" i="1"/>
  <c r="A820" i="1"/>
  <c r="B819" i="1"/>
  <c r="A819" i="1"/>
  <c r="B818" i="1"/>
  <c r="A818" i="1"/>
  <c r="B817" i="1"/>
  <c r="A817" i="1"/>
  <c r="B816" i="1"/>
  <c r="A816" i="1"/>
  <c r="B815" i="1"/>
  <c r="A815" i="1"/>
  <c r="B814" i="1"/>
  <c r="A814" i="1"/>
  <c r="B813" i="1"/>
  <c r="A813" i="1"/>
  <c r="B812" i="1"/>
  <c r="A812" i="1"/>
  <c r="B811" i="1"/>
  <c r="A811" i="1"/>
  <c r="B810" i="1"/>
  <c r="A810" i="1"/>
  <c r="B809" i="1"/>
  <c r="A809" i="1"/>
  <c r="B808" i="1"/>
  <c r="A808" i="1"/>
  <c r="B807" i="1"/>
  <c r="A807" i="1"/>
  <c r="B806" i="1"/>
  <c r="A806" i="1"/>
  <c r="B805" i="1"/>
  <c r="A805" i="1"/>
  <c r="B804" i="1"/>
  <c r="A804" i="1"/>
  <c r="B803" i="1"/>
  <c r="A803" i="1"/>
  <c r="B802" i="1"/>
  <c r="A802" i="1"/>
  <c r="B801" i="1"/>
  <c r="A801" i="1"/>
  <c r="B800" i="1"/>
  <c r="A800" i="1"/>
  <c r="B799" i="1"/>
  <c r="A799" i="1"/>
  <c r="B798" i="1"/>
  <c r="A798" i="1"/>
  <c r="B797" i="1"/>
  <c r="A797" i="1"/>
  <c r="B796" i="1"/>
  <c r="A796" i="1"/>
  <c r="B795" i="1"/>
  <c r="A795" i="1"/>
  <c r="B794" i="1"/>
  <c r="A794" i="1"/>
  <c r="B793" i="1"/>
  <c r="A793" i="1"/>
  <c r="B792" i="1"/>
  <c r="A792" i="1"/>
  <c r="B791" i="1"/>
  <c r="A791" i="1"/>
  <c r="B790" i="1"/>
  <c r="A790" i="1"/>
  <c r="B789" i="1"/>
  <c r="A789" i="1"/>
  <c r="B788" i="1"/>
  <c r="A788" i="1"/>
  <c r="B787" i="1"/>
  <c r="A787" i="1"/>
  <c r="B786" i="1"/>
  <c r="A786" i="1"/>
  <c r="B785" i="1"/>
  <c r="A785" i="1"/>
  <c r="B784" i="1"/>
  <c r="A784" i="1"/>
  <c r="B783" i="1"/>
  <c r="A783" i="1"/>
  <c r="B782" i="1"/>
  <c r="A782" i="1"/>
  <c r="B781" i="1"/>
  <c r="A781" i="1"/>
  <c r="B780" i="1"/>
  <c r="A780" i="1"/>
  <c r="B779" i="1"/>
  <c r="A779" i="1"/>
  <c r="B778" i="1"/>
  <c r="A778" i="1"/>
  <c r="B777" i="1"/>
  <c r="A777" i="1"/>
  <c r="B776" i="1"/>
  <c r="A776" i="1"/>
  <c r="B775" i="1"/>
  <c r="A775" i="1"/>
  <c r="B774" i="1"/>
  <c r="A774" i="1"/>
  <c r="B773" i="1"/>
  <c r="A773" i="1"/>
  <c r="B772" i="1"/>
  <c r="A772" i="1"/>
  <c r="B771" i="1"/>
  <c r="A771" i="1"/>
  <c r="B770" i="1"/>
  <c r="A770" i="1"/>
  <c r="B769" i="1"/>
  <c r="A769" i="1"/>
  <c r="B768" i="1"/>
  <c r="A768" i="1"/>
  <c r="B767" i="1"/>
  <c r="A767" i="1"/>
  <c r="B766" i="1"/>
  <c r="A766" i="1"/>
  <c r="B765" i="1"/>
  <c r="A765" i="1"/>
  <c r="B764" i="1"/>
  <c r="A764" i="1"/>
  <c r="B763" i="1"/>
  <c r="A763" i="1"/>
  <c r="B762" i="1"/>
  <c r="A762" i="1"/>
  <c r="B761" i="1"/>
  <c r="A761" i="1"/>
  <c r="B760" i="1"/>
  <c r="A760" i="1"/>
  <c r="B759" i="1"/>
  <c r="A759" i="1"/>
  <c r="B758" i="1"/>
  <c r="A758" i="1"/>
  <c r="B757" i="1"/>
  <c r="A757" i="1"/>
  <c r="B756" i="1"/>
  <c r="A756" i="1"/>
  <c r="B755" i="1"/>
  <c r="A755" i="1"/>
  <c r="B754" i="1"/>
  <c r="A754" i="1"/>
  <c r="B753" i="1"/>
  <c r="A753" i="1"/>
  <c r="B752" i="1"/>
  <c r="A752" i="1"/>
  <c r="B751" i="1"/>
  <c r="A751" i="1"/>
  <c r="B750" i="1"/>
  <c r="A750" i="1"/>
  <c r="B749" i="1"/>
  <c r="A749" i="1"/>
  <c r="B748" i="1"/>
  <c r="A748" i="1"/>
  <c r="B747" i="1"/>
  <c r="A747" i="1"/>
  <c r="B746" i="1"/>
  <c r="A746" i="1"/>
  <c r="B745" i="1"/>
  <c r="A745" i="1"/>
  <c r="B744" i="1"/>
  <c r="A744" i="1"/>
  <c r="B743" i="1"/>
  <c r="A743" i="1"/>
  <c r="B742" i="1"/>
  <c r="A742" i="1"/>
  <c r="B741" i="1"/>
  <c r="A741" i="1"/>
  <c r="B740" i="1"/>
  <c r="A740" i="1"/>
  <c r="B739" i="1"/>
  <c r="A739" i="1"/>
  <c r="B738" i="1"/>
  <c r="A738" i="1"/>
  <c r="B737" i="1"/>
  <c r="A737" i="1"/>
  <c r="B736" i="1"/>
  <c r="A736" i="1"/>
  <c r="B735" i="1"/>
  <c r="A735" i="1"/>
  <c r="B734" i="1"/>
  <c r="A734" i="1"/>
  <c r="B733" i="1"/>
  <c r="A733" i="1"/>
  <c r="B732" i="1"/>
  <c r="A732" i="1"/>
  <c r="B731" i="1"/>
  <c r="A731" i="1"/>
  <c r="B730" i="1"/>
  <c r="A730" i="1"/>
  <c r="B729" i="1"/>
  <c r="A729" i="1"/>
  <c r="B728" i="1"/>
  <c r="A728" i="1"/>
  <c r="B727" i="1"/>
  <c r="A727" i="1"/>
  <c r="B726" i="1"/>
  <c r="A726" i="1"/>
  <c r="B725" i="1"/>
  <c r="A725" i="1"/>
  <c r="B724" i="1"/>
  <c r="A724" i="1"/>
  <c r="B723" i="1"/>
  <c r="A723" i="1"/>
  <c r="B722" i="1"/>
  <c r="A722" i="1"/>
  <c r="B721" i="1"/>
  <c r="A721" i="1"/>
  <c r="B720" i="1"/>
  <c r="A720" i="1"/>
  <c r="B719" i="1"/>
  <c r="A719" i="1"/>
  <c r="B718" i="1"/>
  <c r="A718" i="1"/>
  <c r="B717" i="1"/>
  <c r="A717" i="1"/>
  <c r="B716" i="1"/>
  <c r="A716" i="1"/>
  <c r="B715" i="1"/>
  <c r="A715" i="1"/>
  <c r="B714" i="1"/>
  <c r="A714" i="1"/>
  <c r="B713" i="1"/>
  <c r="A713" i="1"/>
  <c r="B712" i="1"/>
  <c r="A712" i="1"/>
  <c r="B711" i="1"/>
  <c r="A711" i="1"/>
  <c r="B710" i="1"/>
  <c r="A710" i="1"/>
  <c r="B709" i="1"/>
  <c r="A709" i="1"/>
  <c r="B708" i="1"/>
  <c r="A708" i="1"/>
  <c r="B707" i="1"/>
  <c r="A707" i="1"/>
  <c r="B706" i="1"/>
  <c r="A706" i="1"/>
  <c r="B705" i="1"/>
  <c r="A705" i="1"/>
  <c r="B704" i="1"/>
  <c r="A704" i="1"/>
  <c r="B703" i="1"/>
  <c r="A703" i="1"/>
  <c r="B702" i="1"/>
  <c r="A702" i="1"/>
  <c r="B701" i="1"/>
  <c r="A701" i="1"/>
  <c r="B700" i="1"/>
  <c r="A700" i="1"/>
  <c r="B699" i="1"/>
  <c r="A699" i="1"/>
  <c r="B698" i="1"/>
  <c r="A698" i="1"/>
  <c r="B697" i="1"/>
  <c r="A697" i="1"/>
  <c r="B696" i="1"/>
  <c r="A696" i="1"/>
  <c r="B695" i="1"/>
  <c r="A695" i="1"/>
  <c r="B694" i="1"/>
  <c r="A694" i="1"/>
  <c r="B693" i="1"/>
  <c r="A693" i="1"/>
  <c r="B692" i="1"/>
  <c r="A692" i="1"/>
  <c r="B691" i="1"/>
  <c r="A691" i="1"/>
  <c r="B690" i="1"/>
  <c r="A690" i="1"/>
  <c r="B689" i="1"/>
  <c r="A689" i="1"/>
  <c r="B688" i="1"/>
  <c r="A688" i="1"/>
  <c r="B687" i="1"/>
  <c r="A687" i="1"/>
  <c r="B686" i="1"/>
  <c r="A686" i="1"/>
  <c r="B685" i="1"/>
  <c r="A685" i="1"/>
  <c r="B684" i="1"/>
  <c r="A684" i="1"/>
  <c r="B683" i="1"/>
  <c r="A683" i="1"/>
  <c r="B682" i="1"/>
  <c r="A682" i="1"/>
  <c r="B681" i="1"/>
  <c r="A681" i="1"/>
  <c r="B680" i="1"/>
  <c r="A680" i="1"/>
  <c r="B679" i="1"/>
  <c r="A679" i="1"/>
  <c r="B678" i="1"/>
  <c r="A678" i="1"/>
  <c r="B677" i="1"/>
  <c r="A677" i="1"/>
  <c r="B676" i="1"/>
  <c r="A676" i="1"/>
  <c r="B675" i="1"/>
  <c r="A675" i="1"/>
  <c r="B674" i="1"/>
  <c r="A674" i="1"/>
  <c r="B673" i="1"/>
  <c r="A673" i="1"/>
  <c r="B672" i="1"/>
  <c r="A672" i="1"/>
  <c r="B671" i="1"/>
  <c r="A671" i="1"/>
  <c r="B670" i="1"/>
  <c r="A670" i="1"/>
  <c r="B669" i="1"/>
  <c r="A669" i="1"/>
  <c r="B668" i="1"/>
  <c r="A668" i="1"/>
  <c r="B667" i="1"/>
  <c r="A667" i="1"/>
  <c r="B666" i="1"/>
  <c r="A666" i="1"/>
  <c r="B665" i="1"/>
  <c r="A665" i="1"/>
  <c r="B664" i="1"/>
  <c r="A664" i="1"/>
  <c r="B663" i="1"/>
  <c r="A663" i="1"/>
  <c r="B662" i="1"/>
  <c r="A662" i="1"/>
  <c r="B661" i="1"/>
  <c r="A661" i="1"/>
  <c r="B660" i="1"/>
  <c r="A660" i="1"/>
  <c r="B659" i="1"/>
  <c r="A659" i="1"/>
  <c r="B658" i="1"/>
  <c r="A658" i="1"/>
  <c r="B657" i="1"/>
  <c r="A657" i="1"/>
  <c r="B656" i="1"/>
  <c r="A656" i="1"/>
  <c r="B655" i="1"/>
  <c r="A655" i="1"/>
  <c r="B654" i="1"/>
  <c r="A654" i="1"/>
  <c r="B653" i="1"/>
  <c r="A653" i="1"/>
  <c r="B652" i="1"/>
  <c r="A652" i="1"/>
  <c r="B651" i="1"/>
  <c r="A651" i="1"/>
  <c r="B650" i="1"/>
  <c r="A650" i="1"/>
  <c r="B649" i="1"/>
  <c r="A649" i="1"/>
  <c r="B648" i="1"/>
  <c r="A648" i="1"/>
  <c r="B647" i="1"/>
  <c r="A647" i="1"/>
  <c r="B646" i="1"/>
  <c r="A646" i="1"/>
  <c r="B645" i="1"/>
  <c r="A645" i="1"/>
  <c r="B644" i="1"/>
  <c r="A644" i="1"/>
  <c r="B643" i="1"/>
  <c r="A643" i="1"/>
  <c r="B642" i="1"/>
  <c r="A642" i="1"/>
  <c r="B641" i="1"/>
  <c r="A641" i="1"/>
  <c r="B640" i="1"/>
  <c r="A640" i="1"/>
  <c r="B639" i="1"/>
  <c r="A639" i="1"/>
  <c r="B638" i="1"/>
  <c r="A638" i="1"/>
  <c r="B637" i="1"/>
  <c r="A637" i="1"/>
  <c r="B636" i="1"/>
  <c r="A636" i="1"/>
  <c r="B635" i="1"/>
  <c r="A635" i="1"/>
  <c r="B634" i="1"/>
  <c r="A634" i="1"/>
  <c r="B633" i="1"/>
  <c r="A633" i="1"/>
  <c r="B632" i="1"/>
  <c r="A632" i="1"/>
  <c r="B631" i="1"/>
  <c r="A631" i="1"/>
  <c r="B630" i="1"/>
  <c r="A630" i="1"/>
  <c r="B629" i="1"/>
  <c r="A629" i="1"/>
  <c r="B628" i="1"/>
  <c r="A628" i="1"/>
  <c r="B627" i="1"/>
  <c r="A627" i="1"/>
  <c r="B626" i="1"/>
  <c r="A626" i="1"/>
  <c r="B625" i="1"/>
  <c r="A625" i="1"/>
  <c r="B624" i="1"/>
  <c r="A624" i="1"/>
  <c r="B623" i="1"/>
  <c r="A623" i="1"/>
  <c r="B622" i="1"/>
  <c r="A622" i="1"/>
  <c r="B621" i="1"/>
  <c r="A621" i="1"/>
  <c r="B620" i="1"/>
  <c r="A620" i="1"/>
  <c r="B619" i="1"/>
  <c r="A619" i="1"/>
  <c r="B618" i="1"/>
  <c r="A618" i="1"/>
  <c r="B617" i="1"/>
  <c r="A617" i="1"/>
  <c r="B616" i="1"/>
  <c r="A616" i="1"/>
  <c r="B615" i="1"/>
  <c r="A615" i="1"/>
  <c r="B614" i="1"/>
  <c r="A614" i="1"/>
  <c r="B613" i="1"/>
  <c r="A613" i="1"/>
  <c r="B612" i="1"/>
  <c r="A612" i="1"/>
  <c r="B611" i="1"/>
  <c r="A611" i="1"/>
  <c r="B610" i="1"/>
  <c r="A610" i="1"/>
  <c r="B609" i="1"/>
  <c r="A609" i="1"/>
  <c r="B608" i="1"/>
  <c r="A608" i="1"/>
  <c r="B607" i="1"/>
  <c r="A607" i="1"/>
  <c r="B606" i="1"/>
  <c r="A606" i="1"/>
  <c r="B605" i="1"/>
  <c r="A605" i="1"/>
  <c r="B604" i="1"/>
  <c r="A604" i="1"/>
  <c r="B603" i="1"/>
  <c r="A603" i="1"/>
  <c r="B602" i="1"/>
  <c r="A602" i="1"/>
  <c r="B601" i="1"/>
  <c r="A601" i="1"/>
  <c r="B600" i="1"/>
  <c r="A600" i="1"/>
  <c r="B599" i="1"/>
  <c r="A599" i="1"/>
  <c r="B598" i="1"/>
  <c r="A598" i="1"/>
  <c r="B597" i="1"/>
  <c r="A597" i="1"/>
  <c r="B596" i="1"/>
  <c r="A596" i="1"/>
  <c r="B595" i="1"/>
  <c r="A595" i="1"/>
  <c r="B594" i="1"/>
  <c r="A594" i="1"/>
  <c r="B593" i="1"/>
  <c r="A593" i="1"/>
  <c r="B592" i="1"/>
  <c r="A592" i="1"/>
  <c r="B591" i="1"/>
  <c r="A591" i="1"/>
  <c r="B590" i="1"/>
  <c r="A590" i="1"/>
  <c r="B589" i="1"/>
  <c r="A589" i="1"/>
  <c r="B588" i="1"/>
  <c r="A588" i="1"/>
  <c r="B587" i="1"/>
  <c r="A587" i="1"/>
  <c r="B586" i="1"/>
  <c r="A586" i="1"/>
  <c r="B585" i="1"/>
  <c r="A585" i="1"/>
  <c r="B584" i="1"/>
  <c r="A584" i="1"/>
  <c r="B583" i="1"/>
  <c r="A583" i="1"/>
  <c r="B582" i="1"/>
  <c r="A582" i="1"/>
  <c r="B581" i="1"/>
  <c r="A581" i="1"/>
  <c r="B580" i="1"/>
  <c r="A580" i="1"/>
  <c r="B579" i="1"/>
  <c r="A579" i="1"/>
  <c r="B578" i="1"/>
  <c r="A578" i="1"/>
  <c r="B577" i="1"/>
  <c r="A577" i="1"/>
  <c r="B576" i="1"/>
  <c r="A576" i="1"/>
  <c r="B575" i="1"/>
  <c r="A575" i="1"/>
  <c r="B574" i="1"/>
  <c r="A574" i="1"/>
  <c r="B573" i="1"/>
  <c r="A573" i="1"/>
  <c r="B572" i="1"/>
  <c r="A572" i="1"/>
  <c r="B571" i="1"/>
  <c r="A571" i="1"/>
  <c r="B570" i="1"/>
  <c r="A570" i="1"/>
  <c r="B569" i="1"/>
  <c r="A569" i="1"/>
  <c r="B568" i="1"/>
  <c r="A568" i="1"/>
  <c r="B567" i="1"/>
  <c r="A567" i="1"/>
  <c r="B566" i="1"/>
  <c r="A566" i="1"/>
  <c r="B565" i="1"/>
  <c r="A565" i="1"/>
  <c r="B564" i="1"/>
  <c r="A564" i="1"/>
  <c r="B563" i="1"/>
  <c r="A563" i="1"/>
  <c r="B562" i="1"/>
  <c r="A562" i="1"/>
  <c r="B561" i="1"/>
  <c r="A561" i="1"/>
  <c r="B560" i="1"/>
  <c r="A560" i="1"/>
  <c r="B559" i="1"/>
  <c r="A559" i="1"/>
  <c r="B558" i="1"/>
  <c r="A558" i="1"/>
  <c r="B557" i="1"/>
  <c r="A557" i="1"/>
  <c r="B556" i="1"/>
  <c r="A556" i="1"/>
  <c r="B555" i="1"/>
  <c r="A555" i="1"/>
  <c r="B554" i="1"/>
  <c r="A554" i="1"/>
  <c r="B553" i="1"/>
  <c r="A553" i="1"/>
  <c r="B552" i="1"/>
  <c r="A552" i="1"/>
  <c r="B551" i="1"/>
  <c r="A551" i="1"/>
  <c r="B550" i="1"/>
  <c r="A550" i="1"/>
  <c r="B549" i="1"/>
  <c r="A549" i="1"/>
  <c r="B548" i="1"/>
  <c r="A548" i="1"/>
  <c r="B547" i="1"/>
  <c r="A547" i="1"/>
  <c r="B546" i="1"/>
  <c r="A546" i="1"/>
  <c r="B545" i="1"/>
  <c r="A545" i="1"/>
  <c r="B544" i="1"/>
  <c r="A544" i="1"/>
  <c r="B543" i="1"/>
  <c r="A543" i="1"/>
  <c r="B542" i="1"/>
  <c r="A542" i="1"/>
  <c r="B541" i="1"/>
  <c r="A541" i="1"/>
  <c r="B540" i="1"/>
  <c r="A540" i="1"/>
  <c r="B539" i="1"/>
  <c r="A539" i="1"/>
  <c r="B538" i="1"/>
  <c r="A538" i="1"/>
  <c r="B537" i="1"/>
  <c r="A537" i="1"/>
  <c r="B536" i="1"/>
  <c r="A536" i="1"/>
  <c r="B535" i="1"/>
  <c r="A535" i="1"/>
  <c r="B534" i="1"/>
  <c r="A534" i="1"/>
  <c r="B533" i="1"/>
  <c r="A533" i="1"/>
  <c r="B532" i="1"/>
  <c r="A532" i="1"/>
  <c r="B531" i="1"/>
  <c r="A531" i="1"/>
  <c r="B530" i="1"/>
  <c r="A530" i="1"/>
  <c r="B529" i="1"/>
  <c r="A529" i="1"/>
  <c r="B528" i="1"/>
  <c r="A528" i="1"/>
  <c r="B527" i="1"/>
  <c r="A527" i="1"/>
  <c r="B526" i="1"/>
  <c r="A526" i="1"/>
  <c r="B525" i="1"/>
  <c r="A525" i="1"/>
  <c r="B524" i="1"/>
  <c r="A524" i="1"/>
  <c r="B523" i="1"/>
  <c r="A523" i="1"/>
  <c r="B522" i="1"/>
  <c r="A522" i="1"/>
  <c r="B521" i="1"/>
  <c r="A521" i="1"/>
  <c r="B520" i="1"/>
  <c r="A520" i="1"/>
  <c r="B519" i="1"/>
  <c r="A519" i="1"/>
  <c r="B518" i="1"/>
  <c r="A518" i="1"/>
  <c r="B517" i="1"/>
  <c r="A517" i="1"/>
  <c r="B516" i="1"/>
  <c r="A516" i="1"/>
  <c r="B515" i="1"/>
  <c r="A515" i="1"/>
  <c r="B514" i="1"/>
  <c r="A514" i="1"/>
  <c r="B513" i="1"/>
  <c r="A513" i="1"/>
  <c r="B512" i="1"/>
  <c r="A512" i="1"/>
  <c r="B511" i="1"/>
  <c r="A511" i="1"/>
  <c r="B510" i="1"/>
  <c r="A510" i="1"/>
  <c r="B509" i="1"/>
  <c r="A509" i="1"/>
  <c r="B508" i="1"/>
  <c r="A508" i="1"/>
  <c r="B507" i="1"/>
  <c r="A507" i="1"/>
  <c r="B506" i="1"/>
  <c r="A506" i="1"/>
  <c r="B505" i="1"/>
  <c r="A505" i="1"/>
  <c r="B504" i="1"/>
  <c r="A504" i="1"/>
  <c r="B503" i="1"/>
  <c r="A503" i="1"/>
  <c r="B502" i="1"/>
  <c r="A502" i="1"/>
  <c r="B501" i="1"/>
  <c r="A501" i="1"/>
  <c r="B500" i="1"/>
  <c r="A500" i="1"/>
  <c r="B499" i="1"/>
  <c r="A499" i="1"/>
  <c r="B498" i="1"/>
  <c r="A498" i="1"/>
  <c r="B497" i="1"/>
  <c r="A497" i="1"/>
  <c r="B496" i="1"/>
  <c r="A496" i="1"/>
  <c r="B495" i="1"/>
  <c r="A495" i="1"/>
  <c r="B494" i="1"/>
  <c r="A494" i="1"/>
  <c r="B493" i="1"/>
  <c r="A493" i="1"/>
  <c r="B492" i="1"/>
  <c r="A492" i="1"/>
  <c r="B491" i="1"/>
  <c r="A491" i="1"/>
  <c r="B490" i="1"/>
  <c r="A490" i="1"/>
  <c r="B489" i="1"/>
  <c r="A489" i="1"/>
  <c r="B488" i="1"/>
  <c r="A488" i="1"/>
  <c r="B487" i="1"/>
  <c r="A487" i="1"/>
  <c r="B486" i="1"/>
  <c r="A486" i="1"/>
  <c r="B485" i="1"/>
  <c r="A485" i="1"/>
  <c r="B484" i="1"/>
  <c r="A484" i="1"/>
  <c r="B483" i="1"/>
  <c r="A483" i="1"/>
  <c r="B482" i="1"/>
  <c r="A482" i="1"/>
  <c r="B481" i="1"/>
  <c r="A481" i="1"/>
  <c r="B480" i="1"/>
  <c r="A480" i="1"/>
  <c r="B479" i="1"/>
  <c r="A479" i="1"/>
  <c r="B478" i="1"/>
  <c r="A478" i="1"/>
  <c r="B477" i="1"/>
  <c r="A477" i="1"/>
  <c r="B476" i="1"/>
  <c r="A476" i="1"/>
  <c r="B475" i="1"/>
  <c r="A475" i="1"/>
  <c r="B474" i="1"/>
  <c r="A474" i="1"/>
  <c r="B473" i="1"/>
  <c r="A473" i="1"/>
  <c r="B472" i="1"/>
  <c r="A472" i="1"/>
  <c r="B471" i="1"/>
  <c r="A471" i="1"/>
  <c r="B470" i="1"/>
  <c r="A470" i="1"/>
  <c r="B469" i="1"/>
  <c r="A469" i="1"/>
  <c r="B468" i="1"/>
  <c r="A468" i="1"/>
  <c r="B467" i="1"/>
  <c r="A467" i="1"/>
  <c r="B466" i="1"/>
  <c r="A466" i="1"/>
  <c r="B465" i="1"/>
  <c r="A465" i="1"/>
  <c r="B464" i="1"/>
  <c r="A464" i="1"/>
  <c r="B463" i="1"/>
  <c r="A463" i="1"/>
  <c r="B462" i="1"/>
  <c r="A462" i="1"/>
  <c r="B461" i="1"/>
  <c r="A461" i="1"/>
  <c r="B460" i="1"/>
  <c r="A460" i="1"/>
  <c r="B459" i="1"/>
  <c r="A459" i="1"/>
  <c r="B458" i="1"/>
  <c r="A458" i="1"/>
  <c r="B457" i="1"/>
  <c r="A457" i="1"/>
  <c r="B456" i="1"/>
  <c r="A456" i="1"/>
  <c r="B455" i="1"/>
  <c r="A455" i="1"/>
  <c r="B454" i="1"/>
  <c r="A454" i="1"/>
  <c r="B453" i="1"/>
  <c r="A453" i="1"/>
  <c r="B452" i="1"/>
  <c r="A452" i="1"/>
  <c r="B451" i="1"/>
  <c r="A451" i="1"/>
  <c r="B450" i="1"/>
  <c r="A450" i="1"/>
  <c r="B449" i="1"/>
  <c r="A449" i="1"/>
  <c r="B448" i="1"/>
  <c r="A448" i="1"/>
  <c r="B447" i="1"/>
  <c r="A447" i="1"/>
  <c r="B446" i="1"/>
  <c r="A446" i="1"/>
  <c r="B445" i="1"/>
  <c r="A445" i="1"/>
  <c r="B444" i="1"/>
  <c r="A444" i="1"/>
  <c r="B443" i="1"/>
  <c r="A443" i="1"/>
  <c r="B442" i="1"/>
  <c r="A442" i="1"/>
  <c r="B441" i="1"/>
  <c r="A441" i="1"/>
  <c r="B440" i="1"/>
  <c r="A440" i="1"/>
  <c r="B439" i="1"/>
  <c r="A439" i="1"/>
  <c r="B438" i="1"/>
  <c r="A438" i="1"/>
  <c r="B437" i="1"/>
  <c r="A437" i="1"/>
  <c r="B436" i="1"/>
  <c r="A436" i="1"/>
  <c r="B435" i="1"/>
  <c r="A435" i="1"/>
  <c r="B434" i="1"/>
  <c r="A434" i="1"/>
  <c r="B433" i="1"/>
  <c r="A433" i="1"/>
  <c r="B432" i="1"/>
  <c r="A432" i="1"/>
  <c r="B431" i="1"/>
  <c r="A431" i="1"/>
  <c r="B430" i="1"/>
  <c r="A430" i="1"/>
  <c r="B429" i="1"/>
  <c r="A429" i="1"/>
  <c r="B428" i="1"/>
  <c r="A428" i="1"/>
  <c r="B427" i="1"/>
  <c r="A427" i="1"/>
  <c r="B426" i="1"/>
  <c r="A426" i="1"/>
  <c r="B425" i="1"/>
  <c r="A425" i="1"/>
  <c r="B424" i="1"/>
  <c r="A424" i="1"/>
  <c r="B423" i="1"/>
  <c r="A423" i="1"/>
  <c r="B422" i="1"/>
  <c r="A422" i="1"/>
  <c r="B421" i="1"/>
  <c r="A421" i="1"/>
  <c r="B420" i="1"/>
  <c r="A420" i="1"/>
  <c r="B419" i="1"/>
  <c r="A419" i="1"/>
  <c r="B418" i="1"/>
  <c r="A418" i="1"/>
  <c r="B417" i="1"/>
  <c r="A417" i="1"/>
  <c r="B416" i="1"/>
  <c r="A416" i="1"/>
  <c r="B415" i="1"/>
  <c r="A415" i="1"/>
  <c r="B414" i="1"/>
  <c r="A414" i="1"/>
  <c r="B413" i="1"/>
  <c r="A413" i="1"/>
  <c r="B412" i="1"/>
  <c r="A412" i="1"/>
  <c r="B411" i="1"/>
  <c r="A411" i="1"/>
  <c r="B410" i="1"/>
  <c r="A410" i="1"/>
  <c r="B409" i="1"/>
  <c r="A409" i="1"/>
  <c r="B408" i="1"/>
  <c r="A408" i="1"/>
  <c r="B407" i="1"/>
  <c r="A407" i="1"/>
  <c r="B406" i="1"/>
  <c r="A406" i="1"/>
  <c r="B405" i="1"/>
  <c r="A405" i="1"/>
  <c r="B404" i="1"/>
  <c r="A404" i="1"/>
  <c r="B403" i="1"/>
  <c r="A403" i="1"/>
  <c r="B402" i="1"/>
  <c r="A402" i="1"/>
  <c r="B401" i="1"/>
  <c r="A401" i="1"/>
  <c r="B400" i="1"/>
  <c r="A400" i="1"/>
  <c r="B399" i="1"/>
  <c r="A399" i="1"/>
  <c r="B398" i="1"/>
  <c r="A398" i="1"/>
  <c r="B397" i="1"/>
  <c r="A397" i="1"/>
  <c r="B396" i="1"/>
  <c r="A396" i="1"/>
  <c r="B395" i="1"/>
  <c r="A395" i="1"/>
  <c r="B394" i="1"/>
  <c r="A394" i="1"/>
  <c r="B393" i="1"/>
  <c r="A393" i="1"/>
  <c r="B392" i="1"/>
  <c r="A392" i="1"/>
  <c r="B391" i="1"/>
  <c r="A391" i="1"/>
  <c r="B390" i="1"/>
  <c r="A390" i="1"/>
  <c r="B389" i="1"/>
  <c r="A389" i="1"/>
  <c r="B388" i="1"/>
  <c r="A388" i="1"/>
  <c r="B387" i="1"/>
  <c r="A387" i="1"/>
  <c r="B386" i="1"/>
  <c r="A386" i="1"/>
  <c r="B385" i="1"/>
  <c r="A385" i="1"/>
  <c r="B384" i="1"/>
  <c r="A384" i="1"/>
  <c r="B383" i="1"/>
  <c r="A383" i="1"/>
  <c r="B382" i="1"/>
  <c r="A382" i="1"/>
  <c r="B381" i="1"/>
  <c r="A381" i="1"/>
  <c r="B380" i="1"/>
  <c r="A380" i="1"/>
  <c r="B379" i="1"/>
  <c r="A379" i="1"/>
  <c r="B378" i="1"/>
  <c r="A378" i="1"/>
  <c r="B377" i="1"/>
  <c r="A377" i="1"/>
  <c r="B376" i="1"/>
  <c r="A376" i="1"/>
  <c r="B375" i="1"/>
  <c r="A375" i="1"/>
  <c r="B374" i="1"/>
  <c r="A374" i="1"/>
  <c r="B373" i="1"/>
  <c r="A373" i="1"/>
  <c r="B372" i="1"/>
  <c r="A372" i="1"/>
  <c r="B371" i="1"/>
  <c r="A371" i="1"/>
  <c r="B370" i="1"/>
  <c r="A370" i="1"/>
  <c r="B369" i="1"/>
  <c r="A369" i="1"/>
  <c r="B368" i="1"/>
  <c r="A368" i="1"/>
  <c r="B367" i="1"/>
  <c r="A367" i="1"/>
  <c r="B366" i="1"/>
  <c r="A366" i="1"/>
  <c r="B365" i="1"/>
  <c r="A365" i="1"/>
  <c r="B364" i="1"/>
  <c r="A364" i="1"/>
  <c r="B363" i="1"/>
  <c r="A363" i="1"/>
  <c r="B362" i="1"/>
  <c r="A362" i="1"/>
  <c r="B361" i="1"/>
  <c r="A361" i="1"/>
  <c r="B360" i="1"/>
  <c r="A360" i="1"/>
  <c r="B359" i="1"/>
  <c r="A359" i="1"/>
  <c r="B358" i="1"/>
  <c r="A358" i="1"/>
  <c r="B357" i="1"/>
  <c r="A357" i="1"/>
  <c r="B356" i="1"/>
  <c r="A356" i="1"/>
  <c r="B355" i="1"/>
  <c r="A355" i="1"/>
  <c r="B354" i="1"/>
  <c r="A354" i="1"/>
  <c r="B353" i="1"/>
  <c r="A353" i="1"/>
  <c r="B352" i="1"/>
  <c r="A352" i="1"/>
  <c r="B351" i="1"/>
  <c r="A351" i="1"/>
  <c r="B350" i="1"/>
  <c r="A350" i="1"/>
  <c r="B349" i="1"/>
  <c r="A349" i="1"/>
  <c r="B348" i="1"/>
  <c r="A348" i="1"/>
  <c r="B347" i="1"/>
  <c r="A347" i="1"/>
  <c r="B346" i="1"/>
  <c r="A346" i="1"/>
  <c r="B345" i="1"/>
  <c r="A345" i="1"/>
  <c r="B344" i="1"/>
  <c r="A344" i="1"/>
  <c r="B343" i="1"/>
  <c r="A343" i="1"/>
  <c r="B342" i="1"/>
  <c r="A342" i="1"/>
  <c r="B341" i="1"/>
  <c r="A341" i="1"/>
  <c r="B340" i="1"/>
  <c r="A340" i="1"/>
  <c r="B339" i="1"/>
  <c r="A339" i="1"/>
  <c r="B338" i="1"/>
  <c r="A338" i="1"/>
  <c r="B337" i="1"/>
  <c r="A337" i="1"/>
  <c r="B336" i="1"/>
  <c r="A336" i="1"/>
  <c r="B335" i="1"/>
  <c r="A335" i="1"/>
  <c r="B334" i="1"/>
  <c r="A334" i="1"/>
  <c r="B333" i="1"/>
  <c r="A333" i="1"/>
  <c r="B332" i="1"/>
  <c r="A332" i="1"/>
  <c r="B331" i="1"/>
  <c r="A331" i="1"/>
  <c r="B330" i="1"/>
  <c r="A330" i="1"/>
  <c r="B329" i="1"/>
  <c r="A329" i="1"/>
  <c r="B328" i="1"/>
  <c r="A328" i="1"/>
  <c r="B327" i="1"/>
  <c r="A327" i="1"/>
  <c r="B326" i="1"/>
  <c r="A326" i="1"/>
  <c r="B325" i="1"/>
  <c r="A325" i="1"/>
  <c r="B324" i="1"/>
  <c r="A324" i="1"/>
  <c r="B323" i="1"/>
  <c r="A323" i="1"/>
  <c r="B322" i="1"/>
  <c r="A322" i="1"/>
  <c r="B321" i="1"/>
  <c r="A321" i="1"/>
  <c r="B320" i="1"/>
  <c r="A320" i="1"/>
  <c r="B319" i="1"/>
  <c r="A319" i="1"/>
  <c r="B318" i="1"/>
  <c r="A318" i="1"/>
  <c r="B317" i="1"/>
  <c r="A317" i="1"/>
  <c r="B316" i="1"/>
  <c r="A316" i="1"/>
  <c r="B315" i="1"/>
  <c r="A315" i="1"/>
  <c r="B314" i="1"/>
  <c r="A314" i="1"/>
  <c r="B313" i="1"/>
  <c r="A313" i="1"/>
  <c r="B312" i="1"/>
  <c r="A312" i="1"/>
  <c r="B311" i="1"/>
  <c r="A311" i="1"/>
  <c r="B310" i="1"/>
  <c r="A310" i="1"/>
  <c r="B309" i="1"/>
  <c r="A309" i="1"/>
  <c r="B308" i="1"/>
  <c r="A308" i="1"/>
  <c r="B307" i="1"/>
  <c r="A307" i="1"/>
  <c r="B306" i="1"/>
  <c r="A306" i="1"/>
  <c r="B305" i="1"/>
  <c r="A305" i="1"/>
  <c r="B304" i="1"/>
  <c r="A304" i="1"/>
  <c r="B303" i="1"/>
  <c r="A303" i="1"/>
  <c r="B302" i="1"/>
  <c r="A302" i="1"/>
  <c r="B301" i="1"/>
  <c r="A301" i="1"/>
  <c r="B300" i="1"/>
  <c r="A300" i="1"/>
  <c r="B299" i="1"/>
  <c r="A299" i="1"/>
  <c r="B298" i="1"/>
  <c r="A298" i="1"/>
  <c r="B297" i="1"/>
  <c r="A297" i="1"/>
  <c r="B296" i="1"/>
  <c r="A296" i="1"/>
  <c r="B295" i="1"/>
  <c r="A295" i="1"/>
  <c r="B294" i="1"/>
  <c r="A294" i="1"/>
  <c r="B293" i="1"/>
  <c r="A293" i="1"/>
  <c r="B292" i="1"/>
  <c r="A292" i="1"/>
  <c r="B291" i="1"/>
  <c r="A291" i="1"/>
  <c r="B290" i="1"/>
  <c r="A290" i="1"/>
  <c r="B289" i="1"/>
  <c r="A289" i="1"/>
  <c r="B288" i="1"/>
  <c r="A288" i="1"/>
  <c r="B287" i="1"/>
  <c r="A287" i="1"/>
  <c r="B286" i="1"/>
  <c r="A286" i="1"/>
  <c r="B285" i="1"/>
  <c r="A285" i="1"/>
  <c r="B284" i="1"/>
  <c r="A284" i="1"/>
  <c r="B283" i="1"/>
  <c r="A283" i="1"/>
  <c r="B282" i="1"/>
  <c r="A282" i="1"/>
  <c r="B281" i="1"/>
  <c r="A281" i="1"/>
  <c r="B280" i="1"/>
  <c r="A280" i="1"/>
  <c r="B279" i="1"/>
  <c r="A279" i="1"/>
  <c r="B278" i="1"/>
  <c r="A278" i="1"/>
  <c r="B277" i="1"/>
  <c r="A277" i="1"/>
  <c r="B276" i="1"/>
  <c r="A276" i="1"/>
  <c r="B275" i="1"/>
  <c r="A275" i="1"/>
  <c r="B274" i="1"/>
  <c r="A274" i="1"/>
  <c r="B273" i="1"/>
  <c r="A273" i="1"/>
  <c r="B272" i="1"/>
  <c r="A272" i="1"/>
  <c r="B271" i="1"/>
  <c r="A271" i="1"/>
  <c r="B270" i="1"/>
  <c r="A270" i="1"/>
  <c r="B269" i="1"/>
  <c r="A269" i="1"/>
  <c r="B268" i="1"/>
  <c r="A268" i="1"/>
  <c r="B267" i="1"/>
  <c r="A267" i="1"/>
  <c r="B266" i="1"/>
  <c r="A266" i="1"/>
  <c r="B265" i="1"/>
  <c r="A265" i="1"/>
  <c r="B264" i="1"/>
  <c r="A264" i="1"/>
  <c r="B263" i="1"/>
  <c r="A263" i="1"/>
  <c r="B262" i="1"/>
  <c r="A262" i="1"/>
  <c r="B261" i="1"/>
  <c r="A261" i="1"/>
  <c r="B260" i="1"/>
  <c r="A260" i="1"/>
  <c r="B259" i="1"/>
  <c r="A259" i="1"/>
  <c r="B258" i="1"/>
  <c r="A258" i="1"/>
  <c r="B257" i="1"/>
  <c r="A257" i="1"/>
  <c r="B256" i="1"/>
  <c r="A256" i="1"/>
  <c r="B255" i="1"/>
  <c r="A255" i="1"/>
  <c r="B254" i="1"/>
  <c r="A254" i="1"/>
  <c r="B253" i="1"/>
  <c r="A253" i="1"/>
  <c r="B252" i="1"/>
  <c r="A252" i="1"/>
  <c r="B251" i="1"/>
  <c r="A251" i="1"/>
  <c r="B250" i="1"/>
  <c r="A250" i="1"/>
  <c r="B249" i="1"/>
  <c r="A249" i="1"/>
  <c r="B248" i="1"/>
  <c r="A248" i="1"/>
  <c r="B247" i="1"/>
  <c r="A247" i="1"/>
  <c r="B246" i="1"/>
  <c r="A246" i="1"/>
  <c r="B245" i="1"/>
  <c r="A245" i="1"/>
  <c r="B244" i="1"/>
  <c r="A244" i="1"/>
  <c r="B243" i="1"/>
  <c r="A243" i="1"/>
  <c r="B242" i="1"/>
  <c r="A242" i="1"/>
  <c r="B241" i="1"/>
  <c r="A241" i="1"/>
  <c r="B240" i="1"/>
  <c r="A240" i="1"/>
  <c r="B239" i="1"/>
  <c r="A239" i="1"/>
  <c r="B238" i="1"/>
  <c r="A238" i="1"/>
  <c r="B237" i="1"/>
  <c r="A237" i="1"/>
  <c r="B236" i="1"/>
  <c r="A236" i="1"/>
  <c r="B235" i="1"/>
  <c r="A235" i="1"/>
  <c r="B234" i="1"/>
  <c r="A234" i="1"/>
  <c r="B233" i="1"/>
  <c r="A233" i="1"/>
  <c r="B232" i="1"/>
  <c r="A232" i="1"/>
  <c r="B231" i="1"/>
  <c r="A231" i="1"/>
  <c r="B230" i="1"/>
  <c r="A230" i="1"/>
  <c r="B229" i="1"/>
  <c r="A229" i="1"/>
  <c r="B228" i="1"/>
  <c r="A228" i="1"/>
  <c r="B227" i="1"/>
  <c r="A227" i="1"/>
  <c r="B226" i="1"/>
  <c r="A226" i="1"/>
  <c r="B225" i="1"/>
  <c r="A225" i="1"/>
  <c r="B224" i="1"/>
  <c r="A224" i="1"/>
  <c r="B223" i="1"/>
  <c r="A223" i="1"/>
  <c r="B222" i="1"/>
  <c r="A222" i="1"/>
  <c r="B221" i="1"/>
  <c r="A221" i="1"/>
  <c r="B220" i="1"/>
  <c r="A220" i="1"/>
  <c r="B219" i="1"/>
  <c r="A219" i="1"/>
  <c r="B218" i="1"/>
  <c r="A218" i="1"/>
  <c r="B217" i="1"/>
  <c r="A217" i="1"/>
  <c r="B216" i="1"/>
  <c r="A216" i="1"/>
  <c r="B215" i="1"/>
  <c r="A215" i="1"/>
  <c r="B214" i="1"/>
  <c r="A214" i="1"/>
  <c r="B213" i="1"/>
  <c r="A213" i="1"/>
  <c r="B212" i="1"/>
  <c r="A212" i="1"/>
  <c r="B211" i="1"/>
  <c r="A211" i="1"/>
  <c r="B210" i="1"/>
  <c r="A210" i="1"/>
  <c r="B209" i="1"/>
  <c r="A209" i="1"/>
  <c r="B208" i="1"/>
  <c r="A208" i="1"/>
  <c r="B207" i="1"/>
  <c r="A207" i="1"/>
  <c r="B206" i="1"/>
  <c r="A206" i="1"/>
  <c r="B205" i="1"/>
  <c r="A205" i="1"/>
  <c r="B204" i="1"/>
  <c r="A204" i="1"/>
  <c r="B203" i="1"/>
  <c r="A203" i="1"/>
  <c r="B202" i="1"/>
  <c r="A202" i="1"/>
  <c r="B201" i="1"/>
  <c r="A201" i="1"/>
  <c r="B200" i="1"/>
  <c r="A200" i="1"/>
  <c r="B199" i="1"/>
  <c r="A199" i="1"/>
  <c r="B198" i="1"/>
  <c r="A198" i="1"/>
  <c r="B197" i="1"/>
  <c r="A197" i="1"/>
  <c r="B196" i="1"/>
  <c r="A196" i="1"/>
  <c r="B195" i="1"/>
  <c r="A195" i="1"/>
  <c r="B194" i="1"/>
  <c r="A194" i="1"/>
  <c r="B193" i="1"/>
  <c r="A193" i="1"/>
  <c r="B192" i="1"/>
  <c r="A192" i="1"/>
  <c r="B191" i="1"/>
  <c r="A191" i="1"/>
  <c r="B190" i="1"/>
  <c r="A190" i="1"/>
  <c r="B189" i="1"/>
  <c r="A189" i="1"/>
  <c r="B188" i="1"/>
  <c r="A188" i="1"/>
  <c r="B187" i="1"/>
  <c r="A187" i="1"/>
  <c r="B186" i="1"/>
  <c r="A186" i="1"/>
  <c r="B185" i="1"/>
  <c r="A185" i="1"/>
  <c r="B184" i="1"/>
  <c r="A184" i="1"/>
  <c r="B183" i="1"/>
  <c r="A183" i="1"/>
  <c r="B182" i="1"/>
  <c r="A182" i="1"/>
  <c r="B181" i="1"/>
  <c r="A181" i="1"/>
  <c r="B180" i="1"/>
  <c r="A180" i="1"/>
  <c r="B179" i="1"/>
  <c r="A179" i="1"/>
  <c r="B178" i="1"/>
  <c r="A178" i="1"/>
  <c r="B177" i="1"/>
  <c r="A177" i="1"/>
  <c r="B176" i="1"/>
  <c r="A176" i="1"/>
  <c r="B175" i="1"/>
  <c r="A175" i="1"/>
  <c r="B174" i="1"/>
  <c r="A174" i="1"/>
  <c r="B173" i="1"/>
  <c r="A173" i="1"/>
  <c r="B172" i="1"/>
  <c r="A172" i="1"/>
  <c r="B171" i="1"/>
  <c r="A171" i="1"/>
  <c r="B170" i="1"/>
  <c r="A170" i="1"/>
  <c r="B169" i="1"/>
  <c r="A169" i="1"/>
  <c r="B168" i="1"/>
  <c r="A168" i="1"/>
  <c r="B167" i="1"/>
  <c r="A167" i="1"/>
  <c r="B166" i="1"/>
  <c r="A166" i="1"/>
  <c r="B165" i="1"/>
  <c r="A165" i="1"/>
  <c r="B164" i="1"/>
  <c r="A164" i="1"/>
  <c r="B163" i="1"/>
  <c r="A163" i="1"/>
  <c r="B162" i="1"/>
  <c r="A162" i="1"/>
  <c r="B161" i="1"/>
  <c r="A161" i="1"/>
  <c r="B160" i="1"/>
  <c r="A160" i="1"/>
  <c r="B159" i="1"/>
  <c r="A159" i="1"/>
  <c r="B158" i="1"/>
  <c r="A158" i="1"/>
  <c r="B157" i="1"/>
  <c r="A157" i="1"/>
  <c r="B156" i="1"/>
  <c r="A156" i="1"/>
  <c r="B155" i="1"/>
  <c r="A155" i="1"/>
  <c r="B154" i="1"/>
  <c r="A154" i="1"/>
  <c r="B153" i="1"/>
  <c r="A153" i="1"/>
  <c r="B152" i="1"/>
  <c r="A152" i="1"/>
  <c r="B151" i="1"/>
  <c r="A151" i="1"/>
  <c r="B150" i="1"/>
  <c r="A150" i="1"/>
  <c r="B149" i="1"/>
  <c r="A149" i="1"/>
  <c r="B148" i="1"/>
  <c r="A148" i="1"/>
  <c r="B147" i="1"/>
  <c r="A147" i="1"/>
  <c r="B146" i="1"/>
  <c r="A146" i="1"/>
  <c r="B145" i="1"/>
  <c r="A145" i="1"/>
  <c r="B144" i="1"/>
  <c r="A144" i="1"/>
  <c r="B143" i="1"/>
  <c r="A143" i="1"/>
  <c r="B142" i="1"/>
  <c r="A142" i="1"/>
  <c r="B141" i="1"/>
  <c r="A141" i="1"/>
  <c r="B140" i="1"/>
  <c r="A140" i="1"/>
  <c r="B139" i="1"/>
  <c r="A139" i="1"/>
  <c r="B138" i="1"/>
  <c r="A138" i="1"/>
  <c r="B137" i="1"/>
  <c r="A137" i="1"/>
  <c r="B136" i="1"/>
  <c r="A136" i="1"/>
  <c r="B135" i="1"/>
  <c r="A135" i="1"/>
  <c r="B134" i="1"/>
  <c r="A134" i="1"/>
  <c r="B133" i="1"/>
  <c r="A133" i="1"/>
  <c r="B132" i="1"/>
  <c r="A132" i="1"/>
  <c r="B131" i="1"/>
  <c r="A131" i="1"/>
  <c r="B130" i="1"/>
  <c r="A130" i="1"/>
  <c r="B129" i="1"/>
  <c r="A129" i="1"/>
  <c r="B128" i="1"/>
  <c r="A128" i="1"/>
  <c r="B127" i="1"/>
  <c r="A127" i="1"/>
  <c r="B126" i="1"/>
  <c r="A126" i="1"/>
  <c r="B125" i="1"/>
  <c r="A125" i="1"/>
  <c r="B124" i="1"/>
  <c r="A124" i="1"/>
  <c r="B123" i="1"/>
  <c r="A123" i="1"/>
  <c r="B122" i="1"/>
  <c r="A122" i="1"/>
  <c r="B121" i="1"/>
  <c r="A121" i="1"/>
  <c r="B120" i="1"/>
  <c r="A120" i="1"/>
  <c r="B119" i="1"/>
  <c r="A119" i="1"/>
  <c r="B118" i="1"/>
  <c r="A118" i="1"/>
  <c r="B117" i="1"/>
  <c r="A117" i="1"/>
  <c r="B116" i="1"/>
  <c r="A116" i="1"/>
  <c r="B115" i="1"/>
  <c r="A115" i="1"/>
  <c r="B114" i="1"/>
  <c r="A114" i="1"/>
  <c r="B113" i="1"/>
  <c r="A113" i="1"/>
  <c r="B112" i="1"/>
  <c r="A112" i="1"/>
  <c r="B111" i="1"/>
  <c r="A111" i="1"/>
  <c r="B110" i="1"/>
  <c r="A110" i="1"/>
  <c r="B109" i="1"/>
  <c r="A109" i="1"/>
  <c r="B108" i="1"/>
  <c r="A108" i="1"/>
  <c r="B107" i="1"/>
  <c r="A107" i="1"/>
  <c r="B106" i="1"/>
  <c r="A106" i="1"/>
  <c r="B105" i="1"/>
  <c r="A105" i="1"/>
  <c r="B104" i="1"/>
  <c r="A104" i="1"/>
  <c r="B103" i="1"/>
  <c r="A103" i="1"/>
  <c r="B102" i="1"/>
  <c r="A102" i="1"/>
  <c r="B101" i="1"/>
  <c r="A101" i="1"/>
  <c r="B100" i="1"/>
  <c r="A100" i="1"/>
  <c r="B99" i="1"/>
  <c r="A99" i="1"/>
  <c r="B98" i="1"/>
  <c r="A98" i="1"/>
  <c r="B97" i="1"/>
  <c r="A97" i="1"/>
  <c r="B96" i="1"/>
  <c r="A96" i="1"/>
  <c r="B95" i="1"/>
  <c r="A95" i="1"/>
  <c r="B94" i="1"/>
  <c r="A94" i="1"/>
  <c r="B93" i="1"/>
  <c r="A93" i="1"/>
  <c r="B92" i="1"/>
  <c r="A92" i="1"/>
  <c r="B91" i="1"/>
  <c r="A91" i="1"/>
  <c r="B90" i="1"/>
  <c r="A90" i="1"/>
  <c r="B89" i="1"/>
  <c r="A89" i="1"/>
  <c r="B88" i="1"/>
  <c r="A88" i="1"/>
  <c r="B87" i="1"/>
  <c r="A87" i="1"/>
  <c r="B86" i="1"/>
  <c r="A86" i="1"/>
  <c r="B85" i="1"/>
  <c r="A85" i="1"/>
  <c r="B84" i="1"/>
  <c r="A84" i="1"/>
  <c r="B83" i="1"/>
  <c r="A83" i="1"/>
  <c r="B82" i="1"/>
  <c r="A82" i="1"/>
  <c r="B81" i="1"/>
  <c r="A81" i="1"/>
  <c r="B80" i="1"/>
  <c r="A80" i="1"/>
  <c r="B79" i="1"/>
  <c r="A79" i="1"/>
  <c r="B78" i="1"/>
  <c r="A78" i="1"/>
  <c r="B77" i="1"/>
  <c r="A77" i="1"/>
  <c r="B76" i="1"/>
  <c r="A76" i="1"/>
  <c r="B75" i="1"/>
  <c r="A75" i="1"/>
  <c r="B74" i="1"/>
  <c r="A74" i="1"/>
  <c r="B73" i="1"/>
  <c r="A73" i="1"/>
  <c r="B72" i="1"/>
  <c r="A72" i="1"/>
  <c r="B71" i="1"/>
  <c r="A71" i="1"/>
  <c r="B70" i="1"/>
  <c r="A70" i="1"/>
  <c r="B69" i="1"/>
  <c r="A69" i="1"/>
  <c r="B68" i="1"/>
  <c r="A68" i="1"/>
  <c r="B67" i="1"/>
  <c r="A67" i="1"/>
  <c r="B66" i="1"/>
  <c r="A66" i="1"/>
  <c r="B65" i="1"/>
  <c r="A65" i="1"/>
  <c r="B64" i="1"/>
  <c r="A64" i="1"/>
  <c r="B63" i="1"/>
  <c r="A63" i="1"/>
  <c r="B62" i="1"/>
  <c r="A62" i="1"/>
  <c r="B61" i="1"/>
  <c r="A61" i="1"/>
  <c r="B60" i="1"/>
  <c r="A60" i="1"/>
  <c r="B59" i="1"/>
  <c r="A59" i="1"/>
  <c r="B58" i="1"/>
  <c r="A58" i="1"/>
  <c r="B57" i="1"/>
  <c r="A57" i="1"/>
  <c r="B56" i="1"/>
  <c r="A56" i="1"/>
  <c r="B55" i="1"/>
  <c r="A55" i="1"/>
  <c r="B54" i="1"/>
  <c r="A54" i="1"/>
  <c r="B53" i="1"/>
  <c r="A53" i="1"/>
  <c r="B52" i="1"/>
  <c r="A52" i="1"/>
  <c r="B51" i="1"/>
  <c r="A51" i="1"/>
  <c r="B50" i="1"/>
  <c r="A50" i="1"/>
  <c r="B49" i="1"/>
  <c r="A49" i="1"/>
  <c r="B48" i="1"/>
  <c r="A48" i="1"/>
  <c r="B47" i="1"/>
  <c r="A47" i="1"/>
  <c r="B46" i="1"/>
  <c r="A46" i="1"/>
  <c r="B45" i="1"/>
  <c r="A45" i="1"/>
  <c r="B44" i="1"/>
  <c r="A44" i="1"/>
  <c r="B43" i="1"/>
  <c r="A43" i="1"/>
  <c r="B42" i="1"/>
  <c r="A42" i="1"/>
  <c r="B41" i="1"/>
  <c r="A41" i="1"/>
  <c r="B40" i="1"/>
  <c r="A40" i="1"/>
  <c r="B39" i="1"/>
  <c r="A39" i="1"/>
  <c r="B38" i="1"/>
  <c r="A38" i="1"/>
  <c r="B37" i="1"/>
  <c r="A37" i="1"/>
  <c r="B36" i="1"/>
  <c r="A36" i="1"/>
  <c r="B35" i="1"/>
  <c r="A35" i="1"/>
  <c r="B34" i="1"/>
  <c r="A34" i="1"/>
  <c r="B33" i="1"/>
  <c r="A33" i="1"/>
  <c r="B32" i="1"/>
  <c r="A32" i="1"/>
  <c r="B31" i="1"/>
  <c r="A31" i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/>
  <c r="B16" i="1"/>
  <c r="A16" i="1"/>
  <c r="B15" i="1"/>
  <c r="A15" i="1"/>
  <c r="B14" i="1"/>
  <c r="A14" i="1"/>
  <c r="A13" i="1"/>
  <c r="B13" i="1"/>
  <c r="J12" i="1"/>
  <c r="J8" i="1"/>
  <c r="J4" i="1"/>
  <c r="J2" i="1"/>
  <c r="J5" i="1"/>
  <c r="J11" i="1"/>
  <c r="J7" i="1"/>
  <c r="J3" i="1"/>
  <c r="J10" i="1"/>
  <c r="J6" i="1"/>
  <c r="J9" i="1"/>
  <c r="C28" i="1" l="1"/>
  <c r="C102" i="1"/>
  <c r="C122" i="1"/>
  <c r="C124" i="1"/>
  <c r="C166" i="1"/>
  <c r="C188" i="1"/>
  <c r="C242" i="1"/>
  <c r="C370" i="1"/>
  <c r="C498" i="1"/>
  <c r="C578" i="1"/>
  <c r="C610" i="1"/>
  <c r="C1338" i="1"/>
  <c r="C1450" i="1"/>
  <c r="C13" i="1"/>
  <c r="C15" i="1"/>
  <c r="C17" i="1"/>
  <c r="C19" i="1"/>
  <c r="C21" i="1"/>
  <c r="C23" i="1"/>
  <c r="C25" i="1"/>
  <c r="C27" i="1"/>
  <c r="C29" i="1"/>
  <c r="C31" i="1"/>
  <c r="C33" i="1"/>
  <c r="C35" i="1"/>
  <c r="C37" i="1"/>
  <c r="C39" i="1"/>
  <c r="C41" i="1"/>
  <c r="C43" i="1"/>
  <c r="C45" i="1"/>
  <c r="C47" i="1"/>
  <c r="C49" i="1"/>
  <c r="C51" i="1"/>
  <c r="C53" i="1"/>
  <c r="C55" i="1"/>
  <c r="C57" i="1"/>
  <c r="C59" i="1"/>
  <c r="C61" i="1"/>
  <c r="C63" i="1"/>
  <c r="C65" i="1"/>
  <c r="C67" i="1"/>
  <c r="C69" i="1"/>
  <c r="C71" i="1"/>
  <c r="C73" i="1"/>
  <c r="C75" i="1"/>
  <c r="C77" i="1"/>
  <c r="C79" i="1"/>
  <c r="C81" i="1"/>
  <c r="C83" i="1"/>
  <c r="C85" i="1"/>
  <c r="C87" i="1"/>
  <c r="C841" i="1"/>
  <c r="C843" i="1"/>
  <c r="C845" i="1"/>
  <c r="C847" i="1"/>
  <c r="C849" i="1"/>
  <c r="C851" i="1"/>
  <c r="C853" i="1"/>
  <c r="C855" i="1"/>
  <c r="C857" i="1"/>
  <c r="C859" i="1"/>
  <c r="C861" i="1"/>
  <c r="C863" i="1"/>
  <c r="C865" i="1"/>
  <c r="C867" i="1"/>
  <c r="C869" i="1"/>
  <c r="C871" i="1"/>
  <c r="C873" i="1"/>
  <c r="C875" i="1"/>
  <c r="C877" i="1"/>
  <c r="C879" i="1"/>
  <c r="C881" i="1"/>
  <c r="C883" i="1"/>
  <c r="C885" i="1"/>
  <c r="C887" i="1"/>
  <c r="C889" i="1"/>
  <c r="C891" i="1"/>
  <c r="C893" i="1"/>
  <c r="C895" i="1"/>
  <c r="C897" i="1"/>
  <c r="C899" i="1"/>
  <c r="C901" i="1"/>
  <c r="C903" i="1"/>
  <c r="C905" i="1"/>
  <c r="C907" i="1"/>
  <c r="C909" i="1"/>
  <c r="C911" i="1"/>
  <c r="C913" i="1"/>
  <c r="C915" i="1"/>
  <c r="C917" i="1"/>
  <c r="C919" i="1"/>
  <c r="C921" i="1"/>
  <c r="C923" i="1"/>
  <c r="C925" i="1"/>
  <c r="C927" i="1"/>
  <c r="C929" i="1"/>
  <c r="C931" i="1"/>
  <c r="C933" i="1"/>
  <c r="C935" i="1"/>
  <c r="C937" i="1"/>
  <c r="C939" i="1"/>
  <c r="C941" i="1"/>
  <c r="C943" i="1"/>
  <c r="C945" i="1"/>
  <c r="C947" i="1"/>
  <c r="C949" i="1"/>
  <c r="C951" i="1"/>
  <c r="C953" i="1"/>
  <c r="C955" i="1"/>
  <c r="C957" i="1"/>
  <c r="C959" i="1"/>
  <c r="C961" i="1"/>
  <c r="C963" i="1"/>
  <c r="C965" i="1"/>
  <c r="C967" i="1"/>
  <c r="C969" i="1"/>
  <c r="C971" i="1"/>
  <c r="C973" i="1"/>
  <c r="C975" i="1"/>
  <c r="C977" i="1"/>
  <c r="C979" i="1"/>
  <c r="C981" i="1"/>
  <c r="C983" i="1"/>
  <c r="C985" i="1"/>
  <c r="C987" i="1"/>
  <c r="C989" i="1"/>
  <c r="C991" i="1"/>
  <c r="C993" i="1"/>
  <c r="C995" i="1"/>
  <c r="C997" i="1"/>
  <c r="C999" i="1"/>
  <c r="C1001" i="1"/>
  <c r="C1003" i="1"/>
  <c r="C1005" i="1"/>
  <c r="C1007" i="1"/>
  <c r="C1009" i="1"/>
  <c r="C1011" i="1"/>
  <c r="C1013" i="1"/>
  <c r="C1015" i="1"/>
  <c r="C1017" i="1"/>
  <c r="C1019" i="1"/>
  <c r="C1021" i="1"/>
  <c r="C1023" i="1"/>
  <c r="C1025" i="1"/>
  <c r="C1027" i="1"/>
  <c r="C1029" i="1"/>
  <c r="C1031" i="1"/>
  <c r="C1033" i="1"/>
  <c r="C1035" i="1"/>
  <c r="C1037" i="1"/>
  <c r="C1039" i="1"/>
  <c r="C1041" i="1"/>
  <c r="C1043" i="1"/>
  <c r="C1045" i="1"/>
  <c r="C1047" i="1"/>
  <c r="C1049" i="1"/>
  <c r="C1051" i="1"/>
  <c r="C1053" i="1"/>
  <c r="C1055" i="1"/>
  <c r="C1057" i="1"/>
  <c r="C1059" i="1"/>
  <c r="C1061" i="1"/>
  <c r="C1063" i="1"/>
  <c r="C1065" i="1"/>
  <c r="C1067" i="1"/>
  <c r="C1069" i="1"/>
  <c r="C1071" i="1"/>
  <c r="C1073" i="1"/>
  <c r="C1075" i="1"/>
  <c r="C1077" i="1"/>
  <c r="C1079" i="1"/>
  <c r="C1081" i="1"/>
  <c r="C1083" i="1"/>
  <c r="C1085" i="1"/>
  <c r="C1087" i="1"/>
  <c r="C1089" i="1"/>
  <c r="C1091" i="1"/>
  <c r="C1093" i="1"/>
  <c r="C1095" i="1"/>
  <c r="C1097" i="1"/>
  <c r="C1099" i="1"/>
  <c r="C1101" i="1"/>
  <c r="C1103" i="1"/>
  <c r="C1105" i="1"/>
  <c r="C1107" i="1"/>
  <c r="C1109" i="1"/>
  <c r="C1111" i="1"/>
  <c r="C1113" i="1"/>
  <c r="C1115" i="1"/>
  <c r="C1117" i="1"/>
  <c r="C1119" i="1"/>
  <c r="C1121" i="1"/>
  <c r="C1123" i="1"/>
  <c r="C1125" i="1"/>
  <c r="C1127" i="1"/>
  <c r="C1129" i="1"/>
  <c r="C1131" i="1"/>
  <c r="C1133" i="1"/>
  <c r="C1135" i="1"/>
  <c r="C1137" i="1"/>
  <c r="C1139" i="1"/>
  <c r="C1141" i="1"/>
  <c r="C1143" i="1"/>
  <c r="C1145" i="1"/>
  <c r="C1147" i="1"/>
  <c r="C1149" i="1"/>
  <c r="C1151" i="1"/>
  <c r="C1153" i="1"/>
  <c r="C1155" i="1"/>
  <c r="C1157" i="1"/>
  <c r="C1159" i="1"/>
  <c r="C1161" i="1"/>
  <c r="C1163" i="1"/>
  <c r="C1165" i="1"/>
  <c r="C1167" i="1"/>
  <c r="C1169" i="1"/>
  <c r="C1171" i="1"/>
  <c r="C1173" i="1"/>
  <c r="C1175" i="1"/>
  <c r="C1177" i="1"/>
  <c r="C1179" i="1"/>
  <c r="C1181" i="1"/>
  <c r="C1183" i="1"/>
  <c r="C1185" i="1"/>
  <c r="C1187" i="1"/>
  <c r="C1189" i="1"/>
  <c r="C1191" i="1"/>
  <c r="C1193" i="1"/>
  <c r="C1195" i="1"/>
  <c r="C1197" i="1"/>
  <c r="C1199" i="1"/>
  <c r="C1201" i="1"/>
  <c r="C1203" i="1"/>
  <c r="C1205" i="1"/>
  <c r="C1207" i="1"/>
  <c r="C1209" i="1"/>
  <c r="C1211" i="1"/>
  <c r="C626" i="1"/>
  <c r="C642" i="1"/>
  <c r="C682" i="1"/>
  <c r="C686" i="1"/>
  <c r="C726" i="1"/>
  <c r="C794" i="1"/>
  <c r="C846" i="1"/>
  <c r="C886" i="1"/>
  <c r="C1014" i="1"/>
  <c r="C1142" i="1"/>
  <c r="C1158" i="1"/>
  <c r="C1200" i="1"/>
  <c r="C1264" i="1"/>
  <c r="C210" i="1"/>
  <c r="C338" i="1"/>
  <c r="C1213" i="1"/>
  <c r="C1215" i="1"/>
  <c r="C1217" i="1"/>
  <c r="C1219" i="1"/>
  <c r="C1221" i="1"/>
  <c r="C1223" i="1"/>
  <c r="C1225" i="1"/>
  <c r="C1227" i="1"/>
  <c r="C1229" i="1"/>
  <c r="C1231" i="1"/>
  <c r="C1233" i="1"/>
  <c r="C1235" i="1"/>
  <c r="C1237" i="1"/>
  <c r="C1239" i="1"/>
  <c r="C1241" i="1"/>
  <c r="C1243" i="1"/>
  <c r="C1245" i="1"/>
  <c r="C1247" i="1"/>
  <c r="C1249" i="1"/>
  <c r="C1251" i="1"/>
  <c r="C1253" i="1"/>
  <c r="C1255" i="1"/>
  <c r="C1257" i="1"/>
  <c r="C1259" i="1"/>
  <c r="C1261" i="1"/>
  <c r="C1263" i="1"/>
  <c r="C1265" i="1"/>
  <c r="C1267" i="1"/>
  <c r="C1269" i="1"/>
  <c r="C1271" i="1"/>
  <c r="C1273" i="1"/>
  <c r="C1275" i="1"/>
  <c r="C1277" i="1"/>
  <c r="C1279" i="1"/>
  <c r="C1281" i="1"/>
  <c r="C1283" i="1"/>
  <c r="C1285" i="1"/>
  <c r="C1287" i="1"/>
  <c r="C1289" i="1"/>
  <c r="C1291" i="1"/>
  <c r="C1293" i="1"/>
  <c r="C1295" i="1"/>
  <c r="C1297" i="1"/>
  <c r="C1299" i="1"/>
  <c r="C1301" i="1"/>
  <c r="C1303" i="1"/>
  <c r="C1305" i="1"/>
  <c r="C1307" i="1"/>
  <c r="C1309" i="1"/>
  <c r="C1311" i="1"/>
  <c r="C1313" i="1"/>
  <c r="C1315" i="1"/>
  <c r="C1317" i="1"/>
  <c r="C1319" i="1"/>
  <c r="C1321" i="1"/>
  <c r="C1323" i="1"/>
  <c r="C1325" i="1"/>
  <c r="C1327" i="1"/>
  <c r="C1329" i="1"/>
  <c r="C1331" i="1"/>
  <c r="C1333" i="1"/>
  <c r="C1335" i="1"/>
  <c r="C1337" i="1"/>
  <c r="C1339" i="1"/>
  <c r="C1341" i="1"/>
  <c r="C1343" i="1"/>
  <c r="C1345" i="1"/>
  <c r="C1347" i="1"/>
  <c r="C1349" i="1"/>
  <c r="C1351" i="1"/>
  <c r="C1353" i="1"/>
  <c r="C1355" i="1"/>
  <c r="C1357" i="1"/>
  <c r="C1359" i="1"/>
  <c r="C1361" i="1"/>
  <c r="C1363" i="1"/>
  <c r="C1365" i="1"/>
  <c r="C1367" i="1"/>
  <c r="C1369" i="1"/>
  <c r="C1371" i="1"/>
  <c r="C1373" i="1"/>
  <c r="C1375" i="1"/>
  <c r="C1377" i="1"/>
  <c r="C1379" i="1"/>
  <c r="C1381" i="1"/>
  <c r="C1383" i="1"/>
  <c r="C1385" i="1"/>
  <c r="C1387" i="1"/>
  <c r="C1389" i="1"/>
  <c r="C1391" i="1"/>
  <c r="C1393" i="1"/>
  <c r="C1395" i="1"/>
  <c r="C1397" i="1"/>
  <c r="C1399" i="1"/>
  <c r="C1401" i="1"/>
  <c r="C1403" i="1"/>
  <c r="C1405" i="1"/>
  <c r="C1407" i="1"/>
  <c r="C1409" i="1"/>
  <c r="C1411" i="1"/>
  <c r="C1413" i="1"/>
  <c r="C1415" i="1"/>
  <c r="C1417" i="1"/>
  <c r="C1419" i="1"/>
  <c r="C1421" i="1"/>
  <c r="C1423" i="1"/>
  <c r="C1425" i="1"/>
  <c r="C1427" i="1"/>
  <c r="C1429" i="1"/>
  <c r="C1431" i="1"/>
  <c r="C1433" i="1"/>
  <c r="C1435" i="1"/>
  <c r="C1437" i="1"/>
  <c r="C1439" i="1"/>
  <c r="C1441" i="1"/>
  <c r="C1443" i="1"/>
  <c r="C1445" i="1"/>
  <c r="C1447" i="1"/>
  <c r="C1449" i="1"/>
  <c r="C1451" i="1"/>
  <c r="C1453" i="1"/>
  <c r="C1455" i="1"/>
  <c r="C1457" i="1"/>
  <c r="C1459" i="1"/>
  <c r="C1461" i="1"/>
  <c r="C1463" i="1"/>
  <c r="C1465" i="1"/>
  <c r="C1467" i="1"/>
  <c r="C1469" i="1"/>
  <c r="C89" i="1"/>
  <c r="C91" i="1"/>
  <c r="C93" i="1"/>
  <c r="C95" i="1"/>
  <c r="C97" i="1"/>
  <c r="C99" i="1"/>
  <c r="C101" i="1"/>
  <c r="C103" i="1"/>
  <c r="C105" i="1"/>
  <c r="C107" i="1"/>
  <c r="C109" i="1"/>
  <c r="C111" i="1"/>
  <c r="C113" i="1"/>
  <c r="C115" i="1"/>
  <c r="C117" i="1"/>
  <c r="C119" i="1"/>
  <c r="C121" i="1"/>
  <c r="C123" i="1"/>
  <c r="C125" i="1"/>
  <c r="C127" i="1"/>
  <c r="C129" i="1"/>
  <c r="C131" i="1"/>
  <c r="C133" i="1"/>
  <c r="C135" i="1"/>
  <c r="C137" i="1"/>
  <c r="C139" i="1"/>
  <c r="C141" i="1"/>
  <c r="C143" i="1"/>
  <c r="C145" i="1"/>
  <c r="C147" i="1"/>
  <c r="C149" i="1"/>
  <c r="C151" i="1"/>
  <c r="C153" i="1"/>
  <c r="C155" i="1"/>
  <c r="C157" i="1"/>
  <c r="C159" i="1"/>
  <c r="C161" i="1"/>
  <c r="C163" i="1"/>
  <c r="C165" i="1"/>
  <c r="C167" i="1"/>
  <c r="C169" i="1"/>
  <c r="C171" i="1"/>
  <c r="C173" i="1"/>
  <c r="C175" i="1"/>
  <c r="C177" i="1"/>
  <c r="C179" i="1"/>
  <c r="C181" i="1"/>
  <c r="C183" i="1"/>
  <c r="C185" i="1"/>
  <c r="C187" i="1"/>
  <c r="C189" i="1"/>
  <c r="C191" i="1"/>
  <c r="C193" i="1"/>
  <c r="C195" i="1"/>
  <c r="C197" i="1"/>
  <c r="C199" i="1"/>
  <c r="C201" i="1"/>
  <c r="C203" i="1"/>
  <c r="C205" i="1"/>
  <c r="C207" i="1"/>
  <c r="C209" i="1"/>
  <c r="C211" i="1"/>
  <c r="C213" i="1"/>
  <c r="C215" i="1"/>
  <c r="C217" i="1"/>
  <c r="C219" i="1"/>
  <c r="C221" i="1"/>
  <c r="C223" i="1"/>
  <c r="C225" i="1"/>
  <c r="C227" i="1"/>
  <c r="C229" i="1"/>
  <c r="C231" i="1"/>
  <c r="C233" i="1"/>
  <c r="C235" i="1"/>
  <c r="C237" i="1"/>
  <c r="C239" i="1"/>
  <c r="C241" i="1"/>
  <c r="C243" i="1"/>
  <c r="C245" i="1"/>
  <c r="C247" i="1"/>
  <c r="C249" i="1"/>
  <c r="C251" i="1"/>
  <c r="C253" i="1"/>
  <c r="C255" i="1"/>
  <c r="C257" i="1"/>
  <c r="C259" i="1"/>
  <c r="C261" i="1"/>
  <c r="C263" i="1"/>
  <c r="C265" i="1"/>
  <c r="C267" i="1"/>
  <c r="C269" i="1"/>
  <c r="C271" i="1"/>
  <c r="C273" i="1"/>
  <c r="C275" i="1"/>
  <c r="C277" i="1"/>
  <c r="C279" i="1"/>
  <c r="C281" i="1"/>
  <c r="C283" i="1"/>
  <c r="C285" i="1"/>
  <c r="C287" i="1"/>
  <c r="C289" i="1"/>
  <c r="C291" i="1"/>
  <c r="C293" i="1"/>
  <c r="C295" i="1"/>
  <c r="C297" i="1"/>
  <c r="C299" i="1"/>
  <c r="C301" i="1"/>
  <c r="C303" i="1"/>
  <c r="C305" i="1"/>
  <c r="C307" i="1"/>
  <c r="C309" i="1"/>
  <c r="C311" i="1"/>
  <c r="C313" i="1"/>
  <c r="C315" i="1"/>
  <c r="C317" i="1"/>
  <c r="C319" i="1"/>
  <c r="C321" i="1"/>
  <c r="C323" i="1"/>
  <c r="C325" i="1"/>
  <c r="C327" i="1"/>
  <c r="C329" i="1"/>
  <c r="C331" i="1"/>
  <c r="C333" i="1"/>
  <c r="C335" i="1"/>
  <c r="C337" i="1"/>
  <c r="C339" i="1"/>
  <c r="C341" i="1"/>
  <c r="C343" i="1"/>
  <c r="C345" i="1"/>
  <c r="C347" i="1"/>
  <c r="C349" i="1"/>
  <c r="C351" i="1"/>
  <c r="C353" i="1"/>
  <c r="C355" i="1"/>
  <c r="C357" i="1"/>
  <c r="C359" i="1"/>
  <c r="C361" i="1"/>
  <c r="C363" i="1"/>
  <c r="C365" i="1"/>
  <c r="C367" i="1"/>
  <c r="C369" i="1"/>
  <c r="C371" i="1"/>
  <c r="C373" i="1"/>
  <c r="C375" i="1"/>
  <c r="C377" i="1"/>
  <c r="C379" i="1"/>
  <c r="C381" i="1"/>
  <c r="C383" i="1"/>
  <c r="C385" i="1"/>
  <c r="C387" i="1"/>
  <c r="C389" i="1"/>
  <c r="C391" i="1"/>
  <c r="C393" i="1"/>
  <c r="C395" i="1"/>
  <c r="C397" i="1"/>
  <c r="C399" i="1"/>
  <c r="C401" i="1"/>
  <c r="C403" i="1"/>
  <c r="C405" i="1"/>
  <c r="C407" i="1"/>
  <c r="C409" i="1"/>
  <c r="C411" i="1"/>
  <c r="C413" i="1"/>
  <c r="C415" i="1"/>
  <c r="C417" i="1"/>
  <c r="C419" i="1"/>
  <c r="C421" i="1"/>
  <c r="C423" i="1"/>
  <c r="C425" i="1"/>
  <c r="C427" i="1"/>
  <c r="C429" i="1"/>
  <c r="C431" i="1"/>
  <c r="C433" i="1"/>
  <c r="C435" i="1"/>
  <c r="C437" i="1"/>
  <c r="C439" i="1"/>
  <c r="C441" i="1"/>
  <c r="C443" i="1"/>
  <c r="C445" i="1"/>
  <c r="C447" i="1"/>
  <c r="C449" i="1"/>
  <c r="C451" i="1"/>
  <c r="C453" i="1"/>
  <c r="C455" i="1"/>
  <c r="C457" i="1"/>
  <c r="C459" i="1"/>
  <c r="C461" i="1"/>
  <c r="C463" i="1"/>
  <c r="C465" i="1"/>
  <c r="C467" i="1"/>
  <c r="C469" i="1"/>
  <c r="C471" i="1"/>
  <c r="C473" i="1"/>
  <c r="C475" i="1"/>
  <c r="C477" i="1"/>
  <c r="C479" i="1"/>
  <c r="C481" i="1"/>
  <c r="C483" i="1"/>
  <c r="C485" i="1"/>
  <c r="C487" i="1"/>
  <c r="C489" i="1"/>
  <c r="C491" i="1"/>
  <c r="C493" i="1"/>
  <c r="C495" i="1"/>
  <c r="C497" i="1"/>
  <c r="C499" i="1"/>
  <c r="C501" i="1"/>
  <c r="C503" i="1"/>
  <c r="C505" i="1"/>
  <c r="C507" i="1"/>
  <c r="C509" i="1"/>
  <c r="C511" i="1"/>
  <c r="C513" i="1"/>
  <c r="C515" i="1"/>
  <c r="C517" i="1"/>
  <c r="C519" i="1"/>
  <c r="C521" i="1"/>
  <c r="C523" i="1"/>
  <c r="C525" i="1"/>
  <c r="C527" i="1"/>
  <c r="C529" i="1"/>
  <c r="C531" i="1"/>
  <c r="C533" i="1"/>
  <c r="C535" i="1"/>
  <c r="C537" i="1"/>
  <c r="C539" i="1"/>
  <c r="C541" i="1"/>
  <c r="C543" i="1"/>
  <c r="C545" i="1"/>
  <c r="C547" i="1"/>
  <c r="C549" i="1"/>
  <c r="C551" i="1"/>
  <c r="C553" i="1"/>
  <c r="C555" i="1"/>
  <c r="C557" i="1"/>
  <c r="C563" i="1"/>
  <c r="C567" i="1"/>
  <c r="C571" i="1"/>
  <c r="C573" i="1"/>
  <c r="C577" i="1"/>
  <c r="C581" i="1"/>
  <c r="C587" i="1"/>
  <c r="C591" i="1"/>
  <c r="C595" i="1"/>
  <c r="C599" i="1"/>
  <c r="C603" i="1"/>
  <c r="C607" i="1"/>
  <c r="C611" i="1"/>
  <c r="C615" i="1"/>
  <c r="C619" i="1"/>
  <c r="C623" i="1"/>
  <c r="C627" i="1"/>
  <c r="C631" i="1"/>
  <c r="C635" i="1"/>
  <c r="C639" i="1"/>
  <c r="C643" i="1"/>
  <c r="C647" i="1"/>
  <c r="C651" i="1"/>
  <c r="C655" i="1"/>
  <c r="C657" i="1"/>
  <c r="C663" i="1"/>
  <c r="C667" i="1"/>
  <c r="C671" i="1"/>
  <c r="C675" i="1"/>
  <c r="C679" i="1"/>
  <c r="C683" i="1"/>
  <c r="C687" i="1"/>
  <c r="C691" i="1"/>
  <c r="C695" i="1"/>
  <c r="C699" i="1"/>
  <c r="C703" i="1"/>
  <c r="C707" i="1"/>
  <c r="C711" i="1"/>
  <c r="C715" i="1"/>
  <c r="C719" i="1"/>
  <c r="C723" i="1"/>
  <c r="C725" i="1"/>
  <c r="C729" i="1"/>
  <c r="C733" i="1"/>
  <c r="C737" i="1"/>
  <c r="C741" i="1"/>
  <c r="C747" i="1"/>
  <c r="C751" i="1"/>
  <c r="C755" i="1"/>
  <c r="C759" i="1"/>
  <c r="C763" i="1"/>
  <c r="C767" i="1"/>
  <c r="C771" i="1"/>
  <c r="C775" i="1"/>
  <c r="C779" i="1"/>
  <c r="C783" i="1"/>
  <c r="C785" i="1"/>
  <c r="C789" i="1"/>
  <c r="C793" i="1"/>
  <c r="C795" i="1"/>
  <c r="C799" i="1"/>
  <c r="C803" i="1"/>
  <c r="C807" i="1"/>
  <c r="C811" i="1"/>
  <c r="C813" i="1"/>
  <c r="C817" i="1"/>
  <c r="C821" i="1"/>
  <c r="C825" i="1"/>
  <c r="C829" i="1"/>
  <c r="C831" i="1"/>
  <c r="C835" i="1"/>
  <c r="C839" i="1"/>
  <c r="C559" i="1"/>
  <c r="C561" i="1"/>
  <c r="C565" i="1"/>
  <c r="C569" i="1"/>
  <c r="C575" i="1"/>
  <c r="C579" i="1"/>
  <c r="C583" i="1"/>
  <c r="C585" i="1"/>
  <c r="C589" i="1"/>
  <c r="C593" i="1"/>
  <c r="C597" i="1"/>
  <c r="C601" i="1"/>
  <c r="C605" i="1"/>
  <c r="C609" i="1"/>
  <c r="C613" i="1"/>
  <c r="C617" i="1"/>
  <c r="C621" i="1"/>
  <c r="C625" i="1"/>
  <c r="C629" i="1"/>
  <c r="C633" i="1"/>
  <c r="C637" i="1"/>
  <c r="C641" i="1"/>
  <c r="C645" i="1"/>
  <c r="C649" i="1"/>
  <c r="C653" i="1"/>
  <c r="C659" i="1"/>
  <c r="C661" i="1"/>
  <c r="C665" i="1"/>
  <c r="C669" i="1"/>
  <c r="C673" i="1"/>
  <c r="C677" i="1"/>
  <c r="C681" i="1"/>
  <c r="C685" i="1"/>
  <c r="C689" i="1"/>
  <c r="C693" i="1"/>
  <c r="C697" i="1"/>
  <c r="C701" i="1"/>
  <c r="C705" i="1"/>
  <c r="C709" i="1"/>
  <c r="C713" i="1"/>
  <c r="C717" i="1"/>
  <c r="C721" i="1"/>
  <c r="C727" i="1"/>
  <c r="C731" i="1"/>
  <c r="C735" i="1"/>
  <c r="C739" i="1"/>
  <c r="C743" i="1"/>
  <c r="C745" i="1"/>
  <c r="C749" i="1"/>
  <c r="C753" i="1"/>
  <c r="C757" i="1"/>
  <c r="C761" i="1"/>
  <c r="C765" i="1"/>
  <c r="C769" i="1"/>
  <c r="C773" i="1"/>
  <c r="C777" i="1"/>
  <c r="C781" i="1"/>
  <c r="C787" i="1"/>
  <c r="C791" i="1"/>
  <c r="C797" i="1"/>
  <c r="C801" i="1"/>
  <c r="C805" i="1"/>
  <c r="C809" i="1"/>
  <c r="C815" i="1"/>
  <c r="C819" i="1"/>
  <c r="C823" i="1"/>
  <c r="C827" i="1"/>
  <c r="C833" i="1"/>
  <c r="C837" i="1"/>
  <c r="C44" i="1"/>
  <c r="C60" i="1"/>
  <c r="C80" i="1"/>
  <c r="C144" i="1"/>
  <c r="C186" i="1"/>
  <c r="C274" i="1"/>
  <c r="C306" i="1"/>
  <c r="C402" i="1"/>
  <c r="C434" i="1"/>
  <c r="C466" i="1"/>
  <c r="C530" i="1"/>
  <c r="C562" i="1"/>
  <c r="C594" i="1"/>
  <c r="C950" i="1"/>
  <c r="C1078" i="1"/>
  <c r="C1471" i="1"/>
  <c r="C1473" i="1"/>
  <c r="C1475" i="1"/>
  <c r="C1477" i="1"/>
  <c r="C1479" i="1"/>
  <c r="C1481" i="1"/>
  <c r="C1483" i="1"/>
  <c r="C1485" i="1"/>
  <c r="C1487" i="1"/>
  <c r="C1489" i="1"/>
  <c r="C1491" i="1"/>
  <c r="C1493" i="1"/>
  <c r="C1495" i="1"/>
  <c r="C1497" i="1"/>
  <c r="C1499" i="1"/>
  <c r="C1501" i="1"/>
  <c r="C1503" i="1"/>
  <c r="C1505" i="1"/>
  <c r="C1507" i="1"/>
  <c r="C1509" i="1"/>
  <c r="C1511" i="1"/>
  <c r="C1513" i="1"/>
  <c r="C1515" i="1"/>
  <c r="C1517" i="1"/>
  <c r="C1519" i="1"/>
  <c r="C1521" i="1"/>
  <c r="C1523" i="1"/>
  <c r="C1525" i="1"/>
  <c r="C1527" i="1"/>
  <c r="C1529" i="1"/>
  <c r="C1531" i="1"/>
  <c r="C1533" i="1"/>
  <c r="C1535" i="1"/>
  <c r="C1537" i="1"/>
  <c r="C1539" i="1"/>
  <c r="C1541" i="1"/>
  <c r="C1543" i="1"/>
  <c r="C1545" i="1"/>
  <c r="C1547" i="1"/>
  <c r="C1549" i="1"/>
  <c r="C1551" i="1"/>
  <c r="C1553" i="1"/>
  <c r="C1555" i="1"/>
  <c r="C1557" i="1"/>
  <c r="C1559" i="1"/>
  <c r="C1561" i="1"/>
  <c r="C1563" i="1"/>
  <c r="C1565" i="1"/>
  <c r="C1567" i="1"/>
  <c r="C1569" i="1"/>
  <c r="C1571" i="1"/>
  <c r="C1573" i="1"/>
  <c r="C1575" i="1"/>
  <c r="C1577" i="1"/>
  <c r="C1579" i="1"/>
  <c r="C1581" i="1"/>
  <c r="C1583" i="1"/>
  <c r="C1585" i="1"/>
  <c r="C1587" i="1"/>
  <c r="C1589" i="1"/>
  <c r="C1591" i="1"/>
  <c r="C1593" i="1"/>
  <c r="C1595" i="1"/>
  <c r="C1597" i="1"/>
  <c r="C1599" i="1"/>
  <c r="C1601" i="1"/>
  <c r="C1603" i="1"/>
  <c r="C1605" i="1"/>
  <c r="C1607" i="1"/>
  <c r="C1609" i="1"/>
  <c r="C1611" i="1"/>
  <c r="C1613" i="1"/>
  <c r="C1615" i="1"/>
  <c r="C1617" i="1"/>
  <c r="C1619" i="1"/>
  <c r="C1621" i="1"/>
  <c r="C1623" i="1"/>
  <c r="C1625" i="1"/>
  <c r="C1627" i="1"/>
  <c r="C1629" i="1"/>
  <c r="C1631" i="1"/>
  <c r="C1633" i="1"/>
  <c r="C1635" i="1"/>
  <c r="C1637" i="1"/>
  <c r="C1578" i="1"/>
  <c r="C20" i="1"/>
  <c r="C36" i="1"/>
  <c r="C52" i="1"/>
  <c r="C70" i="1"/>
  <c r="C90" i="1"/>
  <c r="C92" i="1"/>
  <c r="C112" i="1"/>
  <c r="C134" i="1"/>
  <c r="C154" i="1"/>
  <c r="C156" i="1"/>
  <c r="C176" i="1"/>
  <c r="C198" i="1"/>
  <c r="C226" i="1"/>
  <c r="C258" i="1"/>
  <c r="C290" i="1"/>
  <c r="C322" i="1"/>
  <c r="C354" i="1"/>
  <c r="C386" i="1"/>
  <c r="C418" i="1"/>
  <c r="C450" i="1"/>
  <c r="C482" i="1"/>
  <c r="C514" i="1"/>
  <c r="C546" i="1"/>
  <c r="C18" i="1"/>
  <c r="C22" i="1"/>
  <c r="C26" i="1"/>
  <c r="C32" i="1"/>
  <c r="C42" i="1"/>
  <c r="C48" i="1"/>
  <c r="C56" i="1"/>
  <c r="C62" i="1"/>
  <c r="C66" i="1"/>
  <c r="C72" i="1"/>
  <c r="C76" i="1"/>
  <c r="C82" i="1"/>
  <c r="C88" i="1"/>
  <c r="C94" i="1"/>
  <c r="C98" i="1"/>
  <c r="C104" i="1"/>
  <c r="C108" i="1"/>
  <c r="C118" i="1"/>
  <c r="C126" i="1"/>
  <c r="C132" i="1"/>
  <c r="C138" i="1"/>
  <c r="C142" i="1"/>
  <c r="C146" i="1"/>
  <c r="C152" i="1"/>
  <c r="C158" i="1"/>
  <c r="C164" i="1"/>
  <c r="C168" i="1"/>
  <c r="C174" i="1"/>
  <c r="C182" i="1"/>
  <c r="C190" i="1"/>
  <c r="C194" i="1"/>
  <c r="C202" i="1"/>
  <c r="C206" i="1"/>
  <c r="C212" i="1"/>
  <c r="C216" i="1"/>
  <c r="C220" i="1"/>
  <c r="C224" i="1"/>
  <c r="C228" i="1"/>
  <c r="C230" i="1"/>
  <c r="C232" i="1"/>
  <c r="C234" i="1"/>
  <c r="C236" i="1"/>
  <c r="C238" i="1"/>
  <c r="C244" i="1"/>
  <c r="C246" i="1"/>
  <c r="C248" i="1"/>
  <c r="C250" i="1"/>
  <c r="C252" i="1"/>
  <c r="C254" i="1"/>
  <c r="C256" i="1"/>
  <c r="C260" i="1"/>
  <c r="C262" i="1"/>
  <c r="C264" i="1"/>
  <c r="C266" i="1"/>
  <c r="C268" i="1"/>
  <c r="C270" i="1"/>
  <c r="C272" i="1"/>
  <c r="C276" i="1"/>
  <c r="C278" i="1"/>
  <c r="C280" i="1"/>
  <c r="C282" i="1"/>
  <c r="C284" i="1"/>
  <c r="C286" i="1"/>
  <c r="C288" i="1"/>
  <c r="C292" i="1"/>
  <c r="C294" i="1"/>
  <c r="C296" i="1"/>
  <c r="C298" i="1"/>
  <c r="C300" i="1"/>
  <c r="C302" i="1"/>
  <c r="C304" i="1"/>
  <c r="C308" i="1"/>
  <c r="C310" i="1"/>
  <c r="C312" i="1"/>
  <c r="C314" i="1"/>
  <c r="C316" i="1"/>
  <c r="C318" i="1"/>
  <c r="C320" i="1"/>
  <c r="C324" i="1"/>
  <c r="C326" i="1"/>
  <c r="C328" i="1"/>
  <c r="C330" i="1"/>
  <c r="C332" i="1"/>
  <c r="C334" i="1"/>
  <c r="C336" i="1"/>
  <c r="C340" i="1"/>
  <c r="C342" i="1"/>
  <c r="C344" i="1"/>
  <c r="C346" i="1"/>
  <c r="C348" i="1"/>
  <c r="C350" i="1"/>
  <c r="C352" i="1"/>
  <c r="C356" i="1"/>
  <c r="C358" i="1"/>
  <c r="C360" i="1"/>
  <c r="C362" i="1"/>
  <c r="C364" i="1"/>
  <c r="C366" i="1"/>
  <c r="C368" i="1"/>
  <c r="C372" i="1"/>
  <c r="C374" i="1"/>
  <c r="C376" i="1"/>
  <c r="C378" i="1"/>
  <c r="C380" i="1"/>
  <c r="C382" i="1"/>
  <c r="C384" i="1"/>
  <c r="C388" i="1"/>
  <c r="C390" i="1"/>
  <c r="C392" i="1"/>
  <c r="C394" i="1"/>
  <c r="C396" i="1"/>
  <c r="C398" i="1"/>
  <c r="C400" i="1"/>
  <c r="C404" i="1"/>
  <c r="C406" i="1"/>
  <c r="C408" i="1"/>
  <c r="C410" i="1"/>
  <c r="C412" i="1"/>
  <c r="C414" i="1"/>
  <c r="C416" i="1"/>
  <c r="C420" i="1"/>
  <c r="C422" i="1"/>
  <c r="C424" i="1"/>
  <c r="C426" i="1"/>
  <c r="C428" i="1"/>
  <c r="C430" i="1"/>
  <c r="C432" i="1"/>
  <c r="C436" i="1"/>
  <c r="C438" i="1"/>
  <c r="C440" i="1"/>
  <c r="C442" i="1"/>
  <c r="C444" i="1"/>
  <c r="C446" i="1"/>
  <c r="C448" i="1"/>
  <c r="C452" i="1"/>
  <c r="C454" i="1"/>
  <c r="C456" i="1"/>
  <c r="C458" i="1"/>
  <c r="C460" i="1"/>
  <c r="C462" i="1"/>
  <c r="C464" i="1"/>
  <c r="C468" i="1"/>
  <c r="C470" i="1"/>
  <c r="C472" i="1"/>
  <c r="C474" i="1"/>
  <c r="C476" i="1"/>
  <c r="C478" i="1"/>
  <c r="C480" i="1"/>
  <c r="C484" i="1"/>
  <c r="C486" i="1"/>
  <c r="C488" i="1"/>
  <c r="C490" i="1"/>
  <c r="C492" i="1"/>
  <c r="C494" i="1"/>
  <c r="C496" i="1"/>
  <c r="C500" i="1"/>
  <c r="C502" i="1"/>
  <c r="C504" i="1"/>
  <c r="C506" i="1"/>
  <c r="C508" i="1"/>
  <c r="C510" i="1"/>
  <c r="C512" i="1"/>
  <c r="C516" i="1"/>
  <c r="C518" i="1"/>
  <c r="C520" i="1"/>
  <c r="C522" i="1"/>
  <c r="C524" i="1"/>
  <c r="C526" i="1"/>
  <c r="C528" i="1"/>
  <c r="C532" i="1"/>
  <c r="C534" i="1"/>
  <c r="C536" i="1"/>
  <c r="C538" i="1"/>
  <c r="C540" i="1"/>
  <c r="C542" i="1"/>
  <c r="C544" i="1"/>
  <c r="C548" i="1"/>
  <c r="C550" i="1"/>
  <c r="C552" i="1"/>
  <c r="C554" i="1"/>
  <c r="C556" i="1"/>
  <c r="C558" i="1"/>
  <c r="C560" i="1"/>
  <c r="C564" i="1"/>
  <c r="C566" i="1"/>
  <c r="C568" i="1"/>
  <c r="C570" i="1"/>
  <c r="C572" i="1"/>
  <c r="C586" i="1"/>
  <c r="C602" i="1"/>
  <c r="C618" i="1"/>
  <c r="C634" i="1"/>
  <c r="C650" i="1"/>
  <c r="C654" i="1"/>
  <c r="C714" i="1"/>
  <c r="C718" i="1"/>
  <c r="C746" i="1"/>
  <c r="C782" i="1"/>
  <c r="C858" i="1"/>
  <c r="C918" i="1"/>
  <c r="C982" i="1"/>
  <c r="C1046" i="1"/>
  <c r="C1110" i="1"/>
  <c r="C14" i="1"/>
  <c r="C16" i="1"/>
  <c r="C24" i="1"/>
  <c r="C30" i="1"/>
  <c r="C34" i="1"/>
  <c r="C38" i="1"/>
  <c r="C40" i="1"/>
  <c r="C46" i="1"/>
  <c r="C50" i="1"/>
  <c r="C54" i="1"/>
  <c r="C58" i="1"/>
  <c r="C64" i="1"/>
  <c r="C68" i="1"/>
  <c r="C74" i="1"/>
  <c r="C78" i="1"/>
  <c r="C84" i="1"/>
  <c r="C86" i="1"/>
  <c r="C96" i="1"/>
  <c r="C100" i="1"/>
  <c r="C106" i="1"/>
  <c r="C110" i="1"/>
  <c r="C114" i="1"/>
  <c r="C116" i="1"/>
  <c r="C120" i="1"/>
  <c r="C128" i="1"/>
  <c r="C130" i="1"/>
  <c r="C136" i="1"/>
  <c r="C140" i="1"/>
  <c r="C148" i="1"/>
  <c r="C150" i="1"/>
  <c r="C160" i="1"/>
  <c r="C162" i="1"/>
  <c r="C170" i="1"/>
  <c r="C172" i="1"/>
  <c r="C178" i="1"/>
  <c r="C180" i="1"/>
  <c r="C184" i="1"/>
  <c r="C192" i="1"/>
  <c r="C196" i="1"/>
  <c r="C200" i="1"/>
  <c r="C204" i="1"/>
  <c r="C208" i="1"/>
  <c r="C214" i="1"/>
  <c r="C218" i="1"/>
  <c r="C222" i="1"/>
  <c r="C240" i="1"/>
  <c r="C574" i="1"/>
  <c r="C576" i="1"/>
  <c r="C580" i="1"/>
  <c r="C582" i="1"/>
  <c r="C584" i="1"/>
  <c r="C588" i="1"/>
  <c r="C590" i="1"/>
  <c r="C592" i="1"/>
  <c r="C596" i="1"/>
  <c r="C598" i="1"/>
  <c r="C600" i="1"/>
  <c r="C604" i="1"/>
  <c r="C606" i="1"/>
  <c r="C608" i="1"/>
  <c r="C612" i="1"/>
  <c r="C614" i="1"/>
  <c r="C616" i="1"/>
  <c r="C620" i="1"/>
  <c r="C622" i="1"/>
  <c r="C624" i="1"/>
  <c r="C628" i="1"/>
  <c r="C630" i="1"/>
  <c r="C632" i="1"/>
  <c r="C636" i="1"/>
  <c r="C638" i="1"/>
  <c r="C640" i="1"/>
  <c r="C644" i="1"/>
  <c r="C646" i="1"/>
  <c r="C648" i="1"/>
  <c r="C652" i="1"/>
  <c r="C656" i="1"/>
  <c r="C658" i="1"/>
  <c r="C660" i="1"/>
  <c r="C662" i="1"/>
  <c r="C664" i="1"/>
  <c r="C666" i="1"/>
  <c r="C668" i="1"/>
  <c r="C670" i="1"/>
  <c r="C672" i="1"/>
  <c r="C674" i="1"/>
  <c r="C676" i="1"/>
  <c r="C678" i="1"/>
  <c r="C680" i="1"/>
  <c r="C684" i="1"/>
  <c r="C688" i="1"/>
  <c r="C690" i="1"/>
  <c r="C692" i="1"/>
  <c r="C694" i="1"/>
  <c r="C696" i="1"/>
  <c r="C698" i="1"/>
  <c r="C700" i="1"/>
  <c r="C702" i="1"/>
  <c r="C704" i="1"/>
  <c r="C706" i="1"/>
  <c r="C708" i="1"/>
  <c r="C710" i="1"/>
  <c r="C712" i="1"/>
  <c r="C716" i="1"/>
  <c r="C720" i="1"/>
  <c r="C722" i="1"/>
  <c r="C724" i="1"/>
  <c r="C728" i="1"/>
  <c r="C730" i="1"/>
  <c r="C732" i="1"/>
  <c r="C734" i="1"/>
  <c r="C736" i="1"/>
  <c r="C738" i="1"/>
  <c r="C740" i="1"/>
  <c r="C742" i="1"/>
  <c r="C744" i="1"/>
  <c r="C748" i="1"/>
  <c r="C750" i="1"/>
  <c r="C752" i="1"/>
  <c r="C754" i="1"/>
  <c r="C756" i="1"/>
  <c r="C758" i="1"/>
  <c r="C760" i="1"/>
  <c r="C762" i="1"/>
  <c r="C764" i="1"/>
  <c r="C766" i="1"/>
  <c r="C768" i="1"/>
  <c r="C770" i="1"/>
  <c r="C772" i="1"/>
  <c r="C774" i="1"/>
  <c r="C776" i="1"/>
  <c r="C778" i="1"/>
  <c r="C780" i="1"/>
  <c r="C784" i="1"/>
  <c r="C786" i="1"/>
  <c r="C788" i="1"/>
  <c r="C790" i="1"/>
  <c r="C792" i="1"/>
  <c r="C796" i="1"/>
  <c r="C798" i="1"/>
  <c r="C800" i="1"/>
  <c r="C802" i="1"/>
  <c r="C804" i="1"/>
  <c r="C806" i="1"/>
  <c r="C808" i="1"/>
  <c r="C810" i="1"/>
  <c r="C812" i="1"/>
  <c r="C814" i="1"/>
  <c r="C816" i="1"/>
  <c r="C818" i="1"/>
  <c r="C820" i="1"/>
  <c r="C822" i="1"/>
  <c r="C824" i="1"/>
  <c r="C826" i="1"/>
  <c r="C828" i="1"/>
  <c r="C830" i="1"/>
  <c r="C832" i="1"/>
  <c r="C834" i="1"/>
  <c r="C836" i="1"/>
  <c r="C838" i="1"/>
  <c r="C840" i="1"/>
  <c r="C842" i="1"/>
  <c r="C844" i="1"/>
  <c r="C848" i="1"/>
  <c r="C850" i="1"/>
  <c r="C852" i="1"/>
  <c r="C854" i="1"/>
  <c r="C856" i="1"/>
  <c r="C860" i="1"/>
  <c r="C862" i="1"/>
  <c r="C864" i="1"/>
  <c r="C866" i="1"/>
  <c r="C868" i="1"/>
  <c r="C870" i="1"/>
  <c r="C872" i="1"/>
  <c r="C874" i="1"/>
  <c r="C876" i="1"/>
  <c r="C878" i="1"/>
  <c r="C880" i="1"/>
  <c r="C882" i="1"/>
  <c r="C884" i="1"/>
  <c r="C888" i="1"/>
  <c r="C890" i="1"/>
  <c r="C892" i="1"/>
  <c r="C894" i="1"/>
  <c r="C896" i="1"/>
  <c r="C898" i="1"/>
  <c r="C900" i="1"/>
  <c r="C902" i="1"/>
  <c r="C904" i="1"/>
  <c r="C906" i="1"/>
  <c r="C908" i="1"/>
  <c r="C910" i="1"/>
  <c r="C912" i="1"/>
  <c r="C914" i="1"/>
  <c r="C916" i="1"/>
  <c r="C920" i="1"/>
  <c r="C922" i="1"/>
  <c r="C924" i="1"/>
  <c r="C926" i="1"/>
  <c r="C928" i="1"/>
  <c r="C930" i="1"/>
  <c r="C932" i="1"/>
  <c r="C934" i="1"/>
  <c r="C936" i="1"/>
  <c r="C938" i="1"/>
  <c r="C940" i="1"/>
  <c r="C942" i="1"/>
  <c r="C944" i="1"/>
  <c r="C946" i="1"/>
  <c r="C948" i="1"/>
  <c r="C952" i="1"/>
  <c r="C954" i="1"/>
  <c r="C956" i="1"/>
  <c r="C958" i="1"/>
  <c r="C960" i="1"/>
  <c r="C962" i="1"/>
  <c r="C964" i="1"/>
  <c r="C966" i="1"/>
  <c r="C968" i="1"/>
  <c r="C970" i="1"/>
  <c r="C972" i="1"/>
  <c r="C974" i="1"/>
  <c r="C976" i="1"/>
  <c r="C978" i="1"/>
  <c r="C980" i="1"/>
  <c r="C984" i="1"/>
  <c r="C986" i="1"/>
  <c r="C988" i="1"/>
  <c r="C990" i="1"/>
  <c r="C992" i="1"/>
  <c r="C994" i="1"/>
  <c r="C996" i="1"/>
  <c r="C998" i="1"/>
  <c r="C1000" i="1"/>
  <c r="C1002" i="1"/>
  <c r="C1004" i="1"/>
  <c r="C1006" i="1"/>
  <c r="C1008" i="1"/>
  <c r="C1010" i="1"/>
  <c r="C1012" i="1"/>
  <c r="C1016" i="1"/>
  <c r="C1018" i="1"/>
  <c r="C1020" i="1"/>
  <c r="C1022" i="1"/>
  <c r="C1024" i="1"/>
  <c r="C1026" i="1"/>
  <c r="C1028" i="1"/>
  <c r="C1030" i="1"/>
  <c r="C1032" i="1"/>
  <c r="C1034" i="1"/>
  <c r="C1036" i="1"/>
  <c r="C1038" i="1"/>
  <c r="C1040" i="1"/>
  <c r="C1042" i="1"/>
  <c r="C1044" i="1"/>
  <c r="C1048" i="1"/>
  <c r="C1050" i="1"/>
  <c r="C1052" i="1"/>
  <c r="C1054" i="1"/>
  <c r="C1056" i="1"/>
  <c r="C1058" i="1"/>
  <c r="C1060" i="1"/>
  <c r="C1062" i="1"/>
  <c r="C1064" i="1"/>
  <c r="C1066" i="1"/>
  <c r="C1068" i="1"/>
  <c r="C1070" i="1"/>
  <c r="C1072" i="1"/>
  <c r="C1074" i="1"/>
  <c r="C1076" i="1"/>
  <c r="C1080" i="1"/>
  <c r="C1082" i="1"/>
  <c r="C1084" i="1"/>
  <c r="C1086" i="1"/>
  <c r="C1088" i="1"/>
  <c r="C1090" i="1"/>
  <c r="C1092" i="1"/>
  <c r="C1094" i="1"/>
  <c r="C1096" i="1"/>
  <c r="C1098" i="1"/>
  <c r="C1100" i="1"/>
  <c r="C1102" i="1"/>
  <c r="C1104" i="1"/>
  <c r="C1106" i="1"/>
  <c r="C1108" i="1"/>
  <c r="C1112" i="1"/>
  <c r="C1114" i="1"/>
  <c r="C1116" i="1"/>
  <c r="C1118" i="1"/>
  <c r="C1120" i="1"/>
  <c r="C1122" i="1"/>
  <c r="C1124" i="1"/>
  <c r="C1126" i="1"/>
  <c r="C1128" i="1"/>
  <c r="C1130" i="1"/>
  <c r="C1132" i="1"/>
  <c r="C1134" i="1"/>
  <c r="C1136" i="1"/>
  <c r="C1138" i="1"/>
  <c r="C1140" i="1"/>
  <c r="C1144" i="1"/>
  <c r="C1146" i="1"/>
  <c r="C1148" i="1"/>
  <c r="C1150" i="1"/>
  <c r="C1152" i="1"/>
  <c r="C1154" i="1"/>
  <c r="C1156" i="1"/>
  <c r="C1160" i="1"/>
  <c r="C1162" i="1"/>
  <c r="C1164" i="1"/>
  <c r="C1166" i="1"/>
  <c r="C1168" i="1"/>
  <c r="C1170" i="1"/>
  <c r="C1172" i="1"/>
  <c r="C1174" i="1"/>
  <c r="C1176" i="1"/>
  <c r="C1178" i="1"/>
  <c r="C1180" i="1"/>
  <c r="C1182" i="1"/>
  <c r="C1184" i="1"/>
  <c r="C1232" i="1"/>
  <c r="C1296" i="1"/>
  <c r="C1386" i="1"/>
  <c r="C1514" i="1"/>
  <c r="C1186" i="1"/>
  <c r="C1188" i="1"/>
  <c r="C1190" i="1"/>
  <c r="C1192" i="1"/>
  <c r="C1194" i="1"/>
  <c r="C1196" i="1"/>
  <c r="C1198" i="1"/>
  <c r="C1202" i="1"/>
  <c r="C1204" i="1"/>
  <c r="C1206" i="1"/>
  <c r="C1208" i="1"/>
  <c r="C1210" i="1"/>
  <c r="C1212" i="1"/>
  <c r="C1214" i="1"/>
  <c r="C1216" i="1"/>
  <c r="C1218" i="1"/>
  <c r="C1220" i="1"/>
  <c r="C1222" i="1"/>
  <c r="C1224" i="1"/>
  <c r="C1226" i="1"/>
  <c r="C1228" i="1"/>
  <c r="C1230" i="1"/>
  <c r="C1234" i="1"/>
  <c r="C1236" i="1"/>
  <c r="C1238" i="1"/>
  <c r="C1240" i="1"/>
  <c r="C1242" i="1"/>
  <c r="C1244" i="1"/>
  <c r="C1246" i="1"/>
  <c r="C1248" i="1"/>
  <c r="C1250" i="1"/>
  <c r="C1252" i="1"/>
  <c r="C1254" i="1"/>
  <c r="C1256" i="1"/>
  <c r="C1258" i="1"/>
  <c r="C1260" i="1"/>
  <c r="C1262" i="1"/>
  <c r="C1266" i="1"/>
  <c r="C1268" i="1"/>
  <c r="C1270" i="1"/>
  <c r="C1272" i="1"/>
  <c r="C1274" i="1"/>
  <c r="C1276" i="1"/>
  <c r="C1278" i="1"/>
  <c r="C1280" i="1"/>
  <c r="C1282" i="1"/>
  <c r="C1284" i="1"/>
  <c r="C1286" i="1"/>
  <c r="C1288" i="1"/>
  <c r="C1290" i="1"/>
  <c r="C1292" i="1"/>
  <c r="C1294" i="1"/>
  <c r="C1298" i="1"/>
  <c r="C1300" i="1"/>
  <c r="C1302" i="1"/>
  <c r="C1304" i="1"/>
  <c r="C1306" i="1"/>
  <c r="C1308" i="1"/>
  <c r="C1310" i="1"/>
  <c r="C1312" i="1"/>
  <c r="C1314" i="1"/>
  <c r="C1316" i="1"/>
  <c r="C1318" i="1"/>
  <c r="C1320" i="1"/>
  <c r="C1322" i="1"/>
  <c r="C1324" i="1"/>
  <c r="C1326" i="1"/>
  <c r="C1328" i="1"/>
  <c r="C1330" i="1"/>
  <c r="C1332" i="1"/>
  <c r="C1334" i="1"/>
  <c r="C1336" i="1"/>
  <c r="C1340" i="1"/>
  <c r="C1342" i="1"/>
  <c r="C1344" i="1"/>
  <c r="C1346" i="1"/>
  <c r="C1348" i="1"/>
  <c r="C1350" i="1"/>
  <c r="C1352" i="1"/>
  <c r="C1354" i="1"/>
  <c r="C1356" i="1"/>
  <c r="C1358" i="1"/>
  <c r="C1360" i="1"/>
  <c r="C1362" i="1"/>
  <c r="C1364" i="1"/>
  <c r="C1366" i="1"/>
  <c r="C1368" i="1"/>
  <c r="C1370" i="1"/>
  <c r="C1372" i="1"/>
  <c r="C1374" i="1"/>
  <c r="C1376" i="1"/>
  <c r="C1378" i="1"/>
  <c r="C1380" i="1"/>
  <c r="C1382" i="1"/>
  <c r="C1384" i="1"/>
  <c r="C1388" i="1"/>
  <c r="C1390" i="1"/>
  <c r="C1392" i="1"/>
  <c r="C1394" i="1"/>
  <c r="C1396" i="1"/>
  <c r="C1398" i="1"/>
  <c r="C1400" i="1"/>
  <c r="C1402" i="1"/>
  <c r="C1404" i="1"/>
  <c r="C1406" i="1"/>
  <c r="C1408" i="1"/>
  <c r="C1410" i="1"/>
  <c r="C1412" i="1"/>
  <c r="C1414" i="1"/>
  <c r="C1416" i="1"/>
  <c r="C1418" i="1"/>
  <c r="C1420" i="1"/>
  <c r="C1422" i="1"/>
  <c r="C1424" i="1"/>
  <c r="C1426" i="1"/>
  <c r="C1428" i="1"/>
  <c r="C1430" i="1"/>
  <c r="C1432" i="1"/>
  <c r="C1434" i="1"/>
  <c r="C1436" i="1"/>
  <c r="C1438" i="1"/>
  <c r="C1440" i="1"/>
  <c r="C1442" i="1"/>
  <c r="C1444" i="1"/>
  <c r="C1446" i="1"/>
  <c r="C1448" i="1"/>
  <c r="C1452" i="1"/>
  <c r="C1454" i="1"/>
  <c r="C1456" i="1"/>
  <c r="C1458" i="1"/>
  <c r="C1460" i="1"/>
  <c r="C1462" i="1"/>
  <c r="C1464" i="1"/>
  <c r="C1466" i="1"/>
  <c r="C1468" i="1"/>
  <c r="C1470" i="1"/>
  <c r="C1472" i="1"/>
  <c r="C1474" i="1"/>
  <c r="C1476" i="1"/>
  <c r="C1478" i="1"/>
  <c r="C1480" i="1"/>
  <c r="C1482" i="1"/>
  <c r="C1484" i="1"/>
  <c r="C1486" i="1"/>
  <c r="C1488" i="1"/>
  <c r="C1490" i="1"/>
  <c r="C1492" i="1"/>
  <c r="C1494" i="1"/>
  <c r="C1496" i="1"/>
  <c r="C1498" i="1"/>
  <c r="C1500" i="1"/>
  <c r="C1502" i="1"/>
  <c r="C1504" i="1"/>
  <c r="C1506" i="1"/>
  <c r="C1508" i="1"/>
  <c r="C1510" i="1"/>
  <c r="C1512" i="1"/>
  <c r="C1516" i="1"/>
  <c r="C1518" i="1"/>
  <c r="C1520" i="1"/>
  <c r="C1522" i="1"/>
  <c r="C1524" i="1"/>
  <c r="C1526" i="1"/>
  <c r="C1528" i="1"/>
  <c r="C1530" i="1"/>
  <c r="C1532" i="1"/>
  <c r="C1534" i="1"/>
  <c r="C1536" i="1"/>
  <c r="C1538" i="1"/>
  <c r="C1540" i="1"/>
  <c r="C1542" i="1"/>
  <c r="C1544" i="1"/>
  <c r="C1546" i="1"/>
  <c r="C1548" i="1"/>
  <c r="C1550" i="1"/>
  <c r="C1552" i="1"/>
  <c r="C1554" i="1"/>
  <c r="C1556" i="1"/>
  <c r="C1558" i="1"/>
  <c r="C1560" i="1"/>
  <c r="C1562" i="1"/>
  <c r="C1564" i="1"/>
  <c r="C1566" i="1"/>
  <c r="C1568" i="1"/>
  <c r="C1570" i="1"/>
  <c r="C1572" i="1"/>
  <c r="C1574" i="1"/>
  <c r="C1576" i="1"/>
  <c r="C1580" i="1"/>
  <c r="C1582" i="1"/>
  <c r="C1584" i="1"/>
  <c r="C1586" i="1"/>
  <c r="C1588" i="1"/>
  <c r="C1590" i="1"/>
  <c r="C1592" i="1"/>
  <c r="C1594" i="1"/>
  <c r="C1596" i="1"/>
  <c r="C1598" i="1"/>
  <c r="C1600" i="1"/>
  <c r="C1602" i="1"/>
  <c r="C1604" i="1"/>
  <c r="C1606" i="1"/>
  <c r="C1608" i="1"/>
  <c r="C1610" i="1"/>
  <c r="C1612" i="1"/>
  <c r="C1614" i="1"/>
  <c r="C1616" i="1"/>
  <c r="C1618" i="1"/>
  <c r="C1620" i="1"/>
  <c r="C1622" i="1"/>
  <c r="C1624" i="1"/>
  <c r="C1626" i="1"/>
  <c r="C1628" i="1"/>
  <c r="C1630" i="1"/>
  <c r="C1632" i="1"/>
  <c r="C1634" i="1"/>
  <c r="C1636" i="1"/>
  <c r="K1637" i="1"/>
  <c r="K1636" i="1"/>
  <c r="K1635" i="1"/>
  <c r="K1582" i="1"/>
  <c r="K1581" i="1"/>
  <c r="K1580" i="1"/>
  <c r="K1525" i="1"/>
  <c r="K1524" i="1"/>
  <c r="K1523" i="1"/>
  <c r="K1462" i="1"/>
  <c r="K1461" i="1"/>
  <c r="K1460" i="1"/>
  <c r="K1397" i="1"/>
  <c r="K1396" i="1"/>
  <c r="K1395" i="1"/>
  <c r="K1332" i="1"/>
  <c r="K1331" i="1"/>
  <c r="K1267" i="1"/>
  <c r="K1266" i="1"/>
  <c r="K1203" i="1"/>
  <c r="K1202" i="1"/>
  <c r="K1137" i="1"/>
  <c r="K1071" i="1"/>
  <c r="K1035" i="1"/>
  <c r="K1006" i="1"/>
  <c r="K1005" i="1"/>
  <c r="K979" i="1"/>
  <c r="K978" i="1"/>
  <c r="K954" i="1"/>
  <c r="K953" i="1"/>
  <c r="K932" i="1"/>
  <c r="K931" i="1"/>
  <c r="K910" i="1"/>
  <c r="K909" i="1"/>
  <c r="K908" i="1"/>
  <c r="K887" i="1"/>
  <c r="K886" i="1"/>
  <c r="K885" i="1"/>
  <c r="K884" i="1"/>
  <c r="K863" i="1"/>
  <c r="K862" i="1"/>
  <c r="K861" i="1"/>
  <c r="K860" i="1"/>
  <c r="K839" i="1"/>
  <c r="K838" i="1"/>
  <c r="K837" i="1"/>
  <c r="K836" i="1"/>
  <c r="K835" i="1"/>
  <c r="K813" i="1"/>
  <c r="K812" i="1"/>
  <c r="K811" i="1"/>
  <c r="K810" i="1"/>
  <c r="K809" i="1"/>
  <c r="K785" i="1"/>
  <c r="K784" i="1"/>
  <c r="K783" i="1"/>
  <c r="K782" i="1"/>
  <c r="K781" i="1"/>
  <c r="K756" i="1"/>
  <c r="K755" i="1"/>
  <c r="K754" i="1"/>
  <c r="K753" i="1"/>
  <c r="K752" i="1"/>
  <c r="K726" i="1"/>
  <c r="K725" i="1"/>
  <c r="K724" i="1"/>
  <c r="K723" i="1"/>
  <c r="K722" i="1"/>
  <c r="K721" i="1"/>
  <c r="K691" i="1"/>
  <c r="K690" i="1"/>
  <c r="K689" i="1"/>
  <c r="K688" i="1"/>
  <c r="K687" i="1"/>
  <c r="K686" i="1"/>
  <c r="K685" i="1"/>
  <c r="K684" i="1"/>
  <c r="K683" i="1"/>
  <c r="K645" i="1"/>
  <c r="K644" i="1"/>
  <c r="K643" i="1"/>
  <c r="K642" i="1"/>
  <c r="K641" i="1"/>
  <c r="K640" i="1"/>
  <c r="K639" i="1"/>
  <c r="K604" i="1"/>
  <c r="K603" i="1"/>
  <c r="K602" i="1"/>
  <c r="K601" i="1"/>
  <c r="K600" i="1"/>
  <c r="K599" i="1"/>
  <c r="K571" i="1"/>
  <c r="K570" i="1"/>
  <c r="K569" i="1"/>
  <c r="K568" i="1"/>
  <c r="K567" i="1"/>
  <c r="K566" i="1"/>
  <c r="K540" i="1"/>
  <c r="K539" i="1"/>
  <c r="K538" i="1"/>
  <c r="K537" i="1"/>
  <c r="K536" i="1"/>
  <c r="K511" i="1"/>
  <c r="K510" i="1"/>
  <c r="K509" i="1"/>
  <c r="K508" i="1"/>
  <c r="K507" i="1"/>
  <c r="K506" i="1"/>
  <c r="K481" i="1"/>
  <c r="K480" i="1"/>
  <c r="K479" i="1"/>
  <c r="K478" i="1"/>
  <c r="K477" i="1"/>
  <c r="K476" i="1"/>
  <c r="K450" i="1"/>
  <c r="K449" i="1"/>
  <c r="K448" i="1"/>
  <c r="K447" i="1"/>
  <c r="K446" i="1"/>
  <c r="K445" i="1"/>
  <c r="K417" i="1"/>
  <c r="K416" i="1"/>
  <c r="K415" i="1"/>
  <c r="K414" i="1"/>
  <c r="K384" i="1"/>
  <c r="K383" i="1"/>
  <c r="K382" i="1"/>
  <c r="K381" i="1"/>
  <c r="K349" i="1"/>
  <c r="K348" i="1"/>
  <c r="K347" i="1"/>
  <c r="K311" i="1"/>
  <c r="K310" i="1"/>
  <c r="K309" i="1"/>
  <c r="K267" i="1"/>
  <c r="K266" i="1"/>
  <c r="K265" i="1"/>
  <c r="K219" i="1"/>
  <c r="K218" i="1"/>
  <c r="K217" i="1"/>
  <c r="K167" i="1"/>
  <c r="K166" i="1"/>
  <c r="K165" i="1"/>
  <c r="K116" i="1"/>
  <c r="K115" i="1"/>
  <c r="K114" i="1"/>
  <c r="K64" i="1"/>
  <c r="K63" i="1"/>
  <c r="K62" i="1"/>
  <c r="K1634" i="1"/>
  <c r="K1633" i="1"/>
  <c r="K1632" i="1"/>
  <c r="K1631" i="1"/>
  <c r="K1630" i="1"/>
  <c r="K1629" i="1"/>
  <c r="K1579" i="1"/>
  <c r="K1578" i="1"/>
  <c r="K1577" i="1"/>
  <c r="K1576" i="1"/>
  <c r="K1575" i="1"/>
  <c r="K1574" i="1"/>
  <c r="K1522" i="1"/>
  <c r="K1521" i="1"/>
  <c r="K1520" i="1"/>
  <c r="K1519" i="1"/>
  <c r="K1518" i="1"/>
  <c r="K1517" i="1"/>
  <c r="K1516" i="1"/>
  <c r="K1459" i="1"/>
  <c r="K1458" i="1"/>
  <c r="K1457" i="1"/>
  <c r="K1456" i="1"/>
  <c r="K1455" i="1"/>
  <c r="K1454" i="1"/>
  <c r="K1453" i="1"/>
  <c r="K1394" i="1"/>
  <c r="K1393" i="1"/>
  <c r="K1392" i="1"/>
  <c r="K1391" i="1"/>
  <c r="K1390" i="1"/>
  <c r="K1389" i="1"/>
  <c r="K1330" i="1"/>
  <c r="K1329" i="1"/>
  <c r="K1328" i="1"/>
  <c r="K1327" i="1"/>
  <c r="K1326" i="1"/>
  <c r="K1265" i="1"/>
  <c r="K1264" i="1"/>
  <c r="K1263" i="1"/>
  <c r="K1262" i="1"/>
  <c r="K1201" i="1"/>
  <c r="K1200" i="1"/>
  <c r="K1199" i="1"/>
  <c r="K1198" i="1"/>
  <c r="K1136" i="1"/>
  <c r="K1135" i="1"/>
  <c r="K1134" i="1"/>
  <c r="K1070" i="1"/>
  <c r="K1069" i="1"/>
  <c r="K1068" i="1"/>
  <c r="K1034" i="1"/>
  <c r="K1033" i="1"/>
  <c r="K1032" i="1"/>
  <c r="K1004" i="1"/>
  <c r="K1003" i="1"/>
  <c r="K1002" i="1"/>
  <c r="K1001" i="1"/>
  <c r="K977" i="1"/>
  <c r="K976" i="1"/>
  <c r="K975" i="1"/>
  <c r="K974" i="1"/>
  <c r="K952" i="1"/>
  <c r="K951" i="1"/>
  <c r="K950" i="1"/>
  <c r="K949" i="1"/>
  <c r="K930" i="1"/>
  <c r="K929" i="1"/>
  <c r="K928" i="1"/>
  <c r="K927" i="1"/>
  <c r="K907" i="1"/>
  <c r="K906" i="1"/>
  <c r="K905" i="1"/>
  <c r="K904" i="1"/>
  <c r="K883" i="1"/>
  <c r="K882" i="1"/>
  <c r="K881" i="1"/>
  <c r="K880" i="1"/>
  <c r="K859" i="1"/>
  <c r="K858" i="1"/>
  <c r="K857" i="1"/>
  <c r="K856" i="1"/>
  <c r="K834" i="1"/>
  <c r="K833" i="1"/>
  <c r="K832" i="1"/>
  <c r="K831" i="1"/>
  <c r="K808" i="1"/>
  <c r="K807" i="1"/>
  <c r="K806" i="1"/>
  <c r="K805" i="1"/>
  <c r="K804" i="1"/>
  <c r="K780" i="1"/>
  <c r="K779" i="1"/>
  <c r="K778" i="1"/>
  <c r="K777" i="1"/>
  <c r="K776" i="1"/>
  <c r="K751" i="1"/>
  <c r="K750" i="1"/>
  <c r="K749" i="1"/>
  <c r="K748" i="1"/>
  <c r="K747" i="1"/>
  <c r="K720" i="1"/>
  <c r="K719" i="1"/>
  <c r="K718" i="1"/>
  <c r="K717" i="1"/>
  <c r="K716" i="1"/>
  <c r="K715" i="1"/>
  <c r="K682" i="1"/>
  <c r="K681" i="1"/>
  <c r="K680" i="1"/>
  <c r="K679" i="1"/>
  <c r="K678" i="1"/>
  <c r="K677" i="1"/>
  <c r="K676" i="1"/>
  <c r="K675" i="1"/>
  <c r="K638" i="1"/>
  <c r="K637" i="1"/>
  <c r="K636" i="1"/>
  <c r="K635" i="1"/>
  <c r="K634" i="1"/>
  <c r="K633" i="1"/>
  <c r="K598" i="1"/>
  <c r="K597" i="1"/>
  <c r="K596" i="1"/>
  <c r="K595" i="1"/>
  <c r="K594" i="1"/>
  <c r="K565" i="1"/>
  <c r="K564" i="1"/>
  <c r="K563" i="1"/>
  <c r="K562" i="1"/>
  <c r="K561" i="1"/>
  <c r="K535" i="1"/>
  <c r="K534" i="1"/>
  <c r="K533" i="1"/>
  <c r="K532" i="1"/>
  <c r="K531" i="1"/>
  <c r="K505" i="1"/>
  <c r="K504" i="1"/>
  <c r="K503" i="1"/>
  <c r="K502" i="1"/>
  <c r="K501" i="1"/>
  <c r="K475" i="1"/>
  <c r="K474" i="1"/>
  <c r="K473" i="1"/>
  <c r="K472" i="1"/>
  <c r="K471" i="1"/>
  <c r="K444" i="1"/>
  <c r="K443" i="1"/>
  <c r="K442" i="1"/>
  <c r="K441" i="1"/>
  <c r="K440" i="1"/>
  <c r="K439" i="1"/>
  <c r="K413" i="1"/>
  <c r="K412" i="1"/>
  <c r="K411" i="1"/>
  <c r="K410" i="1"/>
  <c r="K409" i="1"/>
  <c r="K408" i="1"/>
  <c r="K380" i="1"/>
  <c r="K379" i="1"/>
  <c r="K378" i="1"/>
  <c r="K377" i="1"/>
  <c r="K376" i="1"/>
  <c r="K375" i="1"/>
  <c r="K346" i="1"/>
  <c r="K345" i="1"/>
  <c r="K344" i="1"/>
  <c r="K343" i="1"/>
  <c r="K342" i="1"/>
  <c r="K341" i="1"/>
  <c r="K340" i="1"/>
  <c r="K308" i="1"/>
  <c r="K307" i="1"/>
  <c r="K306" i="1"/>
  <c r="K305" i="1"/>
  <c r="K304" i="1"/>
  <c r="K303" i="1"/>
  <c r="K264" i="1"/>
  <c r="K263" i="1"/>
  <c r="K262" i="1"/>
  <c r="K261" i="1"/>
  <c r="K260" i="1"/>
  <c r="K216" i="1"/>
  <c r="K215" i="1"/>
  <c r="K214" i="1"/>
  <c r="K213" i="1"/>
  <c r="K212" i="1"/>
  <c r="K164" i="1"/>
  <c r="K163" i="1"/>
  <c r="K162" i="1"/>
  <c r="K161" i="1"/>
  <c r="K160" i="1"/>
  <c r="K113" i="1"/>
  <c r="K112" i="1"/>
  <c r="K111" i="1"/>
  <c r="K110" i="1"/>
  <c r="K109" i="1"/>
  <c r="K61" i="1"/>
  <c r="K60" i="1"/>
  <c r="K59" i="1"/>
  <c r="K58" i="1"/>
  <c r="K57" i="1"/>
  <c r="K1628" i="1"/>
  <c r="K1627" i="1"/>
  <c r="K1626" i="1"/>
  <c r="K1625" i="1"/>
  <c r="K1624" i="1"/>
  <c r="K1623" i="1"/>
  <c r="K1622" i="1"/>
  <c r="K1621" i="1"/>
  <c r="K1573" i="1"/>
  <c r="K1572" i="1"/>
  <c r="K1571" i="1"/>
  <c r="K1570" i="1"/>
  <c r="K1569" i="1"/>
  <c r="K1568" i="1"/>
  <c r="K1567" i="1"/>
  <c r="K1566" i="1"/>
  <c r="K1565" i="1"/>
  <c r="K1515" i="1"/>
  <c r="K1514" i="1"/>
  <c r="K1513" i="1"/>
  <c r="K1512" i="1"/>
  <c r="K1511" i="1"/>
  <c r="K1510" i="1"/>
  <c r="K1509" i="1"/>
  <c r="K1508" i="1"/>
  <c r="K1507" i="1"/>
  <c r="K1506" i="1"/>
  <c r="K1452" i="1"/>
  <c r="K1451" i="1"/>
  <c r="K1450" i="1"/>
  <c r="K1449" i="1"/>
  <c r="K1448" i="1"/>
  <c r="K1447" i="1"/>
  <c r="K1446" i="1"/>
  <c r="K1445" i="1"/>
  <c r="K1444" i="1"/>
  <c r="K1443" i="1"/>
  <c r="K1442" i="1"/>
  <c r="K1388" i="1"/>
  <c r="K1387" i="1"/>
  <c r="K1386" i="1"/>
  <c r="K1385" i="1"/>
  <c r="K1384" i="1"/>
  <c r="K1383" i="1"/>
  <c r="K1382" i="1"/>
  <c r="K1381" i="1"/>
  <c r="K1380" i="1"/>
  <c r="K1325" i="1"/>
  <c r="K1324" i="1"/>
  <c r="K1323" i="1"/>
  <c r="K1322" i="1"/>
  <c r="K1321" i="1"/>
  <c r="K1320" i="1"/>
  <c r="K1319" i="1"/>
  <c r="K1261" i="1"/>
  <c r="K1260" i="1"/>
  <c r="K1259" i="1"/>
  <c r="K1258" i="1"/>
  <c r="K1257" i="1"/>
  <c r="K1256" i="1"/>
  <c r="K1197" i="1"/>
  <c r="K1196" i="1"/>
  <c r="K1195" i="1"/>
  <c r="K1194" i="1"/>
  <c r="K1193" i="1"/>
  <c r="K1192" i="1"/>
  <c r="K1133" i="1"/>
  <c r="K1132" i="1"/>
  <c r="K1131" i="1"/>
  <c r="K1130" i="1"/>
  <c r="K1129" i="1"/>
  <c r="K1067" i="1"/>
  <c r="K1066" i="1"/>
  <c r="K1065" i="1"/>
  <c r="K1064" i="1"/>
  <c r="K1063" i="1"/>
  <c r="K1031" i="1"/>
  <c r="K1030" i="1"/>
  <c r="K1029" i="1"/>
  <c r="K1028" i="1"/>
  <c r="K1027" i="1"/>
  <c r="K1000" i="1"/>
  <c r="K999" i="1"/>
  <c r="K998" i="1"/>
  <c r="K997" i="1"/>
  <c r="K996" i="1"/>
  <c r="K973" i="1"/>
  <c r="K972" i="1"/>
  <c r="K971" i="1"/>
  <c r="K970" i="1"/>
  <c r="K948" i="1"/>
  <c r="K947" i="1"/>
  <c r="K946" i="1"/>
  <c r="K945" i="1"/>
  <c r="K926" i="1"/>
  <c r="K925" i="1"/>
  <c r="K924" i="1"/>
  <c r="K923" i="1"/>
  <c r="K903" i="1"/>
  <c r="K902" i="1"/>
  <c r="K901" i="1"/>
  <c r="K900" i="1"/>
  <c r="K879" i="1"/>
  <c r="K878" i="1"/>
  <c r="K877" i="1"/>
  <c r="K876" i="1"/>
  <c r="K855" i="1"/>
  <c r="K854" i="1"/>
  <c r="K853" i="1"/>
  <c r="K852" i="1"/>
  <c r="K830" i="1"/>
  <c r="K829" i="1"/>
  <c r="K828" i="1"/>
  <c r="K827" i="1"/>
  <c r="K803" i="1"/>
  <c r="K802" i="1"/>
  <c r="K801" i="1"/>
  <c r="K800" i="1"/>
  <c r="K775" i="1"/>
  <c r="K774" i="1"/>
  <c r="K773" i="1"/>
  <c r="K772" i="1"/>
  <c r="K746" i="1"/>
  <c r="K745" i="1"/>
  <c r="K744" i="1"/>
  <c r="K743" i="1"/>
  <c r="K742" i="1"/>
  <c r="K714" i="1"/>
  <c r="K713" i="1"/>
  <c r="K712" i="1"/>
  <c r="K711" i="1"/>
  <c r="K710" i="1"/>
  <c r="K674" i="1"/>
  <c r="K673" i="1"/>
  <c r="K672" i="1"/>
  <c r="K671" i="1"/>
  <c r="K670" i="1"/>
  <c r="K669" i="1"/>
  <c r="K668" i="1"/>
  <c r="K632" i="1"/>
  <c r="K631" i="1"/>
  <c r="K630" i="1"/>
  <c r="K629" i="1"/>
  <c r="K628" i="1"/>
  <c r="K627" i="1"/>
  <c r="K593" i="1"/>
  <c r="K592" i="1"/>
  <c r="K591" i="1"/>
  <c r="K590" i="1"/>
  <c r="K589" i="1"/>
  <c r="K560" i="1"/>
  <c r="K559" i="1"/>
  <c r="K558" i="1"/>
  <c r="K557" i="1"/>
  <c r="K556" i="1"/>
  <c r="K530" i="1"/>
  <c r="K529" i="1"/>
  <c r="K528" i="1"/>
  <c r="K527" i="1"/>
  <c r="K500" i="1"/>
  <c r="K499" i="1"/>
  <c r="K498" i="1"/>
  <c r="K497" i="1"/>
  <c r="K470" i="1"/>
  <c r="K469" i="1"/>
  <c r="K468" i="1"/>
  <c r="K467" i="1"/>
  <c r="K466" i="1"/>
  <c r="K438" i="1"/>
  <c r="K437" i="1"/>
  <c r="K436" i="1"/>
  <c r="K435" i="1"/>
  <c r="K434" i="1"/>
  <c r="K407" i="1"/>
  <c r="K406" i="1"/>
  <c r="K405" i="1"/>
  <c r="K404" i="1"/>
  <c r="K403" i="1"/>
  <c r="K374" i="1"/>
  <c r="K373" i="1"/>
  <c r="K372" i="1"/>
  <c r="K371" i="1"/>
  <c r="K370" i="1"/>
  <c r="K369" i="1"/>
  <c r="K339" i="1"/>
  <c r="K338" i="1"/>
  <c r="K337" i="1"/>
  <c r="K336" i="1"/>
  <c r="K335" i="1"/>
  <c r="K334" i="1"/>
  <c r="K302" i="1"/>
  <c r="K301" i="1"/>
  <c r="K300" i="1"/>
  <c r="K299" i="1"/>
  <c r="K298" i="1"/>
  <c r="K297" i="1"/>
  <c r="K296" i="1"/>
  <c r="K259" i="1"/>
  <c r="K258" i="1"/>
  <c r="K257" i="1"/>
  <c r="K256" i="1"/>
  <c r="K255" i="1"/>
  <c r="K254" i="1"/>
  <c r="K253" i="1"/>
  <c r="K252" i="1"/>
  <c r="K211" i="1"/>
  <c r="K210" i="1"/>
  <c r="K209" i="1"/>
  <c r="K208" i="1"/>
  <c r="K207" i="1"/>
  <c r="K206" i="1"/>
  <c r="K205" i="1"/>
  <c r="K204" i="1"/>
  <c r="K159" i="1"/>
  <c r="K158" i="1"/>
  <c r="K157" i="1"/>
  <c r="K156" i="1"/>
  <c r="K155" i="1"/>
  <c r="K154" i="1"/>
  <c r="K153" i="1"/>
  <c r="K108" i="1"/>
  <c r="K107" i="1"/>
  <c r="K106" i="1"/>
  <c r="K105" i="1"/>
  <c r="K104" i="1"/>
  <c r="K103" i="1"/>
  <c r="K102" i="1"/>
  <c r="K101" i="1"/>
  <c r="K56" i="1"/>
  <c r="K55" i="1"/>
  <c r="K54" i="1"/>
  <c r="K53" i="1"/>
  <c r="K52" i="1"/>
  <c r="K51" i="1"/>
  <c r="K50" i="1"/>
  <c r="K49" i="1"/>
  <c r="K1620" i="1"/>
  <c r="K1619" i="1"/>
  <c r="K1618" i="1"/>
  <c r="K1617" i="1"/>
  <c r="K1616" i="1"/>
  <c r="K1615" i="1"/>
  <c r="K1614" i="1"/>
  <c r="K1613" i="1"/>
  <c r="K1612" i="1"/>
  <c r="K1611" i="1"/>
  <c r="K1564" i="1"/>
  <c r="K1563" i="1"/>
  <c r="K1562" i="1"/>
  <c r="K1561" i="1"/>
  <c r="K1560" i="1"/>
  <c r="K1559" i="1"/>
  <c r="K1558" i="1"/>
  <c r="K1557" i="1"/>
  <c r="K1556" i="1"/>
  <c r="K1555" i="1"/>
  <c r="K1554" i="1"/>
  <c r="K1505" i="1"/>
  <c r="K1504" i="1"/>
  <c r="K1503" i="1"/>
  <c r="K1502" i="1"/>
  <c r="K1501" i="1"/>
  <c r="K1500" i="1"/>
  <c r="K1499" i="1"/>
  <c r="K1498" i="1"/>
  <c r="K1497" i="1"/>
  <c r="K1496" i="1"/>
  <c r="K1495" i="1"/>
  <c r="K1441" i="1"/>
  <c r="K1440" i="1"/>
  <c r="K1439" i="1"/>
  <c r="K1438" i="1"/>
  <c r="K1437" i="1"/>
  <c r="K1436" i="1"/>
  <c r="K1435" i="1"/>
  <c r="K1434" i="1"/>
  <c r="K1433" i="1"/>
  <c r="K1432" i="1"/>
  <c r="K1431" i="1"/>
  <c r="K143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18" i="1"/>
  <c r="K1317" i="1"/>
  <c r="K1316" i="1"/>
  <c r="K1315" i="1"/>
  <c r="K1314" i="1"/>
  <c r="K1313" i="1"/>
  <c r="K1312" i="1"/>
  <c r="K1311" i="1"/>
  <c r="K1310" i="1"/>
  <c r="K1309" i="1"/>
  <c r="K1255" i="1"/>
  <c r="K1254" i="1"/>
  <c r="K1253" i="1"/>
  <c r="K1252" i="1"/>
  <c r="K1251" i="1"/>
  <c r="K1250" i="1"/>
  <c r="K1249" i="1"/>
  <c r="K1248" i="1"/>
  <c r="K1247" i="1"/>
  <c r="K1191" i="1"/>
  <c r="K1190" i="1"/>
  <c r="K1189" i="1"/>
  <c r="K1188" i="1"/>
  <c r="K1187" i="1"/>
  <c r="K1186" i="1"/>
  <c r="K1185" i="1"/>
  <c r="K1184" i="1"/>
  <c r="K1128" i="1"/>
  <c r="K1127" i="1"/>
  <c r="K1126" i="1"/>
  <c r="K1125" i="1"/>
  <c r="K1124" i="1"/>
  <c r="K1123" i="1"/>
  <c r="K1122" i="1"/>
  <c r="K1062" i="1"/>
  <c r="K1061" i="1"/>
  <c r="K1060" i="1"/>
  <c r="K1059" i="1"/>
  <c r="K1058" i="1"/>
  <c r="K1057" i="1"/>
  <c r="K1056" i="1"/>
  <c r="K1026" i="1"/>
  <c r="K1025" i="1"/>
  <c r="K1024" i="1"/>
  <c r="K1023" i="1"/>
  <c r="K1022" i="1"/>
  <c r="K995" i="1"/>
  <c r="K994" i="1"/>
  <c r="K993" i="1"/>
  <c r="K992" i="1"/>
  <c r="K969" i="1"/>
  <c r="K968" i="1"/>
  <c r="K967" i="1"/>
  <c r="K966" i="1"/>
  <c r="K944" i="1"/>
  <c r="K943" i="1"/>
  <c r="K942" i="1"/>
  <c r="K922" i="1"/>
  <c r="K921" i="1"/>
  <c r="K920" i="1"/>
  <c r="K899" i="1"/>
  <c r="K898" i="1"/>
  <c r="K897" i="1"/>
  <c r="K875" i="1"/>
  <c r="K874" i="1"/>
  <c r="K873" i="1"/>
  <c r="K851" i="1"/>
  <c r="K850" i="1"/>
  <c r="K849" i="1"/>
  <c r="K826" i="1"/>
  <c r="K825" i="1"/>
  <c r="K824" i="1"/>
  <c r="K799" i="1"/>
  <c r="K798" i="1"/>
  <c r="K797" i="1"/>
  <c r="K796" i="1"/>
  <c r="K771" i="1"/>
  <c r="K770" i="1"/>
  <c r="K769" i="1"/>
  <c r="K768" i="1"/>
  <c r="K741" i="1"/>
  <c r="K740" i="1"/>
  <c r="K739" i="1"/>
  <c r="K738" i="1"/>
  <c r="K709" i="1"/>
  <c r="K708" i="1"/>
  <c r="K707" i="1"/>
  <c r="K706" i="1"/>
  <c r="K705" i="1"/>
  <c r="K667" i="1"/>
  <c r="K666" i="1"/>
  <c r="K665" i="1"/>
  <c r="K664" i="1"/>
  <c r="K663" i="1"/>
  <c r="K662" i="1"/>
  <c r="K626" i="1"/>
  <c r="K625" i="1"/>
  <c r="K624" i="1"/>
  <c r="K623" i="1"/>
  <c r="K622" i="1"/>
  <c r="K588" i="1"/>
  <c r="K587" i="1"/>
  <c r="K586" i="1"/>
  <c r="K585" i="1"/>
  <c r="K555" i="1"/>
  <c r="K554" i="1"/>
  <c r="K553" i="1"/>
  <c r="K552" i="1"/>
  <c r="K526" i="1"/>
  <c r="K525" i="1"/>
  <c r="K524" i="1"/>
  <c r="K523" i="1"/>
  <c r="K496" i="1"/>
  <c r="K495" i="1"/>
  <c r="K494" i="1"/>
  <c r="K493" i="1"/>
  <c r="K465" i="1"/>
  <c r="K464" i="1"/>
  <c r="K463" i="1"/>
  <c r="K462" i="1"/>
  <c r="K433" i="1"/>
  <c r="K432" i="1"/>
  <c r="K431" i="1"/>
  <c r="K430" i="1"/>
  <c r="K402" i="1"/>
  <c r="K401" i="1"/>
  <c r="K400" i="1"/>
  <c r="K399" i="1"/>
  <c r="K398" i="1"/>
  <c r="K368" i="1"/>
  <c r="K367" i="1"/>
  <c r="K366" i="1"/>
  <c r="K365" i="1"/>
  <c r="K364" i="1"/>
  <c r="K333" i="1"/>
  <c r="K332" i="1"/>
  <c r="K331" i="1"/>
  <c r="K330" i="1"/>
  <c r="K329" i="1"/>
  <c r="K328" i="1"/>
  <c r="K295" i="1"/>
  <c r="K294" i="1"/>
  <c r="K293" i="1"/>
  <c r="K292" i="1"/>
  <c r="K291" i="1"/>
  <c r="K290" i="1"/>
  <c r="K289" i="1"/>
  <c r="K251" i="1"/>
  <c r="K250" i="1"/>
  <c r="K249" i="1"/>
  <c r="K248" i="1"/>
  <c r="K247" i="1"/>
  <c r="K246" i="1"/>
  <c r="K245" i="1"/>
  <c r="K244" i="1"/>
  <c r="K203" i="1"/>
  <c r="K202" i="1"/>
  <c r="K201" i="1"/>
  <c r="K200" i="1"/>
  <c r="K199" i="1"/>
  <c r="K198" i="1"/>
  <c r="K197" i="1"/>
  <c r="K196" i="1"/>
  <c r="K195" i="1"/>
  <c r="K152" i="1"/>
  <c r="K151" i="1"/>
  <c r="K150" i="1"/>
  <c r="K149" i="1"/>
  <c r="K148" i="1"/>
  <c r="K147" i="1"/>
  <c r="K146" i="1"/>
  <c r="K145" i="1"/>
  <c r="K144" i="1"/>
  <c r="K100" i="1"/>
  <c r="K99" i="1"/>
  <c r="K98" i="1"/>
  <c r="K97" i="1"/>
  <c r="K96" i="1"/>
  <c r="K95" i="1"/>
  <c r="K94" i="1"/>
  <c r="K93" i="1"/>
  <c r="K92" i="1"/>
  <c r="K48" i="1"/>
  <c r="K47" i="1"/>
  <c r="K46" i="1"/>
  <c r="K45" i="1"/>
  <c r="K44" i="1"/>
  <c r="K43" i="1"/>
  <c r="K42" i="1"/>
  <c r="K41" i="1"/>
  <c r="K40" i="1"/>
  <c r="K1610" i="1"/>
  <c r="K1609" i="1"/>
  <c r="K1608" i="1"/>
  <c r="K1607" i="1"/>
  <c r="K1606" i="1"/>
  <c r="K1605" i="1"/>
  <c r="K1604" i="1"/>
  <c r="K1603" i="1"/>
  <c r="K1602" i="1"/>
  <c r="K1553" i="1"/>
  <c r="K1552" i="1"/>
  <c r="K1551" i="1"/>
  <c r="K1550" i="1"/>
  <c r="K1549" i="1"/>
  <c r="K1548" i="1"/>
  <c r="K1547" i="1"/>
  <c r="K1546" i="1"/>
  <c r="K1545" i="1"/>
  <c r="K1494" i="1"/>
  <c r="K1493" i="1"/>
  <c r="K1492" i="1"/>
  <c r="K1491" i="1"/>
  <c r="K1490" i="1"/>
  <c r="K1489" i="1"/>
  <c r="K1488" i="1"/>
  <c r="K1487" i="1"/>
  <c r="K1486" i="1"/>
  <c r="K1485" i="1"/>
  <c r="K1429" i="1"/>
  <c r="K1428" i="1"/>
  <c r="K1427" i="1"/>
  <c r="K1426" i="1"/>
  <c r="K1425" i="1"/>
  <c r="K1424" i="1"/>
  <c r="K1423" i="1"/>
  <c r="K1422" i="1"/>
  <c r="K1421" i="1"/>
  <c r="K1420" i="1"/>
  <c r="K1367" i="1"/>
  <c r="K1366" i="1"/>
  <c r="K1365" i="1"/>
  <c r="K1364" i="1"/>
  <c r="K1363" i="1"/>
  <c r="K1362" i="1"/>
  <c r="K1361" i="1"/>
  <c r="K1360" i="1"/>
  <c r="K1359" i="1"/>
  <c r="K1358" i="1"/>
  <c r="K1357" i="1"/>
  <c r="K1308" i="1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46" i="1"/>
  <c r="K1245" i="1"/>
  <c r="K1244" i="1"/>
  <c r="K1243" i="1"/>
  <c r="K1242" i="1"/>
  <c r="K1241" i="1"/>
  <c r="K1240" i="1"/>
  <c r="K1239" i="1"/>
  <c r="K1238" i="1"/>
  <c r="K1237" i="1"/>
  <c r="K1236" i="1"/>
  <c r="K1235" i="1"/>
  <c r="K1234" i="1"/>
  <c r="K1183" i="1"/>
  <c r="K1182" i="1"/>
  <c r="K1181" i="1"/>
  <c r="K1180" i="1"/>
  <c r="K1179" i="1"/>
  <c r="K1178" i="1"/>
  <c r="K1177" i="1"/>
  <c r="K1176" i="1"/>
  <c r="K1175" i="1"/>
  <c r="K1174" i="1"/>
  <c r="K1173" i="1"/>
  <c r="K1121" i="1"/>
  <c r="K1120" i="1"/>
  <c r="K1119" i="1"/>
  <c r="K1118" i="1"/>
  <c r="K1117" i="1"/>
  <c r="K1116" i="1"/>
  <c r="K1115" i="1"/>
  <c r="K1114" i="1"/>
  <c r="K1113" i="1"/>
  <c r="K1112" i="1"/>
  <c r="K1055" i="1"/>
  <c r="K1054" i="1"/>
  <c r="K1053" i="1"/>
  <c r="K1052" i="1"/>
  <c r="K1051" i="1"/>
  <c r="K1050" i="1"/>
  <c r="K1021" i="1"/>
  <c r="K1020" i="1"/>
  <c r="K1019" i="1"/>
  <c r="K1018" i="1"/>
  <c r="K1017" i="1"/>
  <c r="K991" i="1"/>
  <c r="K990" i="1"/>
  <c r="K989" i="1"/>
  <c r="K988" i="1"/>
  <c r="K965" i="1"/>
  <c r="K964" i="1"/>
  <c r="K963" i="1"/>
  <c r="K941" i="1"/>
  <c r="K940" i="1"/>
  <c r="K939" i="1"/>
  <c r="K919" i="1"/>
  <c r="K918" i="1"/>
  <c r="K917" i="1"/>
  <c r="K896" i="1"/>
  <c r="K895" i="1"/>
  <c r="K894" i="1"/>
  <c r="K872" i="1"/>
  <c r="K871" i="1"/>
  <c r="K870" i="1"/>
  <c r="K848" i="1"/>
  <c r="K847" i="1"/>
  <c r="K846" i="1"/>
  <c r="K823" i="1"/>
  <c r="K822" i="1"/>
  <c r="K821" i="1"/>
  <c r="K795" i="1"/>
  <c r="K794" i="1"/>
  <c r="K793" i="1"/>
  <c r="K767" i="1"/>
  <c r="K766" i="1"/>
  <c r="K765" i="1"/>
  <c r="K737" i="1"/>
  <c r="K736" i="1"/>
  <c r="K735" i="1"/>
  <c r="K704" i="1"/>
  <c r="K703" i="1"/>
  <c r="K702" i="1"/>
  <c r="K701" i="1"/>
  <c r="K661" i="1"/>
  <c r="K660" i="1"/>
  <c r="K659" i="1"/>
  <c r="K658" i="1"/>
  <c r="K657" i="1"/>
  <c r="K621" i="1"/>
  <c r="K620" i="1"/>
  <c r="K619" i="1"/>
  <c r="K618" i="1"/>
  <c r="K617" i="1"/>
  <c r="K584" i="1"/>
  <c r="K583" i="1"/>
  <c r="K582" i="1"/>
  <c r="K581" i="1"/>
  <c r="K551" i="1"/>
  <c r="K550" i="1"/>
  <c r="K549" i="1"/>
  <c r="K522" i="1"/>
  <c r="K521" i="1"/>
  <c r="K520" i="1"/>
  <c r="K492" i="1"/>
  <c r="K491" i="1"/>
  <c r="K490" i="1"/>
  <c r="K461" i="1"/>
  <c r="K460" i="1"/>
  <c r="K459" i="1"/>
  <c r="K429" i="1"/>
  <c r="K428" i="1"/>
  <c r="K427" i="1"/>
  <c r="K426" i="1"/>
  <c r="K397" i="1"/>
  <c r="K396" i="1"/>
  <c r="K395" i="1"/>
  <c r="K394" i="1"/>
  <c r="K363" i="1"/>
  <c r="K362" i="1"/>
  <c r="K361" i="1"/>
  <c r="K360" i="1"/>
  <c r="K327" i="1"/>
  <c r="K326" i="1"/>
  <c r="K325" i="1"/>
  <c r="K324" i="1"/>
  <c r="K323" i="1"/>
  <c r="K288" i="1"/>
  <c r="K287" i="1"/>
  <c r="K286" i="1"/>
  <c r="K285" i="1"/>
  <c r="K284" i="1"/>
  <c r="K283" i="1"/>
  <c r="K243" i="1"/>
  <c r="K242" i="1"/>
  <c r="K241" i="1"/>
  <c r="K240" i="1"/>
  <c r="K239" i="1"/>
  <c r="K238" i="1"/>
  <c r="K237" i="1"/>
  <c r="K194" i="1"/>
  <c r="K193" i="1"/>
  <c r="K192" i="1"/>
  <c r="K191" i="1"/>
  <c r="K190" i="1"/>
  <c r="K189" i="1"/>
  <c r="K188" i="1"/>
  <c r="K187" i="1"/>
  <c r="K186" i="1"/>
  <c r="K143" i="1"/>
  <c r="K142" i="1"/>
  <c r="K141" i="1"/>
  <c r="K140" i="1"/>
  <c r="K139" i="1"/>
  <c r="K138" i="1"/>
  <c r="K137" i="1"/>
  <c r="K136" i="1"/>
  <c r="K135" i="1"/>
  <c r="K91" i="1"/>
  <c r="K90" i="1"/>
  <c r="K89" i="1"/>
  <c r="K88" i="1"/>
  <c r="K87" i="1"/>
  <c r="K86" i="1"/>
  <c r="K85" i="1"/>
  <c r="K84" i="1"/>
  <c r="K39" i="1"/>
  <c r="K38" i="1"/>
  <c r="K37" i="1"/>
  <c r="K36" i="1"/>
  <c r="K35" i="1"/>
  <c r="K34" i="1"/>
  <c r="K33" i="1"/>
  <c r="K32" i="1"/>
  <c r="K1601" i="1"/>
  <c r="K1600" i="1"/>
  <c r="K1599" i="1"/>
  <c r="K1598" i="1"/>
  <c r="K1597" i="1"/>
  <c r="K1596" i="1"/>
  <c r="K1595" i="1"/>
  <c r="K1544" i="1"/>
  <c r="K1543" i="1"/>
  <c r="K1542" i="1"/>
  <c r="K1541" i="1"/>
  <c r="K1540" i="1"/>
  <c r="K1539" i="1"/>
  <c r="K1538" i="1"/>
  <c r="K1484" i="1"/>
  <c r="K1483" i="1"/>
  <c r="K1482" i="1"/>
  <c r="K1481" i="1"/>
  <c r="K1480" i="1"/>
  <c r="K1479" i="1"/>
  <c r="K1478" i="1"/>
  <c r="K1477" i="1"/>
  <c r="K1419" i="1"/>
  <c r="K1418" i="1"/>
  <c r="K1417" i="1"/>
  <c r="K1416" i="1"/>
  <c r="K1415" i="1"/>
  <c r="K1414" i="1"/>
  <c r="K1413" i="1"/>
  <c r="K1412" i="1"/>
  <c r="K1356" i="1"/>
  <c r="K1355" i="1"/>
  <c r="K1354" i="1"/>
  <c r="K1353" i="1"/>
  <c r="K1352" i="1"/>
  <c r="K1351" i="1"/>
  <c r="K1350" i="1"/>
  <c r="K1349" i="1"/>
  <c r="K1348" i="1"/>
  <c r="K1295" i="1"/>
  <c r="K1294" i="1"/>
  <c r="K1293" i="1"/>
  <c r="K1292" i="1"/>
  <c r="K1291" i="1"/>
  <c r="K1290" i="1"/>
  <c r="K1289" i="1"/>
  <c r="K1288" i="1"/>
  <c r="K1287" i="1"/>
  <c r="K1286" i="1"/>
  <c r="K1233" i="1"/>
  <c r="K1232" i="1"/>
  <c r="K1231" i="1"/>
  <c r="K1230" i="1"/>
  <c r="K1229" i="1"/>
  <c r="K1228" i="1"/>
  <c r="K1227" i="1"/>
  <c r="K1226" i="1"/>
  <c r="K1225" i="1"/>
  <c r="K1224" i="1"/>
  <c r="K1223" i="1"/>
  <c r="K1172" i="1"/>
  <c r="K1171" i="1"/>
  <c r="K1170" i="1"/>
  <c r="K1169" i="1"/>
  <c r="K1168" i="1"/>
  <c r="K1167" i="1"/>
  <c r="K1166" i="1"/>
  <c r="K1165" i="1"/>
  <c r="K1164" i="1"/>
  <c r="K1163" i="1"/>
  <c r="K1162" i="1"/>
  <c r="K1161" i="1"/>
  <c r="K1160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49" i="1"/>
  <c r="K1048" i="1"/>
  <c r="K1047" i="1"/>
  <c r="K1046" i="1"/>
  <c r="K1045" i="1"/>
  <c r="K1016" i="1"/>
  <c r="K1015" i="1"/>
  <c r="K1014" i="1"/>
  <c r="K1013" i="1"/>
  <c r="K987" i="1"/>
  <c r="K986" i="1"/>
  <c r="K985" i="1"/>
  <c r="K962" i="1"/>
  <c r="K961" i="1"/>
  <c r="K960" i="1"/>
  <c r="K938" i="1"/>
  <c r="K937" i="1"/>
  <c r="K916" i="1"/>
  <c r="K915" i="1"/>
  <c r="K893" i="1"/>
  <c r="K892" i="1"/>
  <c r="K869" i="1"/>
  <c r="K868" i="1"/>
  <c r="K845" i="1"/>
  <c r="K844" i="1"/>
  <c r="K820" i="1"/>
  <c r="K819" i="1"/>
  <c r="K792" i="1"/>
  <c r="K791" i="1"/>
  <c r="K764" i="1"/>
  <c r="K763" i="1"/>
  <c r="K762" i="1"/>
  <c r="K734" i="1"/>
  <c r="K733" i="1"/>
  <c r="K732" i="1"/>
  <c r="K700" i="1"/>
  <c r="K699" i="1"/>
  <c r="K698" i="1"/>
  <c r="K656" i="1"/>
  <c r="K655" i="1"/>
  <c r="K654" i="1"/>
  <c r="K653" i="1"/>
  <c r="K616" i="1"/>
  <c r="K615" i="1"/>
  <c r="K614" i="1"/>
  <c r="K613" i="1"/>
  <c r="K580" i="1"/>
  <c r="K579" i="1"/>
  <c r="K578" i="1"/>
  <c r="K548" i="1"/>
  <c r="K547" i="1"/>
  <c r="K546" i="1"/>
  <c r="K519" i="1"/>
  <c r="K518" i="1"/>
  <c r="K517" i="1"/>
  <c r="K489" i="1"/>
  <c r="K488" i="1"/>
  <c r="K487" i="1"/>
  <c r="K458" i="1"/>
  <c r="K457" i="1"/>
  <c r="K456" i="1"/>
  <c r="K425" i="1"/>
  <c r="K424" i="1"/>
  <c r="K423" i="1"/>
  <c r="K393" i="1"/>
  <c r="K392" i="1"/>
  <c r="K391" i="1"/>
  <c r="K359" i="1"/>
  <c r="K358" i="1"/>
  <c r="K357" i="1"/>
  <c r="K356" i="1"/>
  <c r="K322" i="1"/>
  <c r="K321" i="1"/>
  <c r="K320" i="1"/>
  <c r="K319" i="1"/>
  <c r="K282" i="1"/>
  <c r="K281" i="1"/>
  <c r="K280" i="1"/>
  <c r="K279" i="1"/>
  <c r="K278" i="1"/>
  <c r="K236" i="1"/>
  <c r="K235" i="1"/>
  <c r="K234" i="1"/>
  <c r="K233" i="1"/>
  <c r="K232" i="1"/>
  <c r="K231" i="1"/>
  <c r="K185" i="1"/>
  <c r="K184" i="1"/>
  <c r="K183" i="1"/>
  <c r="K182" i="1"/>
  <c r="K181" i="1"/>
  <c r="K180" i="1"/>
  <c r="K179" i="1"/>
  <c r="K134" i="1"/>
  <c r="K133" i="1"/>
  <c r="K132" i="1"/>
  <c r="K131" i="1"/>
  <c r="K130" i="1"/>
  <c r="K129" i="1"/>
  <c r="K128" i="1"/>
  <c r="K83" i="1"/>
  <c r="K82" i="1"/>
  <c r="K81" i="1"/>
  <c r="K80" i="1"/>
  <c r="K79" i="1"/>
  <c r="K78" i="1"/>
  <c r="K77" i="1"/>
  <c r="K31" i="1"/>
  <c r="K30" i="1"/>
  <c r="K29" i="1"/>
  <c r="K28" i="1"/>
  <c r="K27" i="1"/>
  <c r="K26" i="1"/>
  <c r="K25" i="1"/>
  <c r="K1594" i="1"/>
  <c r="K1593" i="1"/>
  <c r="K1592" i="1"/>
  <c r="K1591" i="1"/>
  <c r="K1590" i="1"/>
  <c r="K1537" i="1"/>
  <c r="K1536" i="1"/>
  <c r="K1535" i="1"/>
  <c r="K1534" i="1"/>
  <c r="K1533" i="1"/>
  <c r="K1476" i="1"/>
  <c r="K1475" i="1"/>
  <c r="K1474" i="1"/>
  <c r="K1473" i="1"/>
  <c r="K1472" i="1"/>
  <c r="K1471" i="1"/>
  <c r="K1411" i="1"/>
  <c r="K1410" i="1"/>
  <c r="K1409" i="1"/>
  <c r="K1408" i="1"/>
  <c r="K1407" i="1"/>
  <c r="K1406" i="1"/>
  <c r="K1347" i="1"/>
  <c r="K1346" i="1"/>
  <c r="K1345" i="1"/>
  <c r="K1344" i="1"/>
  <c r="K1343" i="1"/>
  <c r="K1342" i="1"/>
  <c r="K1341" i="1"/>
  <c r="K1285" i="1"/>
  <c r="K1284" i="1"/>
  <c r="K1283" i="1"/>
  <c r="K1282" i="1"/>
  <c r="K1281" i="1"/>
  <c r="K1280" i="1"/>
  <c r="K1279" i="1"/>
  <c r="K1278" i="1"/>
  <c r="K1222" i="1"/>
  <c r="K1221" i="1"/>
  <c r="K1220" i="1"/>
  <c r="K1219" i="1"/>
  <c r="K1218" i="1"/>
  <c r="K1217" i="1"/>
  <c r="K1216" i="1"/>
  <c r="K1215" i="1"/>
  <c r="K1214" i="1"/>
  <c r="K1159" i="1"/>
  <c r="K1158" i="1"/>
  <c r="K1157" i="1"/>
  <c r="K1156" i="1"/>
  <c r="K1155" i="1"/>
  <c r="K1154" i="1"/>
  <c r="K1153" i="1"/>
  <c r="K1152" i="1"/>
  <c r="K1151" i="1"/>
  <c r="K1150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44" i="1"/>
  <c r="K1043" i="1"/>
  <c r="K1042" i="1"/>
  <c r="K1041" i="1"/>
  <c r="K1012" i="1"/>
  <c r="K1011" i="1"/>
  <c r="K1010" i="1"/>
  <c r="K984" i="1"/>
  <c r="K983" i="1"/>
  <c r="K959" i="1"/>
  <c r="K958" i="1"/>
  <c r="K936" i="1"/>
  <c r="K935" i="1"/>
  <c r="K914" i="1"/>
  <c r="K913" i="1"/>
  <c r="K891" i="1"/>
  <c r="K890" i="1"/>
  <c r="K867" i="1"/>
  <c r="K866" i="1"/>
  <c r="K843" i="1"/>
  <c r="K842" i="1"/>
  <c r="K818" i="1"/>
  <c r="K817" i="1"/>
  <c r="K790" i="1"/>
  <c r="K789" i="1"/>
  <c r="K761" i="1"/>
  <c r="K760" i="1"/>
  <c r="K731" i="1"/>
  <c r="K730" i="1"/>
  <c r="K697" i="1"/>
  <c r="K696" i="1"/>
  <c r="K695" i="1"/>
  <c r="K652" i="1"/>
  <c r="K651" i="1"/>
  <c r="K650" i="1"/>
  <c r="K612" i="1"/>
  <c r="K611" i="1"/>
  <c r="K610" i="1"/>
  <c r="K577" i="1"/>
  <c r="K576" i="1"/>
  <c r="K575" i="1"/>
  <c r="K545" i="1"/>
  <c r="K544" i="1"/>
  <c r="K516" i="1"/>
  <c r="K515" i="1"/>
  <c r="K486" i="1"/>
  <c r="K485" i="1"/>
  <c r="K455" i="1"/>
  <c r="K454" i="1"/>
  <c r="K422" i="1"/>
  <c r="K421" i="1"/>
  <c r="K390" i="1"/>
  <c r="K389" i="1"/>
  <c r="K388" i="1"/>
  <c r="K355" i="1"/>
  <c r="K354" i="1"/>
  <c r="K353" i="1"/>
  <c r="K318" i="1"/>
  <c r="K317" i="1"/>
  <c r="K316" i="1"/>
  <c r="K277" i="1"/>
  <c r="K276" i="1"/>
  <c r="K275" i="1"/>
  <c r="K274" i="1"/>
  <c r="K230" i="1"/>
  <c r="K229" i="1"/>
  <c r="K228" i="1"/>
  <c r="K227" i="1"/>
  <c r="K226" i="1"/>
  <c r="K178" i="1"/>
  <c r="K177" i="1"/>
  <c r="K176" i="1"/>
  <c r="K175" i="1"/>
  <c r="K174" i="1"/>
  <c r="K127" i="1"/>
  <c r="K126" i="1"/>
  <c r="K125" i="1"/>
  <c r="K124" i="1"/>
  <c r="K123" i="1"/>
  <c r="K76" i="1"/>
  <c r="K75" i="1"/>
  <c r="K74" i="1"/>
  <c r="K73" i="1"/>
  <c r="K72" i="1"/>
  <c r="K24" i="1"/>
  <c r="K23" i="1"/>
  <c r="K22" i="1"/>
  <c r="K21" i="1"/>
  <c r="K20" i="1"/>
  <c r="K1589" i="1"/>
  <c r="K1588" i="1"/>
  <c r="K1587" i="1"/>
  <c r="K1586" i="1"/>
  <c r="K1532" i="1"/>
  <c r="K1531" i="1"/>
  <c r="K1530" i="1"/>
  <c r="K1529" i="1"/>
  <c r="K1470" i="1"/>
  <c r="K1469" i="1"/>
  <c r="K1468" i="1"/>
  <c r="K1467" i="1"/>
  <c r="K1466" i="1"/>
  <c r="K1405" i="1"/>
  <c r="K1404" i="1"/>
  <c r="K1403" i="1"/>
  <c r="K1402" i="1"/>
  <c r="K1401" i="1"/>
  <c r="K1340" i="1"/>
  <c r="K1339" i="1"/>
  <c r="K1338" i="1"/>
  <c r="K1337" i="1"/>
  <c r="K1336" i="1"/>
  <c r="K1277" i="1"/>
  <c r="K1276" i="1"/>
  <c r="K1275" i="1"/>
  <c r="K1274" i="1"/>
  <c r="K1273" i="1"/>
  <c r="K1272" i="1"/>
  <c r="K1213" i="1"/>
  <c r="K1212" i="1"/>
  <c r="K1211" i="1"/>
  <c r="K1210" i="1"/>
  <c r="K1209" i="1"/>
  <c r="K1208" i="1"/>
  <c r="K1149" i="1"/>
  <c r="K1148" i="1"/>
  <c r="K1147" i="1"/>
  <c r="K1146" i="1"/>
  <c r="K1145" i="1"/>
  <c r="K1144" i="1"/>
  <c r="K1143" i="1"/>
  <c r="K1086" i="1"/>
  <c r="K1085" i="1"/>
  <c r="K1084" i="1"/>
  <c r="K1083" i="1"/>
  <c r="K1082" i="1"/>
  <c r="K1081" i="1"/>
  <c r="K1080" i="1"/>
  <c r="K1079" i="1"/>
  <c r="K1078" i="1"/>
  <c r="K1040" i="1"/>
  <c r="K1039" i="1"/>
  <c r="K1038" i="1"/>
  <c r="K1009" i="1"/>
  <c r="K1008" i="1"/>
  <c r="K982" i="1"/>
  <c r="K981" i="1"/>
  <c r="K957" i="1"/>
  <c r="K956" i="1"/>
  <c r="K934" i="1"/>
  <c r="K912" i="1"/>
  <c r="K889" i="1"/>
  <c r="K865" i="1"/>
  <c r="K841" i="1"/>
  <c r="K816" i="1"/>
  <c r="K815" i="1"/>
  <c r="K788" i="1"/>
  <c r="K787" i="1"/>
  <c r="K759" i="1"/>
  <c r="K758" i="1"/>
  <c r="K729" i="1"/>
  <c r="K728" i="1"/>
  <c r="K694" i="1"/>
  <c r="K693" i="1"/>
  <c r="K649" i="1"/>
  <c r="K648" i="1"/>
  <c r="K647" i="1"/>
  <c r="K609" i="1"/>
  <c r="K608" i="1"/>
  <c r="K607" i="1"/>
  <c r="K574" i="1"/>
  <c r="K573" i="1"/>
  <c r="K543" i="1"/>
  <c r="K542" i="1"/>
  <c r="K514" i="1"/>
  <c r="K513" i="1"/>
  <c r="K484" i="1"/>
  <c r="K483" i="1"/>
  <c r="K453" i="1"/>
  <c r="K452" i="1"/>
  <c r="K420" i="1"/>
  <c r="K419" i="1"/>
  <c r="K387" i="1"/>
  <c r="K386" i="1"/>
  <c r="K352" i="1"/>
  <c r="K351" i="1"/>
  <c r="K315" i="1"/>
  <c r="K314" i="1"/>
  <c r="K313" i="1"/>
  <c r="K273" i="1"/>
  <c r="K272" i="1"/>
  <c r="K271" i="1"/>
  <c r="K225" i="1"/>
  <c r="K224" i="1"/>
  <c r="K223" i="1"/>
  <c r="K222" i="1"/>
  <c r="K173" i="1"/>
  <c r="K172" i="1"/>
  <c r="K171" i="1"/>
  <c r="K170" i="1"/>
  <c r="K122" i="1"/>
  <c r="K121" i="1"/>
  <c r="K120" i="1"/>
  <c r="K119" i="1"/>
  <c r="K71" i="1"/>
  <c r="K70" i="1"/>
  <c r="K69" i="1"/>
  <c r="K68" i="1"/>
  <c r="K19" i="1"/>
  <c r="K18" i="1"/>
  <c r="K17" i="1"/>
  <c r="K16" i="1"/>
  <c r="K1585" i="1"/>
  <c r="K1584" i="1"/>
  <c r="K1583" i="1"/>
  <c r="K1528" i="1"/>
  <c r="K1527" i="1"/>
  <c r="K1526" i="1"/>
  <c r="K1465" i="1"/>
  <c r="K1464" i="1"/>
  <c r="K1463" i="1"/>
  <c r="K1400" i="1"/>
  <c r="K1399" i="1"/>
  <c r="K1398" i="1"/>
  <c r="K1335" i="1"/>
  <c r="K1334" i="1"/>
  <c r="K1333" i="1"/>
  <c r="K1271" i="1"/>
  <c r="K1270" i="1"/>
  <c r="K1269" i="1"/>
  <c r="K1268" i="1"/>
  <c r="K1207" i="1"/>
  <c r="K1206" i="1"/>
  <c r="K1205" i="1"/>
  <c r="K1204" i="1"/>
  <c r="K1142" i="1"/>
  <c r="K1141" i="1"/>
  <c r="K1140" i="1"/>
  <c r="K1139" i="1"/>
  <c r="K1138" i="1"/>
  <c r="K1077" i="1"/>
  <c r="K1076" i="1"/>
  <c r="K1075" i="1"/>
  <c r="K1074" i="1"/>
  <c r="K1073" i="1"/>
  <c r="K1072" i="1"/>
  <c r="K1037" i="1"/>
  <c r="K1036" i="1"/>
  <c r="K1007" i="1"/>
  <c r="K980" i="1"/>
  <c r="K955" i="1"/>
  <c r="K933" i="1"/>
  <c r="K911" i="1"/>
  <c r="K888" i="1"/>
  <c r="K864" i="1"/>
  <c r="K840" i="1"/>
  <c r="K814" i="1"/>
  <c r="K786" i="1"/>
  <c r="K757" i="1"/>
  <c r="K727" i="1"/>
  <c r="K692" i="1"/>
  <c r="K646" i="1"/>
  <c r="K606" i="1"/>
  <c r="K605" i="1"/>
  <c r="K572" i="1"/>
  <c r="K541" i="1"/>
  <c r="K512" i="1"/>
  <c r="K482" i="1"/>
  <c r="K451" i="1"/>
  <c r="K418" i="1"/>
  <c r="K385" i="1"/>
  <c r="K350" i="1"/>
  <c r="K312" i="1"/>
  <c r="K270" i="1"/>
  <c r="K269" i="1"/>
  <c r="K268" i="1"/>
  <c r="K221" i="1"/>
  <c r="K220" i="1"/>
  <c r="K169" i="1"/>
  <c r="K168" i="1"/>
  <c r="K118" i="1"/>
  <c r="K117" i="1"/>
  <c r="K67" i="1"/>
  <c r="K66" i="1"/>
  <c r="K65" i="1"/>
  <c r="K15" i="1"/>
  <c r="K14" i="1"/>
  <c r="K13" i="1"/>
  <c r="J1395" i="1"/>
  <c r="J932" i="1"/>
  <c r="J836" i="1"/>
  <c r="J752" i="1"/>
  <c r="J645" i="1"/>
  <c r="J568" i="1"/>
  <c r="J479" i="1"/>
  <c r="J382" i="1"/>
  <c r="J165" i="1"/>
  <c r="J1576" i="1"/>
  <c r="J1453" i="1"/>
  <c r="J1201" i="1"/>
  <c r="J1001" i="1"/>
  <c r="J904" i="1"/>
  <c r="J805" i="1"/>
  <c r="J716" i="1"/>
  <c r="J598" i="1"/>
  <c r="J504" i="1"/>
  <c r="J412" i="1"/>
  <c r="J341" i="1"/>
  <c r="J213" i="1"/>
  <c r="J57" i="1"/>
  <c r="J1566" i="1"/>
  <c r="J1448" i="1"/>
  <c r="J1325" i="1"/>
  <c r="J1194" i="1"/>
  <c r="J1028" i="1"/>
  <c r="J925" i="1"/>
  <c r="J829" i="1"/>
  <c r="J714" i="1"/>
  <c r="J628" i="1"/>
  <c r="J1637" i="1"/>
  <c r="J1137" i="1"/>
  <c r="J839" i="1"/>
  <c r="J725" i="1"/>
  <c r="J604" i="1"/>
  <c r="J506" i="1"/>
  <c r="J349" i="1"/>
  <c r="J1634" i="1"/>
  <c r="J1456" i="1"/>
  <c r="J1199" i="1"/>
  <c r="J950" i="1"/>
  <c r="J808" i="1"/>
  <c r="J682" i="1"/>
  <c r="J563" i="1"/>
  <c r="J440" i="1"/>
  <c r="J308" i="1"/>
  <c r="J113" i="1"/>
  <c r="J1569" i="1"/>
  <c r="J1446" i="1"/>
  <c r="J1261" i="1"/>
  <c r="J1031" i="1"/>
  <c r="J923" i="1"/>
  <c r="J775" i="1"/>
  <c r="J631" i="1"/>
  <c r="J499" i="1"/>
  <c r="J404" i="1"/>
  <c r="J300" i="1"/>
  <c r="J208" i="1"/>
  <c r="J104" i="1"/>
  <c r="J1635" i="1"/>
  <c r="J1266" i="1"/>
  <c r="J908" i="1"/>
  <c r="J811" i="1"/>
  <c r="J723" i="1"/>
  <c r="J641" i="1"/>
  <c r="J539" i="1"/>
  <c r="J450" i="1"/>
  <c r="J347" i="1"/>
  <c r="J64" i="1"/>
  <c r="J1521" i="1"/>
  <c r="J1391" i="1"/>
  <c r="J1136" i="1"/>
  <c r="J974" i="1"/>
  <c r="J880" i="1"/>
  <c r="J778" i="1"/>
  <c r="J680" i="1"/>
  <c r="J594" i="1"/>
  <c r="J475" i="1"/>
  <c r="J408" i="1"/>
  <c r="J306" i="1"/>
  <c r="J162" i="1"/>
  <c r="J1625" i="1"/>
  <c r="J1513" i="1"/>
  <c r="J1444" i="1"/>
  <c r="J1321" i="1"/>
  <c r="J1132" i="1"/>
  <c r="J998" i="1"/>
  <c r="J902" i="1"/>
  <c r="J802" i="1"/>
  <c r="J710" i="1"/>
  <c r="J591" i="1"/>
  <c r="J1580" i="1"/>
  <c r="J978" i="1"/>
  <c r="J813" i="1"/>
  <c r="J691" i="1"/>
  <c r="J571" i="1"/>
  <c r="J477" i="1"/>
  <c r="J309" i="1"/>
  <c r="J1579" i="1"/>
  <c r="J1393" i="1"/>
  <c r="J1070" i="1"/>
  <c r="J907" i="1"/>
  <c r="J780" i="1"/>
  <c r="J677" i="1"/>
  <c r="J532" i="1"/>
  <c r="J410" i="1"/>
  <c r="J303" i="1"/>
  <c r="J60" i="1"/>
  <c r="J1515" i="1"/>
  <c r="J1388" i="1"/>
  <c r="J1197" i="1"/>
  <c r="J1000" i="1"/>
  <c r="J879" i="1"/>
  <c r="J744" i="1"/>
  <c r="J593" i="1"/>
  <c r="J469" i="1"/>
  <c r="J372" i="1"/>
  <c r="J296" i="1"/>
  <c r="J204" i="1"/>
  <c r="J56" i="1"/>
  <c r="J1612" i="1"/>
  <c r="J1502" i="1"/>
  <c r="J1433" i="1"/>
  <c r="J1397" i="1"/>
  <c r="J909" i="1"/>
  <c r="J783" i="1"/>
  <c r="J684" i="1"/>
  <c r="J540" i="1"/>
  <c r="J445" i="1"/>
  <c r="J167" i="1"/>
  <c r="J1522" i="1"/>
  <c r="J1328" i="1"/>
  <c r="J1003" i="1"/>
  <c r="J881" i="1"/>
  <c r="J749" i="1"/>
  <c r="J634" i="1"/>
  <c r="J501" i="1"/>
  <c r="J376" i="1"/>
  <c r="J215" i="1"/>
  <c r="J1626" i="1"/>
  <c r="J1508" i="1"/>
  <c r="J1381" i="1"/>
  <c r="J1133" i="1"/>
  <c r="J971" i="1"/>
  <c r="J852" i="1"/>
  <c r="J711" i="1"/>
  <c r="J1396" i="1"/>
  <c r="J782" i="1"/>
  <c r="J538" i="1"/>
  <c r="J166" i="1"/>
  <c r="J1327" i="1"/>
  <c r="J859" i="1"/>
  <c r="J633" i="1"/>
  <c r="J375" i="1"/>
  <c r="J1624" i="1"/>
  <c r="J1380" i="1"/>
  <c r="J970" i="1"/>
  <c r="J674" i="1"/>
  <c r="J497" i="1"/>
  <c r="J369" i="1"/>
  <c r="J211" i="1"/>
  <c r="J102" i="1"/>
  <c r="J1563" i="1"/>
  <c r="J1440" i="1"/>
  <c r="J1371" i="1"/>
  <c r="J1253" i="1"/>
  <c r="J1127" i="1"/>
  <c r="J1023" i="1"/>
  <c r="J899" i="1"/>
  <c r="J771" i="1"/>
  <c r="J664" i="1"/>
  <c r="J526" i="1"/>
  <c r="J402" i="1"/>
  <c r="J295" i="1"/>
  <c r="J202" i="1"/>
  <c r="J144" i="1"/>
  <c r="J42" i="1"/>
  <c r="J1549" i="1"/>
  <c r="J1428" i="1"/>
  <c r="J1360" i="1"/>
  <c r="J1296" i="1"/>
  <c r="J886" i="1"/>
  <c r="J644" i="1"/>
  <c r="J416" i="1"/>
  <c r="J1519" i="1"/>
  <c r="J977" i="1"/>
  <c r="J1461" i="1"/>
  <c r="J860" i="1"/>
  <c r="J686" i="1"/>
  <c r="J507" i="1"/>
  <c r="J218" i="1"/>
  <c r="J1457" i="1"/>
  <c r="J1032" i="1"/>
  <c r="J831" i="1"/>
  <c r="J636" i="1"/>
  <c r="J441" i="1"/>
  <c r="J260" i="1"/>
  <c r="J1570" i="1"/>
  <c r="J1383" i="1"/>
  <c r="J1063" i="1"/>
  <c r="J854" i="1"/>
  <c r="J632" i="1"/>
  <c r="J1331" i="1"/>
  <c r="J755" i="1"/>
  <c r="J536" i="1"/>
  <c r="J115" i="1"/>
  <c r="J1264" i="1"/>
  <c r="J857" i="1"/>
  <c r="J596" i="1"/>
  <c r="J344" i="1"/>
  <c r="J1622" i="1"/>
  <c r="J1323" i="1"/>
  <c r="J946" i="1"/>
  <c r="J672" i="1"/>
  <c r="J434" i="1"/>
  <c r="J252" i="1"/>
  <c r="J1620" i="1"/>
  <c r="J1554" i="1"/>
  <c r="J1379" i="1"/>
  <c r="J1035" i="1"/>
  <c r="J812" i="1"/>
  <c r="J642" i="1"/>
  <c r="J481" i="1"/>
  <c r="J266" i="1"/>
  <c r="J1516" i="1"/>
  <c r="J1198" i="1"/>
  <c r="J906" i="1"/>
  <c r="J718" i="1"/>
  <c r="J561" i="1"/>
  <c r="J409" i="1"/>
  <c r="J163" i="1"/>
  <c r="J1568" i="1"/>
  <c r="J1386" i="1"/>
  <c r="J1066" i="1"/>
  <c r="J903" i="1"/>
  <c r="J743" i="1"/>
  <c r="J1006" i="1"/>
  <c r="J683" i="1"/>
  <c r="J311" i="1"/>
  <c r="J1135" i="1"/>
  <c r="J748" i="1"/>
  <c r="J413" i="1"/>
  <c r="J1567" i="1"/>
  <c r="J1131" i="1"/>
  <c r="J772" i="1"/>
  <c r="J466" i="1"/>
  <c r="J298" i="1"/>
  <c r="J107" i="1"/>
  <c r="J1557" i="1"/>
  <c r="J1430" i="1"/>
  <c r="J1310" i="1"/>
  <c r="J1123" i="1"/>
  <c r="J967" i="1"/>
  <c r="J799" i="1"/>
  <c r="J625" i="1"/>
  <c r="J465" i="1"/>
  <c r="J331" i="1"/>
  <c r="J198" i="1"/>
  <c r="J93" i="1"/>
  <c r="J1553" i="1"/>
  <c r="J1424" i="1"/>
  <c r="J1304" i="1"/>
  <c r="J1005" i="1"/>
  <c r="J600" i="1"/>
  <c r="J116" i="1"/>
  <c r="J1134" i="1"/>
  <c r="J747" i="1"/>
  <c r="J473" i="1"/>
  <c r="J212" i="1"/>
  <c r="J1506" i="1"/>
  <c r="J1130" i="1"/>
  <c r="J828" i="1"/>
  <c r="J558" i="1"/>
  <c r="J406" i="1"/>
  <c r="J297" i="1"/>
  <c r="J155" i="1"/>
  <c r="J1618" i="1"/>
  <c r="J1503" i="1"/>
  <c r="J1378" i="1"/>
  <c r="J1313" i="1"/>
  <c r="J1189" i="1"/>
  <c r="J1059" i="1"/>
  <c r="J966" i="1"/>
  <c r="J826" i="1"/>
  <c r="J708" i="1"/>
  <c r="J587" i="1"/>
  <c r="J464" i="1"/>
  <c r="J364" i="1"/>
  <c r="J249" i="1"/>
  <c r="J151" i="1"/>
  <c r="J92" i="1"/>
  <c r="J1604" i="1"/>
  <c r="J1523" i="1"/>
  <c r="J569" i="1"/>
  <c r="J1390" i="1"/>
  <c r="J638" i="1"/>
  <c r="J58" i="1"/>
  <c r="J997" i="1"/>
  <c r="J500" i="1"/>
  <c r="J254" i="1"/>
  <c r="J1611" i="1"/>
  <c r="J1373" i="1"/>
  <c r="J1184" i="1"/>
  <c r="J921" i="1"/>
  <c r="J666" i="1"/>
  <c r="J431" i="1"/>
  <c r="J244" i="1"/>
  <c r="J44" i="1"/>
  <c r="J1488" i="1"/>
  <c r="J1359" i="1"/>
  <c r="J1242" i="1"/>
  <c r="J1176" i="1"/>
  <c r="J1053" i="1"/>
  <c r="J1525" i="1"/>
  <c r="J884" i="1"/>
  <c r="J690" i="1"/>
  <c r="J511" i="1"/>
  <c r="J267" i="1"/>
  <c r="J1517" i="1"/>
  <c r="J1069" i="1"/>
  <c r="J856" i="1"/>
  <c r="J676" i="1"/>
  <c r="J471" i="1"/>
  <c r="J264" i="1"/>
  <c r="J1621" i="1"/>
  <c r="J1387" i="1"/>
  <c r="J1067" i="1"/>
  <c r="J878" i="1"/>
  <c r="J671" i="1"/>
  <c r="J1460" i="1"/>
  <c r="J785" i="1"/>
  <c r="J566" i="1"/>
  <c r="J217" i="1"/>
  <c r="J1330" i="1"/>
  <c r="J882" i="1"/>
  <c r="J635" i="1"/>
  <c r="J378" i="1"/>
  <c r="J1627" i="1"/>
  <c r="J1382" i="1"/>
  <c r="J973" i="1"/>
  <c r="J712" i="1"/>
  <c r="J438" i="1"/>
  <c r="J256" i="1"/>
  <c r="J52" i="1"/>
  <c r="J1558" i="1"/>
  <c r="J1437" i="1"/>
  <c r="J1267" i="1"/>
  <c r="J838" i="1"/>
  <c r="J689" i="1"/>
  <c r="J510" i="1"/>
  <c r="J348" i="1"/>
  <c r="J1578" i="1"/>
  <c r="J1263" i="1"/>
  <c r="J930" i="1"/>
  <c r="J779" i="1"/>
  <c r="J595" i="1"/>
  <c r="J439" i="1"/>
  <c r="J263" i="1"/>
  <c r="J1573" i="1"/>
  <c r="J1445" i="1"/>
  <c r="J1196" i="1"/>
  <c r="J945" i="1"/>
  <c r="J773" i="1"/>
  <c r="J1582" i="1"/>
  <c r="J722" i="1"/>
  <c r="J417" i="1"/>
  <c r="J1454" i="1"/>
  <c r="J806" i="1"/>
  <c r="J474" i="1"/>
  <c r="J110" i="1"/>
  <c r="J1258" i="1"/>
  <c r="J830" i="1"/>
  <c r="J528" i="1"/>
  <c r="J334" i="1"/>
  <c r="J157" i="1"/>
  <c r="J1614" i="1"/>
  <c r="J1435" i="1"/>
  <c r="J1314" i="1"/>
  <c r="J1186" i="1"/>
  <c r="J993" i="1"/>
  <c r="J849" i="1"/>
  <c r="J705" i="1"/>
  <c r="J496" i="1"/>
  <c r="J365" i="1"/>
  <c r="J246" i="1"/>
  <c r="J97" i="1"/>
  <c r="J1605" i="1"/>
  <c r="J1487" i="1"/>
  <c r="J1308" i="1"/>
  <c r="J1332" i="1"/>
  <c r="J721" i="1"/>
  <c r="J310" i="1"/>
  <c r="J1326" i="1"/>
  <c r="J804" i="1"/>
  <c r="J534" i="1"/>
  <c r="J304" i="1"/>
  <c r="J1565" i="1"/>
  <c r="J1257" i="1"/>
  <c r="J900" i="1"/>
  <c r="J627" i="1"/>
  <c r="J437" i="1"/>
  <c r="J302" i="1"/>
  <c r="J205" i="1"/>
  <c r="J51" i="1"/>
  <c r="J1556" i="1"/>
  <c r="J1434" i="1"/>
  <c r="J1317" i="1"/>
  <c r="J1248" i="1"/>
  <c r="J1122" i="1"/>
  <c r="J992" i="1"/>
  <c r="J873" i="1"/>
  <c r="J740" i="1"/>
  <c r="J624" i="1"/>
  <c r="J495" i="1"/>
  <c r="J368" i="1"/>
  <c r="J290" i="1"/>
  <c r="J197" i="1"/>
  <c r="J96" i="1"/>
  <c r="J1608" i="1"/>
  <c r="J1494" i="1"/>
  <c r="J688" i="1"/>
  <c r="J1577" i="1"/>
  <c r="J777" i="1"/>
  <c r="J262" i="1"/>
  <c r="J1195" i="1"/>
  <c r="J592" i="1"/>
  <c r="J784" i="1"/>
  <c r="J446" i="1"/>
  <c r="J1329" i="1"/>
  <c r="J750" i="1"/>
  <c r="J377" i="1"/>
  <c r="J1509" i="1"/>
  <c r="J972" i="1"/>
  <c r="J559" i="1"/>
  <c r="J685" i="1"/>
  <c r="J1574" i="1"/>
  <c r="J751" i="1"/>
  <c r="J216" i="1"/>
  <c r="J1192" i="1"/>
  <c r="J560" i="1"/>
  <c r="J156" i="1"/>
  <c r="J1498" i="1"/>
  <c r="J954" i="1"/>
  <c r="J602" i="1"/>
  <c r="J114" i="1"/>
  <c r="J1068" i="1"/>
  <c r="J681" i="1"/>
  <c r="J343" i="1"/>
  <c r="J1514" i="1"/>
  <c r="J1030" i="1"/>
  <c r="J670" i="1"/>
  <c r="J601" i="1"/>
  <c r="J1002" i="1"/>
  <c r="J305" i="1"/>
  <c r="J1029" i="1"/>
  <c r="J407" i="1"/>
  <c r="J53" i="1"/>
  <c r="J1375" i="1"/>
  <c r="J1060" i="1"/>
  <c r="J741" i="1"/>
  <c r="J433" i="1"/>
  <c r="J152" i="1"/>
  <c r="J1545" i="1"/>
  <c r="J1300" i="1"/>
  <c r="J537" i="1"/>
  <c r="J928" i="1"/>
  <c r="J411" i="1"/>
  <c r="J1442" i="1"/>
  <c r="J746" i="1"/>
  <c r="J373" i="1"/>
  <c r="J106" i="1"/>
  <c r="J1497" i="1"/>
  <c r="J1309" i="1"/>
  <c r="J1026" i="1"/>
  <c r="J798" i="1"/>
  <c r="J554" i="1"/>
  <c r="J330" i="1"/>
  <c r="J147" i="1"/>
  <c r="J1552" i="1"/>
  <c r="J449" i="1"/>
  <c r="J505" i="1"/>
  <c r="J876" i="1"/>
  <c r="J301" i="1"/>
  <c r="J1555" i="1"/>
  <c r="J1255" i="1"/>
  <c r="J969" i="1"/>
  <c r="J623" i="1"/>
  <c r="J329" i="1"/>
  <c r="J95" i="1"/>
  <c r="J1427" i="1"/>
  <c r="J1301" i="1"/>
  <c r="J1180" i="1"/>
  <c r="J1021" i="1"/>
  <c r="J918" i="1"/>
  <c r="J793" i="1"/>
  <c r="J621" i="1"/>
  <c r="J491" i="1"/>
  <c r="J360" i="1"/>
  <c r="J239" i="1"/>
  <c r="J139" i="1"/>
  <c r="J36" i="1"/>
  <c r="J1540" i="1"/>
  <c r="J1414" i="1"/>
  <c r="J1291" i="1"/>
  <c r="J1223" i="1"/>
  <c r="J1109" i="1"/>
  <c r="J1016" i="1"/>
  <c r="J869" i="1"/>
  <c r="J698" i="1"/>
  <c r="J518" i="1"/>
  <c r="J357" i="1"/>
  <c r="J231" i="1"/>
  <c r="J82" i="1"/>
  <c r="J1591" i="1"/>
  <c r="J1408" i="1"/>
  <c r="J1279" i="1"/>
  <c r="J1154" i="1"/>
  <c r="J1087" i="1"/>
  <c r="J891" i="1"/>
  <c r="J695" i="1"/>
  <c r="J455" i="1"/>
  <c r="J274" i="1"/>
  <c r="J76" i="1"/>
  <c r="J1530" i="1"/>
  <c r="J1336" i="1"/>
  <c r="J1146" i="1"/>
  <c r="J1009" i="1"/>
  <c r="J758" i="1"/>
  <c r="J513" i="1"/>
  <c r="J271" i="1"/>
  <c r="J68" i="1"/>
  <c r="J1398" i="1"/>
  <c r="J1138" i="1"/>
  <c r="J840" i="1"/>
  <c r="J350" i="1"/>
  <c r="J1462" i="1"/>
  <c r="J567" i="1"/>
  <c r="J1389" i="1"/>
  <c r="J637" i="1"/>
  <c r="J1628" i="1"/>
  <c r="J996" i="1"/>
  <c r="J498" i="1"/>
  <c r="J253" i="1"/>
  <c r="J1564" i="1"/>
  <c r="J1372" i="1"/>
  <c r="J1128" i="1"/>
  <c r="J920" i="1"/>
  <c r="J665" i="1"/>
  <c r="J430" i="1"/>
  <c r="J203" i="1"/>
  <c r="J43" i="1"/>
  <c r="J1486" i="1"/>
  <c r="J1358" i="1"/>
  <c r="J1241" i="1"/>
  <c r="J1175" i="1"/>
  <c r="J1052" i="1"/>
  <c r="J940" i="1"/>
  <c r="J821" i="1"/>
  <c r="J659" i="1"/>
  <c r="J521" i="1"/>
  <c r="J363" i="1"/>
  <c r="J242" i="1"/>
  <c r="J142" i="1"/>
  <c r="J39" i="1"/>
  <c r="J1543" i="1"/>
  <c r="J1417" i="1"/>
  <c r="J1294" i="1"/>
  <c r="J1226" i="1"/>
  <c r="J1160" i="1"/>
  <c r="J1047" i="1"/>
  <c r="J915" i="1"/>
  <c r="J732" i="1"/>
  <c r="J547" i="1"/>
  <c r="J391" i="1"/>
  <c r="J234" i="1"/>
  <c r="J129" i="1"/>
  <c r="J1594" i="1"/>
  <c r="J1411" i="1"/>
  <c r="J1282" i="1"/>
  <c r="J1157" i="1"/>
  <c r="J1090" i="1"/>
  <c r="J935" i="1"/>
  <c r="J730" i="1"/>
  <c r="J515" i="1"/>
  <c r="J277" i="1"/>
  <c r="J125" i="1"/>
  <c r="J1586" i="1"/>
  <c r="J1339" i="1"/>
  <c r="J1149" i="1"/>
  <c r="J1040" i="1"/>
  <c r="J788" i="1"/>
  <c r="J543" i="1"/>
  <c r="J313" i="1"/>
  <c r="J71" i="1"/>
  <c r="J1463" i="1"/>
  <c r="J1141" i="1"/>
  <c r="J911" i="1"/>
  <c r="J451" i="1"/>
  <c r="J65" i="1"/>
  <c r="J640" i="1"/>
  <c r="J717" i="1"/>
  <c r="J1065" i="1"/>
  <c r="J259" i="1"/>
  <c r="J1377" i="1"/>
  <c r="J944" i="1"/>
  <c r="J463" i="1"/>
  <c r="J48" i="1"/>
  <c r="J1362" i="1"/>
  <c r="J1178" i="1"/>
  <c r="J964" i="1"/>
  <c r="J701" i="1"/>
  <c r="J396" i="1"/>
  <c r="J187" i="1"/>
  <c r="J1596" i="1"/>
  <c r="J1349" i="1"/>
  <c r="J1163" i="1"/>
  <c r="J938" i="1"/>
  <c r="J579" i="1"/>
  <c r="J278" i="1"/>
  <c r="J27" i="1"/>
  <c r="J1285" i="1"/>
  <c r="J1093" i="1"/>
  <c r="J761" i="1"/>
  <c r="J756" i="1"/>
  <c r="J415" i="1"/>
  <c r="J1265" i="1"/>
  <c r="J720" i="1"/>
  <c r="J345" i="1"/>
  <c r="J1452" i="1"/>
  <c r="J947" i="1"/>
  <c r="J530" i="1"/>
  <c r="J643" i="1"/>
  <c r="J1518" i="1"/>
  <c r="J719" i="1"/>
  <c r="J164" i="1"/>
  <c r="J1129" i="1"/>
  <c r="J529" i="1"/>
  <c r="J108" i="1"/>
  <c r="J1441" i="1"/>
  <c r="J863" i="1"/>
  <c r="J570" i="1"/>
  <c r="J1632" i="1"/>
  <c r="J975" i="1"/>
  <c r="J675" i="1"/>
  <c r="J307" i="1"/>
  <c r="J1450" i="1"/>
  <c r="J999" i="1"/>
  <c r="J630" i="1"/>
  <c r="J480" i="1"/>
  <c r="J929" i="1"/>
  <c r="J214" i="1"/>
  <c r="J901" i="1"/>
  <c r="J374" i="1"/>
  <c r="J1619" i="1"/>
  <c r="J1318" i="1"/>
  <c r="J1056" i="1"/>
  <c r="J709" i="1"/>
  <c r="J398" i="1"/>
  <c r="J148" i="1"/>
  <c r="J1491" i="1"/>
  <c r="J1581" i="1"/>
  <c r="J478" i="1"/>
  <c r="J858" i="1"/>
  <c r="J346" i="1"/>
  <c r="J1324" i="1"/>
  <c r="J673" i="1"/>
  <c r="J338" i="1"/>
  <c r="J101" i="1"/>
  <c r="J1439" i="1"/>
  <c r="J1252" i="1"/>
  <c r="J1022" i="1"/>
  <c r="J770" i="1"/>
  <c r="J525" i="1"/>
  <c r="J294" i="1"/>
  <c r="J100" i="1"/>
  <c r="J1548" i="1"/>
  <c r="J265" i="1"/>
  <c r="J380" i="1"/>
  <c r="J742" i="1"/>
  <c r="J159" i="1"/>
  <c r="J1496" i="1"/>
  <c r="J1247" i="1"/>
  <c r="J851" i="1"/>
  <c r="J553" i="1"/>
  <c r="J289" i="1"/>
  <c r="J1607" i="1"/>
  <c r="J1422" i="1"/>
  <c r="J1246" i="1"/>
  <c r="J1121" i="1"/>
  <c r="J1017" i="1"/>
  <c r="J894" i="1"/>
  <c r="J737" i="1"/>
  <c r="J617" i="1"/>
  <c r="J459" i="1"/>
  <c r="J324" i="1"/>
  <c r="J193" i="1"/>
  <c r="J135" i="1"/>
  <c r="J32" i="1"/>
  <c r="J1483" i="1"/>
  <c r="J1355" i="1"/>
  <c r="J1287" i="1"/>
  <c r="J1169" i="1"/>
  <c r="J1105" i="1"/>
  <c r="J987" i="1"/>
  <c r="J820" i="1"/>
  <c r="J653" i="1"/>
  <c r="J487" i="1"/>
  <c r="J320" i="1"/>
  <c r="J182" i="1"/>
  <c r="J78" i="1"/>
  <c r="J1535" i="1"/>
  <c r="J1346" i="1"/>
  <c r="J1220" i="1"/>
  <c r="J1150" i="1"/>
  <c r="J1041" i="1"/>
  <c r="J843" i="1"/>
  <c r="J612" i="1"/>
  <c r="J390" i="1"/>
  <c r="J227" i="1"/>
  <c r="J72" i="1"/>
  <c r="J1468" i="1"/>
  <c r="J1274" i="1"/>
  <c r="J1086" i="1"/>
  <c r="J957" i="1"/>
  <c r="J693" i="1"/>
  <c r="J452" i="1"/>
  <c r="J222" i="1"/>
  <c r="J16" i="1"/>
  <c r="J1271" i="1"/>
  <c r="J1074" i="1"/>
  <c r="J727" i="1"/>
  <c r="J268" i="1"/>
  <c r="J931" i="1"/>
  <c r="J448" i="1"/>
  <c r="J1033" i="1"/>
  <c r="J503" i="1"/>
  <c r="J1511" i="1"/>
  <c r="J855" i="1"/>
  <c r="J435" i="1"/>
  <c r="J158" i="1"/>
  <c r="J1505" i="1"/>
  <c r="J1315" i="1"/>
  <c r="J1061" i="1"/>
  <c r="J850" i="1"/>
  <c r="J622" i="1"/>
  <c r="J366" i="1"/>
  <c r="J195" i="1"/>
  <c r="J1606" i="1"/>
  <c r="J1426" i="1"/>
  <c r="J1305" i="1"/>
  <c r="J1237" i="1"/>
  <c r="J1120" i="1"/>
  <c r="J1020" i="1"/>
  <c r="J917" i="1"/>
  <c r="J767" i="1"/>
  <c r="J620" i="1"/>
  <c r="J490" i="1"/>
  <c r="J327" i="1"/>
  <c r="J238" i="1"/>
  <c r="J138" i="1"/>
  <c r="J35" i="1"/>
  <c r="J1539" i="1"/>
  <c r="J1413" i="1"/>
  <c r="J1290" i="1"/>
  <c r="J1172" i="1"/>
  <c r="J1108" i="1"/>
  <c r="J1015" i="1"/>
  <c r="J868" i="1"/>
  <c r="J656" i="1"/>
  <c r="J517" i="1"/>
  <c r="J356" i="1"/>
  <c r="J185" i="1"/>
  <c r="J81" i="1"/>
  <c r="J1590" i="1"/>
  <c r="J1407" i="1"/>
  <c r="J1278" i="1"/>
  <c r="J1153" i="1"/>
  <c r="J1044" i="1"/>
  <c r="J890" i="1"/>
  <c r="J652" i="1"/>
  <c r="J454" i="1"/>
  <c r="J230" i="1"/>
  <c r="J75" i="1"/>
  <c r="J1529" i="1"/>
  <c r="J1277" i="1"/>
  <c r="J1145" i="1"/>
  <c r="J1008" i="1"/>
  <c r="J729" i="1"/>
  <c r="J484" i="1"/>
  <c r="J225" i="1"/>
  <c r="J19" i="1"/>
  <c r="J1335" i="1"/>
  <c r="J1077" i="1"/>
  <c r="J814" i="1"/>
  <c r="J312" i="1"/>
  <c r="J862" i="1"/>
  <c r="J383" i="1"/>
  <c r="J443" i="1"/>
  <c r="J801" i="1"/>
  <c r="J154" i="1"/>
  <c r="J1312" i="1"/>
  <c r="J825" i="1"/>
  <c r="J333" i="1"/>
  <c r="J1603" i="1"/>
  <c r="J1303" i="1"/>
  <c r="J1119" i="1"/>
  <c r="J896" i="1"/>
  <c r="J619" i="1"/>
  <c r="J326" i="1"/>
  <c r="J137" i="1"/>
  <c r="J1538" i="1"/>
  <c r="J1289" i="1"/>
  <c r="J1107" i="1"/>
  <c r="J845" i="1"/>
  <c r="J489" i="1"/>
  <c r="J184" i="1"/>
  <c r="J1537" i="1"/>
  <c r="J1222" i="1"/>
  <c r="J1043" i="1"/>
  <c r="J651" i="1"/>
  <c r="J229" i="1"/>
  <c r="J1470" i="1"/>
  <c r="J1144" i="1"/>
  <c r="J728" i="1"/>
  <c r="J224" i="1"/>
  <c r="J1334" i="1"/>
  <c r="J786" i="1"/>
  <c r="J509" i="1"/>
  <c r="J400" i="1"/>
  <c r="J1367" i="1"/>
  <c r="J990" i="1"/>
  <c r="J520" i="1"/>
  <c r="J38" i="1"/>
  <c r="J1167" i="1"/>
  <c r="J700" i="1"/>
  <c r="J128" i="1"/>
  <c r="J1218" i="1"/>
  <c r="J610" i="1"/>
  <c r="J1466" i="1"/>
  <c r="J648" i="1"/>
  <c r="J1400" i="1"/>
  <c r="J508" i="1"/>
  <c r="J1319" i="1"/>
  <c r="J1436" i="1"/>
  <c r="J626" i="1"/>
  <c r="J1429" i="1"/>
  <c r="J1114" i="1"/>
  <c r="J582" i="1"/>
  <c r="J140" i="1"/>
  <c r="J1292" i="1"/>
  <c r="J892" i="1"/>
  <c r="J232" i="1"/>
  <c r="J1280" i="1"/>
  <c r="J817" i="1"/>
  <c r="J22" i="1"/>
  <c r="J912" i="1"/>
  <c r="J1583" i="1"/>
  <c r="J169" i="1"/>
  <c r="J1458" i="1"/>
  <c r="J160" i="1"/>
  <c r="J556" i="1"/>
  <c r="J1615" i="1"/>
  <c r="J1187" i="1"/>
  <c r="J706" i="1"/>
  <c r="J247" i="1"/>
  <c r="J1489" i="1"/>
  <c r="J1243" i="1"/>
  <c r="J1054" i="1"/>
  <c r="J823" i="1"/>
  <c r="J549" i="1"/>
  <c r="J283" i="1"/>
  <c r="J85" i="1"/>
  <c r="J1419" i="1"/>
  <c r="J1228" i="1"/>
  <c r="J1049" i="1"/>
  <c r="J734" i="1"/>
  <c r="J393" i="1"/>
  <c r="J131" i="1"/>
  <c r="J1071" i="1"/>
  <c r="J1633" i="1"/>
  <c r="J562" i="1"/>
  <c r="J1260" i="1"/>
  <c r="J910" i="1"/>
  <c r="J1004" i="1"/>
  <c r="J1510" i="1"/>
  <c r="J339" i="1"/>
  <c r="J1636" i="1"/>
  <c r="J476" i="1"/>
  <c r="J834" i="1"/>
  <c r="J111" i="1"/>
  <c r="J877" i="1"/>
  <c r="J1631" i="1"/>
  <c r="J1507" i="1"/>
  <c r="J257" i="1"/>
  <c r="J1249" i="1"/>
  <c r="J588" i="1"/>
  <c r="J46" i="1"/>
  <c r="J835" i="1"/>
  <c r="J678" i="1"/>
  <c r="J1027" i="1"/>
  <c r="J255" i="1"/>
  <c r="J1374" i="1"/>
  <c r="J922" i="1"/>
  <c r="J432" i="1"/>
  <c r="J45" i="1"/>
  <c r="J1034" i="1"/>
  <c r="J436" i="1"/>
  <c r="J1432" i="1"/>
  <c r="J797" i="1"/>
  <c r="J196" i="1"/>
  <c r="J1365" i="1"/>
  <c r="J1117" i="1"/>
  <c r="J848" i="1"/>
  <c r="J581" i="1"/>
  <c r="J286" i="1"/>
  <c r="J88" i="1"/>
  <c r="J1479" i="1"/>
  <c r="J1231" i="1"/>
  <c r="J1101" i="1"/>
  <c r="J764" i="1"/>
  <c r="J425" i="1"/>
  <c r="J134" i="1"/>
  <c r="J1475" i="1"/>
  <c r="J1216" i="1"/>
  <c r="J984" i="1"/>
  <c r="J576" i="1"/>
  <c r="J176" i="1"/>
  <c r="J1404" i="1"/>
  <c r="J1082" i="1"/>
  <c r="J609" i="1"/>
  <c r="J170" i="1"/>
  <c r="J1207" i="1"/>
  <c r="J605" i="1"/>
  <c r="J809" i="1"/>
  <c r="J883" i="1"/>
  <c r="J1384" i="1"/>
  <c r="J370" i="1"/>
  <c r="J1495" i="1"/>
  <c r="J1024" i="1"/>
  <c r="J552" i="1"/>
  <c r="J145" i="1"/>
  <c r="J1421" i="1"/>
  <c r="J1183" i="1"/>
  <c r="J991" i="1"/>
  <c r="J736" i="1"/>
  <c r="J429" i="1"/>
  <c r="J192" i="1"/>
  <c r="J1601" i="1"/>
  <c r="J1354" i="1"/>
  <c r="J1168" i="1"/>
  <c r="J986" i="1"/>
  <c r="J616" i="1"/>
  <c r="J319" i="1"/>
  <c r="J77" i="1"/>
  <c r="J1345" i="1"/>
  <c r="J1098" i="1"/>
  <c r="J842" i="1"/>
  <c r="J389" i="1"/>
  <c r="J24" i="1"/>
  <c r="J1273" i="1"/>
  <c r="J956" i="1"/>
  <c r="J420" i="1"/>
  <c r="J1585" i="1"/>
  <c r="J1073" i="1"/>
  <c r="J221" i="1"/>
  <c r="J1459" i="1"/>
  <c r="J557" i="1"/>
  <c r="J1188" i="1"/>
  <c r="J248" i="1"/>
  <c r="J1244" i="1"/>
  <c r="J846" i="1"/>
  <c r="J284" i="1"/>
  <c r="J1477" i="1"/>
  <c r="J1099" i="1"/>
  <c r="J423" i="1"/>
  <c r="J1473" i="1"/>
  <c r="J959" i="1"/>
  <c r="J318" i="1"/>
  <c r="J1402" i="1"/>
  <c r="J982" i="1"/>
  <c r="J351" i="1"/>
  <c r="J1205" i="1"/>
  <c r="J270" i="1"/>
  <c r="J769" i="1"/>
  <c r="J1298" i="1"/>
  <c r="J735" i="1"/>
  <c r="J141" i="1"/>
  <c r="J1111" i="1"/>
  <c r="J359" i="1"/>
  <c r="J1281" i="1"/>
  <c r="J388" i="1"/>
  <c r="J1084" i="1"/>
  <c r="J1584" i="1"/>
  <c r="J1200" i="1"/>
  <c r="J336" i="1"/>
  <c r="J875" i="1"/>
  <c r="J1307" i="1"/>
  <c r="J870" i="1"/>
  <c r="J190" i="1"/>
  <c r="J1224" i="1"/>
  <c r="J519" i="1"/>
  <c r="J1409" i="1"/>
  <c r="J577" i="1"/>
  <c r="J1213" i="1"/>
  <c r="J171" i="1"/>
  <c r="J1202" i="1"/>
  <c r="J715" i="1"/>
  <c r="J800" i="1"/>
  <c r="J1500" i="1"/>
  <c r="J943" i="1"/>
  <c r="J332" i="1"/>
  <c r="J1423" i="1"/>
  <c r="J1177" i="1"/>
  <c r="J895" i="1"/>
  <c r="J460" i="1"/>
  <c r="J186" i="1"/>
  <c r="J1484" i="1"/>
  <c r="J1170" i="1"/>
  <c r="J937" i="1"/>
  <c r="J488" i="1"/>
  <c r="J79" i="1"/>
  <c r="J1347" i="1"/>
  <c r="J1151" i="1"/>
  <c r="J866" i="1"/>
  <c r="J421" i="1"/>
  <c r="J73" i="1"/>
  <c r="J1275" i="1"/>
  <c r="J981" i="1"/>
  <c r="J453" i="1"/>
  <c r="J17" i="1"/>
  <c r="J1075" i="1"/>
  <c r="J269" i="1"/>
  <c r="J1262" i="1"/>
  <c r="J1572" i="1"/>
  <c r="J468" i="1"/>
  <c r="J1560" i="1"/>
  <c r="J897" i="1"/>
  <c r="J40" i="1"/>
  <c r="J1174" i="1"/>
  <c r="J583" i="1"/>
  <c r="J90" i="1"/>
  <c r="J1293" i="1"/>
  <c r="J792" i="1"/>
  <c r="J180" i="1"/>
  <c r="J1156" i="1"/>
  <c r="J486" i="1"/>
  <c r="J1338" i="1"/>
  <c r="J542" i="1"/>
  <c r="J1072" i="1"/>
  <c r="J726" i="1"/>
  <c r="J924" i="1"/>
  <c r="J1250" i="1"/>
  <c r="J292" i="1"/>
  <c r="J1239" i="1"/>
  <c r="J794" i="1"/>
  <c r="J240" i="1"/>
  <c r="J1352" i="1"/>
  <c r="J962" i="1"/>
  <c r="J281" i="1"/>
  <c r="J1343" i="1"/>
  <c r="J696" i="1"/>
  <c r="J1531" i="1"/>
  <c r="J759" i="1"/>
  <c r="J1399" i="1"/>
  <c r="J14" i="1"/>
  <c r="J189" i="1"/>
  <c r="J1095" i="1"/>
  <c r="J21" i="1"/>
  <c r="J889" i="1"/>
  <c r="J1036" i="1"/>
  <c r="J219" i="1"/>
  <c r="J713" i="1"/>
  <c r="J1254" i="1"/>
  <c r="J328" i="1"/>
  <c r="J1299" i="1"/>
  <c r="J872" i="1"/>
  <c r="J323" i="1"/>
  <c r="J1482" i="1"/>
  <c r="J1104" i="1"/>
  <c r="J458" i="1"/>
  <c r="J1534" i="1"/>
  <c r="J611" i="1"/>
  <c r="J1467" i="1"/>
  <c r="J649" i="1"/>
  <c r="J1270" i="1"/>
  <c r="J753" i="1"/>
  <c r="J1617" i="1"/>
  <c r="J1490" i="1"/>
  <c r="J550" i="1"/>
  <c r="J1229" i="1"/>
  <c r="J132" i="1"/>
  <c r="J545" i="1"/>
  <c r="J1210" i="1"/>
  <c r="J18" i="1"/>
  <c r="J1251" i="1"/>
  <c r="J1115" i="1"/>
  <c r="J1416" i="1"/>
  <c r="J1593" i="1"/>
  <c r="J23" i="1"/>
  <c r="J888" i="1"/>
  <c r="J1368" i="1"/>
  <c r="J1181" i="1"/>
  <c r="J1541" i="1"/>
  <c r="J83" i="1"/>
  <c r="J177" i="1"/>
  <c r="J381" i="1"/>
  <c r="J258" i="1"/>
  <c r="J585" i="1"/>
  <c r="J1302" i="1"/>
  <c r="J661" i="1"/>
  <c r="J1348" i="1"/>
  <c r="J654" i="1"/>
  <c r="J1536" i="1"/>
  <c r="J1221" i="1"/>
  <c r="J650" i="1"/>
  <c r="J1469" i="1"/>
  <c r="J694" i="1"/>
  <c r="J1333" i="1"/>
  <c r="J861" i="1"/>
  <c r="J926" i="1"/>
  <c r="J209" i="1"/>
  <c r="J524" i="1"/>
  <c r="J939" i="1"/>
  <c r="J1481" i="1"/>
  <c r="J1103" i="1"/>
  <c r="J1533" i="1"/>
  <c r="J124" i="1"/>
  <c r="J70" i="1"/>
  <c r="J220" i="1"/>
  <c r="J207" i="1"/>
  <c r="J1546" i="1"/>
  <c r="J492" i="1"/>
  <c r="J1599" i="1"/>
  <c r="J979" i="1"/>
  <c r="J1629" i="1"/>
  <c r="J533" i="1"/>
  <c r="J1256" i="1"/>
  <c r="J885" i="1"/>
  <c r="J976" i="1"/>
  <c r="J1451" i="1"/>
  <c r="J335" i="1"/>
  <c r="J1524" i="1"/>
  <c r="J384" i="1"/>
  <c r="J807" i="1"/>
  <c r="J59" i="1"/>
  <c r="J803" i="1"/>
  <c r="J1520" i="1"/>
  <c r="J1443" i="1"/>
  <c r="J206" i="1"/>
  <c r="J1190" i="1"/>
  <c r="J555" i="1"/>
  <c r="J1609" i="1"/>
  <c r="J781" i="1"/>
  <c r="J597" i="1"/>
  <c r="J948" i="1"/>
  <c r="J210" i="1"/>
  <c r="J1370" i="1"/>
  <c r="J898" i="1"/>
  <c r="J401" i="1"/>
  <c r="J41" i="1"/>
  <c r="J905" i="1"/>
  <c r="J371" i="1"/>
  <c r="J1316" i="1"/>
  <c r="J739" i="1"/>
  <c r="J146" i="1"/>
  <c r="J1306" i="1"/>
  <c r="J1113" i="1"/>
  <c r="J822" i="1"/>
  <c r="J522" i="1"/>
  <c r="J243" i="1"/>
  <c r="J84" i="1"/>
  <c r="J1418" i="1"/>
  <c r="J1227" i="1"/>
  <c r="J1048" i="1"/>
  <c r="J733" i="1"/>
  <c r="J392" i="1"/>
  <c r="J130" i="1"/>
  <c r="J1471" i="1"/>
  <c r="J1158" i="1"/>
  <c r="J936" i="1"/>
  <c r="J516" i="1"/>
  <c r="J126" i="1"/>
  <c r="J1340" i="1"/>
  <c r="J1078" i="1"/>
  <c r="J573" i="1"/>
  <c r="J119" i="1"/>
  <c r="J1142" i="1"/>
  <c r="J482" i="1"/>
  <c r="J687" i="1"/>
  <c r="J776" i="1"/>
  <c r="J1193" i="1"/>
  <c r="J299" i="1"/>
  <c r="J1431" i="1"/>
  <c r="J968" i="1"/>
  <c r="J493" i="1"/>
  <c r="J94" i="1"/>
  <c r="J1363" i="1"/>
  <c r="J1179" i="1"/>
  <c r="J965" i="1"/>
  <c r="J702" i="1"/>
  <c r="J397" i="1"/>
  <c r="J188" i="1"/>
  <c r="J1597" i="1"/>
  <c r="J1350" i="1"/>
  <c r="J1164" i="1"/>
  <c r="J960" i="1"/>
  <c r="J580" i="1"/>
  <c r="J279" i="1"/>
  <c r="J28" i="1"/>
  <c r="J1341" i="1"/>
  <c r="J1094" i="1"/>
  <c r="J789" i="1"/>
  <c r="J353" i="1"/>
  <c r="J20" i="1"/>
  <c r="J1211" i="1"/>
  <c r="J865" i="1"/>
  <c r="J352" i="1"/>
  <c r="J1527" i="1"/>
  <c r="J1007" i="1"/>
  <c r="J118" i="1"/>
  <c r="J952" i="1"/>
  <c r="J405" i="1"/>
  <c r="J1058" i="1"/>
  <c r="J150" i="1"/>
  <c r="J1236" i="1"/>
  <c r="J766" i="1"/>
  <c r="J237" i="1"/>
  <c r="J1412" i="1"/>
  <c r="J1014" i="1"/>
  <c r="J322" i="1"/>
  <c r="J1406" i="1"/>
  <c r="J867" i="1"/>
  <c r="J174" i="1"/>
  <c r="J1276" i="1"/>
  <c r="J841" i="1"/>
  <c r="J121" i="1"/>
  <c r="J1076" i="1"/>
  <c r="J117" i="1"/>
  <c r="J200" i="1"/>
  <c r="J1182" i="1"/>
  <c r="J658" i="1"/>
  <c r="J1542" i="1"/>
  <c r="J1046" i="1"/>
  <c r="J233" i="1"/>
  <c r="J1097" i="1"/>
  <c r="J178" i="1"/>
  <c r="J934" i="1"/>
  <c r="J1140" i="1"/>
  <c r="J564" i="1"/>
  <c r="J54" i="1"/>
  <c r="J399" i="1"/>
  <c r="J1297" i="1"/>
  <c r="J704" i="1"/>
  <c r="J37" i="1"/>
  <c r="J1110" i="1"/>
  <c r="J358" i="1"/>
  <c r="J1155" i="1"/>
  <c r="J355" i="1"/>
  <c r="J1083" i="1"/>
  <c r="J1268" i="1"/>
  <c r="J639" i="1"/>
  <c r="J442" i="1"/>
  <c r="J403" i="1"/>
  <c r="J1376" i="1"/>
  <c r="J824" i="1"/>
  <c r="J149" i="1"/>
  <c r="J1361" i="1"/>
  <c r="J1118" i="1"/>
  <c r="J765" i="1"/>
  <c r="J395" i="1"/>
  <c r="J136" i="1"/>
  <c r="J1356" i="1"/>
  <c r="J1162" i="1"/>
  <c r="J844" i="1"/>
  <c r="J321" i="1"/>
  <c r="J26" i="1"/>
  <c r="J1284" i="1"/>
  <c r="J1092" i="1"/>
  <c r="J760" i="1"/>
  <c r="J317" i="1"/>
  <c r="J1588" i="1"/>
  <c r="J1209" i="1"/>
  <c r="J816" i="1"/>
  <c r="J315" i="1"/>
  <c r="J1465" i="1"/>
  <c r="J955" i="1"/>
  <c r="J67" i="1"/>
  <c r="J833" i="1"/>
  <c r="J1320" i="1"/>
  <c r="J337" i="1"/>
  <c r="J1438" i="1"/>
  <c r="J662" i="1"/>
  <c r="J1485" i="1"/>
  <c r="J1051" i="1"/>
  <c r="J428" i="1"/>
  <c r="J1600" i="1"/>
  <c r="J1225" i="1"/>
  <c r="J615" i="1"/>
  <c r="J31" i="1"/>
  <c r="J1089" i="1"/>
  <c r="J276" i="1"/>
  <c r="J1148" i="1"/>
  <c r="J273" i="1"/>
  <c r="J646" i="1"/>
  <c r="J62" i="1"/>
  <c r="J467" i="1"/>
  <c r="J994" i="1"/>
  <c r="J98" i="1"/>
  <c r="J1173" i="1"/>
  <c r="J657" i="1"/>
  <c r="J89" i="1"/>
  <c r="J1232" i="1"/>
  <c r="J791" i="1"/>
  <c r="J179" i="1"/>
  <c r="J1217" i="1"/>
  <c r="J485" i="1"/>
  <c r="J1337" i="1"/>
  <c r="J514" i="1"/>
  <c r="J1139" i="1"/>
  <c r="J13" i="1"/>
  <c r="J603" i="1"/>
  <c r="J949" i="1"/>
  <c r="J112" i="1"/>
  <c r="J774" i="1"/>
  <c r="J447" i="1"/>
  <c r="J502" i="1"/>
  <c r="J853" i="1"/>
  <c r="J1616" i="1"/>
  <c r="J754" i="1"/>
  <c r="J1455" i="1"/>
  <c r="J531" i="1"/>
  <c r="J1322" i="1"/>
  <c r="J887" i="1"/>
  <c r="J679" i="1"/>
  <c r="J629" i="1"/>
  <c r="J1504" i="1"/>
  <c r="J942" i="1"/>
  <c r="J291" i="1"/>
  <c r="J1420" i="1"/>
  <c r="J1630" i="1"/>
  <c r="J109" i="1"/>
  <c r="J527" i="1"/>
  <c r="J1613" i="1"/>
  <c r="J1185" i="1"/>
  <c r="J667" i="1"/>
  <c r="J245" i="1"/>
  <c r="J953" i="1"/>
  <c r="J1512" i="1"/>
  <c r="J105" i="1"/>
  <c r="J1062" i="1"/>
  <c r="J494" i="1"/>
  <c r="J1551" i="1"/>
  <c r="J1238" i="1"/>
  <c r="J988" i="1"/>
  <c r="J703" i="1"/>
  <c r="J426" i="1"/>
  <c r="J1598" i="1"/>
  <c r="J1351" i="1"/>
  <c r="J1165" i="1"/>
  <c r="J961" i="1"/>
  <c r="J613" i="1"/>
  <c r="J280" i="1"/>
  <c r="J29" i="1"/>
  <c r="J1342" i="1"/>
  <c r="J790" i="1"/>
  <c r="J354" i="1"/>
  <c r="J1212" i="1"/>
  <c r="J386" i="1"/>
  <c r="J1528" i="1"/>
  <c r="J168" i="1"/>
  <c r="J379" i="1"/>
  <c r="J103" i="1"/>
  <c r="J796" i="1"/>
  <c r="J1550" i="1"/>
  <c r="J1116" i="1"/>
  <c r="J584" i="1"/>
  <c r="J91" i="1"/>
  <c r="J1286" i="1"/>
  <c r="J819" i="1"/>
  <c r="J181" i="1"/>
  <c r="J1219" i="1"/>
  <c r="J1012" i="1"/>
  <c r="J226" i="1"/>
  <c r="J1085" i="1"/>
  <c r="J173" i="1"/>
  <c r="J692" i="1"/>
  <c r="J161" i="1"/>
  <c r="J707" i="1"/>
  <c r="J1055" i="1"/>
  <c r="J86" i="1"/>
  <c r="J762" i="1"/>
  <c r="J1214" i="1"/>
  <c r="J74" i="1"/>
  <c r="J607" i="1"/>
  <c r="J980" i="1"/>
  <c r="J99" i="1"/>
  <c r="J362" i="1"/>
  <c r="J893" i="1"/>
  <c r="J1011" i="1"/>
  <c r="J419" i="1"/>
  <c r="J340" i="1"/>
  <c r="J199" i="1"/>
  <c r="J427" i="1"/>
  <c r="J1045" i="1"/>
  <c r="J1088" i="1"/>
  <c r="J647" i="1"/>
  <c r="J1037" i="1"/>
  <c r="J1447" i="1"/>
  <c r="J1311" i="1"/>
  <c r="J47" i="1"/>
  <c r="J1018" i="1"/>
  <c r="J325" i="1"/>
  <c r="J33" i="1"/>
  <c r="J1106" i="1"/>
  <c r="J236" i="1"/>
  <c r="J1042" i="1"/>
  <c r="J228" i="1"/>
  <c r="J1143" i="1"/>
  <c r="J223" i="1"/>
  <c r="J757" i="1"/>
  <c r="J565" i="1"/>
  <c r="J1369" i="1"/>
  <c r="J1357" i="1"/>
  <c r="J288" i="1"/>
  <c r="J457" i="1"/>
  <c r="J914" i="1"/>
  <c r="J1039" i="1"/>
  <c r="J832" i="1"/>
  <c r="J768" i="1"/>
  <c r="J1050" i="1"/>
  <c r="J1166" i="1"/>
  <c r="J745" i="1"/>
  <c r="J1562" i="1"/>
  <c r="J1259" i="1"/>
  <c r="J1499" i="1"/>
  <c r="J1394" i="1"/>
  <c r="J1126" i="1"/>
  <c r="J1385" i="1"/>
  <c r="J1493" i="1"/>
  <c r="J394" i="1"/>
  <c r="J1161" i="1"/>
  <c r="J25" i="1"/>
  <c r="J316" i="1"/>
  <c r="J314" i="1"/>
  <c r="J1575" i="1"/>
  <c r="J1191" i="1"/>
  <c r="J1245" i="1"/>
  <c r="J285" i="1"/>
  <c r="J1100" i="1"/>
  <c r="J1474" i="1"/>
  <c r="J175" i="1"/>
  <c r="J122" i="1"/>
  <c r="J1449" i="1"/>
  <c r="J1019" i="1"/>
  <c r="J655" i="1"/>
  <c r="J1589" i="1"/>
  <c r="J541" i="1"/>
  <c r="J241" i="1"/>
  <c r="J818" i="1"/>
  <c r="J668" i="1"/>
  <c r="J287" i="1"/>
  <c r="J1010" i="1"/>
  <c r="J951" i="1"/>
  <c r="J462" i="1"/>
  <c r="J618" i="1"/>
  <c r="J1159" i="1"/>
  <c r="J1204" i="1"/>
  <c r="J985" i="1"/>
  <c r="J919" i="1"/>
  <c r="J864" i="1"/>
  <c r="J414" i="1"/>
  <c r="J724" i="1"/>
  <c r="J1623" i="1"/>
  <c r="J50" i="1"/>
  <c r="J143" i="1"/>
  <c r="J1283" i="1"/>
  <c r="J1587" i="1"/>
  <c r="J261" i="1"/>
  <c r="J1112" i="1"/>
  <c r="J763" i="1"/>
  <c r="J1403" i="1"/>
  <c r="J461" i="1"/>
  <c r="J1080" i="1"/>
  <c r="J1233" i="1"/>
  <c r="J1124" i="1"/>
  <c r="J1415" i="1"/>
  <c r="J1064" i="1"/>
  <c r="J194" i="1"/>
  <c r="J958" i="1"/>
  <c r="J512" i="1"/>
  <c r="J282" i="1"/>
  <c r="J1559" i="1"/>
  <c r="J456" i="1"/>
  <c r="J1038" i="1"/>
  <c r="J385" i="1"/>
  <c r="J927" i="1"/>
  <c r="J1392" i="1"/>
  <c r="J250" i="1"/>
  <c r="J201" i="1"/>
  <c r="J941" i="1"/>
  <c r="J1544" i="1"/>
  <c r="J1091" i="1"/>
  <c r="J933" i="1"/>
  <c r="J251" i="1"/>
  <c r="J1478" i="1"/>
  <c r="J1081" i="1"/>
  <c r="J586" i="1"/>
  <c r="J1152" i="1"/>
  <c r="J1547" i="1"/>
  <c r="J172" i="1"/>
  <c r="J699" i="1"/>
  <c r="J387" i="1"/>
  <c r="J1235" i="1"/>
  <c r="J183" i="1"/>
  <c r="J63" i="1"/>
  <c r="J191" i="1"/>
  <c r="J1269" i="1"/>
  <c r="J1480" i="1"/>
  <c r="J275" i="1"/>
  <c r="J272" i="1"/>
  <c r="J61" i="1"/>
  <c r="J827" i="1"/>
  <c r="J444" i="1"/>
  <c r="J589" i="1"/>
  <c r="J1364" i="1"/>
  <c r="J1561" i="1"/>
  <c r="J810" i="1"/>
  <c r="J367" i="1"/>
  <c r="J660" i="1"/>
  <c r="J1295" i="1"/>
  <c r="J235" i="1"/>
  <c r="J731" i="1"/>
  <c r="J815" i="1"/>
  <c r="J66" i="1"/>
  <c r="J49" i="1"/>
  <c r="J1492" i="1"/>
  <c r="J551" i="1"/>
  <c r="J1230" i="1"/>
  <c r="J133" i="1"/>
  <c r="J575" i="1"/>
  <c r="J608" i="1"/>
  <c r="J1203" i="1"/>
  <c r="J1425" i="1"/>
  <c r="J1171" i="1"/>
  <c r="J422" i="1"/>
  <c r="J1526" i="1"/>
  <c r="J871" i="1"/>
  <c r="J1410" i="1"/>
  <c r="J418" i="1"/>
  <c r="J989" i="1"/>
  <c r="J1592" i="1"/>
  <c r="J606" i="1"/>
  <c r="J1057" i="1"/>
  <c r="J963" i="1"/>
  <c r="J1288" i="1"/>
  <c r="J1472" i="1"/>
  <c r="J127" i="1"/>
  <c r="J120" i="1"/>
  <c r="J342" i="1"/>
  <c r="J293" i="1"/>
  <c r="J1353" i="1"/>
  <c r="J697" i="1"/>
  <c r="J15" i="1"/>
  <c r="J1366" i="1"/>
  <c r="J1102" i="1"/>
  <c r="J1476" i="1"/>
  <c r="J123" i="1"/>
  <c r="J69" i="1"/>
  <c r="J1013" i="1"/>
  <c r="J1401" i="1"/>
  <c r="J669" i="1"/>
  <c r="J1240" i="1"/>
  <c r="J1532" i="1"/>
  <c r="J1571" i="1"/>
  <c r="J614" i="1"/>
  <c r="J1096" i="1"/>
  <c r="J1147" i="1"/>
  <c r="J599" i="1"/>
  <c r="J837" i="1"/>
  <c r="J874" i="1"/>
  <c r="J663" i="1"/>
  <c r="J1234" i="1"/>
  <c r="J916" i="1"/>
  <c r="J1464" i="1"/>
  <c r="J738" i="1"/>
  <c r="J87" i="1"/>
  <c r="J1215" i="1"/>
  <c r="J1206" i="1"/>
  <c r="J1501" i="1"/>
  <c r="J80" i="1"/>
  <c r="J995" i="1"/>
  <c r="J1272" i="1"/>
  <c r="J1405" i="1"/>
  <c r="J1602" i="1"/>
  <c r="J578" i="1"/>
  <c r="J1079" i="1"/>
  <c r="J55" i="1"/>
  <c r="J795" i="1"/>
  <c r="J787" i="1"/>
  <c r="J361" i="1"/>
  <c r="J913" i="1"/>
  <c r="J472" i="1"/>
  <c r="J535" i="1"/>
  <c r="J470" i="1"/>
  <c r="J1025" i="1"/>
  <c r="J548" i="1"/>
  <c r="J1208" i="1"/>
  <c r="J590" i="1"/>
  <c r="J847" i="1"/>
  <c r="J424" i="1"/>
  <c r="J983" i="1"/>
  <c r="J572" i="1"/>
  <c r="J34" i="1"/>
  <c r="J483" i="1"/>
  <c r="J546" i="1"/>
  <c r="J1610" i="1"/>
  <c r="J153" i="1"/>
  <c r="J1595" i="1"/>
  <c r="J544" i="1"/>
  <c r="J574" i="1"/>
  <c r="J1125" i="1"/>
  <c r="J1344" i="1"/>
  <c r="J523" i="1"/>
  <c r="J30" i="1"/>
</calcChain>
</file>

<file path=xl/sharedStrings.xml><?xml version="1.0" encoding="utf-8"?>
<sst xmlns="http://schemas.openxmlformats.org/spreadsheetml/2006/main" count="32" uniqueCount="29">
  <si>
    <t>R</t>
  </si>
  <si>
    <t>G</t>
  </si>
  <si>
    <t>B</t>
  </si>
  <si>
    <t>YR</t>
  </si>
  <si>
    <t>Y</t>
  </si>
  <si>
    <t>GY</t>
  </si>
  <si>
    <t>BG</t>
  </si>
  <si>
    <t>PB</t>
  </si>
  <si>
    <t>P</t>
  </si>
  <si>
    <t>RP</t>
  </si>
  <si>
    <t>hue_div</t>
  </si>
  <si>
    <t>hue_mod</t>
  </si>
  <si>
    <t>hue_txt</t>
  </si>
  <si>
    <t>hue_dec</t>
  </si>
  <si>
    <t>Value</t>
  </si>
  <si>
    <t>Chroma</t>
  </si>
  <si>
    <t>Saturation</t>
  </si>
  <si>
    <t>Color</t>
  </si>
  <si>
    <t>0/255</t>
  </si>
  <si>
    <t>28/255</t>
  </si>
  <si>
    <t>48/255</t>
  </si>
  <si>
    <t>70/255</t>
  </si>
  <si>
    <t>97/255</t>
  </si>
  <si>
    <t>124/255</t>
  </si>
  <si>
    <t>150/255</t>
  </si>
  <si>
    <t>179/255</t>
  </si>
  <si>
    <t>203/255</t>
  </si>
  <si>
    <t>232/255</t>
  </si>
  <si>
    <t>255/255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</si>
</sst>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FFFFFF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z val="10"/>
      <color rgb="FF2F2F2F"/>
      <name val="Segoe UI"/>
      <family val="2"/>
    </font>
  </fonts>
  <fills count="288">
    <fill>
      <patternFill patternType="none"/>
    </fill>
    <fill>
      <patternFill patternType="gray125"/>
    </fill>
    <fill>
      <patternFill patternType="solid">
        <fgColor rgb="FF2C1620"/>
        <bgColor indexed="64"/>
      </patternFill>
    </fill>
    <fill>
      <patternFill patternType="solid">
        <fgColor rgb="FF7E9B99"/>
        <bgColor indexed="64"/>
      </patternFill>
    </fill>
    <fill>
      <patternFill patternType="solid">
        <fgColor rgb="FF62A09E"/>
        <bgColor indexed="64"/>
      </patternFill>
    </fill>
    <fill>
      <patternFill patternType="solid">
        <fgColor rgb="FF3DA4A3"/>
        <bgColor indexed="64"/>
      </patternFill>
    </fill>
    <fill>
      <patternFill patternType="solid">
        <fgColor rgb="FF7F9A9B"/>
        <bgColor indexed="64"/>
      </patternFill>
    </fill>
    <fill>
      <patternFill patternType="solid">
        <fgColor rgb="FF649FA3"/>
        <bgColor indexed="64"/>
      </patternFill>
    </fill>
    <fill>
      <patternFill patternType="solid">
        <fgColor rgb="FF3CA3AA"/>
        <bgColor indexed="64"/>
      </patternFill>
    </fill>
    <fill>
      <patternFill patternType="solid">
        <fgColor rgb="FF809A9D"/>
        <bgColor indexed="64"/>
      </patternFill>
    </fill>
    <fill>
      <patternFill patternType="solid">
        <fgColor rgb="FF679EA6"/>
        <bgColor indexed="64"/>
      </patternFill>
    </fill>
    <fill>
      <patternFill patternType="solid">
        <fgColor rgb="FF40A2B0"/>
        <bgColor indexed="64"/>
      </patternFill>
    </fill>
    <fill>
      <patternFill patternType="solid">
        <fgColor rgb="FF83999F"/>
        <bgColor indexed="64"/>
      </patternFill>
    </fill>
    <fill>
      <patternFill patternType="solid">
        <fgColor rgb="FF6C9DA9"/>
        <bgColor indexed="64"/>
      </patternFill>
    </fill>
    <fill>
      <patternFill patternType="solid">
        <fgColor rgb="FF4BA0B6"/>
        <bgColor indexed="64"/>
      </patternFill>
    </fill>
    <fill>
      <patternFill patternType="solid">
        <fgColor rgb="FF8598A0"/>
        <bgColor indexed="64"/>
      </patternFill>
    </fill>
    <fill>
      <patternFill patternType="solid">
        <fgColor rgb="FF729BAC"/>
        <bgColor indexed="64"/>
      </patternFill>
    </fill>
    <fill>
      <patternFill patternType="solid">
        <fgColor rgb="FF3FA49B"/>
        <bgColor indexed="64"/>
      </patternFill>
    </fill>
    <fill>
      <patternFill patternType="solid">
        <fgColor rgb="FF63A099"/>
        <bgColor indexed="64"/>
      </patternFill>
    </fill>
    <fill>
      <patternFill patternType="solid">
        <fgColor rgb="FF7E9B97"/>
        <bgColor indexed="64"/>
      </patternFill>
    </fill>
    <fill>
      <patternFill patternType="solid">
        <fgColor rgb="FF46A593"/>
        <bgColor indexed="64"/>
      </patternFill>
    </fill>
    <fill>
      <patternFill patternType="solid">
        <fgColor rgb="FF64A093"/>
        <bgColor indexed="64"/>
      </patternFill>
    </fill>
    <fill>
      <patternFill patternType="solid">
        <fgColor rgb="FF7F9B94"/>
        <bgColor indexed="64"/>
      </patternFill>
    </fill>
    <fill>
      <patternFill patternType="solid">
        <fgColor rgb="FF350F23"/>
        <bgColor indexed="64"/>
      </patternFill>
    </fill>
    <fill>
      <patternFill patternType="solid">
        <fgColor rgb="FF3C0325"/>
        <bgColor indexed="64"/>
      </patternFill>
    </fill>
    <fill>
      <patternFill patternType="solid">
        <fgColor rgb="FF2D161E"/>
        <bgColor indexed="64"/>
      </patternFill>
    </fill>
    <fill>
      <patternFill patternType="solid">
        <fgColor rgb="FF360E1F"/>
        <bgColor indexed="64"/>
      </patternFill>
    </fill>
    <fill>
      <patternFill patternType="solid">
        <fgColor rgb="FF3E0020"/>
        <bgColor indexed="64"/>
      </patternFill>
    </fill>
    <fill>
      <patternFill patternType="solid">
        <fgColor rgb="FF2D161B"/>
        <bgColor indexed="64"/>
      </patternFill>
    </fill>
    <fill>
      <patternFill patternType="solid">
        <fgColor rgb="FF370E1B"/>
        <bgColor indexed="64"/>
      </patternFill>
    </fill>
    <fill>
      <patternFill patternType="solid">
        <fgColor rgb="FF2E1619"/>
        <bgColor indexed="64"/>
      </patternFill>
    </fill>
    <fill>
      <patternFill patternType="solid">
        <fgColor rgb="FF380E17"/>
        <bgColor indexed="64"/>
      </patternFill>
    </fill>
    <fill>
      <patternFill patternType="solid">
        <fgColor rgb="FF2E1617"/>
        <bgColor indexed="64"/>
      </patternFill>
    </fill>
    <fill>
      <patternFill patternType="solid">
        <fgColor rgb="FF380E12"/>
        <bgColor indexed="64"/>
      </patternFill>
    </fill>
    <fill>
      <patternFill patternType="solid">
        <fgColor rgb="FF2D1714"/>
        <bgColor indexed="64"/>
      </patternFill>
    </fill>
    <fill>
      <patternFill patternType="solid">
        <fgColor rgb="FF380F0A"/>
        <bgColor indexed="64"/>
      </patternFill>
    </fill>
    <fill>
      <patternFill patternType="solid">
        <fgColor rgb="FF410302"/>
        <bgColor indexed="64"/>
      </patternFill>
    </fill>
    <fill>
      <patternFill patternType="solid">
        <fgColor rgb="FF2C1810"/>
        <bgColor indexed="64"/>
      </patternFill>
    </fill>
    <fill>
      <patternFill patternType="solid">
        <fgColor rgb="FF2B190D"/>
        <bgColor indexed="64"/>
      </patternFill>
    </fill>
    <fill>
      <patternFill patternType="solid">
        <fgColor rgb="FF291A0A"/>
        <bgColor indexed="64"/>
      </patternFill>
    </fill>
    <fill>
      <patternFill patternType="solid">
        <fgColor rgb="FF261B07"/>
        <bgColor indexed="64"/>
      </patternFill>
    </fill>
    <fill>
      <patternFill patternType="solid">
        <fgColor rgb="FF241C07"/>
        <bgColor indexed="64"/>
      </patternFill>
    </fill>
    <fill>
      <patternFill patternType="solid">
        <fgColor rgb="FF211D09"/>
        <bgColor indexed="64"/>
      </patternFill>
    </fill>
    <fill>
      <patternFill patternType="solid">
        <fgColor rgb="FF1E1E0C"/>
        <bgColor indexed="64"/>
      </patternFill>
    </fill>
    <fill>
      <patternFill patternType="solid">
        <fgColor rgb="FF1B1E0F"/>
        <bgColor indexed="64"/>
      </patternFill>
    </fill>
    <fill>
      <patternFill patternType="solid">
        <fgColor rgb="FF191F12"/>
        <bgColor indexed="64"/>
      </patternFill>
    </fill>
    <fill>
      <patternFill patternType="solid">
        <fgColor rgb="FF161F15"/>
        <bgColor indexed="64"/>
      </patternFill>
    </fill>
    <fill>
      <patternFill patternType="solid">
        <fgColor rgb="FF062302"/>
        <bgColor indexed="64"/>
      </patternFill>
    </fill>
    <fill>
      <patternFill patternType="solid">
        <fgColor rgb="FF141F17"/>
        <bgColor indexed="64"/>
      </patternFill>
    </fill>
    <fill>
      <patternFill patternType="solid">
        <fgColor rgb="FF132018"/>
        <bgColor indexed="64"/>
      </patternFill>
    </fill>
    <fill>
      <patternFill patternType="solid">
        <fgColor rgb="FF112019"/>
        <bgColor indexed="64"/>
      </patternFill>
    </fill>
    <fill>
      <patternFill patternType="solid">
        <fgColor rgb="FF1C055C"/>
        <bgColor indexed="64"/>
      </patternFill>
    </fill>
    <fill>
      <patternFill patternType="solid">
        <fgColor rgb="FF1F1A2B"/>
        <bgColor indexed="64"/>
      </patternFill>
    </fill>
    <fill>
      <patternFill patternType="solid">
        <fgColor rgb="FF211735"/>
        <bgColor indexed="64"/>
      </patternFill>
    </fill>
    <fill>
      <patternFill patternType="solid">
        <fgColor rgb="FF153826"/>
        <bgColor indexed="64"/>
      </patternFill>
    </fill>
    <fill>
      <patternFill patternType="solid">
        <fgColor rgb="FF27352C"/>
        <bgColor indexed="64"/>
      </patternFill>
    </fill>
    <fill>
      <patternFill patternType="solid">
        <fgColor rgb="FF033A16"/>
        <bgColor indexed="64"/>
      </patternFill>
    </fill>
    <fill>
      <patternFill patternType="solid">
        <fgColor rgb="FF1C3820"/>
        <bgColor indexed="64"/>
      </patternFill>
    </fill>
    <fill>
      <patternFill patternType="solid">
        <fgColor rgb="FF29342A"/>
        <bgColor indexed="64"/>
      </patternFill>
    </fill>
    <fill>
      <patternFill patternType="solid">
        <fgColor rgb="FF153907"/>
        <bgColor indexed="64"/>
      </patternFill>
    </fill>
    <fill>
      <patternFill patternType="solid">
        <fgColor rgb="FF22371A"/>
        <bgColor indexed="64"/>
      </patternFill>
    </fill>
    <fill>
      <patternFill patternType="solid">
        <fgColor rgb="FF2B3428"/>
        <bgColor indexed="64"/>
      </patternFill>
    </fill>
    <fill>
      <patternFill patternType="solid">
        <fgColor rgb="FF293613"/>
        <bgColor indexed="64"/>
      </patternFill>
    </fill>
    <fill>
      <patternFill patternType="solid">
        <fgColor rgb="FF2E3426"/>
        <bgColor indexed="64"/>
      </patternFill>
    </fill>
    <fill>
      <patternFill patternType="solid">
        <fgColor rgb="FF2F350C"/>
        <bgColor indexed="64"/>
      </patternFill>
    </fill>
    <fill>
      <patternFill patternType="solid">
        <fgColor rgb="FF303324"/>
        <bgColor indexed="64"/>
      </patternFill>
    </fill>
    <fill>
      <patternFill patternType="solid">
        <fgColor rgb="FF353304"/>
        <bgColor indexed="64"/>
      </patternFill>
    </fill>
    <fill>
      <patternFill patternType="solid">
        <fgColor rgb="FF333222"/>
        <bgColor indexed="64"/>
      </patternFill>
    </fill>
    <fill>
      <patternFill patternType="solid">
        <fgColor rgb="FF3A3200"/>
        <bgColor indexed="64"/>
      </patternFill>
    </fill>
    <fill>
      <patternFill patternType="solid">
        <fgColor rgb="FF363220"/>
        <bgColor indexed="64"/>
      </patternFill>
    </fill>
    <fill>
      <patternFill patternType="solid">
        <fgColor rgb="FF3E3002"/>
        <bgColor indexed="64"/>
      </patternFill>
    </fill>
    <fill>
      <patternFill patternType="solid">
        <fgColor rgb="FF383120"/>
        <bgColor indexed="64"/>
      </patternFill>
    </fill>
    <fill>
      <patternFill patternType="solid">
        <fgColor rgb="FF412E07"/>
        <bgColor indexed="64"/>
      </patternFill>
    </fill>
    <fill>
      <patternFill patternType="solid">
        <fgColor rgb="FF3A3020"/>
        <bgColor indexed="64"/>
      </patternFill>
    </fill>
    <fill>
      <patternFill patternType="solid">
        <fgColor rgb="FF452D0D"/>
        <bgColor indexed="64"/>
      </patternFill>
    </fill>
    <fill>
      <patternFill patternType="solid">
        <fgColor rgb="FF3D2F21"/>
        <bgColor indexed="64"/>
      </patternFill>
    </fill>
    <fill>
      <patternFill patternType="solid">
        <fgColor rgb="FF482B12"/>
        <bgColor indexed="64"/>
      </patternFill>
    </fill>
    <fill>
      <patternFill patternType="solid">
        <fgColor rgb="FF3F2E23"/>
        <bgColor indexed="64"/>
      </patternFill>
    </fill>
    <fill>
      <patternFill patternType="solid">
        <fgColor rgb="FF735B5F"/>
        <bgColor indexed="64"/>
      </patternFill>
    </fill>
    <fill>
      <patternFill patternType="solid">
        <fgColor rgb="FF8B1742"/>
        <bgColor indexed="64"/>
      </patternFill>
    </fill>
    <fill>
      <patternFill patternType="solid">
        <fgColor rgb="FF412C32"/>
        <bgColor indexed="64"/>
      </patternFill>
    </fill>
    <fill>
      <patternFill patternType="solid">
        <fgColor rgb="FF4C2533"/>
        <bgColor indexed="64"/>
      </patternFill>
    </fill>
    <fill>
      <patternFill patternType="solid">
        <fgColor rgb="FF551E34"/>
        <bgColor indexed="64"/>
      </patternFill>
    </fill>
    <fill>
      <patternFill patternType="solid">
        <fgColor rgb="FF5F1036"/>
        <bgColor indexed="64"/>
      </patternFill>
    </fill>
    <fill>
      <patternFill patternType="solid">
        <fgColor rgb="FF5B4246"/>
        <bgColor indexed="64"/>
      </patternFill>
    </fill>
    <fill>
      <patternFill patternType="solid">
        <fgColor rgb="FF743343"/>
        <bgColor indexed="64"/>
      </patternFill>
    </fill>
    <fill>
      <patternFill patternType="solid">
        <fgColor rgb="FF802843"/>
        <bgColor indexed="64"/>
      </patternFill>
    </fill>
    <fill>
      <patternFill patternType="solid">
        <fgColor rgb="FF81555C"/>
        <bgColor indexed="64"/>
      </patternFill>
    </fill>
    <fill>
      <patternFill patternType="solid">
        <fgColor rgb="FF8E4E5A"/>
        <bgColor indexed="64"/>
      </patternFill>
    </fill>
    <fill>
      <patternFill patternType="solid">
        <fgColor rgb="FF9B4559"/>
        <bgColor indexed="64"/>
      </patternFill>
    </fill>
    <fill>
      <patternFill patternType="solid">
        <fgColor rgb="FFA63B58"/>
        <bgColor indexed="64"/>
      </patternFill>
    </fill>
    <fill>
      <patternFill patternType="solid">
        <fgColor rgb="FFB12D57"/>
        <bgColor indexed="64"/>
      </patternFill>
    </fill>
    <fill>
      <patternFill patternType="solid">
        <fgColor rgb="FFBC1756"/>
        <bgColor indexed="64"/>
      </patternFill>
    </fill>
    <fill>
      <patternFill patternType="solid">
        <fgColor rgb="FF8B7678"/>
        <bgColor indexed="64"/>
      </patternFill>
    </fill>
    <fill>
      <patternFill patternType="solid">
        <fgColor rgb="FF9B7075"/>
        <bgColor indexed="64"/>
      </patternFill>
    </fill>
    <fill>
      <patternFill patternType="solid">
        <fgColor rgb="FFA96973"/>
        <bgColor indexed="64"/>
      </patternFill>
    </fill>
    <fill>
      <patternFill patternType="solid">
        <fgColor rgb="FFB76170"/>
        <bgColor indexed="64"/>
      </patternFill>
    </fill>
    <fill>
      <patternFill patternType="solid">
        <fgColor rgb="FFC3586E"/>
        <bgColor indexed="64"/>
      </patternFill>
    </fill>
    <fill>
      <patternFill patternType="solid">
        <fgColor rgb="FFD04C6D"/>
        <bgColor indexed="64"/>
      </patternFill>
    </fill>
    <fill>
      <patternFill patternType="solid">
        <fgColor rgb="FFDA406C"/>
        <bgColor indexed="64"/>
      </patternFill>
    </fill>
    <fill>
      <patternFill patternType="solid">
        <fgColor rgb="FFE62D6A"/>
        <bgColor indexed="64"/>
      </patternFill>
    </fill>
    <fill>
      <patternFill patternType="solid">
        <fgColor rgb="FF683B45"/>
        <bgColor indexed="64"/>
      </patternFill>
    </fill>
    <fill>
      <patternFill patternType="solid">
        <fgColor rgb="FFA49092"/>
        <bgColor indexed="64"/>
      </patternFill>
    </fill>
    <fill>
      <patternFill patternType="solid">
        <fgColor rgb="FFB48A8F"/>
        <bgColor indexed="64"/>
      </patternFill>
    </fill>
    <fill>
      <patternFill patternType="solid">
        <fgColor rgb="FFC4848C"/>
        <bgColor indexed="64"/>
      </patternFill>
    </fill>
    <fill>
      <patternFill patternType="solid">
        <fgColor rgb="FFD07D89"/>
        <bgColor indexed="64"/>
      </patternFill>
    </fill>
    <fill>
      <patternFill patternType="solid">
        <fgColor rgb="FFDE7587"/>
        <bgColor indexed="64"/>
      </patternFill>
    </fill>
    <fill>
      <patternFill patternType="solid">
        <fgColor rgb="FFEB6B84"/>
        <bgColor indexed="64"/>
      </patternFill>
    </fill>
    <fill>
      <patternFill patternType="solid">
        <fgColor rgb="FFF76183"/>
        <bgColor indexed="64"/>
      </patternFill>
    </fill>
    <fill>
      <patternFill patternType="solid">
        <fgColor rgb="FFFF5280"/>
        <bgColor indexed="64"/>
      </patternFill>
    </fill>
    <fill>
      <patternFill patternType="solid">
        <fgColor rgb="FFFF417F"/>
        <bgColor indexed="64"/>
      </patternFill>
    </fill>
    <fill>
      <patternFill patternType="solid">
        <fgColor rgb="FFBEABAC"/>
        <bgColor indexed="64"/>
      </patternFill>
    </fill>
    <fill>
      <patternFill patternType="solid">
        <fgColor rgb="FFCEA5A9"/>
        <bgColor indexed="64"/>
      </patternFill>
    </fill>
    <fill>
      <patternFill patternType="solid">
        <fgColor rgb="FFDE9FA6"/>
        <bgColor indexed="64"/>
      </patternFill>
    </fill>
    <fill>
      <patternFill patternType="solid">
        <fgColor rgb="FFFF859C"/>
        <bgColor indexed="64"/>
      </patternFill>
    </fill>
    <fill>
      <patternFill patternType="solid">
        <fgColor rgb="FFEE97A2"/>
        <bgColor indexed="64"/>
      </patternFill>
    </fill>
    <fill>
      <patternFill patternType="solid">
        <fgColor rgb="FFFC909F"/>
        <bgColor indexed="64"/>
      </patternFill>
    </fill>
    <fill>
      <patternFill patternType="solid">
        <fgColor rgb="FFFF7B9A"/>
        <bgColor indexed="64"/>
      </patternFill>
    </fill>
    <fill>
      <patternFill patternType="solid">
        <fgColor rgb="FFFF6E97"/>
        <bgColor indexed="64"/>
      </patternFill>
    </fill>
    <fill>
      <patternFill patternType="solid">
        <fgColor rgb="FFD7C6C8"/>
        <bgColor indexed="64"/>
      </patternFill>
    </fill>
    <fill>
      <patternFill patternType="solid">
        <fgColor rgb="FFEAC0C3"/>
        <bgColor indexed="64"/>
      </patternFill>
    </fill>
    <fill>
      <patternFill patternType="solid">
        <fgColor rgb="FFFBB9C0"/>
        <bgColor indexed="64"/>
      </patternFill>
    </fill>
    <fill>
      <patternFill patternType="solid">
        <fgColor rgb="FFFFB1BC"/>
        <bgColor indexed="64"/>
      </patternFill>
    </fill>
    <fill>
      <patternFill patternType="solid">
        <fgColor rgb="FFFFA9B8"/>
        <bgColor indexed="64"/>
      </patternFill>
    </fill>
    <fill>
      <patternFill patternType="solid">
        <fgColor rgb="FFF2E2E3"/>
        <bgColor indexed="64"/>
      </patternFill>
    </fill>
    <fill>
      <patternFill patternType="solid">
        <fgColor rgb="FFFFDBDE"/>
        <bgColor indexed="64"/>
      </patternFill>
    </fill>
    <fill>
      <patternFill patternType="solid">
        <fgColor rgb="FFFFD3D9"/>
        <bgColor indexed="64"/>
      </patternFill>
    </fill>
    <fill>
      <patternFill patternType="solid">
        <fgColor rgb="FF524734"/>
        <bgColor indexed="64"/>
      </patternFill>
    </fill>
    <fill>
      <patternFill patternType="solid">
        <fgColor rgb="FFB2914A"/>
        <bgColor indexed="64"/>
      </patternFill>
    </fill>
    <fill>
      <patternFill patternType="solid">
        <fgColor rgb="FFB88F2C"/>
        <bgColor indexed="64"/>
      </patternFill>
    </fill>
    <fill>
      <patternFill patternType="solid">
        <fgColor rgb="FFBBAE95"/>
        <bgColor indexed="64"/>
      </patternFill>
    </fill>
    <fill>
      <patternFill patternType="solid">
        <fgColor rgb="FFC5AD7D"/>
        <bgColor indexed="64"/>
      </patternFill>
    </fill>
    <fill>
      <patternFill patternType="solid">
        <fgColor rgb="FFCDAB63"/>
        <bgColor indexed="64"/>
      </patternFill>
    </fill>
    <fill>
      <patternFill patternType="solid">
        <fgColor rgb="FFD4AA48"/>
        <bgColor indexed="64"/>
      </patternFill>
    </fill>
    <fill>
      <patternFill patternType="solid">
        <fgColor rgb="FFD9A923"/>
        <bgColor indexed="64"/>
      </patternFill>
    </fill>
    <fill>
      <patternFill patternType="solid">
        <fgColor rgb="FFD6C9AE"/>
        <bgColor indexed="64"/>
      </patternFill>
    </fill>
    <fill>
      <patternFill patternType="solid">
        <fgColor rgb="FFDFC896"/>
        <bgColor indexed="64"/>
      </patternFill>
    </fill>
    <fill>
      <patternFill patternType="solid">
        <fgColor rgb="FFAA9264"/>
        <bgColor indexed="64"/>
      </patternFill>
    </fill>
    <fill>
      <patternFill patternType="solid">
        <fgColor rgb="FFA0947C"/>
        <bgColor indexed="64"/>
      </patternFill>
    </fill>
    <fill>
      <patternFill patternType="solid">
        <fgColor rgb="FF9C750D"/>
        <bgColor indexed="64"/>
      </patternFill>
    </fill>
    <fill>
      <patternFill patternType="solid">
        <fgColor rgb="FF644108"/>
        <bgColor indexed="64"/>
      </patternFill>
    </fill>
    <fill>
      <patternFill patternType="solid">
        <fgColor rgb="FF5E4423"/>
        <bgColor indexed="64"/>
      </patternFill>
    </fill>
    <fill>
      <patternFill patternType="solid">
        <fgColor rgb="FF554636"/>
        <bgColor indexed="64"/>
      </patternFill>
    </fill>
    <fill>
      <patternFill patternType="solid">
        <fgColor rgb="FFFFD988"/>
        <bgColor indexed="64"/>
      </patternFill>
    </fill>
    <fill>
      <patternFill patternType="solid">
        <fgColor rgb="FFFFDC9F"/>
        <bgColor indexed="64"/>
      </patternFill>
    </fill>
    <fill>
      <patternFill patternType="solid">
        <fgColor rgb="FFFFDFB6"/>
        <bgColor indexed="64"/>
      </patternFill>
    </fill>
    <fill>
      <patternFill patternType="solid">
        <fgColor rgb="FFFFBA5A"/>
        <bgColor indexed="64"/>
      </patternFill>
    </fill>
    <fill>
      <patternFill patternType="solid">
        <fgColor rgb="FFE9C49F"/>
        <bgColor indexed="64"/>
      </patternFill>
    </fill>
    <fill>
      <patternFill patternType="solid">
        <fgColor rgb="FFF39D1C"/>
        <bgColor indexed="64"/>
      </patternFill>
    </fill>
    <fill>
      <patternFill patternType="solid">
        <fgColor rgb="FFDAA671"/>
        <bgColor indexed="64"/>
      </patternFill>
    </fill>
    <fill>
      <patternFill patternType="solid">
        <fgColor rgb="FFCF8524"/>
        <bgColor indexed="64"/>
      </patternFill>
    </fill>
    <fill>
      <patternFill patternType="solid">
        <fgColor rgb="FFC0AC9B"/>
        <bgColor indexed="64"/>
      </patternFill>
    </fill>
    <fill>
      <patternFill patternType="solid">
        <fgColor rgb="FFF7E2D2"/>
        <bgColor indexed="64"/>
      </patternFill>
    </fill>
    <fill>
      <patternFill patternType="solid">
        <fgColor rgb="FFFFB666"/>
        <bgColor indexed="64"/>
      </patternFill>
    </fill>
    <fill>
      <patternFill patternType="solid">
        <fgColor rgb="FFD0A78B"/>
        <bgColor indexed="64"/>
      </patternFill>
    </fill>
    <fill>
      <patternFill patternType="solid">
        <fgColor rgb="FF805840"/>
        <bgColor indexed="64"/>
      </patternFill>
    </fill>
    <fill>
      <patternFill patternType="solid">
        <fgColor rgb="FFFFAB5F"/>
        <bgColor indexed="64"/>
      </patternFill>
    </fill>
    <fill>
      <patternFill patternType="solid">
        <fgColor rgb="FFFEBC99"/>
        <bgColor indexed="64"/>
      </patternFill>
    </fill>
    <fill>
      <patternFill patternType="solid">
        <fgColor rgb="FFDD7C45"/>
        <bgColor indexed="64"/>
      </patternFill>
    </fill>
    <fill>
      <patternFill patternType="solid">
        <fgColor rgb="FF673E2F"/>
        <bgColor indexed="64"/>
      </patternFill>
    </fill>
    <fill>
      <patternFill patternType="solid">
        <fgColor rgb="FFDAC6C0"/>
        <bgColor indexed="64"/>
      </patternFill>
    </fill>
    <fill>
      <patternFill patternType="solid">
        <fgColor rgb="FFCF5428"/>
        <bgColor indexed="64"/>
      </patternFill>
    </fill>
    <fill>
      <patternFill patternType="solid">
        <fgColor rgb="FF693D34"/>
        <bgColor indexed="64"/>
      </patternFill>
    </fill>
    <fill>
      <patternFill patternType="solid">
        <fgColor rgb="FFE29F92"/>
        <bgColor indexed="64"/>
      </patternFill>
    </fill>
    <fill>
      <patternFill patternType="solid">
        <fgColor rgb="FFFF4B33"/>
        <bgColor indexed="64"/>
      </patternFill>
    </fill>
    <fill>
      <patternFill patternType="solid">
        <fgColor rgb="FFBC2221"/>
        <bgColor indexed="64"/>
      </patternFill>
    </fill>
    <fill>
      <patternFill patternType="solid">
        <fgColor rgb="FF422C2C"/>
        <bgColor indexed="64"/>
      </patternFill>
    </fill>
    <fill>
      <patternFill patternType="solid">
        <fgColor rgb="FFEF6B6A"/>
        <bgColor indexed="64"/>
      </patternFill>
    </fill>
    <fill>
      <patternFill patternType="solid">
        <fgColor rgb="FFF4083D"/>
        <bgColor indexed="64"/>
      </patternFill>
    </fill>
    <fill>
      <patternFill patternType="solid">
        <fgColor rgb="FFD34D51"/>
        <bgColor indexed="64"/>
      </patternFill>
    </fill>
    <fill>
      <patternFill patternType="solid">
        <fgColor rgb="FF9D4646"/>
        <bgColor indexed="64"/>
      </patternFill>
    </fill>
    <fill>
      <patternFill patternType="solid">
        <fgColor rgb="FF745B5A"/>
        <bgColor indexed="64"/>
      </patternFill>
    </fill>
    <fill>
      <patternFill patternType="solid">
        <fgColor rgb="FFFFD3D2"/>
        <bgColor indexed="64"/>
      </patternFill>
    </fill>
    <fill>
      <patternFill patternType="solid">
        <fgColor rgb="FF422C2E"/>
        <bgColor indexed="64"/>
      </patternFill>
    </fill>
    <fill>
      <patternFill patternType="solid">
        <fgColor rgb="FFAC6966"/>
        <bgColor indexed="64"/>
      </patternFill>
    </fill>
    <fill>
      <patternFill patternType="solid">
        <fgColor rgb="FFEDC0BB"/>
        <bgColor indexed="64"/>
      </patternFill>
    </fill>
    <fill>
      <patternFill patternType="solid">
        <fgColor rgb="FF9D463D"/>
        <bgColor indexed="64"/>
      </patternFill>
    </fill>
    <fill>
      <patternFill patternType="solid">
        <fgColor rgb="FFFF8870"/>
        <bgColor indexed="64"/>
      </patternFill>
    </fill>
    <fill>
      <patternFill patternType="solid">
        <fgColor rgb="FF90503F"/>
        <bgColor indexed="64"/>
      </patternFill>
    </fill>
    <fill>
      <patternFill patternType="solid">
        <fgColor rgb="FFFF8C5B"/>
        <bgColor indexed="64"/>
      </patternFill>
    </fill>
    <fill>
      <patternFill patternType="solid">
        <fgColor rgb="FFFFDAC9"/>
        <bgColor indexed="64"/>
      </patternFill>
    </fill>
    <fill>
      <patternFill patternType="solid">
        <fgColor rgb="FF9C715F"/>
        <bgColor indexed="64"/>
      </patternFill>
    </fill>
    <fill>
      <patternFill patternType="solid">
        <fgColor rgb="FFE6762F"/>
        <bgColor indexed="64"/>
      </patternFill>
    </fill>
    <fill>
      <patternFill patternType="solid">
        <fgColor rgb="FFEE710A"/>
        <bgColor indexed="64"/>
      </patternFill>
    </fill>
    <fill>
      <patternFill patternType="solid">
        <fgColor rgb="FFC1ABA1"/>
        <bgColor indexed="64"/>
      </patternFill>
    </fill>
    <fill>
      <patternFill patternType="solid">
        <fgColor rgb="FFD2A691"/>
        <bgColor indexed="64"/>
      </patternFill>
    </fill>
    <fill>
      <patternFill patternType="solid">
        <fgColor rgb="FFE1A180"/>
        <bgColor indexed="64"/>
      </patternFill>
    </fill>
    <fill>
      <patternFill patternType="solid">
        <fgColor rgb="FFEF9C70"/>
        <bgColor indexed="64"/>
      </patternFill>
    </fill>
    <fill>
      <patternFill patternType="solid">
        <fgColor rgb="FFFA965F"/>
        <bgColor indexed="64"/>
      </patternFill>
    </fill>
    <fill>
      <patternFill patternType="solid">
        <fgColor rgb="FFFF9148"/>
        <bgColor indexed="64"/>
      </patternFill>
    </fill>
    <fill>
      <patternFill patternType="solid">
        <fgColor rgb="FFFF8B2C"/>
        <bgColor indexed="64"/>
      </patternFill>
    </fill>
    <fill>
      <patternFill patternType="solid">
        <fgColor rgb="FFDBC6BD"/>
        <bgColor indexed="64"/>
      </patternFill>
    </fill>
    <fill>
      <patternFill patternType="solid">
        <fgColor rgb="FFEFC1AA"/>
        <bgColor indexed="64"/>
      </patternFill>
    </fill>
    <fill>
      <patternFill patternType="solid">
        <fgColor rgb="FFFFB687"/>
        <bgColor indexed="64"/>
      </patternFill>
    </fill>
    <fill>
      <patternFill patternType="solid">
        <fgColor rgb="FFFFB174"/>
        <bgColor indexed="64"/>
      </patternFill>
    </fill>
    <fill>
      <patternFill patternType="solid">
        <fgColor rgb="FFF7E1D7"/>
        <bgColor indexed="64"/>
      </patternFill>
    </fill>
    <fill>
      <patternFill patternType="solid">
        <fgColor rgb="FFB78C78"/>
        <bgColor indexed="64"/>
      </patternFill>
    </fill>
    <fill>
      <patternFill patternType="solid">
        <fgColor rgb="FFCCA6AD"/>
        <bgColor indexed="64"/>
      </patternFill>
    </fill>
    <fill>
      <patternFill patternType="solid">
        <fgColor rgb="FFFF6FAC"/>
        <bgColor indexed="64"/>
      </patternFill>
    </fill>
    <fill>
      <patternFill patternType="solid">
        <fgColor rgb="FFFFB1C6"/>
        <bgColor indexed="64"/>
      </patternFill>
    </fill>
    <fill>
      <patternFill patternType="solid">
        <fgColor rgb="FFE8C0C7"/>
        <bgColor indexed="64"/>
      </patternFill>
    </fill>
    <fill>
      <patternFill patternType="solid">
        <fgColor rgb="FFF9B9C6"/>
        <bgColor indexed="64"/>
      </patternFill>
    </fill>
    <fill>
      <patternFill patternType="solid">
        <fgColor rgb="FFF1E2E4"/>
        <bgColor indexed="64"/>
      </patternFill>
    </fill>
    <fill>
      <patternFill patternType="solid">
        <fgColor rgb="FFAB696D"/>
        <bgColor indexed="64"/>
      </patternFill>
    </fill>
    <fill>
      <patternFill patternType="solid">
        <fgColor rgb="FFC1CBD5"/>
        <bgColor indexed="64"/>
      </patternFill>
    </fill>
    <fill>
      <patternFill patternType="solid">
        <fgColor rgb="FF78B5E7"/>
        <bgColor indexed="64"/>
      </patternFill>
    </fill>
    <fill>
      <patternFill patternType="solid">
        <fgColor rgb="FF75333D"/>
        <bgColor indexed="64"/>
      </patternFill>
    </fill>
    <fill>
      <patternFill patternType="solid">
        <fgColor rgb="FF82283A"/>
        <bgColor indexed="64"/>
      </patternFill>
    </fill>
    <fill>
      <patternFill patternType="solid">
        <fgColor rgb="FFDC405D"/>
        <bgColor indexed="64"/>
      </patternFill>
    </fill>
    <fill>
      <patternFill patternType="solid">
        <fgColor rgb="FFE82D5A"/>
        <bgColor indexed="64"/>
      </patternFill>
    </fill>
    <fill>
      <patternFill patternType="solid">
        <fgColor rgb="FFE09EA0"/>
        <bgColor indexed="64"/>
      </patternFill>
    </fill>
    <fill>
      <patternFill patternType="solid">
        <fgColor rgb="FFF0979A"/>
        <bgColor indexed="64"/>
      </patternFill>
    </fill>
    <fill>
      <patternFill patternType="solid">
        <fgColor rgb="FFFDB9B9"/>
        <bgColor indexed="64"/>
      </patternFill>
    </fill>
    <fill>
      <patternFill patternType="solid">
        <fgColor rgb="FFF2E2E2"/>
        <bgColor indexed="64"/>
      </patternFill>
    </fill>
    <fill>
      <patternFill patternType="solid">
        <fgColor rgb="FF5C4242"/>
        <bgColor indexed="64"/>
      </patternFill>
    </fill>
    <fill>
      <patternFill patternType="solid">
        <fgColor rgb="FF630E26"/>
        <bgColor indexed="64"/>
      </patternFill>
    </fill>
    <fill>
      <patternFill patternType="solid">
        <fgColor rgb="FF581D28"/>
        <bgColor indexed="64"/>
      </patternFill>
    </fill>
    <fill>
      <patternFill patternType="solid">
        <fgColor rgb="FF4E252B"/>
        <bgColor indexed="64"/>
      </patternFill>
    </fill>
    <fill>
      <patternFill patternType="solid">
        <fgColor rgb="FFBE1A34"/>
        <bgColor indexed="64"/>
      </patternFill>
    </fill>
    <fill>
      <patternFill patternType="solid">
        <fgColor rgb="FF8C7675"/>
        <bgColor indexed="64"/>
      </patternFill>
    </fill>
    <fill>
      <patternFill patternType="solid">
        <fgColor rgb="FFC65857"/>
        <bgColor indexed="64"/>
      </patternFill>
    </fill>
    <fill>
      <patternFill patternType="solid">
        <fgColor rgb="FFDD414B"/>
        <bgColor indexed="64"/>
      </patternFill>
    </fill>
    <fill>
      <patternFill patternType="solid">
        <fgColor rgb="FFE82F44"/>
        <bgColor indexed="64"/>
      </patternFill>
    </fill>
    <fill>
      <patternFill patternType="solid">
        <fgColor rgb="FFA6908F"/>
        <bgColor indexed="64"/>
      </patternFill>
    </fill>
    <fill>
      <patternFill patternType="solid">
        <fgColor rgb="FFB78A87"/>
        <bgColor indexed="64"/>
      </patternFill>
    </fill>
    <fill>
      <patternFill patternType="solid">
        <fgColor rgb="FFC7847F"/>
        <bgColor indexed="64"/>
      </patternFill>
    </fill>
    <fill>
      <patternFill patternType="solid">
        <fgColor rgb="FF798FE9"/>
        <bgColor indexed="64"/>
      </patternFill>
    </fill>
    <fill>
      <patternFill patternType="solid">
        <fgColor rgb="FF8091D9"/>
        <bgColor indexed="64"/>
      </patternFill>
    </fill>
    <fill>
      <patternFill patternType="solid">
        <fgColor rgb="FF8592CB"/>
        <bgColor indexed="64"/>
      </patternFill>
    </fill>
    <fill>
      <patternFill patternType="solid">
        <fgColor rgb="FF8A93BE"/>
        <bgColor indexed="64"/>
      </patternFill>
    </fill>
    <fill>
      <patternFill patternType="solid">
        <fgColor rgb="FF8E94AF"/>
        <bgColor indexed="64"/>
      </patternFill>
    </fill>
    <fill>
      <patternFill patternType="solid">
        <fgColor rgb="FF9294A1"/>
        <bgColor indexed="64"/>
      </patternFill>
    </fill>
    <fill>
      <patternFill patternType="solid">
        <fgColor rgb="FF486AFF"/>
        <bgColor indexed="64"/>
      </patternFill>
    </fill>
    <fill>
      <patternFill patternType="solid">
        <fgColor rgb="FF4D6DF7"/>
        <bgColor indexed="64"/>
      </patternFill>
    </fill>
    <fill>
      <patternFill patternType="solid">
        <fgColor rgb="FF5371E8"/>
        <bgColor indexed="64"/>
      </patternFill>
    </fill>
    <fill>
      <patternFill patternType="solid">
        <fgColor rgb="FF5A73DA"/>
        <bgColor indexed="64"/>
      </patternFill>
    </fill>
    <fill>
      <patternFill patternType="solid">
        <fgColor rgb="FF6175CC"/>
        <bgColor indexed="64"/>
      </patternFill>
    </fill>
    <fill>
      <patternFill patternType="solid">
        <fgColor rgb="FF728EF9"/>
        <bgColor indexed="64"/>
      </patternFill>
    </fill>
    <fill>
      <patternFill patternType="solid">
        <fgColor rgb="FFACAFBB"/>
        <bgColor indexed="64"/>
      </patternFill>
    </fill>
    <fill>
      <patternFill patternType="solid">
        <fgColor rgb="FFA8AEC9"/>
        <bgColor indexed="64"/>
      </patternFill>
    </fill>
    <fill>
      <patternFill patternType="solid">
        <fgColor rgb="FFE2E5F0"/>
        <bgColor indexed="64"/>
      </patternFill>
    </fill>
    <fill>
      <patternFill patternType="solid">
        <fgColor rgb="FFBCC9F6"/>
        <bgColor indexed="64"/>
      </patternFill>
    </fill>
    <fill>
      <patternFill patternType="solid">
        <fgColor rgb="FFC2C9E5"/>
        <bgColor indexed="64"/>
      </patternFill>
    </fill>
    <fill>
      <patternFill patternType="solid">
        <fgColor rgb="FFC7CAD5"/>
        <bgColor indexed="64"/>
      </patternFill>
    </fill>
    <fill>
      <patternFill patternType="solid">
        <fgColor rgb="FF98ABF9"/>
        <bgColor indexed="64"/>
      </patternFill>
    </fill>
    <fill>
      <patternFill patternType="solid">
        <fgColor rgb="FF9EADE8"/>
        <bgColor indexed="64"/>
      </patternFill>
    </fill>
    <fill>
      <patternFill patternType="solid">
        <fgColor rgb="FFA3AED9"/>
        <bgColor indexed="64"/>
      </patternFill>
    </fill>
    <fill>
      <patternFill patternType="solid">
        <fgColor rgb="FF7079A4"/>
        <bgColor indexed="64"/>
      </patternFill>
    </fill>
    <fill>
      <patternFill patternType="solid">
        <fgColor rgb="FF747A95"/>
        <bgColor indexed="64"/>
      </patternFill>
    </fill>
    <fill>
      <patternFill patternType="solid">
        <fgColor rgb="FF6C77B1"/>
        <bgColor indexed="64"/>
      </patternFill>
    </fill>
    <fill>
      <patternFill patternType="solid">
        <fgColor rgb="FF6776BE"/>
        <bgColor indexed="64"/>
      </patternFill>
    </fill>
    <fill>
      <patternFill patternType="solid">
        <fgColor rgb="FF787A88"/>
        <bgColor indexed="64"/>
      </patternFill>
    </fill>
    <fill>
      <patternFill patternType="solid">
        <fgColor rgb="FF4137FF"/>
        <bgColor indexed="64"/>
      </patternFill>
    </fill>
    <fill>
      <patternFill patternType="solid">
        <fgColor rgb="FF3F3FFA"/>
        <bgColor indexed="64"/>
      </patternFill>
    </fill>
    <fill>
      <patternFill patternType="solid">
        <fgColor rgb="FF3E46EE"/>
        <bgColor indexed="64"/>
      </patternFill>
    </fill>
    <fill>
      <patternFill patternType="solid">
        <fgColor rgb="FF2C0897"/>
        <bgColor indexed="64"/>
      </patternFill>
    </fill>
    <fill>
      <patternFill patternType="solid">
        <fgColor rgb="FFEB98AC"/>
        <bgColor indexed="64"/>
      </patternFill>
    </fill>
    <fill>
      <patternFill patternType="solid">
        <fgColor rgb="FF3E4573"/>
        <bgColor indexed="64"/>
      </patternFill>
    </fill>
    <fill>
      <patternFill patternType="solid">
        <fgColor rgb="FF3A437F"/>
        <bgColor indexed="64"/>
      </patternFill>
    </fill>
    <fill>
      <patternFill patternType="solid">
        <fgColor rgb="FF29168D"/>
        <bgColor indexed="64"/>
      </patternFill>
    </fill>
    <fill>
      <patternFill patternType="solid">
        <fgColor rgb="FF261E84"/>
        <bgColor indexed="64"/>
      </patternFill>
    </fill>
    <fill>
      <patternFill patternType="solid">
        <fgColor rgb="FF25247A"/>
        <bgColor indexed="64"/>
      </patternFill>
    </fill>
    <fill>
      <patternFill patternType="solid">
        <fgColor rgb="FF242870"/>
        <bgColor indexed="64"/>
      </patternFill>
    </fill>
    <fill>
      <patternFill patternType="solid">
        <fgColor rgb="FF262B64"/>
        <bgColor indexed="64"/>
      </patternFill>
    </fill>
    <fill>
      <patternFill patternType="solid">
        <fgColor rgb="FF292D58"/>
        <bgColor indexed="64"/>
      </patternFill>
    </fill>
    <fill>
      <patternFill patternType="solid">
        <fgColor rgb="FF464758"/>
        <bgColor indexed="64"/>
      </patternFill>
    </fill>
    <fill>
      <patternFill patternType="solid">
        <fgColor rgb="FF424666"/>
        <bgColor indexed="64"/>
      </patternFill>
    </fill>
    <fill>
      <patternFill patternType="solid">
        <fgColor rgb="FF36418B"/>
        <bgColor indexed="64"/>
      </patternFill>
    </fill>
    <fill>
      <patternFill patternType="solid">
        <fgColor rgb="FF181A36"/>
        <bgColor indexed="64"/>
      </patternFill>
    </fill>
    <fill>
      <patternFill patternType="solid">
        <fgColor rgb="FFDFE6F0"/>
        <bgColor indexed="64"/>
      </patternFill>
    </fill>
    <fill>
      <patternFill patternType="solid">
        <fgColor rgb="FF1B1B2B"/>
        <bgColor indexed="64"/>
      </patternFill>
    </fill>
    <fill>
      <patternFill patternType="solid">
        <fgColor rgb="FF161741"/>
        <bgColor indexed="64"/>
      </patternFill>
    </fill>
    <fill>
      <patternFill patternType="solid">
        <fgColor rgb="FF17134B"/>
        <bgColor indexed="64"/>
      </patternFill>
    </fill>
    <fill>
      <patternFill patternType="solid">
        <fgColor rgb="FF190E54"/>
        <bgColor indexed="64"/>
      </patternFill>
    </fill>
    <fill>
      <patternFill patternType="solid">
        <fgColor rgb="FF2C2F4C"/>
        <bgColor indexed="64"/>
      </patternFill>
    </fill>
    <fill>
      <patternFill patternType="solid">
        <fgColor rgb="FF323AA3"/>
        <bgColor indexed="64"/>
      </patternFill>
    </fill>
    <fill>
      <patternFill patternType="solid">
        <fgColor rgb="FF333E97"/>
        <bgColor indexed="64"/>
      </patternFill>
    </fill>
    <fill>
      <patternFill patternType="solid">
        <fgColor rgb="FFBACCE5"/>
        <bgColor indexed="64"/>
      </patternFill>
    </fill>
    <fill>
      <patternFill patternType="solid">
        <fgColor rgb="FFADCCF7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EC4A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89">
    <xf numFmtId="0" fontId="0" fillId="0" borderId="0" xfId="0"/>
    <xf numFmtId="0" fontId="2" fillId="2" borderId="0" xfId="1" applyFont="1" applyFill="1"/>
    <xf numFmtId="0" fontId="3" fillId="2" borderId="0" xfId="1" applyFont="1" applyFill="1"/>
    <xf numFmtId="0" fontId="3" fillId="3" borderId="0" xfId="1" applyFont="1" applyFill="1"/>
    <xf numFmtId="0" fontId="3" fillId="4" borderId="0" xfId="1" applyFont="1" applyFill="1"/>
    <xf numFmtId="0" fontId="3" fillId="5" borderId="0" xfId="1" applyFont="1" applyFill="1"/>
    <xf numFmtId="0" fontId="3" fillId="6" borderId="0" xfId="1" applyFont="1" applyFill="1"/>
    <xf numFmtId="0" fontId="3" fillId="7" borderId="0" xfId="1" applyFont="1" applyFill="1"/>
    <xf numFmtId="0" fontId="3" fillId="8" borderId="0" xfId="1" applyFont="1" applyFill="1"/>
    <xf numFmtId="0" fontId="3" fillId="9" borderId="0" xfId="1" applyFont="1" applyFill="1"/>
    <xf numFmtId="0" fontId="3" fillId="10" borderId="0" xfId="1" applyFont="1" applyFill="1"/>
    <xf numFmtId="0" fontId="3" fillId="11" borderId="0" xfId="1" applyFont="1" applyFill="1"/>
    <xf numFmtId="0" fontId="3" fillId="12" borderId="0" xfId="1" applyFont="1" applyFill="1"/>
    <xf numFmtId="0" fontId="3" fillId="13" borderId="0" xfId="1" applyFont="1" applyFill="1"/>
    <xf numFmtId="0" fontId="3" fillId="14" borderId="0" xfId="1" applyFont="1" applyFill="1"/>
    <xf numFmtId="0" fontId="3" fillId="15" borderId="0" xfId="1" applyFont="1" applyFill="1"/>
    <xf numFmtId="0" fontId="3" fillId="16" borderId="0" xfId="1" applyFont="1" applyFill="1"/>
    <xf numFmtId="0" fontId="3" fillId="17" borderId="0" xfId="1" applyFont="1" applyFill="1"/>
    <xf numFmtId="0" fontId="3" fillId="18" borderId="0" xfId="1" applyFont="1" applyFill="1"/>
    <xf numFmtId="0" fontId="3" fillId="19" borderId="0" xfId="1" applyFont="1" applyFill="1"/>
    <xf numFmtId="0" fontId="3" fillId="20" borderId="0" xfId="1" applyFont="1" applyFill="1"/>
    <xf numFmtId="0" fontId="3" fillId="21" borderId="0" xfId="1" applyFont="1" applyFill="1"/>
    <xf numFmtId="0" fontId="3" fillId="22" borderId="0" xfId="1" applyFont="1" applyFill="1"/>
    <xf numFmtId="0" fontId="2" fillId="23" borderId="0" xfId="1" applyFont="1" applyFill="1"/>
    <xf numFmtId="0" fontId="2" fillId="24" borderId="0" xfId="1" applyFont="1" applyFill="1"/>
    <xf numFmtId="0" fontId="2" fillId="25" borderId="0" xfId="1" applyFont="1" applyFill="1"/>
    <xf numFmtId="0" fontId="2" fillId="26" borderId="0" xfId="1" applyFont="1" applyFill="1"/>
    <xf numFmtId="0" fontId="2" fillId="27" borderId="0" xfId="1" applyFont="1" applyFill="1"/>
    <xf numFmtId="0" fontId="2" fillId="28" borderId="0" xfId="1" applyFont="1" applyFill="1"/>
    <xf numFmtId="0" fontId="2" fillId="29" borderId="0" xfId="1" applyFont="1" applyFill="1"/>
    <xf numFmtId="0" fontId="2" fillId="30" borderId="0" xfId="1" applyFont="1" applyFill="1"/>
    <xf numFmtId="0" fontId="2" fillId="31" borderId="0" xfId="1" applyFont="1" applyFill="1"/>
    <xf numFmtId="0" fontId="2" fillId="32" borderId="0" xfId="1" applyFont="1" applyFill="1"/>
    <xf numFmtId="0" fontId="2" fillId="33" borderId="0" xfId="1" applyFont="1" applyFill="1"/>
    <xf numFmtId="0" fontId="2" fillId="34" borderId="0" xfId="1" applyFont="1" applyFill="1"/>
    <xf numFmtId="0" fontId="2" fillId="35" borderId="0" xfId="1" applyFont="1" applyFill="1"/>
    <xf numFmtId="0" fontId="2" fillId="36" borderId="0" xfId="1" applyFont="1" applyFill="1"/>
    <xf numFmtId="0" fontId="2" fillId="37" borderId="0" xfId="1" applyFont="1" applyFill="1"/>
    <xf numFmtId="0" fontId="2" fillId="38" borderId="0" xfId="1" applyFont="1" applyFill="1"/>
    <xf numFmtId="0" fontId="2" fillId="39" borderId="0" xfId="1" applyFont="1" applyFill="1"/>
    <xf numFmtId="0" fontId="2" fillId="40" borderId="0" xfId="1" applyFont="1" applyFill="1"/>
    <xf numFmtId="0" fontId="2" fillId="41" borderId="0" xfId="1" applyFont="1" applyFill="1"/>
    <xf numFmtId="0" fontId="2" fillId="42" borderId="0" xfId="1" applyFont="1" applyFill="1"/>
    <xf numFmtId="0" fontId="2" fillId="43" borderId="0" xfId="1" applyFont="1" applyFill="1"/>
    <xf numFmtId="0" fontId="2" fillId="44" borderId="0" xfId="1" applyFont="1" applyFill="1"/>
    <xf numFmtId="0" fontId="2" fillId="45" borderId="0" xfId="1" applyFont="1" applyFill="1"/>
    <xf numFmtId="0" fontId="2" fillId="46" borderId="0" xfId="1" applyFont="1" applyFill="1"/>
    <xf numFmtId="0" fontId="2" fillId="47" borderId="0" xfId="1" applyFont="1" applyFill="1"/>
    <xf numFmtId="0" fontId="2" fillId="48" borderId="0" xfId="1" applyFont="1" applyFill="1"/>
    <xf numFmtId="0" fontId="2" fillId="49" borderId="0" xfId="1" applyFont="1" applyFill="1"/>
    <xf numFmtId="0" fontId="2" fillId="50" borderId="0" xfId="1" applyFont="1" applyFill="1"/>
    <xf numFmtId="0" fontId="2" fillId="51" borderId="0" xfId="1" applyFont="1" applyFill="1"/>
    <xf numFmtId="0" fontId="2" fillId="52" borderId="0" xfId="1" applyFont="1" applyFill="1"/>
    <xf numFmtId="0" fontId="2" fillId="53" borderId="0" xfId="1" applyFont="1" applyFill="1"/>
    <xf numFmtId="0" fontId="2" fillId="54" borderId="0" xfId="1" applyFont="1" applyFill="1"/>
    <xf numFmtId="0" fontId="2" fillId="55" borderId="0" xfId="1" applyFont="1" applyFill="1"/>
    <xf numFmtId="0" fontId="2" fillId="56" borderId="0" xfId="1" applyFont="1" applyFill="1"/>
    <xf numFmtId="0" fontId="2" fillId="57" borderId="0" xfId="1" applyFont="1" applyFill="1"/>
    <xf numFmtId="0" fontId="2" fillId="58" borderId="0" xfId="1" applyFont="1" applyFill="1"/>
    <xf numFmtId="0" fontId="2" fillId="59" borderId="0" xfId="1" applyFont="1" applyFill="1"/>
    <xf numFmtId="0" fontId="2" fillId="60" borderId="0" xfId="1" applyFont="1" applyFill="1"/>
    <xf numFmtId="0" fontId="2" fillId="61" borderId="0" xfId="1" applyFont="1" applyFill="1"/>
    <xf numFmtId="0" fontId="2" fillId="62" borderId="0" xfId="1" applyFont="1" applyFill="1"/>
    <xf numFmtId="0" fontId="2" fillId="63" borderId="0" xfId="1" applyFont="1" applyFill="1"/>
    <xf numFmtId="0" fontId="2" fillId="64" borderId="0" xfId="1" applyFont="1" applyFill="1"/>
    <xf numFmtId="0" fontId="2" fillId="65" borderId="0" xfId="1" applyFont="1" applyFill="1"/>
    <xf numFmtId="0" fontId="2" fillId="66" borderId="0" xfId="1" applyFont="1" applyFill="1"/>
    <xf numFmtId="0" fontId="2" fillId="67" borderId="0" xfId="1" applyFont="1" applyFill="1"/>
    <xf numFmtId="0" fontId="2" fillId="68" borderId="0" xfId="1" applyFont="1" applyFill="1"/>
    <xf numFmtId="0" fontId="2" fillId="69" borderId="0" xfId="1" applyFont="1" applyFill="1"/>
    <xf numFmtId="0" fontId="2" fillId="70" borderId="0" xfId="1" applyFont="1" applyFill="1"/>
    <xf numFmtId="0" fontId="2" fillId="71" borderId="0" xfId="1" applyFont="1" applyFill="1"/>
    <xf numFmtId="0" fontId="2" fillId="72" borderId="0" xfId="1" applyFont="1" applyFill="1"/>
    <xf numFmtId="0" fontId="2" fillId="73" borderId="0" xfId="1" applyFont="1" applyFill="1"/>
    <xf numFmtId="0" fontId="2" fillId="74" borderId="0" xfId="1" applyFont="1" applyFill="1"/>
    <xf numFmtId="0" fontId="2" fillId="75" borderId="0" xfId="1" applyFont="1" applyFill="1"/>
    <xf numFmtId="0" fontId="2" fillId="76" borderId="0" xfId="1" applyFont="1" applyFill="1"/>
    <xf numFmtId="0" fontId="2" fillId="77" borderId="0" xfId="1" applyFont="1" applyFill="1"/>
    <xf numFmtId="0" fontId="2" fillId="78" borderId="0" xfId="1" applyFont="1" applyFill="1"/>
    <xf numFmtId="0" fontId="2" fillId="79" borderId="0" xfId="1" applyFont="1" applyFill="1"/>
    <xf numFmtId="0" fontId="2" fillId="80" borderId="0" xfId="1" applyFont="1" applyFill="1"/>
    <xf numFmtId="0" fontId="2" fillId="81" borderId="0" xfId="1" applyFont="1" applyFill="1"/>
    <xf numFmtId="0" fontId="2" fillId="82" borderId="0" xfId="1" applyFont="1" applyFill="1"/>
    <xf numFmtId="0" fontId="2" fillId="83" borderId="0" xfId="1" applyFont="1" applyFill="1"/>
    <xf numFmtId="0" fontId="2" fillId="84" borderId="0" xfId="1" applyFont="1" applyFill="1"/>
    <xf numFmtId="0" fontId="2" fillId="85" borderId="0" xfId="1" applyFont="1" applyFill="1"/>
    <xf numFmtId="0" fontId="2" fillId="86" borderId="0" xfId="1" applyFont="1" applyFill="1"/>
    <xf numFmtId="0" fontId="2" fillId="87" borderId="0" xfId="1" applyFont="1" applyFill="1"/>
    <xf numFmtId="0" fontId="2" fillId="88" borderId="0" xfId="1" applyFont="1" applyFill="1"/>
    <xf numFmtId="0" fontId="2" fillId="89" borderId="0" xfId="1" applyFont="1" applyFill="1"/>
    <xf numFmtId="0" fontId="2" fillId="90" borderId="0" xfId="1" applyFont="1" applyFill="1"/>
    <xf numFmtId="0" fontId="2" fillId="91" borderId="0" xfId="1" applyFont="1" applyFill="1"/>
    <xf numFmtId="0" fontId="2" fillId="92" borderId="0" xfId="1" applyFont="1" applyFill="1"/>
    <xf numFmtId="0" fontId="2" fillId="93" borderId="0" xfId="1" applyFont="1" applyFill="1"/>
    <xf numFmtId="0" fontId="2" fillId="94" borderId="0" xfId="1" applyFont="1" applyFill="1"/>
    <xf numFmtId="0" fontId="2" fillId="95" borderId="0" xfId="1" applyFont="1" applyFill="1"/>
    <xf numFmtId="0" fontId="2" fillId="96" borderId="0" xfId="1" applyFont="1" applyFill="1"/>
    <xf numFmtId="0" fontId="2" fillId="97" borderId="0" xfId="1" applyFont="1" applyFill="1"/>
    <xf numFmtId="0" fontId="2" fillId="98" borderId="0" xfId="1" applyFont="1" applyFill="1"/>
    <xf numFmtId="0" fontId="2" fillId="99" borderId="0" xfId="1" applyFont="1" applyFill="1"/>
    <xf numFmtId="0" fontId="2" fillId="100" borderId="0" xfId="1" applyFont="1" applyFill="1"/>
    <xf numFmtId="0" fontId="2" fillId="101" borderId="0" xfId="1" applyFont="1" applyFill="1"/>
    <xf numFmtId="0" fontId="3" fillId="102" borderId="0" xfId="1" applyFont="1" applyFill="1"/>
    <xf numFmtId="0" fontId="3" fillId="103" borderId="0" xfId="1" applyFont="1" applyFill="1"/>
    <xf numFmtId="0" fontId="3" fillId="104" borderId="0" xfId="1" applyFont="1" applyFill="1"/>
    <xf numFmtId="0" fontId="3" fillId="105" borderId="0" xfId="1" applyFont="1" applyFill="1"/>
    <xf numFmtId="0" fontId="3" fillId="106" borderId="0" xfId="1" applyFont="1" applyFill="1"/>
    <xf numFmtId="0" fontId="3" fillId="107" borderId="0" xfId="1" applyFont="1" applyFill="1"/>
    <xf numFmtId="0" fontId="3" fillId="108" borderId="0" xfId="1" applyFont="1" applyFill="1"/>
    <xf numFmtId="0" fontId="3" fillId="109" borderId="0" xfId="1" applyFont="1" applyFill="1"/>
    <xf numFmtId="0" fontId="3" fillId="110" borderId="0" xfId="1" applyFont="1" applyFill="1"/>
    <xf numFmtId="0" fontId="3" fillId="111" borderId="0" xfId="1" applyFont="1" applyFill="1"/>
    <xf numFmtId="0" fontId="3" fillId="112" borderId="0" xfId="1" applyFont="1" applyFill="1"/>
    <xf numFmtId="0" fontId="3" fillId="113" borderId="0" xfId="1" applyFont="1" applyFill="1"/>
    <xf numFmtId="0" fontId="3" fillId="114" borderId="0" xfId="1" applyFont="1" applyFill="1"/>
    <xf numFmtId="0" fontId="3" fillId="115" borderId="0" xfId="1" applyFont="1" applyFill="1"/>
    <xf numFmtId="0" fontId="3" fillId="116" borderId="0" xfId="1" applyFont="1" applyFill="1"/>
    <xf numFmtId="0" fontId="3" fillId="117" borderId="0" xfId="1" applyFont="1" applyFill="1"/>
    <xf numFmtId="0" fontId="3" fillId="118" borderId="0" xfId="1" applyFont="1" applyFill="1"/>
    <xf numFmtId="0" fontId="3" fillId="119" borderId="0" xfId="1" applyFont="1" applyFill="1"/>
    <xf numFmtId="0" fontId="3" fillId="120" borderId="0" xfId="1" applyFont="1" applyFill="1"/>
    <xf numFmtId="0" fontId="3" fillId="121" borderId="0" xfId="1" applyFont="1" applyFill="1"/>
    <xf numFmtId="0" fontId="3" fillId="122" borderId="0" xfId="1" applyFont="1" applyFill="1"/>
    <xf numFmtId="0" fontId="3" fillId="123" borderId="0" xfId="1" applyFont="1" applyFill="1"/>
    <xf numFmtId="0" fontId="3" fillId="124" borderId="0" xfId="1" applyFont="1" applyFill="1"/>
    <xf numFmtId="0" fontId="3" fillId="125" borderId="0" xfId="1" applyFont="1" applyFill="1"/>
    <xf numFmtId="0" fontId="3" fillId="126" borderId="0" xfId="1" applyFont="1" applyFill="1"/>
    <xf numFmtId="0" fontId="2" fillId="127" borderId="0" xfId="1" applyFont="1" applyFill="1"/>
    <xf numFmtId="0" fontId="3" fillId="128" borderId="0" xfId="1" applyFont="1" applyFill="1"/>
    <xf numFmtId="0" fontId="3" fillId="129" borderId="0" xfId="1" applyFont="1" applyFill="1"/>
    <xf numFmtId="0" fontId="3" fillId="130" borderId="0" xfId="1" applyFont="1" applyFill="1"/>
    <xf numFmtId="0" fontId="3" fillId="131" borderId="0" xfId="1" applyFont="1" applyFill="1"/>
    <xf numFmtId="0" fontId="3" fillId="132" borderId="0" xfId="1" applyFont="1" applyFill="1"/>
    <xf numFmtId="0" fontId="3" fillId="133" borderId="0" xfId="1" applyFont="1" applyFill="1"/>
    <xf numFmtId="0" fontId="3" fillId="134" borderId="0" xfId="1" applyFont="1" applyFill="1"/>
    <xf numFmtId="0" fontId="3" fillId="135" borderId="0" xfId="1" applyFont="1" applyFill="1"/>
    <xf numFmtId="0" fontId="3" fillId="136" borderId="0" xfId="1" applyFont="1" applyFill="1"/>
    <xf numFmtId="0" fontId="3" fillId="137" borderId="0" xfId="1" applyFont="1" applyFill="1"/>
    <xf numFmtId="0" fontId="3" fillId="138" borderId="0" xfId="1" applyFont="1" applyFill="1"/>
    <xf numFmtId="0" fontId="2" fillId="139" borderId="0" xfId="1" applyFont="1" applyFill="1"/>
    <xf numFmtId="0" fontId="2" fillId="140" borderId="0" xfId="1" applyFont="1" applyFill="1"/>
    <xf numFmtId="0" fontId="2" fillId="141" borderId="0" xfId="1" applyFont="1" applyFill="1"/>
    <xf numFmtId="0" fontId="2" fillId="142" borderId="0" xfId="1" applyFont="1" applyFill="1"/>
    <xf numFmtId="0" fontId="3" fillId="143" borderId="0" xfId="1" applyFont="1" applyFill="1"/>
    <xf numFmtId="0" fontId="3" fillId="144" borderId="0" xfId="1" applyFont="1" applyFill="1"/>
    <xf numFmtId="0" fontId="3" fillId="145" borderId="0" xfId="1" applyFont="1" applyFill="1"/>
    <xf numFmtId="0" fontId="3" fillId="146" borderId="0" xfId="1" applyFont="1" applyFill="1"/>
    <xf numFmtId="0" fontId="3" fillId="147" borderId="0" xfId="1" applyFont="1" applyFill="1"/>
    <xf numFmtId="0" fontId="3" fillId="148" borderId="0" xfId="1" applyFont="1" applyFill="1"/>
    <xf numFmtId="0" fontId="3" fillId="149" borderId="0" xfId="1" applyFont="1" applyFill="1"/>
    <xf numFmtId="0" fontId="3" fillId="150" borderId="0" xfId="1" applyFont="1" applyFill="1"/>
    <xf numFmtId="0" fontId="3" fillId="151" borderId="0" xfId="1" applyFont="1" applyFill="1"/>
    <xf numFmtId="0" fontId="3" fillId="152" borderId="0" xfId="1" applyFont="1" applyFill="1"/>
    <xf numFmtId="0" fontId="3" fillId="153" borderId="0" xfId="1" applyFont="1" applyFill="1"/>
    <xf numFmtId="0" fontId="3" fillId="154" borderId="0" xfId="1" applyFont="1" applyFill="1"/>
    <xf numFmtId="0" fontId="2" fillId="155" borderId="0" xfId="1" applyFont="1" applyFill="1"/>
    <xf numFmtId="0" fontId="3" fillId="156" borderId="0" xfId="1" applyFont="1" applyFill="1"/>
    <xf numFmtId="0" fontId="3" fillId="157" borderId="0" xfId="1" applyFont="1" applyFill="1"/>
    <xf numFmtId="0" fontId="3" fillId="158" borderId="0" xfId="1" applyFont="1" applyFill="1"/>
    <xf numFmtId="0" fontId="2" fillId="159" borderId="0" xfId="1" applyFont="1" applyFill="1"/>
    <xf numFmtId="0" fontId="3" fillId="160" borderId="0" xfId="1" applyFont="1" applyFill="1"/>
    <xf numFmtId="0" fontId="2" fillId="161" borderId="0" xfId="1" applyFont="1" applyFill="1"/>
    <xf numFmtId="0" fontId="2" fillId="162" borderId="0" xfId="1" applyFont="1" applyFill="1"/>
    <xf numFmtId="0" fontId="3" fillId="163" borderId="0" xfId="1" applyFont="1" applyFill="1"/>
    <xf numFmtId="0" fontId="2" fillId="164" borderId="0" xfId="1" applyFont="1" applyFill="1"/>
    <xf numFmtId="0" fontId="2" fillId="165" borderId="0" xfId="1" applyFont="1" applyFill="1"/>
    <xf numFmtId="0" fontId="2" fillId="166" borderId="0" xfId="1" applyFont="1" applyFill="1"/>
    <xf numFmtId="0" fontId="3" fillId="167" borderId="0" xfId="1" applyFont="1" applyFill="1"/>
    <xf numFmtId="0" fontId="2" fillId="168" borderId="0" xfId="1" applyFont="1" applyFill="1"/>
    <xf numFmtId="0" fontId="2" fillId="169" borderId="0" xfId="1" applyFont="1" applyFill="1"/>
    <xf numFmtId="0" fontId="2" fillId="170" borderId="0" xfId="1" applyFont="1" applyFill="1"/>
    <xf numFmtId="0" fontId="2" fillId="171" borderId="0" xfId="1" applyFont="1" applyFill="1"/>
    <xf numFmtId="0" fontId="3" fillId="172" borderId="0" xfId="1" applyFont="1" applyFill="1"/>
    <xf numFmtId="0" fontId="2" fillId="173" borderId="0" xfId="1" applyFont="1" applyFill="1"/>
    <xf numFmtId="0" fontId="2" fillId="174" borderId="0" xfId="1" applyFont="1" applyFill="1"/>
    <xf numFmtId="0" fontId="3" fillId="175" borderId="0" xfId="1" applyFont="1" applyFill="1"/>
    <xf numFmtId="0" fontId="2" fillId="176" borderId="0" xfId="1" applyFont="1" applyFill="1"/>
    <xf numFmtId="0" fontId="3" fillId="177" borderId="0" xfId="1" applyFont="1" applyFill="1"/>
    <xf numFmtId="0" fontId="2" fillId="178" borderId="0" xfId="1" applyFont="1" applyFill="1"/>
    <xf numFmtId="0" fontId="3" fillId="179" borderId="0" xfId="1" applyFont="1" applyFill="1"/>
    <xf numFmtId="0" fontId="3" fillId="180" borderId="0" xfId="1" applyFont="1" applyFill="1"/>
    <xf numFmtId="0" fontId="2" fillId="181" borderId="0" xfId="1" applyFont="1" applyFill="1"/>
    <xf numFmtId="0" fontId="3" fillId="182" borderId="0" xfId="1" applyFont="1" applyFill="1"/>
    <xf numFmtId="0" fontId="3" fillId="183" borderId="0" xfId="1" applyFont="1" applyFill="1"/>
    <xf numFmtId="0" fontId="3" fillId="184" borderId="0" xfId="1" applyFont="1" applyFill="1"/>
    <xf numFmtId="0" fontId="3" fillId="185" borderId="0" xfId="1" applyFont="1" applyFill="1"/>
    <xf numFmtId="0" fontId="3" fillId="186" borderId="0" xfId="1" applyFont="1" applyFill="1"/>
    <xf numFmtId="0" fontId="3" fillId="187" borderId="0" xfId="1" applyFont="1" applyFill="1"/>
    <xf numFmtId="0" fontId="3" fillId="188" borderId="0" xfId="1" applyFont="1" applyFill="1"/>
    <xf numFmtId="0" fontId="3" fillId="189" borderId="0" xfId="1" applyFont="1" applyFill="1"/>
    <xf numFmtId="0" fontId="3" fillId="190" borderId="0" xfId="1" applyFont="1" applyFill="1"/>
    <xf numFmtId="0" fontId="3" fillId="191" borderId="0" xfId="1" applyFont="1" applyFill="1"/>
    <xf numFmtId="0" fontId="3" fillId="192" borderId="0" xfId="1" applyFont="1" applyFill="1"/>
    <xf numFmtId="0" fontId="3" fillId="193" borderId="0" xfId="1" applyFont="1" applyFill="1"/>
    <xf numFmtId="0" fontId="3" fillId="194" borderId="0" xfId="1" applyFont="1" applyFill="1"/>
    <xf numFmtId="0" fontId="3" fillId="195" borderId="0" xfId="1" applyFont="1" applyFill="1"/>
    <xf numFmtId="0" fontId="3" fillId="196" borderId="0" xfId="1" applyFont="1" applyFill="1"/>
    <xf numFmtId="0" fontId="3" fillId="197" borderId="0" xfId="1" applyFont="1" applyFill="1"/>
    <xf numFmtId="0" fontId="3" fillId="198" borderId="0" xfId="1" applyFont="1" applyFill="1"/>
    <xf numFmtId="0" fontId="4" fillId="0" borderId="0" xfId="0" applyFont="1"/>
    <xf numFmtId="0" fontId="3" fillId="199" borderId="0" xfId="1" applyFont="1" applyFill="1"/>
    <xf numFmtId="0" fontId="3" fillId="200" borderId="0" xfId="1" applyFont="1" applyFill="1"/>
    <xf numFmtId="0" fontId="3" fillId="201" borderId="0" xfId="1" applyFont="1" applyFill="1"/>
    <xf numFmtId="0" fontId="3" fillId="202" borderId="0" xfId="1" applyFont="1" applyFill="1"/>
    <xf numFmtId="0" fontId="2" fillId="203" borderId="0" xfId="1" applyFont="1" applyFill="1"/>
    <xf numFmtId="0" fontId="3" fillId="204" borderId="0" xfId="1" applyFont="1" applyFill="1"/>
    <xf numFmtId="0" fontId="3" fillId="205" borderId="0" xfId="1" applyFont="1" applyFill="1"/>
    <xf numFmtId="0" fontId="2" fillId="206" borderId="0" xfId="1" applyFont="1" applyFill="1"/>
    <xf numFmtId="0" fontId="2" fillId="207" borderId="0" xfId="1" applyFont="1" applyFill="1"/>
    <xf numFmtId="0" fontId="2" fillId="208" borderId="0" xfId="1" applyFont="1" applyFill="1"/>
    <xf numFmtId="0" fontId="2" fillId="209" borderId="0" xfId="1" applyFont="1" applyFill="1"/>
    <xf numFmtId="0" fontId="3" fillId="210" borderId="0" xfId="1" applyFont="1" applyFill="1"/>
    <xf numFmtId="0" fontId="3" fillId="211" borderId="0" xfId="1" applyFont="1" applyFill="1"/>
    <xf numFmtId="0" fontId="3" fillId="212" borderId="0" xfId="1" applyFont="1" applyFill="1"/>
    <xf numFmtId="0" fontId="3" fillId="213" borderId="0" xfId="1" applyFont="1" applyFill="1"/>
    <xf numFmtId="0" fontId="2" fillId="214" borderId="0" xfId="1" applyFont="1" applyFill="1"/>
    <xf numFmtId="0" fontId="2" fillId="215" borderId="0" xfId="1" applyFont="1" applyFill="1"/>
    <xf numFmtId="0" fontId="2" fillId="216" borderId="0" xfId="1" applyFont="1" applyFill="1"/>
    <xf numFmtId="0" fontId="2" fillId="217" borderId="0" xfId="1" applyFont="1" applyFill="1"/>
    <xf numFmtId="0" fontId="2" fillId="218" borderId="0" xfId="1" applyFont="1" applyFill="1"/>
    <xf numFmtId="0" fontId="2" fillId="219" borderId="0" xfId="1" applyFont="1" applyFill="1"/>
    <xf numFmtId="0" fontId="2" fillId="220" borderId="0" xfId="1" applyFont="1" applyFill="1"/>
    <xf numFmtId="0" fontId="2" fillId="221" borderId="0" xfId="1" applyFont="1" applyFill="1"/>
    <xf numFmtId="0" fontId="2" fillId="222" borderId="0" xfId="1" applyFont="1" applyFill="1"/>
    <xf numFmtId="0" fontId="3" fillId="223" borderId="0" xfId="1" applyFont="1" applyFill="1"/>
    <xf numFmtId="0" fontId="3" fillId="224" borderId="0" xfId="1" applyFont="1" applyFill="1"/>
    <xf numFmtId="0" fontId="3" fillId="225" borderId="0" xfId="1" applyFont="1" applyFill="1"/>
    <xf numFmtId="0" fontId="3" fillId="226" borderId="0" xfId="1" applyFont="1" applyFill="1"/>
    <xf numFmtId="0" fontId="3" fillId="227" borderId="0" xfId="1" applyFont="1" applyFill="1"/>
    <xf numFmtId="0" fontId="3" fillId="228" borderId="0" xfId="1" applyFont="1" applyFill="1"/>
    <xf numFmtId="0" fontId="3" fillId="229" borderId="0" xfId="1" applyFont="1" applyFill="1"/>
    <xf numFmtId="0" fontId="3" fillId="230" borderId="0" xfId="1" applyFont="1" applyFill="1"/>
    <xf numFmtId="0" fontId="3" fillId="231" borderId="0" xfId="1" applyFont="1" applyFill="1"/>
    <xf numFmtId="0" fontId="2" fillId="232" borderId="0" xfId="1" applyFont="1" applyFill="1"/>
    <xf numFmtId="0" fontId="2" fillId="233" borderId="0" xfId="1" applyFont="1" applyFill="1"/>
    <xf numFmtId="0" fontId="2" fillId="234" borderId="0" xfId="1" applyFont="1" applyFill="1"/>
    <xf numFmtId="0" fontId="2" fillId="235" borderId="0" xfId="1" applyFont="1" applyFill="1"/>
    <xf numFmtId="0" fontId="2" fillId="236" borderId="0" xfId="1" applyFont="1" applyFill="1"/>
    <xf numFmtId="0" fontId="3" fillId="237" borderId="0" xfId="1" applyFont="1" applyFill="1"/>
    <xf numFmtId="0" fontId="3" fillId="238" borderId="0" xfId="1" applyFont="1" applyFill="1"/>
    <xf numFmtId="0" fontId="3" fillId="239" borderId="0" xfId="1" applyFont="1" applyFill="1"/>
    <xf numFmtId="0" fontId="3" fillId="240" borderId="0" xfId="1" applyFont="1" applyFill="1"/>
    <xf numFmtId="0" fontId="3" fillId="241" borderId="0" xfId="1" applyFont="1" applyFill="1"/>
    <xf numFmtId="0" fontId="3" fillId="242" borderId="0" xfId="1" applyFont="1" applyFill="1"/>
    <xf numFmtId="0" fontId="3" fillId="243" borderId="0" xfId="1" applyFont="1" applyFill="1"/>
    <xf numFmtId="0" fontId="3" fillId="244" borderId="0" xfId="1" applyFont="1" applyFill="1"/>
    <xf numFmtId="0" fontId="3" fillId="245" borderId="0" xfId="1" applyFont="1" applyFill="1"/>
    <xf numFmtId="0" fontId="3" fillId="246" borderId="0" xfId="1" applyFont="1" applyFill="1"/>
    <xf numFmtId="0" fontId="2" fillId="247" borderId="0" xfId="1" applyFont="1" applyFill="1"/>
    <xf numFmtId="0" fontId="2" fillId="248" borderId="0" xfId="1" applyFont="1" applyFill="1"/>
    <xf numFmtId="0" fontId="2" fillId="249" borderId="0" xfId="1" applyFont="1" applyFill="1"/>
    <xf numFmtId="0" fontId="2" fillId="250" borderId="0" xfId="1" applyFont="1" applyFill="1"/>
    <xf numFmtId="0" fontId="2" fillId="251" borderId="0" xfId="1" applyFont="1" applyFill="1"/>
    <xf numFmtId="0" fontId="2" fillId="252" borderId="0" xfId="1" applyFont="1" applyFill="1"/>
    <xf numFmtId="0" fontId="2" fillId="253" borderId="0" xfId="1" applyFont="1" applyFill="1"/>
    <xf numFmtId="0" fontId="2" fillId="254" borderId="0" xfId="1" applyFont="1" applyFill="1"/>
    <xf numFmtId="0" fontId="2" fillId="255" borderId="0" xfId="1" applyFont="1" applyFill="1"/>
    <xf numFmtId="0" fontId="3" fillId="256" borderId="0" xfId="1" applyFont="1" applyFill="1"/>
    <xf numFmtId="0" fontId="2" fillId="257" borderId="0" xfId="1" applyFont="1" applyFill="1"/>
    <xf numFmtId="0" fontId="2" fillId="258" borderId="0" xfId="1" applyFont="1" applyFill="1"/>
    <xf numFmtId="0" fontId="2" fillId="259" borderId="0" xfId="1" applyFont="1" applyFill="1"/>
    <xf numFmtId="0" fontId="2" fillId="260" borderId="0" xfId="1" applyFont="1" applyFill="1"/>
    <xf numFmtId="0" fontId="2" fillId="261" borderId="0" xfId="1" applyFont="1" applyFill="1"/>
    <xf numFmtId="0" fontId="2" fillId="262" borderId="0" xfId="1" applyFont="1" applyFill="1"/>
    <xf numFmtId="0" fontId="2" fillId="263" borderId="0" xfId="1" applyFont="1" applyFill="1"/>
    <xf numFmtId="0" fontId="2" fillId="264" borderId="0" xfId="1" applyFont="1" applyFill="1"/>
    <xf numFmtId="0" fontId="2" fillId="265" borderId="0" xfId="1" applyFont="1" applyFill="1"/>
    <xf numFmtId="0" fontId="2" fillId="266" borderId="0" xfId="1" applyFont="1" applyFill="1"/>
    <xf numFmtId="0" fontId="2" fillId="267" borderId="0" xfId="1" applyFont="1" applyFill="1"/>
    <xf numFmtId="0" fontId="2" fillId="268" borderId="0" xfId="1" applyFont="1" applyFill="1"/>
    <xf numFmtId="0" fontId="3" fillId="269" borderId="0" xfId="1" applyFont="1" applyFill="1"/>
    <xf numFmtId="0" fontId="2" fillId="270" borderId="0" xfId="1" applyFont="1" applyFill="1"/>
    <xf numFmtId="0" fontId="2" fillId="271" borderId="0" xfId="1" applyFont="1" applyFill="1"/>
    <xf numFmtId="0" fontId="2" fillId="272" borderId="0" xfId="1" applyFont="1" applyFill="1"/>
    <xf numFmtId="0" fontId="2" fillId="273" borderId="0" xfId="1" applyFont="1" applyFill="1"/>
    <xf numFmtId="0" fontId="2" fillId="274" borderId="0" xfId="1" applyFont="1" applyFill="1"/>
    <xf numFmtId="0" fontId="2" fillId="275" borderId="0" xfId="1" applyFont="1" applyFill="1"/>
    <xf numFmtId="0" fontId="2" fillId="276" borderId="0" xfId="1" applyFont="1" applyFill="1"/>
    <xf numFmtId="0" fontId="3" fillId="277" borderId="0" xfId="1" applyFont="1" applyFill="1"/>
    <xf numFmtId="0" fontId="3" fillId="278" borderId="0" xfId="1" applyFont="1" applyFill="1"/>
    <xf numFmtId="0" fontId="2" fillId="279" borderId="0" xfId="1" applyFont="1" applyFill="1"/>
    <xf numFmtId="0" fontId="3" fillId="280" borderId="0" xfId="1" applyFont="1" applyFill="1"/>
    <xf numFmtId="0" fontId="2" fillId="281" borderId="0" xfId="1" applyFont="1" applyFill="1"/>
    <xf numFmtId="0" fontId="2" fillId="282" borderId="0" xfId="1" applyFont="1" applyFill="1"/>
    <xf numFmtId="0" fontId="3" fillId="283" borderId="0" xfId="1" applyFont="1" applyFill="1"/>
    <xf numFmtId="0" fontId="3" fillId="284" borderId="0" xfId="1" applyFont="1" applyFill="1"/>
    <xf numFmtId="0" fontId="3" fillId="285" borderId="0" xfId="1" applyFont="1" applyFill="1"/>
    <xf numFmtId="0" fontId="3" fillId="286" borderId="0" xfId="1" applyFont="1" applyFill="1"/>
    <xf numFmtId="0" fontId="3" fillId="287" borderId="0" xfId="1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637"/>
  <sheetViews>
    <sheetView tabSelected="1" workbookViewId="0">
      <pane ySplit="1" topLeftCell="A1068" activePane="bottomLeft" state="frozen"/>
      <selection pane="bottomLeft" activeCell="E1072" sqref="E1072:I1137"/>
    </sheetView>
  </sheetViews>
  <sheetFormatPr defaultRowHeight="14.4" x14ac:dyDescent="0.3"/>
  <cols>
    <col min="10" max="10" width="8.88671875" customWidth="1"/>
  </cols>
  <sheetData>
    <row r="1" spans="1:11" x14ac:dyDescent="0.3">
      <c r="A1" t="s">
        <v>10</v>
      </c>
      <c r="B1" t="s">
        <v>11</v>
      </c>
      <c r="C1" t="s">
        <v>12</v>
      </c>
      <c r="D1" t="s">
        <v>13</v>
      </c>
      <c r="E1" t="s">
        <v>15</v>
      </c>
      <c r="F1" t="s">
        <v>14</v>
      </c>
      <c r="G1" t="s">
        <v>0</v>
      </c>
      <c r="H1" t="s">
        <v>1</v>
      </c>
      <c r="I1" t="s">
        <v>2</v>
      </c>
      <c r="J1" t="s">
        <v>17</v>
      </c>
      <c r="K1" t="s">
        <v>16</v>
      </c>
    </row>
    <row r="2" spans="1:11" x14ac:dyDescent="0.3">
      <c r="A2" t="e">
        <v>#N/A</v>
      </c>
      <c r="B2" t="e">
        <v>#N/A</v>
      </c>
      <c r="C2" t="e">
        <v>#N/A</v>
      </c>
      <c r="D2" t="e">
        <v>#N/A</v>
      </c>
      <c r="E2">
        <v>0</v>
      </c>
      <c r="F2">
        <v>0</v>
      </c>
      <c r="G2">
        <f>0/255</f>
        <v>0</v>
      </c>
      <c r="H2">
        <f>0/255</f>
        <v>0</v>
      </c>
      <c r="I2">
        <f>0/255</f>
        <v>0</v>
      </c>
      <c r="J2" s="1" t="str">
        <f>HYPERLINK(SetRGB(J2,G2*255,H2*255,I2*255),"HOVER!")</f>
        <v>HOVER!</v>
      </c>
      <c r="K2" t="e">
        <f>E2/F2</f>
        <v>#DIV/0!</v>
      </c>
    </row>
    <row r="3" spans="1:11" x14ac:dyDescent="0.3">
      <c r="A3" t="e">
        <v>#N/A</v>
      </c>
      <c r="B3" t="e">
        <v>#N/A</v>
      </c>
      <c r="C3" t="e">
        <v>#N/A</v>
      </c>
      <c r="D3" t="e">
        <v>#N/A</v>
      </c>
      <c r="E3">
        <v>0</v>
      </c>
      <c r="F3">
        <v>1</v>
      </c>
      <c r="G3">
        <f>28/255</f>
        <v>0.10980392156862745</v>
      </c>
      <c r="H3">
        <f>28/255</f>
        <v>0.10980392156862745</v>
      </c>
      <c r="I3">
        <f>28/255</f>
        <v>0.10980392156862745</v>
      </c>
      <c r="J3" s="1" t="str">
        <f>HYPERLINK(SetRGB(J3,G3*255,H3*255,I3*255),"HOVER!")</f>
        <v>HOVER!</v>
      </c>
      <c r="K3">
        <f>E3/F3</f>
        <v>0</v>
      </c>
    </row>
    <row r="4" spans="1:11" x14ac:dyDescent="0.3">
      <c r="A4" t="e">
        <v>#N/A</v>
      </c>
      <c r="B4" t="e">
        <v>#N/A</v>
      </c>
      <c r="C4" t="e">
        <v>#N/A</v>
      </c>
      <c r="D4" t="e">
        <v>#N/A</v>
      </c>
      <c r="E4">
        <v>0</v>
      </c>
      <c r="F4">
        <v>2</v>
      </c>
      <c r="G4">
        <f>48/255</f>
        <v>0.18823529411764706</v>
      </c>
      <c r="H4">
        <f>48/255</f>
        <v>0.18823529411764706</v>
      </c>
      <c r="I4">
        <f>48/255</f>
        <v>0.18823529411764706</v>
      </c>
      <c r="J4" s="1" t="str">
        <f>HYPERLINK(SetRGB(J4,G4*255,H4*255,I4*255),"HOVER!")</f>
        <v>HOVER!</v>
      </c>
      <c r="K4">
        <f>E4/F4</f>
        <v>0</v>
      </c>
    </row>
    <row r="5" spans="1:11" x14ac:dyDescent="0.3">
      <c r="A5" t="e">
        <v>#N/A</v>
      </c>
      <c r="B5" t="e">
        <v>#N/A</v>
      </c>
      <c r="C5" t="e">
        <v>#N/A</v>
      </c>
      <c r="D5" t="e">
        <v>#N/A</v>
      </c>
      <c r="E5">
        <v>0</v>
      </c>
      <c r="F5">
        <v>3</v>
      </c>
      <c r="G5">
        <f>70/255</f>
        <v>0.27450980392156865</v>
      </c>
      <c r="H5">
        <f>70/255</f>
        <v>0.27450980392156865</v>
      </c>
      <c r="I5">
        <f>70/255</f>
        <v>0.27450980392156865</v>
      </c>
      <c r="J5" s="283" t="str">
        <f>HYPERLINK(SetRGB(J5,G5*255,H5*255,I5*255),"HOVER!")</f>
        <v>HOVER!</v>
      </c>
      <c r="K5">
        <f>E5/F5</f>
        <v>0</v>
      </c>
    </row>
    <row r="6" spans="1:11" x14ac:dyDescent="0.3">
      <c r="A6" t="e">
        <v>#N/A</v>
      </c>
      <c r="B6" t="e">
        <v>#N/A</v>
      </c>
      <c r="C6" t="e">
        <v>#N/A</v>
      </c>
      <c r="D6" t="e">
        <v>#N/A</v>
      </c>
      <c r="E6">
        <v>0</v>
      </c>
      <c r="F6">
        <v>4</v>
      </c>
      <c r="G6">
        <f>97/255</f>
        <v>0.38039215686274508</v>
      </c>
      <c r="H6">
        <f>97/255</f>
        <v>0.38039215686274508</v>
      </c>
      <c r="I6">
        <f>97/255</f>
        <v>0.38039215686274508</v>
      </c>
      <c r="J6" s="282" t="str">
        <f>HYPERLINK(SetRGB(J6,G6*255,H6*255,I6*255),"HOVER!")</f>
        <v>HOVER!</v>
      </c>
      <c r="K6">
        <f>E6/F6</f>
        <v>0</v>
      </c>
    </row>
    <row r="7" spans="1:11" x14ac:dyDescent="0.3">
      <c r="A7" t="e">
        <v>#N/A</v>
      </c>
      <c r="B7" t="e">
        <v>#N/A</v>
      </c>
      <c r="C7" t="e">
        <v>#N/A</v>
      </c>
      <c r="D7" t="e">
        <v>#N/A</v>
      </c>
      <c r="E7">
        <v>0</v>
      </c>
      <c r="F7">
        <v>5</v>
      </c>
      <c r="G7">
        <f>124/255</f>
        <v>0.48627450980392156</v>
      </c>
      <c r="H7">
        <f>124/255</f>
        <v>0.48627450980392156</v>
      </c>
      <c r="I7">
        <f>124/255</f>
        <v>0.48627450980392156</v>
      </c>
      <c r="J7" s="280" t="str">
        <f>HYPERLINK(SetRGB(J7,G7*255,H7*255,I7*255),"HOVER!")</f>
        <v>HOVER!</v>
      </c>
      <c r="K7">
        <f>E7/F7</f>
        <v>0</v>
      </c>
    </row>
    <row r="8" spans="1:11" x14ac:dyDescent="0.3">
      <c r="A8" t="e">
        <v>#N/A</v>
      </c>
      <c r="B8" t="e">
        <v>#N/A</v>
      </c>
      <c r="C8" t="e">
        <v>#N/A</v>
      </c>
      <c r="D8" t="e">
        <v>#N/A</v>
      </c>
      <c r="E8">
        <v>0</v>
      </c>
      <c r="F8">
        <v>6</v>
      </c>
      <c r="G8">
        <f>150/255</f>
        <v>0.58823529411764708</v>
      </c>
      <c r="H8">
        <f>150/255</f>
        <v>0.58823529411764708</v>
      </c>
      <c r="I8">
        <f>150/255</f>
        <v>0.58823529411764708</v>
      </c>
      <c r="J8" s="284" t="str">
        <f>HYPERLINK(SetRGB(J8,G8*255,H8*255,I8*255),"HOVER!")</f>
        <v>HOVER!</v>
      </c>
      <c r="K8">
        <f>E8/F8</f>
        <v>0</v>
      </c>
    </row>
    <row r="9" spans="1:11" x14ac:dyDescent="0.3">
      <c r="A9" t="e">
        <v>#N/A</v>
      </c>
      <c r="B9" t="e">
        <v>#N/A</v>
      </c>
      <c r="C9" t="e">
        <v>#N/A</v>
      </c>
      <c r="D9" t="e">
        <v>#N/A</v>
      </c>
      <c r="E9">
        <v>0</v>
      </c>
      <c r="F9">
        <v>7</v>
      </c>
      <c r="G9">
        <f>179/255</f>
        <v>0.70196078431372544</v>
      </c>
      <c r="H9">
        <f>179/255</f>
        <v>0.70196078431372544</v>
      </c>
      <c r="I9">
        <f>179/255</f>
        <v>0.70196078431372544</v>
      </c>
      <c r="J9" s="285" t="str">
        <f>HYPERLINK(SetRGB(J9,G9*255,H9*255,I9*255),"HOVER!")</f>
        <v>HOVER!</v>
      </c>
      <c r="K9">
        <f>E9/F9</f>
        <v>0</v>
      </c>
    </row>
    <row r="10" spans="1:11" x14ac:dyDescent="0.3">
      <c r="A10" t="e">
        <v>#N/A</v>
      </c>
      <c r="B10" t="e">
        <v>#N/A</v>
      </c>
      <c r="C10" t="e">
        <v>#N/A</v>
      </c>
      <c r="D10" t="e">
        <v>#N/A</v>
      </c>
      <c r="E10">
        <v>0</v>
      </c>
      <c r="F10">
        <v>8</v>
      </c>
      <c r="G10">
        <f>203/255</f>
        <v>0.79607843137254897</v>
      </c>
      <c r="H10">
        <f>203/255</f>
        <v>0.79607843137254897</v>
      </c>
      <c r="I10">
        <f>203/255</f>
        <v>0.79607843137254897</v>
      </c>
      <c r="J10" s="286" t="str">
        <f>HYPERLINK(SetRGB(J10,G10*255,H10*255,I10*255),"HOVER!")</f>
        <v>HOVER!</v>
      </c>
      <c r="K10">
        <f>E10/F10</f>
        <v>0</v>
      </c>
    </row>
    <row r="11" spans="1:11" x14ac:dyDescent="0.3">
      <c r="A11" t="e">
        <v>#N/A</v>
      </c>
      <c r="B11" t="e">
        <v>#N/A</v>
      </c>
      <c r="C11" t="e">
        <v>#N/A</v>
      </c>
      <c r="D11" t="e">
        <v>#N/A</v>
      </c>
      <c r="E11">
        <v>0</v>
      </c>
      <c r="F11">
        <v>9</v>
      </c>
      <c r="G11">
        <f>232/255</f>
        <v>0.90980392156862744</v>
      </c>
      <c r="H11">
        <f>232/255</f>
        <v>0.90980392156862744</v>
      </c>
      <c r="I11">
        <f>232/255</f>
        <v>0.90980392156862744</v>
      </c>
      <c r="J11" s="281" t="str">
        <f>HYPERLINK(SetRGB(J11,G11*255,H11*255,I11*255),"HOVER!")</f>
        <v>HOVER!</v>
      </c>
      <c r="K11">
        <f>E11/F11</f>
        <v>0</v>
      </c>
    </row>
    <row r="12" spans="1:11" x14ac:dyDescent="0.3">
      <c r="A12" t="e">
        <v>#N/A</v>
      </c>
      <c r="B12" t="e">
        <v>#N/A</v>
      </c>
      <c r="C12" t="e">
        <v>#N/A</v>
      </c>
      <c r="D12" t="e">
        <v>#N/A</v>
      </c>
      <c r="E12">
        <v>0</v>
      </c>
      <c r="F12">
        <v>10</v>
      </c>
      <c r="G12">
        <f>255/255</f>
        <v>1</v>
      </c>
      <c r="H12">
        <f>255/255</f>
        <v>1</v>
      </c>
      <c r="I12">
        <f>255/255</f>
        <v>1</v>
      </c>
      <c r="J12" s="287" t="str">
        <f>HYPERLINK(SetRGB(J12,G12*255,H12*255,I12*255),"HOVER!")</f>
        <v>HOVER!</v>
      </c>
      <c r="K12">
        <f>E12/F12</f>
        <v>0</v>
      </c>
    </row>
    <row r="13" spans="1:11" ht="15" x14ac:dyDescent="0.35">
      <c r="A13">
        <f>IF(FLOOR(D13/10,1)=0,10,FLOOR(D13/10,1))</f>
        <v>10</v>
      </c>
      <c r="B13">
        <f>IF(MOD(D13,10)=0,10,MOD(D13,10))</f>
        <v>10</v>
      </c>
      <c r="C13" s="199" t="str">
        <f>B13&amp;LOOKUP(A13, Sheet2!$A$2:$A$11, Sheet2!$B$2:$B$11)</f>
        <v>10RP</v>
      </c>
      <c r="D13">
        <v>0</v>
      </c>
      <c r="E13">
        <v>2</v>
      </c>
      <c r="F13">
        <v>1</v>
      </c>
      <c r="G13">
        <v>0.17249999999999999</v>
      </c>
      <c r="H13">
        <v>8.5500000000000007E-2</v>
      </c>
      <c r="I13">
        <v>0.1249</v>
      </c>
      <c r="J13" s="1" t="str">
        <f>HYPERLINK(SetRGB(J13,G13*255,H13*255,I13*255),"HOVER!")</f>
        <v>HOVER!</v>
      </c>
      <c r="K13">
        <f>E13/F13</f>
        <v>2</v>
      </c>
    </row>
    <row r="14" spans="1:11" ht="15" x14ac:dyDescent="0.35">
      <c r="A14">
        <f t="shared" ref="A14:A77" si="0">IF(FLOOR(D14/10,1)=0,10,FLOOR(D14/10,1))</f>
        <v>10</v>
      </c>
      <c r="B14">
        <f t="shared" ref="B14:B77" si="1">IF(MOD(D14,10)=0,10,MOD(D14,10))</f>
        <v>10</v>
      </c>
      <c r="C14" s="199" t="str">
        <f>B14&amp;LOOKUP(A14, Sheet2!$A$2:$A$11, Sheet2!$B$2:$B$11)</f>
        <v>10RP</v>
      </c>
      <c r="D14">
        <v>0</v>
      </c>
      <c r="E14">
        <v>4</v>
      </c>
      <c r="F14">
        <v>1</v>
      </c>
      <c r="G14">
        <v>0.20660000000000001</v>
      </c>
      <c r="H14">
        <v>5.7799999999999997E-2</v>
      </c>
      <c r="I14">
        <v>0.1353</v>
      </c>
      <c r="J14" s="23" t="str">
        <f>HYPERLINK(SetRGB(J14,G14*255,H14*255,I14*255),"HOVER!")</f>
        <v>HOVER!</v>
      </c>
      <c r="K14">
        <f>E14/F14</f>
        <v>4</v>
      </c>
    </row>
    <row r="15" spans="1:11" ht="15" x14ac:dyDescent="0.35">
      <c r="A15">
        <f t="shared" si="0"/>
        <v>10</v>
      </c>
      <c r="B15">
        <f t="shared" si="1"/>
        <v>10</v>
      </c>
      <c r="C15" s="199" t="str">
        <f>B15&amp;LOOKUP(A15, Sheet2!$A$2:$A$11, Sheet2!$B$2:$B$11)</f>
        <v>10RP</v>
      </c>
      <c r="D15">
        <v>0</v>
      </c>
      <c r="E15">
        <v>6</v>
      </c>
      <c r="F15">
        <v>1</v>
      </c>
      <c r="G15">
        <v>0.23669999999999999</v>
      </c>
      <c r="H15">
        <v>0.01</v>
      </c>
      <c r="I15">
        <v>0.14649999999999999</v>
      </c>
      <c r="J15" s="24" t="str">
        <f>HYPERLINK(SetRGB(J15,G15*255,H15*255,I15*255),"HOVER!")</f>
        <v>HOVER!</v>
      </c>
      <c r="K15">
        <f>E15/F15</f>
        <v>6</v>
      </c>
    </row>
    <row r="16" spans="1:11" ht="15" x14ac:dyDescent="0.35">
      <c r="A16">
        <f t="shared" si="0"/>
        <v>10</v>
      </c>
      <c r="B16">
        <f t="shared" si="1"/>
        <v>10</v>
      </c>
      <c r="C16" s="199" t="str">
        <f>B16&amp;LOOKUP(A16, Sheet2!$A$2:$A$11, Sheet2!$B$2:$B$11)</f>
        <v>10RP</v>
      </c>
      <c r="D16">
        <v>0</v>
      </c>
      <c r="E16">
        <v>2</v>
      </c>
      <c r="F16">
        <v>2</v>
      </c>
      <c r="G16">
        <v>0.255</v>
      </c>
      <c r="H16">
        <v>0.17069999999999999</v>
      </c>
      <c r="I16">
        <v>0.19570000000000001</v>
      </c>
      <c r="J16" s="80" t="str">
        <f>HYPERLINK(SetRGB(J16,G16*255,H16*255,I16*255),"HOVER!")</f>
        <v>HOVER!</v>
      </c>
      <c r="K16">
        <f>E16/F16</f>
        <v>1</v>
      </c>
    </row>
    <row r="17" spans="1:11" ht="15" x14ac:dyDescent="0.35">
      <c r="A17">
        <f t="shared" si="0"/>
        <v>10</v>
      </c>
      <c r="B17">
        <f t="shared" si="1"/>
        <v>10</v>
      </c>
      <c r="C17" s="199" t="str">
        <f>B17&amp;LOOKUP(A17, Sheet2!$A$2:$A$11, Sheet2!$B$2:$B$11)</f>
        <v>10RP</v>
      </c>
      <c r="D17">
        <v>0</v>
      </c>
      <c r="E17">
        <v>4</v>
      </c>
      <c r="F17">
        <v>2</v>
      </c>
      <c r="G17">
        <v>0.29730000000000001</v>
      </c>
      <c r="H17">
        <v>0.14660000000000001</v>
      </c>
      <c r="I17">
        <v>0.19939999999999999</v>
      </c>
      <c r="J17" s="81" t="str">
        <f>HYPERLINK(SetRGB(J17,G17*255,H17*255,I17*255),"HOVER!")</f>
        <v>HOVER!</v>
      </c>
      <c r="K17">
        <f>E17/F17</f>
        <v>2</v>
      </c>
    </row>
    <row r="18" spans="1:11" ht="15" x14ac:dyDescent="0.35">
      <c r="A18">
        <f t="shared" si="0"/>
        <v>10</v>
      </c>
      <c r="B18">
        <f t="shared" si="1"/>
        <v>10</v>
      </c>
      <c r="C18" s="199" t="str">
        <f>B18&amp;LOOKUP(A18, Sheet2!$A$2:$A$11, Sheet2!$B$2:$B$11)</f>
        <v>10RP</v>
      </c>
      <c r="D18">
        <v>0</v>
      </c>
      <c r="E18">
        <v>6</v>
      </c>
      <c r="F18">
        <v>2</v>
      </c>
      <c r="G18">
        <v>0.33510000000000001</v>
      </c>
      <c r="H18">
        <v>0.11600000000000001</v>
      </c>
      <c r="I18">
        <v>0.20380000000000001</v>
      </c>
      <c r="J18" s="82" t="str">
        <f>HYPERLINK(SetRGB(J18,G18*255,H18*255,I18*255),"HOVER!")</f>
        <v>HOVER!</v>
      </c>
      <c r="K18">
        <f>E18/F18</f>
        <v>3</v>
      </c>
    </row>
    <row r="19" spans="1:11" ht="15" x14ac:dyDescent="0.35">
      <c r="A19">
        <f t="shared" si="0"/>
        <v>10</v>
      </c>
      <c r="B19">
        <f t="shared" si="1"/>
        <v>10</v>
      </c>
      <c r="C19" s="199" t="str">
        <f>B19&amp;LOOKUP(A19, Sheet2!$A$2:$A$11, Sheet2!$B$2:$B$11)</f>
        <v>10RP</v>
      </c>
      <c r="D19">
        <v>0</v>
      </c>
      <c r="E19">
        <v>8</v>
      </c>
      <c r="F19">
        <v>2</v>
      </c>
      <c r="G19">
        <v>0.3745</v>
      </c>
      <c r="H19">
        <v>6.3500000000000001E-2</v>
      </c>
      <c r="I19">
        <v>0.21049999999999999</v>
      </c>
      <c r="J19" s="83" t="str">
        <f>HYPERLINK(SetRGB(J19,G19*255,H19*255,I19*255),"HOVER!")</f>
        <v>HOVER!</v>
      </c>
      <c r="K19">
        <f>E19/F19</f>
        <v>4</v>
      </c>
    </row>
    <row r="20" spans="1:11" ht="15" x14ac:dyDescent="0.35">
      <c r="A20">
        <f t="shared" si="0"/>
        <v>10</v>
      </c>
      <c r="B20">
        <f t="shared" si="1"/>
        <v>10</v>
      </c>
      <c r="C20" s="199" t="str">
        <f>B20&amp;LOOKUP(A20, Sheet2!$A$2:$A$11, Sheet2!$B$2:$B$11)</f>
        <v>10RP</v>
      </c>
      <c r="D20">
        <v>0</v>
      </c>
      <c r="E20">
        <v>2</v>
      </c>
      <c r="F20">
        <v>3</v>
      </c>
      <c r="G20">
        <v>0.35549999999999998</v>
      </c>
      <c r="H20">
        <v>0.25879999999999997</v>
      </c>
      <c r="I20">
        <v>0.2752</v>
      </c>
      <c r="J20" s="84" t="str">
        <f>HYPERLINK(SetRGB(J20,G20*255,H20*255,I20*255),"HOVER!")</f>
        <v>HOVER!</v>
      </c>
      <c r="K20">
        <f>E20/F20</f>
        <v>0.66666666666666663</v>
      </c>
    </row>
    <row r="21" spans="1:11" ht="15" x14ac:dyDescent="0.35">
      <c r="A21">
        <f t="shared" si="0"/>
        <v>10</v>
      </c>
      <c r="B21">
        <f t="shared" si="1"/>
        <v>10</v>
      </c>
      <c r="C21" s="199" t="str">
        <f>B21&amp;LOOKUP(A21, Sheet2!$A$2:$A$11, Sheet2!$B$2:$B$11)</f>
        <v>10RP</v>
      </c>
      <c r="D21">
        <v>0</v>
      </c>
      <c r="E21">
        <v>4</v>
      </c>
      <c r="F21">
        <v>3</v>
      </c>
      <c r="G21">
        <v>0.40960000000000002</v>
      </c>
      <c r="H21">
        <v>0.23200000000000001</v>
      </c>
      <c r="I21">
        <v>0.26900000000000002</v>
      </c>
      <c r="J21" s="101" t="str">
        <f>HYPERLINK(SetRGB(J21,G21*255,H21*255,I21*255),"HOVER!")</f>
        <v>HOVER!</v>
      </c>
      <c r="K21">
        <f>E21/F21</f>
        <v>1.3333333333333333</v>
      </c>
    </row>
    <row r="22" spans="1:11" ht="15" x14ac:dyDescent="0.35">
      <c r="A22">
        <f t="shared" si="0"/>
        <v>10</v>
      </c>
      <c r="B22">
        <f t="shared" si="1"/>
        <v>10</v>
      </c>
      <c r="C22" s="199" t="str">
        <f>B22&amp;LOOKUP(A22, Sheet2!$A$2:$A$11, Sheet2!$B$2:$B$11)</f>
        <v>10RP</v>
      </c>
      <c r="D22">
        <v>0</v>
      </c>
      <c r="E22">
        <v>6</v>
      </c>
      <c r="F22">
        <v>3</v>
      </c>
      <c r="G22">
        <v>0.45610000000000001</v>
      </c>
      <c r="H22">
        <v>0.20080000000000001</v>
      </c>
      <c r="I22">
        <v>0.2646</v>
      </c>
      <c r="J22" s="85" t="str">
        <f>HYPERLINK(SetRGB(J22,G22*255,H22*255,I22*255),"HOVER!")</f>
        <v>HOVER!</v>
      </c>
      <c r="K22">
        <f>E22/F22</f>
        <v>2</v>
      </c>
    </row>
    <row r="23" spans="1:11" ht="15" x14ac:dyDescent="0.35">
      <c r="A23">
        <f t="shared" si="0"/>
        <v>10</v>
      </c>
      <c r="B23">
        <f t="shared" si="1"/>
        <v>10</v>
      </c>
      <c r="C23" s="199" t="str">
        <f>B23&amp;LOOKUP(A23, Sheet2!$A$2:$A$11, Sheet2!$B$2:$B$11)</f>
        <v>10RP</v>
      </c>
      <c r="D23">
        <v>0</v>
      </c>
      <c r="E23">
        <v>8</v>
      </c>
      <c r="F23">
        <v>3</v>
      </c>
      <c r="G23">
        <v>0.50280000000000002</v>
      </c>
      <c r="H23">
        <v>0.1565</v>
      </c>
      <c r="I23">
        <v>0.2616</v>
      </c>
      <c r="J23" s="86" t="str">
        <f>HYPERLINK(SetRGB(J23,G23*255,H23*255,I23*255),"HOVER!")</f>
        <v>HOVER!</v>
      </c>
      <c r="K23">
        <f>E23/F23</f>
        <v>2.6666666666666665</v>
      </c>
    </row>
    <row r="24" spans="1:11" ht="15" x14ac:dyDescent="0.35">
      <c r="A24">
        <f t="shared" si="0"/>
        <v>10</v>
      </c>
      <c r="B24">
        <f t="shared" si="1"/>
        <v>10</v>
      </c>
      <c r="C24" s="199" t="str">
        <f>B24&amp;LOOKUP(A24, Sheet2!$A$2:$A$11, Sheet2!$B$2:$B$11)</f>
        <v>10RP</v>
      </c>
      <c r="D24">
        <v>0</v>
      </c>
      <c r="E24">
        <v>10</v>
      </c>
      <c r="F24">
        <v>3</v>
      </c>
      <c r="G24">
        <v>0.54520000000000002</v>
      </c>
      <c r="H24">
        <v>9.0999999999999998E-2</v>
      </c>
      <c r="I24">
        <v>0.2601</v>
      </c>
      <c r="J24" s="79" t="str">
        <f>HYPERLINK(SetRGB(J24,G24*255,H24*255,I24*255),"HOVER!")</f>
        <v>HOVER!</v>
      </c>
      <c r="K24">
        <f>E24/F24</f>
        <v>3.3333333333333335</v>
      </c>
    </row>
    <row r="25" spans="1:11" ht="15" x14ac:dyDescent="0.35">
      <c r="A25">
        <f t="shared" si="0"/>
        <v>10</v>
      </c>
      <c r="B25">
        <f t="shared" si="1"/>
        <v>10</v>
      </c>
      <c r="C25" s="199" t="str">
        <f>B25&amp;LOOKUP(A25, Sheet2!$A$2:$A$11, Sheet2!$B$2:$B$11)</f>
        <v>10RP</v>
      </c>
      <c r="D25">
        <v>0</v>
      </c>
      <c r="E25">
        <v>2</v>
      </c>
      <c r="F25">
        <v>4</v>
      </c>
      <c r="G25">
        <v>0.4496</v>
      </c>
      <c r="H25">
        <v>0.3584</v>
      </c>
      <c r="I25">
        <v>0.37090000000000001</v>
      </c>
      <c r="J25" s="78" t="str">
        <f>HYPERLINK(SetRGB(J25,G25*255,H25*255,I25*255),"HOVER!")</f>
        <v>HOVER!</v>
      </c>
      <c r="K25">
        <f>E25/F25</f>
        <v>0.5</v>
      </c>
    </row>
    <row r="26" spans="1:11" ht="15" x14ac:dyDescent="0.35">
      <c r="A26">
        <f t="shared" si="0"/>
        <v>10</v>
      </c>
      <c r="B26">
        <f t="shared" si="1"/>
        <v>10</v>
      </c>
      <c r="C26" s="199" t="str">
        <f>B26&amp;LOOKUP(A26, Sheet2!$A$2:$A$11, Sheet2!$B$2:$B$11)</f>
        <v>10RP</v>
      </c>
      <c r="D26">
        <v>0</v>
      </c>
      <c r="E26">
        <v>4</v>
      </c>
      <c r="F26">
        <v>4</v>
      </c>
      <c r="G26">
        <v>0.5071</v>
      </c>
      <c r="H26">
        <v>0.33360000000000001</v>
      </c>
      <c r="I26">
        <v>0.36230000000000001</v>
      </c>
      <c r="J26" s="87" t="str">
        <f>HYPERLINK(SetRGB(J26,G26*255,H26*255,I26*255),"HOVER!")</f>
        <v>HOVER!</v>
      </c>
      <c r="K26">
        <f>E26/F26</f>
        <v>1</v>
      </c>
    </row>
    <row r="27" spans="1:11" ht="15" x14ac:dyDescent="0.35">
      <c r="A27">
        <f t="shared" si="0"/>
        <v>10</v>
      </c>
      <c r="B27">
        <f t="shared" si="1"/>
        <v>10</v>
      </c>
      <c r="C27" s="199" t="str">
        <f>B27&amp;LOOKUP(A27, Sheet2!$A$2:$A$11, Sheet2!$B$2:$B$11)</f>
        <v>10RP</v>
      </c>
      <c r="D27">
        <v>0</v>
      </c>
      <c r="E27">
        <v>6</v>
      </c>
      <c r="F27">
        <v>4</v>
      </c>
      <c r="G27">
        <v>0.55820000000000003</v>
      </c>
      <c r="H27">
        <v>0.30570000000000003</v>
      </c>
      <c r="I27">
        <v>0.3548</v>
      </c>
      <c r="J27" s="88" t="str">
        <f>HYPERLINK(SetRGB(J27,G27*255,H27*255,I27*255),"HOVER!")</f>
        <v>HOVER!</v>
      </c>
      <c r="K27">
        <f>E27/F27</f>
        <v>1.5</v>
      </c>
    </row>
    <row r="28" spans="1:11" ht="15" x14ac:dyDescent="0.35">
      <c r="A28">
        <f t="shared" si="0"/>
        <v>10</v>
      </c>
      <c r="B28">
        <f t="shared" si="1"/>
        <v>10</v>
      </c>
      <c r="C28" s="199" t="str">
        <f>B28&amp;LOOKUP(A28, Sheet2!$A$2:$A$11, Sheet2!$B$2:$B$11)</f>
        <v>10RP</v>
      </c>
      <c r="D28">
        <v>0</v>
      </c>
      <c r="E28">
        <v>8</v>
      </c>
      <c r="F28">
        <v>4</v>
      </c>
      <c r="G28">
        <v>0.60750000000000004</v>
      </c>
      <c r="H28">
        <v>0.27129999999999999</v>
      </c>
      <c r="I28">
        <v>0.34839999999999999</v>
      </c>
      <c r="J28" s="89" t="str">
        <f>HYPERLINK(SetRGB(J28,G28*255,H28*255,I28*255),"HOVER!")</f>
        <v>HOVER!</v>
      </c>
      <c r="K28">
        <f>E28/F28</f>
        <v>2</v>
      </c>
    </row>
    <row r="29" spans="1:11" ht="15" x14ac:dyDescent="0.35">
      <c r="A29">
        <f t="shared" si="0"/>
        <v>10</v>
      </c>
      <c r="B29">
        <f t="shared" si="1"/>
        <v>10</v>
      </c>
      <c r="C29" s="199" t="str">
        <f>B29&amp;LOOKUP(A29, Sheet2!$A$2:$A$11, Sheet2!$B$2:$B$11)</f>
        <v>10RP</v>
      </c>
      <c r="D29">
        <v>0</v>
      </c>
      <c r="E29">
        <v>10</v>
      </c>
      <c r="F29">
        <v>4</v>
      </c>
      <c r="G29">
        <v>0.64970000000000006</v>
      </c>
      <c r="H29">
        <v>0.23319999999999999</v>
      </c>
      <c r="I29">
        <v>0.34360000000000002</v>
      </c>
      <c r="J29" s="90" t="str">
        <f>HYPERLINK(SetRGB(J29,G29*255,H29*255,I29*255),"HOVER!")</f>
        <v>HOVER!</v>
      </c>
      <c r="K29">
        <f>E29/F29</f>
        <v>2.5</v>
      </c>
    </row>
    <row r="30" spans="1:11" ht="15" x14ac:dyDescent="0.35">
      <c r="A30">
        <f t="shared" si="0"/>
        <v>10</v>
      </c>
      <c r="B30">
        <f t="shared" si="1"/>
        <v>10</v>
      </c>
      <c r="C30" s="199" t="str">
        <f>B30&amp;LOOKUP(A30, Sheet2!$A$2:$A$11, Sheet2!$B$2:$B$11)</f>
        <v>10RP</v>
      </c>
      <c r="D30">
        <v>0</v>
      </c>
      <c r="E30">
        <v>12</v>
      </c>
      <c r="F30">
        <v>4</v>
      </c>
      <c r="G30">
        <v>0.69469999999999998</v>
      </c>
      <c r="H30">
        <v>0.17680000000000001</v>
      </c>
      <c r="I30">
        <v>0.33960000000000001</v>
      </c>
      <c r="J30" s="91" t="str">
        <f>HYPERLINK(SetRGB(J30,G30*255,H30*255,I30*255),"HOVER!")</f>
        <v>HOVER!</v>
      </c>
      <c r="K30">
        <f>E30/F30</f>
        <v>3</v>
      </c>
    </row>
    <row r="31" spans="1:11" ht="15" x14ac:dyDescent="0.35">
      <c r="A31">
        <f t="shared" si="0"/>
        <v>10</v>
      </c>
      <c r="B31">
        <f t="shared" si="1"/>
        <v>10</v>
      </c>
      <c r="C31" s="199" t="str">
        <f>B31&amp;LOOKUP(A31, Sheet2!$A$2:$A$11, Sheet2!$B$2:$B$11)</f>
        <v>10RP</v>
      </c>
      <c r="D31">
        <v>0</v>
      </c>
      <c r="E31">
        <v>14</v>
      </c>
      <c r="F31">
        <v>4</v>
      </c>
      <c r="G31">
        <v>0.73580000000000001</v>
      </c>
      <c r="H31">
        <v>8.8700000000000001E-2</v>
      </c>
      <c r="I31">
        <v>0.33750000000000002</v>
      </c>
      <c r="J31" s="92" t="str">
        <f>HYPERLINK(SetRGB(J31,G31*255,H31*255,I31*255),"HOVER!")</f>
        <v>HOVER!</v>
      </c>
      <c r="K31">
        <f>E31/F31</f>
        <v>3.5</v>
      </c>
    </row>
    <row r="32" spans="1:11" ht="15" x14ac:dyDescent="0.35">
      <c r="A32">
        <f t="shared" si="0"/>
        <v>10</v>
      </c>
      <c r="B32">
        <f t="shared" si="1"/>
        <v>10</v>
      </c>
      <c r="C32" s="199" t="str">
        <f>B32&amp;LOOKUP(A32, Sheet2!$A$2:$A$11, Sheet2!$B$2:$B$11)</f>
        <v>10RP</v>
      </c>
      <c r="D32">
        <v>0</v>
      </c>
      <c r="E32">
        <v>2</v>
      </c>
      <c r="F32">
        <v>5</v>
      </c>
      <c r="G32">
        <v>0.54339999999999999</v>
      </c>
      <c r="H32">
        <v>0.46260000000000001</v>
      </c>
      <c r="I32">
        <v>0.47120000000000001</v>
      </c>
      <c r="J32" s="93" t="str">
        <f>HYPERLINK(SetRGB(J32,G32*255,H32*255,I32*255),"HOVER!")</f>
        <v>HOVER!</v>
      </c>
      <c r="K32">
        <f>E32/F32</f>
        <v>0.4</v>
      </c>
    </row>
    <row r="33" spans="1:11" ht="15" x14ac:dyDescent="0.35">
      <c r="A33">
        <f t="shared" si="0"/>
        <v>10</v>
      </c>
      <c r="B33">
        <f t="shared" si="1"/>
        <v>10</v>
      </c>
      <c r="C33" s="199" t="str">
        <f>B33&amp;LOOKUP(A33, Sheet2!$A$2:$A$11, Sheet2!$B$2:$B$11)</f>
        <v>10RP</v>
      </c>
      <c r="D33">
        <v>0</v>
      </c>
      <c r="E33">
        <v>4</v>
      </c>
      <c r="F33">
        <v>5</v>
      </c>
      <c r="G33">
        <v>0.60589999999999999</v>
      </c>
      <c r="H33">
        <v>0.43830000000000002</v>
      </c>
      <c r="I33">
        <v>0.4597</v>
      </c>
      <c r="J33" s="94" t="str">
        <f>HYPERLINK(SetRGB(J33,G33*255,H33*255,I33*255),"HOVER!")</f>
        <v>HOVER!</v>
      </c>
      <c r="K33">
        <f>E33/F33</f>
        <v>0.8</v>
      </c>
    </row>
    <row r="34" spans="1:11" ht="15" x14ac:dyDescent="0.35">
      <c r="A34">
        <f t="shared" si="0"/>
        <v>10</v>
      </c>
      <c r="B34">
        <f t="shared" si="1"/>
        <v>10</v>
      </c>
      <c r="C34" s="199" t="str">
        <f>B34&amp;LOOKUP(A34, Sheet2!$A$2:$A$11, Sheet2!$B$2:$B$11)</f>
        <v>10RP</v>
      </c>
      <c r="D34">
        <v>0</v>
      </c>
      <c r="E34">
        <v>6</v>
      </c>
      <c r="F34">
        <v>5</v>
      </c>
      <c r="G34">
        <v>0.66310000000000002</v>
      </c>
      <c r="H34">
        <v>0.41089999999999999</v>
      </c>
      <c r="I34">
        <v>0.44950000000000001</v>
      </c>
      <c r="J34" s="95" t="str">
        <f>HYPERLINK(SetRGB(J34,G34*255,H34*255,I34*255),"HOVER!")</f>
        <v>HOVER!</v>
      </c>
      <c r="K34">
        <f>E34/F34</f>
        <v>1.2</v>
      </c>
    </row>
    <row r="35" spans="1:11" ht="15" x14ac:dyDescent="0.35">
      <c r="A35">
        <f t="shared" si="0"/>
        <v>10</v>
      </c>
      <c r="B35">
        <f t="shared" si="1"/>
        <v>10</v>
      </c>
      <c r="C35" s="199" t="str">
        <f>B35&amp;LOOKUP(A35, Sheet2!$A$2:$A$11, Sheet2!$B$2:$B$11)</f>
        <v>10RP</v>
      </c>
      <c r="D35">
        <v>0</v>
      </c>
      <c r="E35">
        <v>8</v>
      </c>
      <c r="F35">
        <v>5</v>
      </c>
      <c r="G35">
        <v>0.71689999999999998</v>
      </c>
      <c r="H35">
        <v>0.37930000000000003</v>
      </c>
      <c r="I35">
        <v>0.44009999999999999</v>
      </c>
      <c r="J35" s="96" t="str">
        <f>HYPERLINK(SetRGB(J35,G35*255,H35*255,I35*255),"HOVER!")</f>
        <v>HOVER!</v>
      </c>
      <c r="K35">
        <f>E35/F35</f>
        <v>1.6</v>
      </c>
    </row>
    <row r="36" spans="1:11" ht="15" x14ac:dyDescent="0.35">
      <c r="A36">
        <f t="shared" si="0"/>
        <v>10</v>
      </c>
      <c r="B36">
        <f t="shared" si="1"/>
        <v>10</v>
      </c>
      <c r="C36" s="199" t="str">
        <f>B36&amp;LOOKUP(A36, Sheet2!$A$2:$A$11, Sheet2!$B$2:$B$11)</f>
        <v>10RP</v>
      </c>
      <c r="D36">
        <v>0</v>
      </c>
      <c r="E36">
        <v>10</v>
      </c>
      <c r="F36">
        <v>5</v>
      </c>
      <c r="G36">
        <v>0.7641</v>
      </c>
      <c r="H36">
        <v>0.3453</v>
      </c>
      <c r="I36">
        <v>0.43290000000000001</v>
      </c>
      <c r="J36" s="97" t="str">
        <f>HYPERLINK(SetRGB(J36,G36*255,H36*255,I36*255),"HOVER!")</f>
        <v>HOVER!</v>
      </c>
      <c r="K36">
        <f>E36/F36</f>
        <v>2</v>
      </c>
    </row>
    <row r="37" spans="1:11" ht="15" x14ac:dyDescent="0.35">
      <c r="A37">
        <f t="shared" si="0"/>
        <v>10</v>
      </c>
      <c r="B37">
        <f t="shared" si="1"/>
        <v>10</v>
      </c>
      <c r="C37" s="199" t="str">
        <f>B37&amp;LOOKUP(A37, Sheet2!$A$2:$A$11, Sheet2!$B$2:$B$11)</f>
        <v>10RP</v>
      </c>
      <c r="D37">
        <v>0</v>
      </c>
      <c r="E37">
        <v>12</v>
      </c>
      <c r="F37">
        <v>5</v>
      </c>
      <c r="G37">
        <v>0.81510000000000005</v>
      </c>
      <c r="H37">
        <v>0.29880000000000001</v>
      </c>
      <c r="I37">
        <v>0.42609999999999998</v>
      </c>
      <c r="J37" s="98" t="str">
        <f>HYPERLINK(SetRGB(J37,G37*255,H37*255,I37*255),"HOVER!")</f>
        <v>HOVER!</v>
      </c>
      <c r="K37">
        <f>E37/F37</f>
        <v>2.4</v>
      </c>
    </row>
    <row r="38" spans="1:11" ht="15" x14ac:dyDescent="0.35">
      <c r="A38">
        <f t="shared" si="0"/>
        <v>10</v>
      </c>
      <c r="B38">
        <f t="shared" si="1"/>
        <v>10</v>
      </c>
      <c r="C38" s="199" t="str">
        <f>B38&amp;LOOKUP(A38, Sheet2!$A$2:$A$11, Sheet2!$B$2:$B$11)</f>
        <v>10RP</v>
      </c>
      <c r="D38">
        <v>0</v>
      </c>
      <c r="E38">
        <v>14</v>
      </c>
      <c r="F38">
        <v>5</v>
      </c>
      <c r="G38">
        <v>0.85419999999999996</v>
      </c>
      <c r="H38">
        <v>0.25259999999999999</v>
      </c>
      <c r="I38">
        <v>0.42180000000000001</v>
      </c>
      <c r="J38" s="99" t="str">
        <f>HYPERLINK(SetRGB(J38,G38*255,H38*255,I38*255),"HOVER!")</f>
        <v>HOVER!</v>
      </c>
      <c r="K38">
        <f>E38/F38</f>
        <v>2.8</v>
      </c>
    </row>
    <row r="39" spans="1:11" ht="15" x14ac:dyDescent="0.35">
      <c r="A39">
        <f t="shared" si="0"/>
        <v>10</v>
      </c>
      <c r="B39">
        <f t="shared" si="1"/>
        <v>10</v>
      </c>
      <c r="C39" s="199" t="str">
        <f>B39&amp;LOOKUP(A39, Sheet2!$A$2:$A$11, Sheet2!$B$2:$B$11)</f>
        <v>10RP</v>
      </c>
      <c r="D39">
        <v>0</v>
      </c>
      <c r="E39">
        <v>16</v>
      </c>
      <c r="F39">
        <v>5</v>
      </c>
      <c r="G39">
        <v>0.90010000000000001</v>
      </c>
      <c r="H39">
        <v>0.17510000000000001</v>
      </c>
      <c r="I39">
        <v>0.41749999999999998</v>
      </c>
      <c r="J39" s="100" t="str">
        <f>HYPERLINK(SetRGB(J39,G39*255,H39*255,I39*255),"HOVER!")</f>
        <v>HOVER!</v>
      </c>
      <c r="K39">
        <f>E39/F39</f>
        <v>3.2</v>
      </c>
    </row>
    <row r="40" spans="1:11" ht="15" x14ac:dyDescent="0.35">
      <c r="A40">
        <f t="shared" si="0"/>
        <v>10</v>
      </c>
      <c r="B40">
        <f t="shared" si="1"/>
        <v>10</v>
      </c>
      <c r="C40" s="199" t="str">
        <f>B40&amp;LOOKUP(A40, Sheet2!$A$2:$A$11, Sheet2!$B$2:$B$11)</f>
        <v>10RP</v>
      </c>
      <c r="D40">
        <v>0</v>
      </c>
      <c r="E40">
        <v>2</v>
      </c>
      <c r="F40">
        <v>6</v>
      </c>
      <c r="G40">
        <v>0.64470000000000005</v>
      </c>
      <c r="H40">
        <v>0.56569999999999998</v>
      </c>
      <c r="I40">
        <v>0.57289999999999996</v>
      </c>
      <c r="J40" s="102" t="str">
        <f>HYPERLINK(SetRGB(J40,G40*255,H40*255,I40*255),"HOVER!")</f>
        <v>HOVER!</v>
      </c>
      <c r="K40">
        <f>E40/F40</f>
        <v>0.33333333333333331</v>
      </c>
    </row>
    <row r="41" spans="1:11" ht="15" x14ac:dyDescent="0.35">
      <c r="A41">
        <f t="shared" si="0"/>
        <v>10</v>
      </c>
      <c r="B41">
        <f t="shared" si="1"/>
        <v>10</v>
      </c>
      <c r="C41" s="199" t="str">
        <f>B41&amp;LOOKUP(A41, Sheet2!$A$2:$A$11, Sheet2!$B$2:$B$11)</f>
        <v>10RP</v>
      </c>
      <c r="D41">
        <v>0</v>
      </c>
      <c r="E41">
        <v>4</v>
      </c>
      <c r="F41">
        <v>6</v>
      </c>
      <c r="G41">
        <v>0.70689999999999997</v>
      </c>
      <c r="H41">
        <v>0.54290000000000005</v>
      </c>
      <c r="I41">
        <v>0.56079999999999997</v>
      </c>
      <c r="J41" s="103" t="str">
        <f>HYPERLINK(SetRGB(J41,G41*255,H41*255,I41*255),"HOVER!")</f>
        <v>HOVER!</v>
      </c>
      <c r="K41">
        <f>E41/F41</f>
        <v>0.66666666666666663</v>
      </c>
    </row>
    <row r="42" spans="1:11" ht="15" x14ac:dyDescent="0.35">
      <c r="A42">
        <f t="shared" si="0"/>
        <v>10</v>
      </c>
      <c r="B42">
        <f t="shared" si="1"/>
        <v>10</v>
      </c>
      <c r="C42" s="199" t="str">
        <f>B42&amp;LOOKUP(A42, Sheet2!$A$2:$A$11, Sheet2!$B$2:$B$11)</f>
        <v>10RP</v>
      </c>
      <c r="D42">
        <v>0</v>
      </c>
      <c r="E42">
        <v>6</v>
      </c>
      <c r="F42">
        <v>6</v>
      </c>
      <c r="G42">
        <v>0.76890000000000003</v>
      </c>
      <c r="H42">
        <v>0.51570000000000005</v>
      </c>
      <c r="I42">
        <v>0.54849999999999999</v>
      </c>
      <c r="J42" s="104" t="str">
        <f>HYPERLINK(SetRGB(J42,G42*255,H42*255,I42*255),"HOVER!")</f>
        <v>HOVER!</v>
      </c>
      <c r="K42">
        <f>E42/F42</f>
        <v>1</v>
      </c>
    </row>
    <row r="43" spans="1:11" ht="15" x14ac:dyDescent="0.35">
      <c r="A43">
        <f t="shared" si="0"/>
        <v>10</v>
      </c>
      <c r="B43">
        <f t="shared" si="1"/>
        <v>10</v>
      </c>
      <c r="C43" s="199" t="str">
        <f>B43&amp;LOOKUP(A43, Sheet2!$A$2:$A$11, Sheet2!$B$2:$B$11)</f>
        <v>10RP</v>
      </c>
      <c r="D43">
        <v>0</v>
      </c>
      <c r="E43">
        <v>8</v>
      </c>
      <c r="F43">
        <v>6</v>
      </c>
      <c r="G43">
        <v>0.81720000000000004</v>
      </c>
      <c r="H43">
        <v>0.49080000000000001</v>
      </c>
      <c r="I43">
        <v>0.53879999999999995</v>
      </c>
      <c r="J43" s="105" t="str">
        <f>HYPERLINK(SetRGB(J43,G43*255,H43*255,I43*255),"HOVER!")</f>
        <v>HOVER!</v>
      </c>
      <c r="K43">
        <f>E43/F43</f>
        <v>1.3333333333333333</v>
      </c>
    </row>
    <row r="44" spans="1:11" ht="15" x14ac:dyDescent="0.35">
      <c r="A44">
        <f t="shared" si="0"/>
        <v>10</v>
      </c>
      <c r="B44">
        <f t="shared" si="1"/>
        <v>10</v>
      </c>
      <c r="C44" s="199" t="str">
        <f>B44&amp;LOOKUP(A44, Sheet2!$A$2:$A$11, Sheet2!$B$2:$B$11)</f>
        <v>10RP</v>
      </c>
      <c r="D44">
        <v>0</v>
      </c>
      <c r="E44">
        <v>10</v>
      </c>
      <c r="F44">
        <v>6</v>
      </c>
      <c r="G44">
        <v>0.87139999999999995</v>
      </c>
      <c r="H44">
        <v>0.45789999999999997</v>
      </c>
      <c r="I44">
        <v>0.52849999999999997</v>
      </c>
      <c r="J44" s="106" t="str">
        <f>HYPERLINK(SetRGB(J44,G44*255,H44*255,I44*255),"HOVER!")</f>
        <v>HOVER!</v>
      </c>
      <c r="K44">
        <f>E44/F44</f>
        <v>1.6666666666666667</v>
      </c>
    </row>
    <row r="45" spans="1:11" ht="15" x14ac:dyDescent="0.35">
      <c r="A45">
        <f t="shared" si="0"/>
        <v>10</v>
      </c>
      <c r="B45">
        <f t="shared" si="1"/>
        <v>10</v>
      </c>
      <c r="C45" s="199" t="str">
        <f>B45&amp;LOOKUP(A45, Sheet2!$A$2:$A$11, Sheet2!$B$2:$B$11)</f>
        <v>10RP</v>
      </c>
      <c r="D45">
        <v>0</v>
      </c>
      <c r="E45">
        <v>12</v>
      </c>
      <c r="F45">
        <v>6</v>
      </c>
      <c r="G45">
        <v>0.92200000000000004</v>
      </c>
      <c r="H45">
        <v>0.42099999999999999</v>
      </c>
      <c r="I45">
        <v>0.51939999999999997</v>
      </c>
      <c r="J45" s="107" t="str">
        <f>HYPERLINK(SetRGB(J45,G45*255,H45*255,I45*255),"HOVER!")</f>
        <v>HOVER!</v>
      </c>
      <c r="K45">
        <f>E45/F45</f>
        <v>2</v>
      </c>
    </row>
    <row r="46" spans="1:11" ht="15" x14ac:dyDescent="0.35">
      <c r="A46">
        <f t="shared" si="0"/>
        <v>10</v>
      </c>
      <c r="B46">
        <f t="shared" si="1"/>
        <v>10</v>
      </c>
      <c r="C46" s="199" t="str">
        <f>B46&amp;LOOKUP(A46, Sheet2!$A$2:$A$11, Sheet2!$B$2:$B$11)</f>
        <v>10RP</v>
      </c>
      <c r="D46">
        <v>0</v>
      </c>
      <c r="E46">
        <v>14</v>
      </c>
      <c r="F46">
        <v>6</v>
      </c>
      <c r="G46">
        <v>0.96799999999999997</v>
      </c>
      <c r="H46">
        <v>0.3805</v>
      </c>
      <c r="I46">
        <v>0.51200000000000001</v>
      </c>
      <c r="J46" s="108" t="str">
        <f>HYPERLINK(SetRGB(J46,G46*255,H46*255,I46*255),"HOVER!")</f>
        <v>HOVER!</v>
      </c>
      <c r="K46">
        <f>E46/F46</f>
        <v>2.3333333333333335</v>
      </c>
    </row>
    <row r="47" spans="1:11" ht="15" x14ac:dyDescent="0.35">
      <c r="A47">
        <f t="shared" si="0"/>
        <v>10</v>
      </c>
      <c r="B47">
        <f t="shared" si="1"/>
        <v>10</v>
      </c>
      <c r="C47" s="199" t="str">
        <f>B47&amp;LOOKUP(A47, Sheet2!$A$2:$A$11, Sheet2!$B$2:$B$11)</f>
        <v>10RP</v>
      </c>
      <c r="D47">
        <v>0</v>
      </c>
      <c r="E47">
        <v>16</v>
      </c>
      <c r="F47">
        <v>6</v>
      </c>
      <c r="G47">
        <v>1</v>
      </c>
      <c r="H47">
        <v>0.3201</v>
      </c>
      <c r="I47">
        <v>0.50329999999999997</v>
      </c>
      <c r="J47" s="109" t="str">
        <f>HYPERLINK(SetRGB(J47,G47*255,H47*255,I47*255),"HOVER!")</f>
        <v>HOVER!</v>
      </c>
      <c r="K47">
        <f>E47/F47</f>
        <v>2.6666666666666665</v>
      </c>
    </row>
    <row r="48" spans="1:11" ht="15" x14ac:dyDescent="0.35">
      <c r="A48">
        <f t="shared" si="0"/>
        <v>10</v>
      </c>
      <c r="B48">
        <f t="shared" si="1"/>
        <v>10</v>
      </c>
      <c r="C48" s="199" t="str">
        <f>B48&amp;LOOKUP(A48, Sheet2!$A$2:$A$11, Sheet2!$B$2:$B$11)</f>
        <v>10RP</v>
      </c>
      <c r="D48">
        <v>0</v>
      </c>
      <c r="E48">
        <v>18</v>
      </c>
      <c r="F48">
        <v>6</v>
      </c>
      <c r="G48">
        <v>1</v>
      </c>
      <c r="H48">
        <v>0.25469999999999998</v>
      </c>
      <c r="I48">
        <v>0.49759999999999999</v>
      </c>
      <c r="J48" s="110" t="str">
        <f>HYPERLINK(SetRGB(J48,G48*255,H48*255,I48*255),"HOVER!")</f>
        <v>HOVER!</v>
      </c>
      <c r="K48">
        <f>E48/F48</f>
        <v>3</v>
      </c>
    </row>
    <row r="49" spans="1:11" ht="15" x14ac:dyDescent="0.35">
      <c r="A49">
        <f t="shared" si="0"/>
        <v>10</v>
      </c>
      <c r="B49">
        <f t="shared" si="1"/>
        <v>10</v>
      </c>
      <c r="C49" s="199" t="str">
        <f>B49&amp;LOOKUP(A49, Sheet2!$A$2:$A$11, Sheet2!$B$2:$B$11)</f>
        <v>10RP</v>
      </c>
      <c r="D49">
        <v>0</v>
      </c>
      <c r="E49">
        <v>2</v>
      </c>
      <c r="F49">
        <v>7</v>
      </c>
      <c r="G49">
        <v>0.74519999999999997</v>
      </c>
      <c r="H49">
        <v>0.67030000000000001</v>
      </c>
      <c r="I49">
        <v>0.67600000000000005</v>
      </c>
      <c r="J49" s="111" t="str">
        <f>HYPERLINK(SetRGB(J49,G49*255,H49*255,I49*255),"HOVER!")</f>
        <v>HOVER!</v>
      </c>
      <c r="K49">
        <f>E49/F49</f>
        <v>0.2857142857142857</v>
      </c>
    </row>
    <row r="50" spans="1:11" ht="15" x14ac:dyDescent="0.35">
      <c r="A50">
        <f t="shared" si="0"/>
        <v>10</v>
      </c>
      <c r="B50">
        <f t="shared" si="1"/>
        <v>10</v>
      </c>
      <c r="C50" s="199" t="str">
        <f>B50&amp;LOOKUP(A50, Sheet2!$A$2:$A$11, Sheet2!$B$2:$B$11)</f>
        <v>10RP</v>
      </c>
      <c r="D50">
        <v>0</v>
      </c>
      <c r="E50">
        <v>4</v>
      </c>
      <c r="F50">
        <v>7</v>
      </c>
      <c r="G50">
        <v>0.80910000000000004</v>
      </c>
      <c r="H50">
        <v>0.64790000000000003</v>
      </c>
      <c r="I50">
        <v>0.66339999999999999</v>
      </c>
      <c r="J50" s="112" t="str">
        <f>HYPERLINK(SetRGB(J50,G50*255,H50*255,I50*255),"HOVER!")</f>
        <v>HOVER!</v>
      </c>
      <c r="K50">
        <f>E50/F50</f>
        <v>0.5714285714285714</v>
      </c>
    </row>
    <row r="51" spans="1:11" ht="15" x14ac:dyDescent="0.35">
      <c r="A51">
        <f t="shared" si="0"/>
        <v>10</v>
      </c>
      <c r="B51">
        <f t="shared" si="1"/>
        <v>10</v>
      </c>
      <c r="C51" s="199" t="str">
        <f>B51&amp;LOOKUP(A51, Sheet2!$A$2:$A$11, Sheet2!$B$2:$B$11)</f>
        <v>10RP</v>
      </c>
      <c r="D51">
        <v>0</v>
      </c>
      <c r="E51">
        <v>6</v>
      </c>
      <c r="F51">
        <v>7</v>
      </c>
      <c r="G51">
        <v>0.87250000000000005</v>
      </c>
      <c r="H51">
        <v>0.622</v>
      </c>
      <c r="I51">
        <v>0.64980000000000004</v>
      </c>
      <c r="J51" s="113" t="str">
        <f>HYPERLINK(SetRGB(J51,G51*255,H51*255,I51*255),"HOVER!")</f>
        <v>HOVER!</v>
      </c>
      <c r="K51">
        <f>E51/F51</f>
        <v>0.8571428571428571</v>
      </c>
    </row>
    <row r="52" spans="1:11" ht="15" x14ac:dyDescent="0.35">
      <c r="A52">
        <f t="shared" si="0"/>
        <v>10</v>
      </c>
      <c r="B52">
        <f t="shared" si="1"/>
        <v>10</v>
      </c>
      <c r="C52" s="199" t="str">
        <f>B52&amp;LOOKUP(A52, Sheet2!$A$2:$A$11, Sheet2!$B$2:$B$11)</f>
        <v>10RP</v>
      </c>
      <c r="D52">
        <v>0</v>
      </c>
      <c r="E52">
        <v>8</v>
      </c>
      <c r="F52">
        <v>7</v>
      </c>
      <c r="G52">
        <v>0.93230000000000002</v>
      </c>
      <c r="H52">
        <v>0.59340000000000004</v>
      </c>
      <c r="I52">
        <v>0.63639999999999997</v>
      </c>
      <c r="J52" s="115" t="str">
        <f>HYPERLINK(SetRGB(J52,G52*255,H52*255,I52*255),"HOVER!")</f>
        <v>HOVER!</v>
      </c>
      <c r="K52">
        <f>E52/F52</f>
        <v>1.1428571428571428</v>
      </c>
    </row>
    <row r="53" spans="1:11" ht="15" x14ac:dyDescent="0.35">
      <c r="A53">
        <f t="shared" si="0"/>
        <v>10</v>
      </c>
      <c r="B53">
        <f t="shared" si="1"/>
        <v>10</v>
      </c>
      <c r="C53" s="199" t="str">
        <f>B53&amp;LOOKUP(A53, Sheet2!$A$2:$A$11, Sheet2!$B$2:$B$11)</f>
        <v>10RP</v>
      </c>
      <c r="D53">
        <v>0</v>
      </c>
      <c r="E53">
        <v>10</v>
      </c>
      <c r="F53">
        <v>7</v>
      </c>
      <c r="G53">
        <v>0.98660000000000003</v>
      </c>
      <c r="H53">
        <v>0.56320000000000003</v>
      </c>
      <c r="I53">
        <v>0.62509999999999999</v>
      </c>
      <c r="J53" s="116" t="str">
        <f>HYPERLINK(SetRGB(J53,G53*255,H53*255,I53*255),"HOVER!")</f>
        <v>HOVER!</v>
      </c>
      <c r="K53">
        <f>E53/F53</f>
        <v>1.4285714285714286</v>
      </c>
    </row>
    <row r="54" spans="1:11" ht="15" x14ac:dyDescent="0.35">
      <c r="A54">
        <f t="shared" si="0"/>
        <v>10</v>
      </c>
      <c r="B54">
        <f t="shared" si="1"/>
        <v>10</v>
      </c>
      <c r="C54" s="199" t="str">
        <f>B54&amp;LOOKUP(A54, Sheet2!$A$2:$A$11, Sheet2!$B$2:$B$11)</f>
        <v>10RP</v>
      </c>
      <c r="D54">
        <v>0</v>
      </c>
      <c r="E54">
        <v>12</v>
      </c>
      <c r="F54">
        <v>7</v>
      </c>
      <c r="G54">
        <v>1</v>
      </c>
      <c r="H54">
        <v>0.52280000000000004</v>
      </c>
      <c r="I54">
        <v>0.61299999999999999</v>
      </c>
      <c r="J54" s="114" t="str">
        <f>HYPERLINK(SetRGB(J54,G54*255,H54*255,I54*255),"HOVER!")</f>
        <v>HOVER!</v>
      </c>
      <c r="K54">
        <f>E54/F54</f>
        <v>1.7142857142857142</v>
      </c>
    </row>
    <row r="55" spans="1:11" ht="15" x14ac:dyDescent="0.35">
      <c r="A55">
        <f t="shared" si="0"/>
        <v>10</v>
      </c>
      <c r="B55">
        <f t="shared" si="1"/>
        <v>10</v>
      </c>
      <c r="C55" s="199" t="str">
        <f>B55&amp;LOOKUP(A55, Sheet2!$A$2:$A$11, Sheet2!$B$2:$B$11)</f>
        <v>10RP</v>
      </c>
      <c r="D55">
        <v>0</v>
      </c>
      <c r="E55">
        <v>14</v>
      </c>
      <c r="F55">
        <v>7</v>
      </c>
      <c r="G55">
        <v>1</v>
      </c>
      <c r="H55">
        <v>0.48080000000000001</v>
      </c>
      <c r="I55">
        <v>0.60260000000000002</v>
      </c>
      <c r="J55" s="117" t="str">
        <f>HYPERLINK(SetRGB(J55,G55*255,H55*255,I55*255),"HOVER!")</f>
        <v>HOVER!</v>
      </c>
      <c r="K55">
        <f>E55/F55</f>
        <v>2</v>
      </c>
    </row>
    <row r="56" spans="1:11" ht="15" x14ac:dyDescent="0.35">
      <c r="A56">
        <f t="shared" si="0"/>
        <v>10</v>
      </c>
      <c r="B56">
        <f t="shared" si="1"/>
        <v>10</v>
      </c>
      <c r="C56" s="199" t="str">
        <f>B56&amp;LOOKUP(A56, Sheet2!$A$2:$A$11, Sheet2!$B$2:$B$11)</f>
        <v>10RP</v>
      </c>
      <c r="D56">
        <v>0</v>
      </c>
      <c r="E56">
        <v>16</v>
      </c>
      <c r="F56">
        <v>7</v>
      </c>
      <c r="G56">
        <v>1</v>
      </c>
      <c r="H56">
        <v>0.43140000000000001</v>
      </c>
      <c r="I56">
        <v>0.59309999999999996</v>
      </c>
      <c r="J56" s="118" t="str">
        <f>HYPERLINK(SetRGB(J56,G56*255,H56*255,I56*255),"HOVER!")</f>
        <v>HOVER!</v>
      </c>
      <c r="K56">
        <f>E56/F56</f>
        <v>2.2857142857142856</v>
      </c>
    </row>
    <row r="57" spans="1:11" ht="15" x14ac:dyDescent="0.35">
      <c r="A57">
        <f t="shared" si="0"/>
        <v>10</v>
      </c>
      <c r="B57">
        <f t="shared" si="1"/>
        <v>10</v>
      </c>
      <c r="C57" s="199" t="str">
        <f>B57&amp;LOOKUP(A57, Sheet2!$A$2:$A$11, Sheet2!$B$2:$B$11)</f>
        <v>10RP</v>
      </c>
      <c r="D57">
        <v>0</v>
      </c>
      <c r="E57">
        <v>2</v>
      </c>
      <c r="F57">
        <v>8</v>
      </c>
      <c r="G57">
        <v>0.84189999999999998</v>
      </c>
      <c r="H57">
        <v>0.77780000000000005</v>
      </c>
      <c r="I57">
        <v>0.78239999999999998</v>
      </c>
      <c r="J57" s="119" t="str">
        <f>HYPERLINK(SetRGB(J57,G57*255,H57*255,I57*255),"HOVER!")</f>
        <v>HOVER!</v>
      </c>
      <c r="K57">
        <f>E57/F57</f>
        <v>0.25</v>
      </c>
    </row>
    <row r="58" spans="1:11" ht="15" x14ac:dyDescent="0.35">
      <c r="A58">
        <f t="shared" si="0"/>
        <v>10</v>
      </c>
      <c r="B58">
        <f t="shared" si="1"/>
        <v>10</v>
      </c>
      <c r="C58" s="199" t="str">
        <f>B58&amp;LOOKUP(A58, Sheet2!$A$2:$A$11, Sheet2!$B$2:$B$11)</f>
        <v>10RP</v>
      </c>
      <c r="D58">
        <v>0</v>
      </c>
      <c r="E58">
        <v>4</v>
      </c>
      <c r="F58">
        <v>8</v>
      </c>
      <c r="G58">
        <v>0.91690000000000005</v>
      </c>
      <c r="H58">
        <v>0.75249999999999995</v>
      </c>
      <c r="I58">
        <v>0.76590000000000003</v>
      </c>
      <c r="J58" s="120" t="str">
        <f>HYPERLINK(SetRGB(J58,G58*255,H58*255,I58*255),"HOVER!")</f>
        <v>HOVER!</v>
      </c>
      <c r="K58">
        <f>E58/F58</f>
        <v>0.5</v>
      </c>
    </row>
    <row r="59" spans="1:11" ht="15" x14ac:dyDescent="0.35">
      <c r="A59">
        <f t="shared" si="0"/>
        <v>10</v>
      </c>
      <c r="B59">
        <f t="shared" si="1"/>
        <v>10</v>
      </c>
      <c r="C59" s="199" t="str">
        <f>B59&amp;LOOKUP(A59, Sheet2!$A$2:$A$11, Sheet2!$B$2:$B$11)</f>
        <v>10RP</v>
      </c>
      <c r="D59">
        <v>0</v>
      </c>
      <c r="E59">
        <v>6</v>
      </c>
      <c r="F59">
        <v>8</v>
      </c>
      <c r="G59">
        <v>0.98480000000000001</v>
      </c>
      <c r="H59">
        <v>0.72570000000000001</v>
      </c>
      <c r="I59">
        <v>0.75109999999999999</v>
      </c>
      <c r="J59" s="121" t="str">
        <f>HYPERLINK(SetRGB(J59,G59*255,H59*255,I59*255),"HOVER!")</f>
        <v>HOVER!</v>
      </c>
      <c r="K59">
        <f>E59/F59</f>
        <v>0.75</v>
      </c>
    </row>
    <row r="60" spans="1:11" ht="15" x14ac:dyDescent="0.35">
      <c r="A60">
        <f t="shared" si="0"/>
        <v>10</v>
      </c>
      <c r="B60">
        <f t="shared" si="1"/>
        <v>10</v>
      </c>
      <c r="C60" s="199" t="str">
        <f>B60&amp;LOOKUP(A60, Sheet2!$A$2:$A$11, Sheet2!$B$2:$B$11)</f>
        <v>10RP</v>
      </c>
      <c r="D60">
        <v>0</v>
      </c>
      <c r="E60">
        <v>8</v>
      </c>
      <c r="F60">
        <v>8</v>
      </c>
      <c r="G60">
        <v>1</v>
      </c>
      <c r="H60">
        <v>0.69440000000000002</v>
      </c>
      <c r="I60">
        <v>0.73599999999999999</v>
      </c>
      <c r="J60" s="122" t="str">
        <f>HYPERLINK(SetRGB(J60,G60*255,H60*255,I60*255),"HOVER!")</f>
        <v>HOVER!</v>
      </c>
      <c r="K60">
        <f>E60/F60</f>
        <v>1</v>
      </c>
    </row>
    <row r="61" spans="1:11" ht="15" x14ac:dyDescent="0.35">
      <c r="A61">
        <f t="shared" si="0"/>
        <v>10</v>
      </c>
      <c r="B61">
        <f t="shared" si="1"/>
        <v>10</v>
      </c>
      <c r="C61" s="199" t="str">
        <f>B61&amp;LOOKUP(A61, Sheet2!$A$2:$A$11, Sheet2!$B$2:$B$11)</f>
        <v>10RP</v>
      </c>
      <c r="D61">
        <v>0</v>
      </c>
      <c r="E61">
        <v>10</v>
      </c>
      <c r="F61">
        <v>8</v>
      </c>
      <c r="G61">
        <v>1</v>
      </c>
      <c r="H61">
        <v>0.66249999999999998</v>
      </c>
      <c r="I61">
        <v>0.72299999999999998</v>
      </c>
      <c r="J61" s="123" t="str">
        <f>HYPERLINK(SetRGB(J61,G61*255,H61*255,I61*255),"HOVER!")</f>
        <v>HOVER!</v>
      </c>
      <c r="K61">
        <f>E61/F61</f>
        <v>1.25</v>
      </c>
    </row>
    <row r="62" spans="1:11" ht="15" x14ac:dyDescent="0.35">
      <c r="A62">
        <f t="shared" si="0"/>
        <v>10</v>
      </c>
      <c r="B62">
        <f t="shared" si="1"/>
        <v>10</v>
      </c>
      <c r="C62" s="199" t="str">
        <f>B62&amp;LOOKUP(A62, Sheet2!$A$2:$A$11, Sheet2!$B$2:$B$11)</f>
        <v>10RP</v>
      </c>
      <c r="D62">
        <v>0</v>
      </c>
      <c r="E62">
        <v>2</v>
      </c>
      <c r="F62">
        <v>9</v>
      </c>
      <c r="G62">
        <v>0.94879999999999998</v>
      </c>
      <c r="H62">
        <v>0.88519999999999999</v>
      </c>
      <c r="I62">
        <v>0.88900000000000001</v>
      </c>
      <c r="J62" s="124" t="str">
        <f>HYPERLINK(SetRGB(J62,G62*255,H62*255,I62*255),"HOVER!")</f>
        <v>HOVER!</v>
      </c>
      <c r="K62">
        <f>E62/F62</f>
        <v>0.22222222222222221</v>
      </c>
    </row>
    <row r="63" spans="1:11" ht="15" x14ac:dyDescent="0.35">
      <c r="A63">
        <f t="shared" si="0"/>
        <v>10</v>
      </c>
      <c r="B63">
        <f t="shared" si="1"/>
        <v>10</v>
      </c>
      <c r="C63" s="199" t="str">
        <f>B63&amp;LOOKUP(A63, Sheet2!$A$2:$A$11, Sheet2!$B$2:$B$11)</f>
        <v>10RP</v>
      </c>
      <c r="D63">
        <v>0</v>
      </c>
      <c r="E63">
        <v>4</v>
      </c>
      <c r="F63">
        <v>9</v>
      </c>
      <c r="G63">
        <v>1</v>
      </c>
      <c r="H63">
        <v>0.85699999999999998</v>
      </c>
      <c r="I63">
        <v>0.86990000000000001</v>
      </c>
      <c r="J63" s="125" t="str">
        <f>HYPERLINK(SetRGB(J63,G63*255,H63*255,I63*255),"HOVER!")</f>
        <v>HOVER!</v>
      </c>
      <c r="K63">
        <f>E63/F63</f>
        <v>0.44444444444444442</v>
      </c>
    </row>
    <row r="64" spans="1:11" ht="15" x14ac:dyDescent="0.35">
      <c r="A64">
        <f t="shared" si="0"/>
        <v>10</v>
      </c>
      <c r="B64">
        <f t="shared" si="1"/>
        <v>10</v>
      </c>
      <c r="C64" s="199" t="str">
        <f>B64&amp;LOOKUP(A64, Sheet2!$A$2:$A$11, Sheet2!$B$2:$B$11)</f>
        <v>10RP</v>
      </c>
      <c r="D64">
        <v>0</v>
      </c>
      <c r="E64">
        <v>6</v>
      </c>
      <c r="F64">
        <v>9</v>
      </c>
      <c r="G64">
        <v>1</v>
      </c>
      <c r="H64">
        <v>0.82689999999999997</v>
      </c>
      <c r="I64">
        <v>0.85260000000000002</v>
      </c>
      <c r="J64" s="126" t="str">
        <f>HYPERLINK(SetRGB(J64,G64*255,H64*255,I64*255),"HOVER!")</f>
        <v>HOVER!</v>
      </c>
      <c r="K64">
        <f>E64/F64</f>
        <v>0.66666666666666663</v>
      </c>
    </row>
    <row r="65" spans="1:11" ht="15" x14ac:dyDescent="0.35">
      <c r="A65">
        <f t="shared" si="0"/>
        <v>10</v>
      </c>
      <c r="B65">
        <f t="shared" si="1"/>
        <v>2.5</v>
      </c>
      <c r="C65" s="199" t="str">
        <f>B65&amp;LOOKUP(A65, Sheet2!$A$2:$A$11, Sheet2!$B$2:$B$11)</f>
        <v>2.5RP</v>
      </c>
      <c r="D65">
        <v>2.5</v>
      </c>
      <c r="E65">
        <v>2</v>
      </c>
      <c r="F65">
        <v>1</v>
      </c>
      <c r="G65">
        <v>0.17549999999999999</v>
      </c>
      <c r="H65">
        <v>8.5099999999999995E-2</v>
      </c>
      <c r="I65">
        <v>0.11609999999999999</v>
      </c>
      <c r="J65" s="25" t="str">
        <f>HYPERLINK(SetRGB(J65,G65*255,H65*255,I65*255),"HOVER!")</f>
        <v>HOVER!</v>
      </c>
      <c r="K65">
        <f>E65/F65</f>
        <v>2</v>
      </c>
    </row>
    <row r="66" spans="1:11" ht="15" x14ac:dyDescent="0.35">
      <c r="A66">
        <f t="shared" si="0"/>
        <v>10</v>
      </c>
      <c r="B66">
        <f t="shared" si="1"/>
        <v>2.5</v>
      </c>
      <c r="C66" s="199" t="str">
        <f>B66&amp;LOOKUP(A66, Sheet2!$A$2:$A$11, Sheet2!$B$2:$B$11)</f>
        <v>2.5RP</v>
      </c>
      <c r="D66">
        <v>2.5</v>
      </c>
      <c r="E66">
        <v>4</v>
      </c>
      <c r="F66">
        <v>1</v>
      </c>
      <c r="G66">
        <v>0.2114</v>
      </c>
      <c r="H66">
        <v>5.6099999999999997E-2</v>
      </c>
      <c r="I66">
        <v>0.12089999999999999</v>
      </c>
      <c r="J66" s="26" t="str">
        <f>HYPERLINK(SetRGB(J66,G66*255,H66*255,I66*255),"HOVER!")</f>
        <v>HOVER!</v>
      </c>
      <c r="K66">
        <f>E66/F66</f>
        <v>4</v>
      </c>
    </row>
    <row r="67" spans="1:11" ht="15" x14ac:dyDescent="0.35">
      <c r="A67">
        <f t="shared" si="0"/>
        <v>10</v>
      </c>
      <c r="B67">
        <f t="shared" si="1"/>
        <v>2.5</v>
      </c>
      <c r="C67" s="199" t="str">
        <f>B67&amp;LOOKUP(A67, Sheet2!$A$2:$A$11, Sheet2!$B$2:$B$11)</f>
        <v>2.5RP</v>
      </c>
      <c r="D67">
        <v>2.5</v>
      </c>
      <c r="E67">
        <v>6</v>
      </c>
      <c r="F67">
        <v>1</v>
      </c>
      <c r="G67">
        <v>0.24460000000000001</v>
      </c>
      <c r="H67">
        <v>-1.6000000000000001E-3</v>
      </c>
      <c r="I67">
        <v>0.1273</v>
      </c>
      <c r="J67" s="27" t="str">
        <f>HYPERLINK(SetRGB(J67,G67*255,H67*255,I67*255),"HOVER!")</f>
        <v>HOVER!</v>
      </c>
      <c r="K67">
        <f>E67/F67</f>
        <v>6</v>
      </c>
    </row>
    <row r="68" spans="1:11" ht="15" x14ac:dyDescent="0.35">
      <c r="A68">
        <f t="shared" si="0"/>
        <v>10</v>
      </c>
      <c r="B68">
        <f t="shared" si="1"/>
        <v>2.5</v>
      </c>
      <c r="C68" s="199" t="str">
        <f>B68&amp;LOOKUP(A68, Sheet2!$A$2:$A$11, Sheet2!$B$2:$B$11)</f>
        <v>2.5RP</v>
      </c>
      <c r="D68">
        <v>2.5</v>
      </c>
      <c r="E68">
        <v>2</v>
      </c>
      <c r="F68">
        <v>2</v>
      </c>
      <c r="G68">
        <v>0.25729999999999997</v>
      </c>
      <c r="H68">
        <v>0.1706</v>
      </c>
      <c r="I68">
        <v>0.18729999999999999</v>
      </c>
      <c r="J68" s="1" t="str">
        <f>HYPERLINK(SetRGB(J68,G68*255,H68*255,I68*255),"HOVER!")</f>
        <v>HOVER!</v>
      </c>
      <c r="K68">
        <f>E68/F68</f>
        <v>1</v>
      </c>
    </row>
    <row r="69" spans="1:11" ht="15" x14ac:dyDescent="0.35">
      <c r="A69">
        <f t="shared" si="0"/>
        <v>10</v>
      </c>
      <c r="B69">
        <f t="shared" si="1"/>
        <v>2.5</v>
      </c>
      <c r="C69" s="199" t="str">
        <f>B69&amp;LOOKUP(A69, Sheet2!$A$2:$A$11, Sheet2!$B$2:$B$11)</f>
        <v>2.5RP</v>
      </c>
      <c r="D69">
        <v>2.5</v>
      </c>
      <c r="E69">
        <v>4</v>
      </c>
      <c r="F69">
        <v>2</v>
      </c>
      <c r="G69">
        <v>0.30220000000000002</v>
      </c>
      <c r="H69">
        <v>0.14560000000000001</v>
      </c>
      <c r="I69">
        <v>0.18390000000000001</v>
      </c>
      <c r="J69" s="1" t="str">
        <f>HYPERLINK(SetRGB(J69,G69*255,H69*255,I69*255),"HOVER!")</f>
        <v>HOVER!</v>
      </c>
      <c r="K69">
        <f>E69/F69</f>
        <v>2</v>
      </c>
    </row>
    <row r="70" spans="1:11" ht="15" x14ac:dyDescent="0.35">
      <c r="A70">
        <f t="shared" si="0"/>
        <v>10</v>
      </c>
      <c r="B70">
        <f t="shared" si="1"/>
        <v>2.5</v>
      </c>
      <c r="C70" s="199" t="str">
        <f>B70&amp;LOOKUP(A70, Sheet2!$A$2:$A$11, Sheet2!$B$2:$B$11)</f>
        <v>2.5RP</v>
      </c>
      <c r="D70">
        <v>2.5</v>
      </c>
      <c r="E70">
        <v>6</v>
      </c>
      <c r="F70">
        <v>2</v>
      </c>
      <c r="G70">
        <v>0.34150000000000003</v>
      </c>
      <c r="H70">
        <v>0.1138</v>
      </c>
      <c r="I70">
        <v>0.182</v>
      </c>
      <c r="J70" s="1" t="str">
        <f>HYPERLINK(SetRGB(J70,G70*255,H70*255,I70*255),"HOVER!")</f>
        <v>HOVER!</v>
      </c>
      <c r="K70">
        <f>E70/F70</f>
        <v>3</v>
      </c>
    </row>
    <row r="71" spans="1:11" ht="15" x14ac:dyDescent="0.35">
      <c r="A71">
        <f t="shared" si="0"/>
        <v>10</v>
      </c>
      <c r="B71">
        <f t="shared" si="1"/>
        <v>2.5</v>
      </c>
      <c r="C71" s="199" t="str">
        <f>B71&amp;LOOKUP(A71, Sheet2!$A$2:$A$11, Sheet2!$B$2:$B$11)</f>
        <v>2.5RP</v>
      </c>
      <c r="D71">
        <v>2.5</v>
      </c>
      <c r="E71">
        <v>8</v>
      </c>
      <c r="F71">
        <v>2</v>
      </c>
      <c r="G71">
        <v>0.3831</v>
      </c>
      <c r="H71">
        <v>5.6500000000000002E-2</v>
      </c>
      <c r="I71">
        <v>0.1817</v>
      </c>
      <c r="J71" s="1" t="str">
        <f>HYPERLINK(SetRGB(J71,G71*255,H71*255,I71*255),"HOVER!")</f>
        <v>HOVER!</v>
      </c>
      <c r="K71">
        <f>E71/F71</f>
        <v>4</v>
      </c>
    </row>
    <row r="72" spans="1:11" ht="15" x14ac:dyDescent="0.35">
      <c r="A72">
        <f t="shared" si="0"/>
        <v>10</v>
      </c>
      <c r="B72">
        <f t="shared" si="1"/>
        <v>2.5</v>
      </c>
      <c r="C72" s="199" t="str">
        <f>B72&amp;LOOKUP(A72, Sheet2!$A$2:$A$11, Sheet2!$B$2:$B$11)</f>
        <v>2.5RP</v>
      </c>
      <c r="D72">
        <v>2.5</v>
      </c>
      <c r="E72">
        <v>2</v>
      </c>
      <c r="F72">
        <v>3</v>
      </c>
      <c r="G72">
        <v>0.35809999999999997</v>
      </c>
      <c r="H72">
        <v>0.25869999999999999</v>
      </c>
      <c r="I72">
        <v>0.26600000000000001</v>
      </c>
      <c r="J72" s="1" t="str">
        <f>HYPERLINK(SetRGB(J72,G72*255,H72*255,I72*255),"HOVER!")</f>
        <v>HOVER!</v>
      </c>
      <c r="K72">
        <f>E72/F72</f>
        <v>0.66666666666666663</v>
      </c>
    </row>
    <row r="73" spans="1:11" ht="15" x14ac:dyDescent="0.35">
      <c r="A73">
        <f t="shared" si="0"/>
        <v>10</v>
      </c>
      <c r="B73">
        <f t="shared" si="1"/>
        <v>2.5</v>
      </c>
      <c r="C73" s="199" t="str">
        <f>B73&amp;LOOKUP(A73, Sheet2!$A$2:$A$11, Sheet2!$B$2:$B$11)</f>
        <v>2.5RP</v>
      </c>
      <c r="D73">
        <v>2.5</v>
      </c>
      <c r="E73">
        <v>4</v>
      </c>
      <c r="F73">
        <v>3</v>
      </c>
      <c r="G73">
        <v>0.41389999999999999</v>
      </c>
      <c r="H73">
        <v>0.2316</v>
      </c>
      <c r="I73">
        <v>0.2515</v>
      </c>
      <c r="J73" s="1" t="str">
        <f>HYPERLINK(SetRGB(J73,G73*255,H73*255,I73*255),"HOVER!")</f>
        <v>HOVER!</v>
      </c>
      <c r="K73">
        <f>E73/F73</f>
        <v>1.3333333333333333</v>
      </c>
    </row>
    <row r="74" spans="1:11" ht="15" x14ac:dyDescent="0.35">
      <c r="A74">
        <f t="shared" si="0"/>
        <v>10</v>
      </c>
      <c r="B74">
        <f t="shared" si="1"/>
        <v>2.5</v>
      </c>
      <c r="C74" s="199" t="str">
        <f>B74&amp;LOOKUP(A74, Sheet2!$A$2:$A$11, Sheet2!$B$2:$B$11)</f>
        <v>2.5RP</v>
      </c>
      <c r="D74">
        <v>2.5</v>
      </c>
      <c r="E74">
        <v>6</v>
      </c>
      <c r="F74">
        <v>3</v>
      </c>
      <c r="G74">
        <v>0.46039999999999998</v>
      </c>
      <c r="H74">
        <v>0.20100000000000001</v>
      </c>
      <c r="I74">
        <v>0.23910000000000001</v>
      </c>
      <c r="J74" s="207" t="str">
        <f>HYPERLINK(SetRGB(J74,G74*255,H74*255,I74*255),"HOVER!")</f>
        <v>HOVER!</v>
      </c>
      <c r="K74">
        <f>E74/F74</f>
        <v>2</v>
      </c>
    </row>
    <row r="75" spans="1:11" ht="15" x14ac:dyDescent="0.35">
      <c r="A75">
        <f t="shared" si="0"/>
        <v>10</v>
      </c>
      <c r="B75">
        <f t="shared" si="1"/>
        <v>2.5</v>
      </c>
      <c r="C75" s="199" t="str">
        <f>B75&amp;LOOKUP(A75, Sheet2!$A$2:$A$11, Sheet2!$B$2:$B$11)</f>
        <v>2.5RP</v>
      </c>
      <c r="D75">
        <v>2.5</v>
      </c>
      <c r="E75">
        <v>8</v>
      </c>
      <c r="F75">
        <v>3</v>
      </c>
      <c r="G75">
        <v>0.50819999999999999</v>
      </c>
      <c r="H75">
        <v>0.15640000000000001</v>
      </c>
      <c r="I75">
        <v>0.2266</v>
      </c>
      <c r="J75" s="208" t="str">
        <f>HYPERLINK(SetRGB(J75,G75*255,H75*255,I75*255),"HOVER!")</f>
        <v>HOVER!</v>
      </c>
      <c r="K75">
        <f>E75/F75</f>
        <v>2.6666666666666665</v>
      </c>
    </row>
    <row r="76" spans="1:11" ht="15" x14ac:dyDescent="0.35">
      <c r="A76">
        <f t="shared" si="0"/>
        <v>10</v>
      </c>
      <c r="B76">
        <f t="shared" si="1"/>
        <v>2.5</v>
      </c>
      <c r="C76" s="199" t="str">
        <f>B76&amp;LOOKUP(A76, Sheet2!$A$2:$A$11, Sheet2!$B$2:$B$11)</f>
        <v>2.5RP</v>
      </c>
      <c r="D76">
        <v>2.5</v>
      </c>
      <c r="E76">
        <v>10</v>
      </c>
      <c r="F76">
        <v>3</v>
      </c>
      <c r="G76">
        <v>0.55189999999999995</v>
      </c>
      <c r="H76">
        <v>8.8900000000000007E-2</v>
      </c>
      <c r="I76">
        <v>0.217</v>
      </c>
      <c r="J76" s="1" t="str">
        <f>HYPERLINK(SetRGB(J76,G76*255,H76*255,I76*255),"HOVER!")</f>
        <v>HOVER!</v>
      </c>
      <c r="K76">
        <f>E76/F76</f>
        <v>3.3333333333333335</v>
      </c>
    </row>
    <row r="77" spans="1:11" ht="15" x14ac:dyDescent="0.35">
      <c r="A77">
        <f t="shared" si="0"/>
        <v>10</v>
      </c>
      <c r="B77">
        <f t="shared" si="1"/>
        <v>2.5</v>
      </c>
      <c r="C77" s="199" t="str">
        <f>B77&amp;LOOKUP(A77, Sheet2!$A$2:$A$11, Sheet2!$B$2:$B$11)</f>
        <v>2.5RP</v>
      </c>
      <c r="D77">
        <v>2.5</v>
      </c>
      <c r="E77">
        <v>2</v>
      </c>
      <c r="F77">
        <v>4</v>
      </c>
      <c r="G77">
        <v>0.4521</v>
      </c>
      <c r="H77">
        <v>0.3584</v>
      </c>
      <c r="I77">
        <v>0.36280000000000001</v>
      </c>
      <c r="J77" s="1" t="str">
        <f>HYPERLINK(SetRGB(J77,G77*255,H77*255,I77*255),"HOVER!")</f>
        <v>HOVER!</v>
      </c>
      <c r="K77">
        <f>E77/F77</f>
        <v>0.5</v>
      </c>
    </row>
    <row r="78" spans="1:11" ht="15" x14ac:dyDescent="0.35">
      <c r="A78">
        <f t="shared" ref="A78:A141" si="2">IF(FLOOR(D78/10,1)=0,10,FLOOR(D78/10,1))</f>
        <v>10</v>
      </c>
      <c r="B78">
        <f t="shared" ref="B78:B141" si="3">IF(MOD(D78,10)=0,10,MOD(D78,10))</f>
        <v>2.5</v>
      </c>
      <c r="C78" s="199" t="str">
        <f>B78&amp;LOOKUP(A78, Sheet2!$A$2:$A$11, Sheet2!$B$2:$B$11)</f>
        <v>2.5RP</v>
      </c>
      <c r="D78">
        <v>2.5</v>
      </c>
      <c r="E78">
        <v>4</v>
      </c>
      <c r="F78">
        <v>4</v>
      </c>
      <c r="G78">
        <v>0.51100000000000001</v>
      </c>
      <c r="H78">
        <v>0.33360000000000001</v>
      </c>
      <c r="I78">
        <v>0.34599999999999997</v>
      </c>
      <c r="J78" s="1" t="str">
        <f>HYPERLINK(SetRGB(J78,G78*255,H78*255,I78*255),"HOVER!")</f>
        <v>HOVER!</v>
      </c>
      <c r="K78">
        <f>E78/F78</f>
        <v>1</v>
      </c>
    </row>
    <row r="79" spans="1:11" ht="15" x14ac:dyDescent="0.35">
      <c r="A79">
        <f t="shared" si="2"/>
        <v>10</v>
      </c>
      <c r="B79">
        <f t="shared" si="3"/>
        <v>2.5</v>
      </c>
      <c r="C79" s="199" t="str">
        <f>B79&amp;LOOKUP(A79, Sheet2!$A$2:$A$11, Sheet2!$B$2:$B$11)</f>
        <v>2.5RP</v>
      </c>
      <c r="D79">
        <v>2.5</v>
      </c>
      <c r="E79">
        <v>6</v>
      </c>
      <c r="F79">
        <v>4</v>
      </c>
      <c r="G79">
        <v>0.56359999999999999</v>
      </c>
      <c r="H79">
        <v>0.30530000000000002</v>
      </c>
      <c r="I79">
        <v>0.3306</v>
      </c>
      <c r="J79" s="1" t="str">
        <f>HYPERLINK(SetRGB(J79,G79*255,H79*255,I79*255),"HOVER!")</f>
        <v>HOVER!</v>
      </c>
      <c r="K79">
        <f>E79/F79</f>
        <v>1.5</v>
      </c>
    </row>
    <row r="80" spans="1:11" ht="15" x14ac:dyDescent="0.35">
      <c r="A80">
        <f t="shared" si="2"/>
        <v>10</v>
      </c>
      <c r="B80">
        <f t="shared" si="3"/>
        <v>2.5</v>
      </c>
      <c r="C80" s="199" t="str">
        <f>B80&amp;LOOKUP(A80, Sheet2!$A$2:$A$11, Sheet2!$B$2:$B$11)</f>
        <v>2.5RP</v>
      </c>
      <c r="D80">
        <v>2.5</v>
      </c>
      <c r="E80">
        <v>8</v>
      </c>
      <c r="F80">
        <v>4</v>
      </c>
      <c r="G80">
        <v>0.61309999999999998</v>
      </c>
      <c r="H80">
        <v>0.2712</v>
      </c>
      <c r="I80">
        <v>0.316</v>
      </c>
      <c r="J80" s="1" t="str">
        <f>HYPERLINK(SetRGB(J80,G80*255,H80*255,I80*255),"HOVER!")</f>
        <v>HOVER!</v>
      </c>
      <c r="K80">
        <f>E80/F80</f>
        <v>2</v>
      </c>
    </row>
    <row r="81" spans="1:11" ht="15" x14ac:dyDescent="0.35">
      <c r="A81">
        <f t="shared" si="2"/>
        <v>10</v>
      </c>
      <c r="B81">
        <f t="shared" si="3"/>
        <v>2.5</v>
      </c>
      <c r="C81" s="199" t="str">
        <f>B81&amp;LOOKUP(A81, Sheet2!$A$2:$A$11, Sheet2!$B$2:$B$11)</f>
        <v>2.5RP</v>
      </c>
      <c r="D81">
        <v>2.5</v>
      </c>
      <c r="E81">
        <v>10</v>
      </c>
      <c r="F81">
        <v>4</v>
      </c>
      <c r="G81">
        <v>0.6573</v>
      </c>
      <c r="H81">
        <v>0.2316</v>
      </c>
      <c r="I81">
        <v>0.30330000000000001</v>
      </c>
      <c r="J81" s="1" t="str">
        <f>HYPERLINK(SetRGB(J81,G81*255,H81*255,I81*255),"HOVER!")</f>
        <v>HOVER!</v>
      </c>
      <c r="K81">
        <f>E81/F81</f>
        <v>2.5</v>
      </c>
    </row>
    <row r="82" spans="1:11" ht="15" x14ac:dyDescent="0.35">
      <c r="A82">
        <f t="shared" si="2"/>
        <v>10</v>
      </c>
      <c r="B82">
        <f t="shared" si="3"/>
        <v>2.5</v>
      </c>
      <c r="C82" s="199" t="str">
        <f>B82&amp;LOOKUP(A82, Sheet2!$A$2:$A$11, Sheet2!$B$2:$B$11)</f>
        <v>2.5RP</v>
      </c>
      <c r="D82">
        <v>2.5</v>
      </c>
      <c r="E82">
        <v>12</v>
      </c>
      <c r="F82">
        <v>4</v>
      </c>
      <c r="G82">
        <v>0.70050000000000001</v>
      </c>
      <c r="H82">
        <v>0.1779</v>
      </c>
      <c r="I82">
        <v>0.29120000000000001</v>
      </c>
      <c r="J82" s="1" t="str">
        <f>HYPERLINK(SetRGB(J82,G82*255,H82*255,I82*255),"HOVER!")</f>
        <v>HOVER!</v>
      </c>
      <c r="K82">
        <f>E82/F82</f>
        <v>3</v>
      </c>
    </row>
    <row r="83" spans="1:11" ht="15" x14ac:dyDescent="0.35">
      <c r="A83">
        <f t="shared" si="2"/>
        <v>10</v>
      </c>
      <c r="B83">
        <f t="shared" si="3"/>
        <v>2.5</v>
      </c>
      <c r="C83" s="199" t="str">
        <f>B83&amp;LOOKUP(A83, Sheet2!$A$2:$A$11, Sheet2!$B$2:$B$11)</f>
        <v>2.5RP</v>
      </c>
      <c r="D83">
        <v>2.5</v>
      </c>
      <c r="E83">
        <v>14</v>
      </c>
      <c r="F83">
        <v>4</v>
      </c>
      <c r="G83">
        <v>0.74460000000000004</v>
      </c>
      <c r="H83">
        <v>8.2299999999999998E-2</v>
      </c>
      <c r="I83">
        <v>0.28029999999999999</v>
      </c>
      <c r="J83" s="1" t="str">
        <f>HYPERLINK(SetRGB(J83,G83*255,H83*255,I83*255),"HOVER!")</f>
        <v>HOVER!</v>
      </c>
      <c r="K83">
        <f>E83/F83</f>
        <v>3.5</v>
      </c>
    </row>
    <row r="84" spans="1:11" ht="15" x14ac:dyDescent="0.35">
      <c r="A84">
        <f t="shared" si="2"/>
        <v>10</v>
      </c>
      <c r="B84">
        <f t="shared" si="3"/>
        <v>2.5</v>
      </c>
      <c r="C84" s="199" t="str">
        <f>B84&amp;LOOKUP(A84, Sheet2!$A$2:$A$11, Sheet2!$B$2:$B$11)</f>
        <v>2.5RP</v>
      </c>
      <c r="D84">
        <v>2.5</v>
      </c>
      <c r="E84">
        <v>2</v>
      </c>
      <c r="F84">
        <v>5</v>
      </c>
      <c r="G84">
        <v>0.54590000000000005</v>
      </c>
      <c r="H84">
        <v>0.46239999999999998</v>
      </c>
      <c r="I84">
        <v>0.46510000000000001</v>
      </c>
      <c r="J84" s="1" t="str">
        <f>HYPERLINK(SetRGB(J84,G84*255,H84*255,I84*255),"HOVER!")</f>
        <v>HOVER!</v>
      </c>
      <c r="K84">
        <f>E84/F84</f>
        <v>0.4</v>
      </c>
    </row>
    <row r="85" spans="1:11" ht="15" x14ac:dyDescent="0.35">
      <c r="A85">
        <f t="shared" si="2"/>
        <v>10</v>
      </c>
      <c r="B85">
        <f t="shared" si="3"/>
        <v>2.5</v>
      </c>
      <c r="C85" s="199" t="str">
        <f>B85&amp;LOOKUP(A85, Sheet2!$A$2:$A$11, Sheet2!$B$2:$B$11)</f>
        <v>2.5RP</v>
      </c>
      <c r="D85">
        <v>2.5</v>
      </c>
      <c r="E85">
        <v>4</v>
      </c>
      <c r="F85">
        <v>5</v>
      </c>
      <c r="G85">
        <v>0.61050000000000004</v>
      </c>
      <c r="H85">
        <v>0.43780000000000002</v>
      </c>
      <c r="I85">
        <v>0.44569999999999999</v>
      </c>
      <c r="J85" s="1" t="str">
        <f>HYPERLINK(SetRGB(J85,G85*255,H85*255,I85*255),"HOVER!")</f>
        <v>HOVER!</v>
      </c>
      <c r="K85">
        <f>E85/F85</f>
        <v>0.8</v>
      </c>
    </row>
    <row r="86" spans="1:11" ht="15" x14ac:dyDescent="0.35">
      <c r="A86">
        <f t="shared" si="2"/>
        <v>10</v>
      </c>
      <c r="B86">
        <f t="shared" si="3"/>
        <v>2.5</v>
      </c>
      <c r="C86" s="199" t="str">
        <f>B86&amp;LOOKUP(A86, Sheet2!$A$2:$A$11, Sheet2!$B$2:$B$11)</f>
        <v>2.5RP</v>
      </c>
      <c r="D86">
        <v>2.5</v>
      </c>
      <c r="E86">
        <v>6</v>
      </c>
      <c r="F86">
        <v>5</v>
      </c>
      <c r="G86">
        <v>0.66900000000000004</v>
      </c>
      <c r="H86">
        <v>0.41039999999999999</v>
      </c>
      <c r="I86">
        <v>0.4264</v>
      </c>
      <c r="J86" s="204" t="str">
        <f>HYPERLINK(SetRGB(J86,G86*255,H86*255,I86*255),"HOVER!")</f>
        <v>HOVER!</v>
      </c>
      <c r="K86">
        <f>E86/F86</f>
        <v>1.2</v>
      </c>
    </row>
    <row r="87" spans="1:11" ht="15" x14ac:dyDescent="0.35">
      <c r="A87">
        <f t="shared" si="2"/>
        <v>10</v>
      </c>
      <c r="B87">
        <f t="shared" si="3"/>
        <v>2.5</v>
      </c>
      <c r="C87" s="199" t="str">
        <f>B87&amp;LOOKUP(A87, Sheet2!$A$2:$A$11, Sheet2!$B$2:$B$11)</f>
        <v>2.5RP</v>
      </c>
      <c r="D87">
        <v>2.5</v>
      </c>
      <c r="E87">
        <v>8</v>
      </c>
      <c r="F87">
        <v>5</v>
      </c>
      <c r="G87">
        <v>0.72240000000000004</v>
      </c>
      <c r="H87">
        <v>0.37959999999999999</v>
      </c>
      <c r="I87">
        <v>0.40820000000000001</v>
      </c>
      <c r="J87" s="1" t="str">
        <f>HYPERLINK(SetRGB(J87,G87*255,H87*255,I87*255),"HOVER!")</f>
        <v>HOVER!</v>
      </c>
      <c r="K87">
        <f>E87/F87</f>
        <v>1.6</v>
      </c>
    </row>
    <row r="88" spans="1:11" ht="15" x14ac:dyDescent="0.35">
      <c r="A88">
        <f t="shared" si="2"/>
        <v>10</v>
      </c>
      <c r="B88">
        <f t="shared" si="3"/>
        <v>2.5</v>
      </c>
      <c r="C88" s="199" t="str">
        <f>B88&amp;LOOKUP(A88, Sheet2!$A$2:$A$11, Sheet2!$B$2:$B$11)</f>
        <v>2.5RP</v>
      </c>
      <c r="D88">
        <v>2.5</v>
      </c>
      <c r="E88">
        <v>10</v>
      </c>
      <c r="F88">
        <v>5</v>
      </c>
      <c r="G88">
        <v>0.77259999999999995</v>
      </c>
      <c r="H88">
        <v>0.34379999999999999</v>
      </c>
      <c r="I88">
        <v>0.39190000000000003</v>
      </c>
      <c r="J88" s="1" t="str">
        <f>HYPERLINK(SetRGB(J88,G88*255,H88*255,I88*255),"HOVER!")</f>
        <v>HOVER!</v>
      </c>
      <c r="K88">
        <f>E88/F88</f>
        <v>2</v>
      </c>
    </row>
    <row r="89" spans="1:11" ht="15" x14ac:dyDescent="0.35">
      <c r="A89">
        <f t="shared" si="2"/>
        <v>10</v>
      </c>
      <c r="B89">
        <f t="shared" si="3"/>
        <v>2.5</v>
      </c>
      <c r="C89" s="199" t="str">
        <f>B89&amp;LOOKUP(A89, Sheet2!$A$2:$A$11, Sheet2!$B$2:$B$11)</f>
        <v>2.5RP</v>
      </c>
      <c r="D89">
        <v>2.5</v>
      </c>
      <c r="E89">
        <v>12</v>
      </c>
      <c r="F89">
        <v>5</v>
      </c>
      <c r="G89">
        <v>0.82310000000000005</v>
      </c>
      <c r="H89">
        <v>0.29820000000000002</v>
      </c>
      <c r="I89">
        <v>0.376</v>
      </c>
      <c r="J89" s="1" t="str">
        <f>HYPERLINK(SetRGB(J89,G89*255,H89*255,I89*255),"HOVER!")</f>
        <v>HOVER!</v>
      </c>
      <c r="K89">
        <f>E89/F89</f>
        <v>2.4</v>
      </c>
    </row>
    <row r="90" spans="1:11" ht="15" x14ac:dyDescent="0.35">
      <c r="A90">
        <f t="shared" si="2"/>
        <v>10</v>
      </c>
      <c r="B90">
        <f t="shared" si="3"/>
        <v>2.5</v>
      </c>
      <c r="C90" s="199" t="str">
        <f>B90&amp;LOOKUP(A90, Sheet2!$A$2:$A$11, Sheet2!$B$2:$B$11)</f>
        <v>2.5RP</v>
      </c>
      <c r="D90">
        <v>2.5</v>
      </c>
      <c r="E90">
        <v>14</v>
      </c>
      <c r="F90">
        <v>5</v>
      </c>
      <c r="G90">
        <v>0.86280000000000001</v>
      </c>
      <c r="H90">
        <v>0.2515</v>
      </c>
      <c r="I90">
        <v>0.36380000000000001</v>
      </c>
      <c r="J90" s="209" t="str">
        <f>HYPERLINK(SetRGB(J90,G90*255,H90*255,I90*255),"HOVER!")</f>
        <v>HOVER!</v>
      </c>
      <c r="K90">
        <f>E90/F90</f>
        <v>2.8</v>
      </c>
    </row>
    <row r="91" spans="1:11" ht="15" x14ac:dyDescent="0.35">
      <c r="A91">
        <f t="shared" si="2"/>
        <v>10</v>
      </c>
      <c r="B91">
        <f t="shared" si="3"/>
        <v>2.5</v>
      </c>
      <c r="C91" s="199" t="str">
        <f>B91&amp;LOOKUP(A91, Sheet2!$A$2:$A$11, Sheet2!$B$2:$B$11)</f>
        <v>2.5RP</v>
      </c>
      <c r="D91">
        <v>2.5</v>
      </c>
      <c r="E91">
        <v>16</v>
      </c>
      <c r="F91">
        <v>5</v>
      </c>
      <c r="G91">
        <v>0.90810000000000002</v>
      </c>
      <c r="H91">
        <v>0.17519999999999999</v>
      </c>
      <c r="I91">
        <v>0.35139999999999999</v>
      </c>
      <c r="J91" s="210" t="str">
        <f>HYPERLINK(SetRGB(J91,G91*255,H91*255,I91*255),"HOVER!")</f>
        <v>HOVER!</v>
      </c>
      <c r="K91">
        <f>E91/F91</f>
        <v>3.2</v>
      </c>
    </row>
    <row r="92" spans="1:11" ht="15" x14ac:dyDescent="0.35">
      <c r="A92">
        <f t="shared" si="2"/>
        <v>10</v>
      </c>
      <c r="B92">
        <f t="shared" si="3"/>
        <v>2.5</v>
      </c>
      <c r="C92" s="199" t="str">
        <f>B92&amp;LOOKUP(A92, Sheet2!$A$2:$A$11, Sheet2!$B$2:$B$11)</f>
        <v>2.5RP</v>
      </c>
      <c r="D92">
        <v>2.5</v>
      </c>
      <c r="E92">
        <v>2</v>
      </c>
      <c r="F92">
        <v>6</v>
      </c>
      <c r="G92">
        <v>0.64749999999999996</v>
      </c>
      <c r="H92">
        <v>0.5655</v>
      </c>
      <c r="I92">
        <v>0.56620000000000004</v>
      </c>
      <c r="J92" s="2" t="str">
        <f>HYPERLINK(SetRGB(J92,G92*255,H92*255,I92*255),"HOVER!")</f>
        <v>HOVER!</v>
      </c>
      <c r="K92">
        <f>E92/F92</f>
        <v>0.33333333333333331</v>
      </c>
    </row>
    <row r="93" spans="1:11" ht="15" x14ac:dyDescent="0.35">
      <c r="A93">
        <f t="shared" si="2"/>
        <v>10</v>
      </c>
      <c r="B93">
        <f t="shared" si="3"/>
        <v>2.5</v>
      </c>
      <c r="C93" s="199" t="str">
        <f>B93&amp;LOOKUP(A93, Sheet2!$A$2:$A$11, Sheet2!$B$2:$B$11)</f>
        <v>2.5RP</v>
      </c>
      <c r="D93">
        <v>2.5</v>
      </c>
      <c r="E93">
        <v>4</v>
      </c>
      <c r="F93">
        <v>6</v>
      </c>
      <c r="G93">
        <v>0.71230000000000004</v>
      </c>
      <c r="H93">
        <v>0.5423</v>
      </c>
      <c r="I93">
        <v>0.54630000000000001</v>
      </c>
      <c r="J93" s="2" t="str">
        <f>HYPERLINK(SetRGB(J93,G93*255,H93*255,I93*255),"HOVER!")</f>
        <v>HOVER!</v>
      </c>
      <c r="K93">
        <f>E93/F93</f>
        <v>0.66666666666666663</v>
      </c>
    </row>
    <row r="94" spans="1:11" ht="15" x14ac:dyDescent="0.35">
      <c r="A94">
        <f t="shared" si="2"/>
        <v>10</v>
      </c>
      <c r="B94">
        <f t="shared" si="3"/>
        <v>2.5</v>
      </c>
      <c r="C94" s="199" t="str">
        <f>B94&amp;LOOKUP(A94, Sheet2!$A$2:$A$11, Sheet2!$B$2:$B$11)</f>
        <v>2.5RP</v>
      </c>
      <c r="D94">
        <v>2.5</v>
      </c>
      <c r="E94">
        <v>6</v>
      </c>
      <c r="F94">
        <v>6</v>
      </c>
      <c r="G94">
        <v>0.77459999999999996</v>
      </c>
      <c r="H94">
        <v>0.51570000000000005</v>
      </c>
      <c r="I94">
        <v>0.52429999999999999</v>
      </c>
      <c r="J94" s="2" t="str">
        <f>HYPERLINK(SetRGB(J94,G94*255,H94*255,I94*255),"HOVER!")</f>
        <v>HOVER!</v>
      </c>
      <c r="K94">
        <f>E94/F94</f>
        <v>1</v>
      </c>
    </row>
    <row r="95" spans="1:11" ht="15" x14ac:dyDescent="0.35">
      <c r="A95">
        <f t="shared" si="2"/>
        <v>10</v>
      </c>
      <c r="B95">
        <f t="shared" si="3"/>
        <v>2.5</v>
      </c>
      <c r="C95" s="199" t="str">
        <f>B95&amp;LOOKUP(A95, Sheet2!$A$2:$A$11, Sheet2!$B$2:$B$11)</f>
        <v>2.5RP</v>
      </c>
      <c r="D95">
        <v>2.5</v>
      </c>
      <c r="E95">
        <v>8</v>
      </c>
      <c r="F95">
        <v>6</v>
      </c>
      <c r="G95">
        <v>0.82609999999999995</v>
      </c>
      <c r="H95">
        <v>0.48949999999999999</v>
      </c>
      <c r="I95">
        <v>0.50580000000000003</v>
      </c>
      <c r="J95" s="2" t="str">
        <f>HYPERLINK(SetRGB(J95,G95*255,H95*255,I95*255),"HOVER!")</f>
        <v>HOVER!</v>
      </c>
      <c r="K95">
        <f>E95/F95</f>
        <v>1.3333333333333333</v>
      </c>
    </row>
    <row r="96" spans="1:11" ht="15" x14ac:dyDescent="0.35">
      <c r="A96">
        <f t="shared" si="2"/>
        <v>10</v>
      </c>
      <c r="B96">
        <f t="shared" si="3"/>
        <v>2.5</v>
      </c>
      <c r="C96" s="199" t="str">
        <f>B96&amp;LOOKUP(A96, Sheet2!$A$2:$A$11, Sheet2!$B$2:$B$11)</f>
        <v>2.5RP</v>
      </c>
      <c r="D96">
        <v>2.5</v>
      </c>
      <c r="E96">
        <v>10</v>
      </c>
      <c r="F96">
        <v>6</v>
      </c>
      <c r="G96">
        <v>0.88039999999999996</v>
      </c>
      <c r="H96">
        <v>0.45689999999999997</v>
      </c>
      <c r="I96">
        <v>0.4864</v>
      </c>
      <c r="J96" s="2" t="str">
        <f>HYPERLINK(SetRGB(J96,G96*255,H96*255,I96*255),"HOVER!")</f>
        <v>HOVER!</v>
      </c>
      <c r="K96">
        <f>E96/F96</f>
        <v>1.6666666666666667</v>
      </c>
    </row>
    <row r="97" spans="1:11" ht="15" x14ac:dyDescent="0.35">
      <c r="A97">
        <f t="shared" si="2"/>
        <v>10</v>
      </c>
      <c r="B97">
        <f t="shared" si="3"/>
        <v>2.5</v>
      </c>
      <c r="C97" s="199" t="str">
        <f>B97&amp;LOOKUP(A97, Sheet2!$A$2:$A$11, Sheet2!$B$2:$B$11)</f>
        <v>2.5RP</v>
      </c>
      <c r="D97">
        <v>2.5</v>
      </c>
      <c r="E97">
        <v>12</v>
      </c>
      <c r="F97">
        <v>6</v>
      </c>
      <c r="G97">
        <v>0.93200000000000005</v>
      </c>
      <c r="H97">
        <v>0.41949999999999998</v>
      </c>
      <c r="I97">
        <v>0.46850000000000003</v>
      </c>
      <c r="J97" s="2" t="str">
        <f>HYPERLINK(SetRGB(J97,G97*255,H97*255,I97*255),"HOVER!")</f>
        <v>HOVER!</v>
      </c>
      <c r="K97">
        <f>E97/F97</f>
        <v>2</v>
      </c>
    </row>
    <row r="98" spans="1:11" ht="15" x14ac:dyDescent="0.35">
      <c r="A98">
        <f t="shared" si="2"/>
        <v>10</v>
      </c>
      <c r="B98">
        <f t="shared" si="3"/>
        <v>2.5</v>
      </c>
      <c r="C98" s="199" t="str">
        <f>B98&amp;LOOKUP(A98, Sheet2!$A$2:$A$11, Sheet2!$B$2:$B$11)</f>
        <v>2.5RP</v>
      </c>
      <c r="D98">
        <v>2.5</v>
      </c>
      <c r="E98">
        <v>14</v>
      </c>
      <c r="F98">
        <v>6</v>
      </c>
      <c r="G98">
        <v>0.97789999999999999</v>
      </c>
      <c r="H98">
        <v>0.37930000000000003</v>
      </c>
      <c r="I98">
        <v>0.4531</v>
      </c>
      <c r="J98" s="2" t="str">
        <f>HYPERLINK(SetRGB(J98,G98*255,H98*255,I98*255),"HOVER!")</f>
        <v>HOVER!</v>
      </c>
      <c r="K98">
        <f>E98/F98</f>
        <v>2.3333333333333335</v>
      </c>
    </row>
    <row r="99" spans="1:11" ht="15" x14ac:dyDescent="0.35">
      <c r="A99">
        <f t="shared" si="2"/>
        <v>10</v>
      </c>
      <c r="B99">
        <f t="shared" si="3"/>
        <v>2.5</v>
      </c>
      <c r="C99" s="199" t="str">
        <f>B99&amp;LOOKUP(A99, Sheet2!$A$2:$A$11, Sheet2!$B$2:$B$11)</f>
        <v>2.5RP</v>
      </c>
      <c r="D99">
        <v>2.5</v>
      </c>
      <c r="E99">
        <v>16</v>
      </c>
      <c r="F99">
        <v>6</v>
      </c>
      <c r="G99">
        <v>1</v>
      </c>
      <c r="H99">
        <v>0.32129999999999997</v>
      </c>
      <c r="I99">
        <v>0.437</v>
      </c>
      <c r="J99" s="2" t="str">
        <f>HYPERLINK(SetRGB(J99,G99*255,H99*255,I99*255),"HOVER!")</f>
        <v>HOVER!</v>
      </c>
      <c r="K99">
        <f>E99/F99</f>
        <v>2.6666666666666665</v>
      </c>
    </row>
    <row r="100" spans="1:11" ht="15" x14ac:dyDescent="0.35">
      <c r="A100">
        <f t="shared" si="2"/>
        <v>10</v>
      </c>
      <c r="B100">
        <f t="shared" si="3"/>
        <v>2.5</v>
      </c>
      <c r="C100" s="199" t="str">
        <f>B100&amp;LOOKUP(A100, Sheet2!$A$2:$A$11, Sheet2!$B$2:$B$11)</f>
        <v>2.5RP</v>
      </c>
      <c r="D100">
        <v>2.5</v>
      </c>
      <c r="E100">
        <v>18</v>
      </c>
      <c r="F100">
        <v>6</v>
      </c>
      <c r="G100">
        <v>1</v>
      </c>
      <c r="H100">
        <v>0.25269999999999998</v>
      </c>
      <c r="I100">
        <v>0.42249999999999999</v>
      </c>
      <c r="J100" s="1" t="str">
        <f>HYPERLINK(SetRGB(J100,G100*255,H100*255,I100*255),"HOVER!")</f>
        <v>HOVER!</v>
      </c>
      <c r="K100">
        <f>E100/F100</f>
        <v>3</v>
      </c>
    </row>
    <row r="101" spans="1:11" ht="15" x14ac:dyDescent="0.35">
      <c r="A101">
        <f t="shared" si="2"/>
        <v>10</v>
      </c>
      <c r="B101">
        <f t="shared" si="3"/>
        <v>2.5</v>
      </c>
      <c r="C101" s="199" t="str">
        <f>B101&amp;LOOKUP(A101, Sheet2!$A$2:$A$11, Sheet2!$B$2:$B$11)</f>
        <v>2.5RP</v>
      </c>
      <c r="D101">
        <v>2.5</v>
      </c>
      <c r="E101">
        <v>2</v>
      </c>
      <c r="F101">
        <v>7</v>
      </c>
      <c r="G101">
        <v>0.74929999999999997</v>
      </c>
      <c r="H101">
        <v>0.66969999999999996</v>
      </c>
      <c r="I101">
        <v>0.66890000000000005</v>
      </c>
      <c r="J101" s="2" t="str">
        <f>HYPERLINK(SetRGB(J101,G101*255,H101*255,I101*255),"HOVER!")</f>
        <v>HOVER!</v>
      </c>
      <c r="K101">
        <f>E101/F101</f>
        <v>0.2857142857142857</v>
      </c>
    </row>
    <row r="102" spans="1:11" ht="15" x14ac:dyDescent="0.35">
      <c r="A102">
        <f t="shared" si="2"/>
        <v>10</v>
      </c>
      <c r="B102">
        <f t="shared" si="3"/>
        <v>2.5</v>
      </c>
      <c r="C102" s="199" t="str">
        <f>B102&amp;LOOKUP(A102, Sheet2!$A$2:$A$11, Sheet2!$B$2:$B$11)</f>
        <v>2.5RP</v>
      </c>
      <c r="D102">
        <v>2.5</v>
      </c>
      <c r="E102">
        <v>4</v>
      </c>
      <c r="F102">
        <v>7</v>
      </c>
      <c r="G102">
        <v>0.8155</v>
      </c>
      <c r="H102">
        <v>0.64700000000000002</v>
      </c>
      <c r="I102">
        <v>0.64829999999999999</v>
      </c>
      <c r="J102" s="2" t="str">
        <f>HYPERLINK(SetRGB(J102,G102*255,H102*255,I102*255),"HOVER!")</f>
        <v>HOVER!</v>
      </c>
      <c r="K102">
        <f>E102/F102</f>
        <v>0.5714285714285714</v>
      </c>
    </row>
    <row r="103" spans="1:11" ht="15" x14ac:dyDescent="0.35">
      <c r="A103">
        <f t="shared" si="2"/>
        <v>10</v>
      </c>
      <c r="B103">
        <f t="shared" si="3"/>
        <v>2.5</v>
      </c>
      <c r="C103" s="199" t="str">
        <f>B103&amp;LOOKUP(A103, Sheet2!$A$2:$A$11, Sheet2!$B$2:$B$11)</f>
        <v>2.5RP</v>
      </c>
      <c r="D103">
        <v>2.5</v>
      </c>
      <c r="E103">
        <v>6</v>
      </c>
      <c r="F103">
        <v>7</v>
      </c>
      <c r="G103">
        <v>0.87929999999999997</v>
      </c>
      <c r="H103">
        <v>0.62150000000000005</v>
      </c>
      <c r="I103">
        <v>0.62590000000000001</v>
      </c>
      <c r="J103" s="211" t="str">
        <f>HYPERLINK(SetRGB(J103,G103*255,H103*255,I103*255),"HOVER!")</f>
        <v>HOVER!</v>
      </c>
      <c r="K103">
        <f>E103/F103</f>
        <v>0.8571428571428571</v>
      </c>
    </row>
    <row r="104" spans="1:11" ht="15" x14ac:dyDescent="0.35">
      <c r="A104">
        <f t="shared" si="2"/>
        <v>10</v>
      </c>
      <c r="B104">
        <f t="shared" si="3"/>
        <v>2.5</v>
      </c>
      <c r="C104" s="199" t="str">
        <f>B104&amp;LOOKUP(A104, Sheet2!$A$2:$A$11, Sheet2!$B$2:$B$11)</f>
        <v>2.5RP</v>
      </c>
      <c r="D104">
        <v>2.5</v>
      </c>
      <c r="E104">
        <v>8</v>
      </c>
      <c r="F104">
        <v>7</v>
      </c>
      <c r="G104">
        <v>0.9405</v>
      </c>
      <c r="H104">
        <v>0.59279999999999999</v>
      </c>
      <c r="I104">
        <v>0.60399999999999998</v>
      </c>
      <c r="J104" s="212" t="str">
        <f>HYPERLINK(SetRGB(J104,G104*255,H104*255,I104*255),"HOVER!")</f>
        <v>HOVER!</v>
      </c>
      <c r="K104">
        <f>E104/F104</f>
        <v>1.1428571428571428</v>
      </c>
    </row>
    <row r="105" spans="1:11" ht="15" x14ac:dyDescent="0.35">
      <c r="A105">
        <f t="shared" si="2"/>
        <v>10</v>
      </c>
      <c r="B105">
        <f t="shared" si="3"/>
        <v>2.5</v>
      </c>
      <c r="C105" s="199" t="str">
        <f>B105&amp;LOOKUP(A105, Sheet2!$A$2:$A$11, Sheet2!$B$2:$B$11)</f>
        <v>2.5RP</v>
      </c>
      <c r="D105">
        <v>2.5</v>
      </c>
      <c r="E105">
        <v>10</v>
      </c>
      <c r="F105">
        <v>7</v>
      </c>
      <c r="G105">
        <v>0.99580000000000002</v>
      </c>
      <c r="H105">
        <v>0.56240000000000001</v>
      </c>
      <c r="I105">
        <v>0.58350000000000002</v>
      </c>
      <c r="J105" s="2" t="str">
        <f>HYPERLINK(SetRGB(J105,G105*255,H105*255,I105*255),"HOVER!")</f>
        <v>HOVER!</v>
      </c>
      <c r="K105">
        <f>E105/F105</f>
        <v>1.4285714285714286</v>
      </c>
    </row>
    <row r="106" spans="1:11" ht="15" x14ac:dyDescent="0.35">
      <c r="A106">
        <f t="shared" si="2"/>
        <v>10</v>
      </c>
      <c r="B106">
        <f t="shared" si="3"/>
        <v>2.5</v>
      </c>
      <c r="C106" s="199" t="str">
        <f>B106&amp;LOOKUP(A106, Sheet2!$A$2:$A$11, Sheet2!$B$2:$B$11)</f>
        <v>2.5RP</v>
      </c>
      <c r="D106">
        <v>2.5</v>
      </c>
      <c r="E106">
        <v>12</v>
      </c>
      <c r="F106">
        <v>7</v>
      </c>
      <c r="G106">
        <v>1</v>
      </c>
      <c r="H106">
        <v>0.52349999999999997</v>
      </c>
      <c r="I106">
        <v>0.56030000000000002</v>
      </c>
      <c r="J106" s="2" t="str">
        <f>HYPERLINK(SetRGB(J106,G106*255,H106*255,I106*255),"HOVER!")</f>
        <v>HOVER!</v>
      </c>
      <c r="K106">
        <f>E106/F106</f>
        <v>1.7142857142857142</v>
      </c>
    </row>
    <row r="107" spans="1:11" ht="15" x14ac:dyDescent="0.35">
      <c r="A107">
        <f t="shared" si="2"/>
        <v>10</v>
      </c>
      <c r="B107">
        <f t="shared" si="3"/>
        <v>2.5</v>
      </c>
      <c r="C107" s="199" t="str">
        <f>B107&amp;LOOKUP(A107, Sheet2!$A$2:$A$11, Sheet2!$B$2:$B$11)</f>
        <v>2.5RP</v>
      </c>
      <c r="D107">
        <v>2.5</v>
      </c>
      <c r="E107">
        <v>14</v>
      </c>
      <c r="F107">
        <v>7</v>
      </c>
      <c r="G107">
        <v>1</v>
      </c>
      <c r="H107">
        <v>0.48159999999999997</v>
      </c>
      <c r="I107">
        <v>0.54179999999999995</v>
      </c>
      <c r="J107" s="2" t="str">
        <f>HYPERLINK(SetRGB(J107,G107*255,H107*255,I107*255),"HOVER!")</f>
        <v>HOVER!</v>
      </c>
      <c r="K107">
        <f>E107/F107</f>
        <v>2</v>
      </c>
    </row>
    <row r="108" spans="1:11" ht="15" x14ac:dyDescent="0.35">
      <c r="A108">
        <f t="shared" si="2"/>
        <v>10</v>
      </c>
      <c r="B108">
        <f t="shared" si="3"/>
        <v>2.5</v>
      </c>
      <c r="C108" s="199" t="str">
        <f>B108&amp;LOOKUP(A108, Sheet2!$A$2:$A$11, Sheet2!$B$2:$B$11)</f>
        <v>2.5RP</v>
      </c>
      <c r="D108">
        <v>2.5</v>
      </c>
      <c r="E108">
        <v>16</v>
      </c>
      <c r="F108">
        <v>7</v>
      </c>
      <c r="G108">
        <v>1</v>
      </c>
      <c r="H108">
        <v>0.43149999999999999</v>
      </c>
      <c r="I108">
        <v>0.52339999999999998</v>
      </c>
      <c r="J108" s="2" t="str">
        <f>HYPERLINK(SetRGB(J108,G108*255,H108*255,I108*255),"HOVER!")</f>
        <v>HOVER!</v>
      </c>
      <c r="K108">
        <f>E108/F108</f>
        <v>2.2857142857142856</v>
      </c>
    </row>
    <row r="109" spans="1:11" ht="15" x14ac:dyDescent="0.35">
      <c r="A109">
        <f t="shared" si="2"/>
        <v>10</v>
      </c>
      <c r="B109">
        <f t="shared" si="3"/>
        <v>2.5</v>
      </c>
      <c r="C109" s="199" t="str">
        <f>B109&amp;LOOKUP(A109, Sheet2!$A$2:$A$11, Sheet2!$B$2:$B$11)</f>
        <v>2.5RP</v>
      </c>
      <c r="D109">
        <v>2.5</v>
      </c>
      <c r="E109">
        <v>2</v>
      </c>
      <c r="F109">
        <v>8</v>
      </c>
      <c r="G109">
        <v>0.8448</v>
      </c>
      <c r="H109">
        <v>0.77749999999999997</v>
      </c>
      <c r="I109">
        <v>0.77629999999999999</v>
      </c>
      <c r="J109" s="2" t="str">
        <f>HYPERLINK(SetRGB(J109,G109*255,H109*255,I109*255),"HOVER!")</f>
        <v>HOVER!</v>
      </c>
      <c r="K109">
        <f>E109/F109</f>
        <v>0.25</v>
      </c>
    </row>
    <row r="110" spans="1:11" ht="15" x14ac:dyDescent="0.35">
      <c r="A110">
        <f t="shared" si="2"/>
        <v>10</v>
      </c>
      <c r="B110">
        <f t="shared" si="3"/>
        <v>2.5</v>
      </c>
      <c r="C110" s="199" t="str">
        <f>B110&amp;LOOKUP(A110, Sheet2!$A$2:$A$11, Sheet2!$B$2:$B$11)</f>
        <v>2.5RP</v>
      </c>
      <c r="D110">
        <v>2.5</v>
      </c>
      <c r="E110">
        <v>4</v>
      </c>
      <c r="F110">
        <v>8</v>
      </c>
      <c r="G110">
        <v>0.92369999999999997</v>
      </c>
      <c r="H110">
        <v>0.75160000000000005</v>
      </c>
      <c r="I110">
        <v>0.75029999999999997</v>
      </c>
      <c r="J110" s="2" t="str">
        <f>HYPERLINK(SetRGB(J110,G110*255,H110*255,I110*255),"HOVER!")</f>
        <v>HOVER!</v>
      </c>
      <c r="K110">
        <f>E110/F110</f>
        <v>0.5</v>
      </c>
    </row>
    <row r="111" spans="1:11" ht="15" x14ac:dyDescent="0.35">
      <c r="A111">
        <f t="shared" si="2"/>
        <v>10</v>
      </c>
      <c r="B111">
        <f t="shared" si="3"/>
        <v>2.5</v>
      </c>
      <c r="C111" s="199" t="str">
        <f>B111&amp;LOOKUP(A111, Sheet2!$A$2:$A$11, Sheet2!$B$2:$B$11)</f>
        <v>2.5RP</v>
      </c>
      <c r="D111">
        <v>2.5</v>
      </c>
      <c r="E111">
        <v>6</v>
      </c>
      <c r="F111">
        <v>8</v>
      </c>
      <c r="G111">
        <v>0.99250000000000005</v>
      </c>
      <c r="H111">
        <v>0.72489999999999999</v>
      </c>
      <c r="I111">
        <v>0.72719999999999996</v>
      </c>
      <c r="J111" s="213" t="str">
        <f>HYPERLINK(SetRGB(J111,G111*255,H111*255,I111*255),"HOVER!")</f>
        <v>HOVER!</v>
      </c>
      <c r="K111">
        <f>E111/F111</f>
        <v>0.75</v>
      </c>
    </row>
    <row r="112" spans="1:11" ht="15" x14ac:dyDescent="0.35">
      <c r="A112">
        <f t="shared" si="2"/>
        <v>10</v>
      </c>
      <c r="B112">
        <f t="shared" si="3"/>
        <v>2.5</v>
      </c>
      <c r="C112" s="199" t="str">
        <f>B112&amp;LOOKUP(A112, Sheet2!$A$2:$A$11, Sheet2!$B$2:$B$11)</f>
        <v>2.5RP</v>
      </c>
      <c r="D112">
        <v>2.5</v>
      </c>
      <c r="E112">
        <v>8</v>
      </c>
      <c r="F112">
        <v>8</v>
      </c>
      <c r="G112">
        <v>1</v>
      </c>
      <c r="H112">
        <v>0.69420000000000004</v>
      </c>
      <c r="I112">
        <v>0.70150000000000001</v>
      </c>
      <c r="J112" s="2" t="str">
        <f>HYPERLINK(SetRGB(J112,G112*255,H112*255,I112*255),"HOVER!")</f>
        <v>HOVER!</v>
      </c>
      <c r="K112">
        <f>E112/F112</f>
        <v>1</v>
      </c>
    </row>
    <row r="113" spans="1:11" ht="15" x14ac:dyDescent="0.35">
      <c r="A113">
        <f t="shared" si="2"/>
        <v>10</v>
      </c>
      <c r="B113">
        <f t="shared" si="3"/>
        <v>2.5</v>
      </c>
      <c r="C113" s="199" t="str">
        <f>B113&amp;LOOKUP(A113, Sheet2!$A$2:$A$11, Sheet2!$B$2:$B$11)</f>
        <v>2.5RP</v>
      </c>
      <c r="D113">
        <v>2.5</v>
      </c>
      <c r="E113">
        <v>10</v>
      </c>
      <c r="F113">
        <v>8</v>
      </c>
      <c r="G113">
        <v>1</v>
      </c>
      <c r="H113">
        <v>0.66080000000000005</v>
      </c>
      <c r="I113">
        <v>0.67669999999999997</v>
      </c>
      <c r="J113" s="2" t="str">
        <f>HYPERLINK(SetRGB(J113,G113*255,H113*255,I113*255),"HOVER!")</f>
        <v>HOVER!</v>
      </c>
      <c r="K113">
        <f>E113/F113</f>
        <v>1.25</v>
      </c>
    </row>
    <row r="114" spans="1:11" ht="15" x14ac:dyDescent="0.35">
      <c r="A114">
        <f t="shared" si="2"/>
        <v>10</v>
      </c>
      <c r="B114">
        <f t="shared" si="3"/>
        <v>2.5</v>
      </c>
      <c r="C114" s="199" t="str">
        <f>B114&amp;LOOKUP(A114, Sheet2!$A$2:$A$11, Sheet2!$B$2:$B$11)</f>
        <v>2.5RP</v>
      </c>
      <c r="D114">
        <v>2.5</v>
      </c>
      <c r="E114">
        <v>2</v>
      </c>
      <c r="F114">
        <v>9</v>
      </c>
      <c r="G114">
        <v>0.9476</v>
      </c>
      <c r="H114">
        <v>0.8861</v>
      </c>
      <c r="I114">
        <v>0.88480000000000003</v>
      </c>
      <c r="J114" s="214" t="str">
        <f>HYPERLINK(SetRGB(J114,G114*255,H114*255,I114*255),"HOVER!")</f>
        <v>HOVER!</v>
      </c>
      <c r="K114">
        <f>E114/F114</f>
        <v>0.22222222222222221</v>
      </c>
    </row>
    <row r="115" spans="1:11" ht="15" x14ac:dyDescent="0.35">
      <c r="A115">
        <f t="shared" si="2"/>
        <v>10</v>
      </c>
      <c r="B115">
        <f t="shared" si="3"/>
        <v>2.5</v>
      </c>
      <c r="C115" s="199" t="str">
        <f>B115&amp;LOOKUP(A115, Sheet2!$A$2:$A$11, Sheet2!$B$2:$B$11)</f>
        <v>2.5RP</v>
      </c>
      <c r="D115">
        <v>2.5</v>
      </c>
      <c r="E115">
        <v>4</v>
      </c>
      <c r="F115">
        <v>9</v>
      </c>
      <c r="G115">
        <v>1</v>
      </c>
      <c r="H115">
        <v>0.85589999999999999</v>
      </c>
      <c r="I115">
        <v>0.85350000000000004</v>
      </c>
      <c r="J115" s="2" t="str">
        <f>HYPERLINK(SetRGB(J115,G115*255,H115*255,I115*255),"HOVER!")</f>
        <v>HOVER!</v>
      </c>
      <c r="K115">
        <f>E115/F115</f>
        <v>0.44444444444444442</v>
      </c>
    </row>
    <row r="116" spans="1:11" ht="15" x14ac:dyDescent="0.35">
      <c r="A116">
        <f t="shared" si="2"/>
        <v>10</v>
      </c>
      <c r="B116">
        <f t="shared" si="3"/>
        <v>2.5</v>
      </c>
      <c r="C116" s="199" t="str">
        <f>B116&amp;LOOKUP(A116, Sheet2!$A$2:$A$11, Sheet2!$B$2:$B$11)</f>
        <v>2.5RP</v>
      </c>
      <c r="D116">
        <v>2.5</v>
      </c>
      <c r="E116">
        <v>6</v>
      </c>
      <c r="F116">
        <v>9</v>
      </c>
      <c r="G116">
        <v>1</v>
      </c>
      <c r="H116">
        <v>0.8256</v>
      </c>
      <c r="I116">
        <v>0.82469999999999999</v>
      </c>
      <c r="J116" s="172" t="str">
        <f>HYPERLINK(SetRGB(J116,G116*255,H116*255,I116*255),"HOVER!")</f>
        <v>HOVER!</v>
      </c>
      <c r="K116">
        <f>E116/F116</f>
        <v>0.66666666666666663</v>
      </c>
    </row>
    <row r="117" spans="1:11" ht="15" x14ac:dyDescent="0.35">
      <c r="A117">
        <f t="shared" si="2"/>
        <v>10</v>
      </c>
      <c r="B117">
        <f t="shared" si="3"/>
        <v>5</v>
      </c>
      <c r="C117" s="199" t="str">
        <f>B117&amp;LOOKUP(A117, Sheet2!$A$2:$A$11, Sheet2!$B$2:$B$11)</f>
        <v>5RP</v>
      </c>
      <c r="D117">
        <v>5</v>
      </c>
      <c r="E117">
        <v>2</v>
      </c>
      <c r="F117">
        <v>1</v>
      </c>
      <c r="G117">
        <v>0.17780000000000001</v>
      </c>
      <c r="H117">
        <v>8.4900000000000003E-2</v>
      </c>
      <c r="I117">
        <v>0.1069</v>
      </c>
      <c r="J117" s="28" t="str">
        <f>HYPERLINK(SetRGB(J117,G117*255,H117*255,I117*255),"HOVER!")</f>
        <v>HOVER!</v>
      </c>
      <c r="K117">
        <f>E117/F117</f>
        <v>2</v>
      </c>
    </row>
    <row r="118" spans="1:11" ht="15" x14ac:dyDescent="0.35">
      <c r="A118">
        <f t="shared" si="2"/>
        <v>10</v>
      </c>
      <c r="B118">
        <f t="shared" si="3"/>
        <v>5</v>
      </c>
      <c r="C118" s="199" t="str">
        <f>B118&amp;LOOKUP(A118, Sheet2!$A$2:$A$11, Sheet2!$B$2:$B$11)</f>
        <v>5RP</v>
      </c>
      <c r="D118">
        <v>5</v>
      </c>
      <c r="E118">
        <v>4</v>
      </c>
      <c r="F118">
        <v>1</v>
      </c>
      <c r="G118">
        <v>0.21529999999999999</v>
      </c>
      <c r="H118">
        <v>5.5100000000000003E-2</v>
      </c>
      <c r="I118">
        <v>0.1057</v>
      </c>
      <c r="J118" s="29" t="str">
        <f>HYPERLINK(SetRGB(J118,G118*255,H118*255,I118*255),"HOVER!")</f>
        <v>HOVER!</v>
      </c>
      <c r="K118">
        <f>E118/F118</f>
        <v>4</v>
      </c>
    </row>
    <row r="119" spans="1:11" ht="15" x14ac:dyDescent="0.35">
      <c r="A119">
        <f t="shared" si="2"/>
        <v>10</v>
      </c>
      <c r="B119">
        <f t="shared" si="3"/>
        <v>5</v>
      </c>
      <c r="C119" s="199" t="str">
        <f>B119&amp;LOOKUP(A119, Sheet2!$A$2:$A$11, Sheet2!$B$2:$B$11)</f>
        <v>5RP</v>
      </c>
      <c r="D119">
        <v>5</v>
      </c>
      <c r="E119">
        <v>2</v>
      </c>
      <c r="F119">
        <v>2</v>
      </c>
      <c r="G119">
        <v>0.25900000000000001</v>
      </c>
      <c r="H119">
        <v>0.17080000000000001</v>
      </c>
      <c r="I119">
        <v>0.1789</v>
      </c>
      <c r="J119" s="173" t="str">
        <f>HYPERLINK(SetRGB(J119,G119*255,H119*255,I119*255),"HOVER!")</f>
        <v>HOVER!</v>
      </c>
      <c r="K119">
        <f>E119/F119</f>
        <v>1</v>
      </c>
    </row>
    <row r="120" spans="1:11" ht="15" x14ac:dyDescent="0.35">
      <c r="A120">
        <f t="shared" si="2"/>
        <v>10</v>
      </c>
      <c r="B120">
        <f t="shared" si="3"/>
        <v>5</v>
      </c>
      <c r="C120" s="199" t="str">
        <f>B120&amp;LOOKUP(A120, Sheet2!$A$2:$A$11, Sheet2!$B$2:$B$11)</f>
        <v>5RP</v>
      </c>
      <c r="D120">
        <v>5</v>
      </c>
      <c r="E120">
        <v>4</v>
      </c>
      <c r="F120">
        <v>2</v>
      </c>
      <c r="G120">
        <v>0.30530000000000002</v>
      </c>
      <c r="H120">
        <v>0.1457</v>
      </c>
      <c r="I120">
        <v>0.16769999999999999</v>
      </c>
      <c r="J120" s="218" t="str">
        <f>HYPERLINK(SetRGB(J120,G120*255,H120*255,I120*255),"HOVER!")</f>
        <v>HOVER!</v>
      </c>
      <c r="K120">
        <f>E120/F120</f>
        <v>2</v>
      </c>
    </row>
    <row r="121" spans="1:11" ht="15" x14ac:dyDescent="0.35">
      <c r="A121">
        <f t="shared" si="2"/>
        <v>10</v>
      </c>
      <c r="B121">
        <f t="shared" si="3"/>
        <v>5</v>
      </c>
      <c r="C121" s="199" t="str">
        <f>B121&amp;LOOKUP(A121, Sheet2!$A$2:$A$11, Sheet2!$B$2:$B$11)</f>
        <v>5RP</v>
      </c>
      <c r="D121">
        <v>5</v>
      </c>
      <c r="E121">
        <v>6</v>
      </c>
      <c r="F121">
        <v>2</v>
      </c>
      <c r="G121">
        <v>0.34549999999999997</v>
      </c>
      <c r="H121">
        <v>0.1138</v>
      </c>
      <c r="I121">
        <v>0.15790000000000001</v>
      </c>
      <c r="J121" s="217" t="str">
        <f>HYPERLINK(SetRGB(J121,G121*255,H121*255,I121*255),"HOVER!")</f>
        <v>HOVER!</v>
      </c>
      <c r="K121">
        <f>E121/F121</f>
        <v>3</v>
      </c>
    </row>
    <row r="122" spans="1:11" ht="15" x14ac:dyDescent="0.35">
      <c r="A122">
        <f t="shared" si="2"/>
        <v>10</v>
      </c>
      <c r="B122">
        <f t="shared" si="3"/>
        <v>5</v>
      </c>
      <c r="C122" s="199" t="str">
        <f>B122&amp;LOOKUP(A122, Sheet2!$A$2:$A$11, Sheet2!$B$2:$B$11)</f>
        <v>5RP</v>
      </c>
      <c r="D122">
        <v>5</v>
      </c>
      <c r="E122">
        <v>8</v>
      </c>
      <c r="F122">
        <v>2</v>
      </c>
      <c r="G122">
        <v>0.38869999999999999</v>
      </c>
      <c r="H122">
        <v>5.4300000000000001E-2</v>
      </c>
      <c r="I122">
        <v>0.1479</v>
      </c>
      <c r="J122" s="216" t="str">
        <f>HYPERLINK(SetRGB(J122,G122*255,H122*255,I122*255),"HOVER!")</f>
        <v>HOVER!</v>
      </c>
      <c r="K122">
        <f>E122/F122</f>
        <v>4</v>
      </c>
    </row>
    <row r="123" spans="1:11" ht="15" x14ac:dyDescent="0.35">
      <c r="A123">
        <f t="shared" si="2"/>
        <v>10</v>
      </c>
      <c r="B123">
        <f t="shared" si="3"/>
        <v>5</v>
      </c>
      <c r="C123" s="199" t="str">
        <f>B123&amp;LOOKUP(A123, Sheet2!$A$2:$A$11, Sheet2!$B$2:$B$11)</f>
        <v>5RP</v>
      </c>
      <c r="D123">
        <v>5</v>
      </c>
      <c r="E123">
        <v>2</v>
      </c>
      <c r="F123">
        <v>3</v>
      </c>
      <c r="G123">
        <v>0.3594</v>
      </c>
      <c r="H123">
        <v>0.2591</v>
      </c>
      <c r="I123">
        <v>0.2576</v>
      </c>
      <c r="J123" s="215" t="str">
        <f>HYPERLINK(SetRGB(J123,G123*255,H123*255,I123*255),"HOVER!")</f>
        <v>HOVER!</v>
      </c>
      <c r="K123">
        <f>E123/F123</f>
        <v>0.66666666666666663</v>
      </c>
    </row>
    <row r="124" spans="1:11" ht="15" x14ac:dyDescent="0.35">
      <c r="A124">
        <f t="shared" si="2"/>
        <v>10</v>
      </c>
      <c r="B124">
        <f t="shared" si="3"/>
        <v>5</v>
      </c>
      <c r="C124" s="199" t="str">
        <f>B124&amp;LOOKUP(A124, Sheet2!$A$2:$A$11, Sheet2!$B$2:$B$11)</f>
        <v>5RP</v>
      </c>
      <c r="D124">
        <v>5</v>
      </c>
      <c r="E124">
        <v>4</v>
      </c>
      <c r="F124">
        <v>3</v>
      </c>
      <c r="G124">
        <v>0.41670000000000001</v>
      </c>
      <c r="H124">
        <v>0.2321</v>
      </c>
      <c r="I124">
        <v>0.2334</v>
      </c>
      <c r="J124" s="1" t="str">
        <f>HYPERLINK(SetRGB(J124,G124*255,H124*255,I124*255),"HOVER!")</f>
        <v>HOVER!</v>
      </c>
      <c r="K124">
        <f>E124/F124</f>
        <v>1.3333333333333333</v>
      </c>
    </row>
    <row r="125" spans="1:11" ht="15" x14ac:dyDescent="0.35">
      <c r="A125">
        <f t="shared" si="2"/>
        <v>10</v>
      </c>
      <c r="B125">
        <f t="shared" si="3"/>
        <v>5</v>
      </c>
      <c r="C125" s="199" t="str">
        <f>B125&amp;LOOKUP(A125, Sheet2!$A$2:$A$11, Sheet2!$B$2:$B$11)</f>
        <v>5RP</v>
      </c>
      <c r="D125">
        <v>5</v>
      </c>
      <c r="E125">
        <v>6</v>
      </c>
      <c r="F125">
        <v>3</v>
      </c>
      <c r="G125">
        <v>0.46229999999999999</v>
      </c>
      <c r="H125">
        <v>0.2029</v>
      </c>
      <c r="I125">
        <v>0.21179999999999999</v>
      </c>
      <c r="J125" s="1" t="str">
        <f>HYPERLINK(SetRGB(J125,G125*255,H125*255,I125*255),"HOVER!")</f>
        <v>HOVER!</v>
      </c>
      <c r="K125">
        <f>E125/F125</f>
        <v>2</v>
      </c>
    </row>
    <row r="126" spans="1:11" ht="15" x14ac:dyDescent="0.35">
      <c r="A126">
        <f t="shared" si="2"/>
        <v>10</v>
      </c>
      <c r="B126">
        <f t="shared" si="3"/>
        <v>5</v>
      </c>
      <c r="C126" s="199" t="str">
        <f>B126&amp;LOOKUP(A126, Sheet2!$A$2:$A$11, Sheet2!$B$2:$B$11)</f>
        <v>5RP</v>
      </c>
      <c r="D126">
        <v>5</v>
      </c>
      <c r="E126">
        <v>8</v>
      </c>
      <c r="F126">
        <v>3</v>
      </c>
      <c r="G126">
        <v>0.50890000000000002</v>
      </c>
      <c r="H126">
        <v>0.16120000000000001</v>
      </c>
      <c r="I126">
        <v>0.189</v>
      </c>
      <c r="J126" s="1" t="str">
        <f>HYPERLINK(SetRGB(J126,G126*255,H126*255,I126*255),"HOVER!")</f>
        <v>HOVER!</v>
      </c>
      <c r="K126">
        <f>E126/F126</f>
        <v>2.6666666666666665</v>
      </c>
    </row>
    <row r="127" spans="1:11" ht="15" x14ac:dyDescent="0.35">
      <c r="A127">
        <f t="shared" si="2"/>
        <v>10</v>
      </c>
      <c r="B127">
        <f t="shared" si="3"/>
        <v>5</v>
      </c>
      <c r="C127" s="199" t="str">
        <f>B127&amp;LOOKUP(A127, Sheet2!$A$2:$A$11, Sheet2!$B$2:$B$11)</f>
        <v>5RP</v>
      </c>
      <c r="D127">
        <v>5</v>
      </c>
      <c r="E127">
        <v>10</v>
      </c>
      <c r="F127">
        <v>3</v>
      </c>
      <c r="G127">
        <v>0.55310000000000004</v>
      </c>
      <c r="H127">
        <v>9.7199999999999995E-2</v>
      </c>
      <c r="I127">
        <v>0.16919999999999999</v>
      </c>
      <c r="J127" s="1" t="str">
        <f>HYPERLINK(SetRGB(J127,G127*255,H127*255,I127*255),"HOVER!")</f>
        <v>HOVER!</v>
      </c>
      <c r="K127">
        <f>E127/F127</f>
        <v>3.3333333333333335</v>
      </c>
    </row>
    <row r="128" spans="1:11" ht="15" x14ac:dyDescent="0.35">
      <c r="A128">
        <f t="shared" si="2"/>
        <v>10</v>
      </c>
      <c r="B128">
        <f t="shared" si="3"/>
        <v>5</v>
      </c>
      <c r="C128" s="199" t="str">
        <f>B128&amp;LOOKUP(A128, Sheet2!$A$2:$A$11, Sheet2!$B$2:$B$11)</f>
        <v>5RP</v>
      </c>
      <c r="D128">
        <v>5</v>
      </c>
      <c r="E128">
        <v>2</v>
      </c>
      <c r="F128">
        <v>4</v>
      </c>
      <c r="G128">
        <v>0.45429999999999998</v>
      </c>
      <c r="H128">
        <v>0.35849999999999999</v>
      </c>
      <c r="I128">
        <v>0.3538</v>
      </c>
      <c r="J128" s="171" t="str">
        <f>HYPERLINK(SetRGB(J128,G128*255,H128*255,I128*255),"HOVER!")</f>
        <v>HOVER!</v>
      </c>
      <c r="K128">
        <f>E128/F128</f>
        <v>0.5</v>
      </c>
    </row>
    <row r="129" spans="1:11" ht="15" x14ac:dyDescent="0.35">
      <c r="A129">
        <f t="shared" si="2"/>
        <v>10</v>
      </c>
      <c r="B129">
        <f t="shared" si="3"/>
        <v>5</v>
      </c>
      <c r="C129" s="199" t="str">
        <f>B129&amp;LOOKUP(A129, Sheet2!$A$2:$A$11, Sheet2!$B$2:$B$11)</f>
        <v>5RP</v>
      </c>
      <c r="D129">
        <v>5</v>
      </c>
      <c r="E129">
        <v>4</v>
      </c>
      <c r="F129">
        <v>4</v>
      </c>
      <c r="G129">
        <v>0.51559999999999995</v>
      </c>
      <c r="H129">
        <v>0.33339999999999997</v>
      </c>
      <c r="I129">
        <v>0.3266</v>
      </c>
      <c r="J129" s="1" t="str">
        <f>HYPERLINK(SetRGB(J129,G129*255,H129*255,I129*255),"HOVER!")</f>
        <v>HOVER!</v>
      </c>
      <c r="K129">
        <f>E129/F129</f>
        <v>1</v>
      </c>
    </row>
    <row r="130" spans="1:11" ht="15" x14ac:dyDescent="0.35">
      <c r="A130">
        <f t="shared" si="2"/>
        <v>10</v>
      </c>
      <c r="B130">
        <f t="shared" si="3"/>
        <v>5</v>
      </c>
      <c r="C130" s="199" t="str">
        <f>B130&amp;LOOKUP(A130, Sheet2!$A$2:$A$11, Sheet2!$B$2:$B$11)</f>
        <v>5RP</v>
      </c>
      <c r="D130">
        <v>5</v>
      </c>
      <c r="E130">
        <v>6</v>
      </c>
      <c r="F130">
        <v>4</v>
      </c>
      <c r="G130">
        <v>0.56740000000000002</v>
      </c>
      <c r="H130">
        <v>0.30620000000000003</v>
      </c>
      <c r="I130">
        <v>0.30109999999999998</v>
      </c>
      <c r="J130" s="1" t="str">
        <f>HYPERLINK(SetRGB(J130,G130*255,H130*255,I130*255),"HOVER!")</f>
        <v>HOVER!</v>
      </c>
      <c r="K130">
        <f>E130/F130</f>
        <v>1.5</v>
      </c>
    </row>
    <row r="131" spans="1:11" ht="15" x14ac:dyDescent="0.35">
      <c r="A131">
        <f t="shared" si="2"/>
        <v>10</v>
      </c>
      <c r="B131">
        <f t="shared" si="3"/>
        <v>5</v>
      </c>
      <c r="C131" s="199" t="str">
        <f>B131&amp;LOOKUP(A131, Sheet2!$A$2:$A$11, Sheet2!$B$2:$B$11)</f>
        <v>5RP</v>
      </c>
      <c r="D131">
        <v>5</v>
      </c>
      <c r="E131">
        <v>8</v>
      </c>
      <c r="F131">
        <v>4</v>
      </c>
      <c r="G131">
        <v>0.61699999999999999</v>
      </c>
      <c r="H131">
        <v>0.27300000000000002</v>
      </c>
      <c r="I131">
        <v>0.2752</v>
      </c>
      <c r="J131" s="170" t="str">
        <f>HYPERLINK(SetRGB(J131,G131*255,H131*255,I131*255),"HOVER!")</f>
        <v>HOVER!</v>
      </c>
      <c r="K131">
        <f>E131/F131</f>
        <v>2</v>
      </c>
    </row>
    <row r="132" spans="1:11" ht="15" x14ac:dyDescent="0.35">
      <c r="A132">
        <f t="shared" si="2"/>
        <v>10</v>
      </c>
      <c r="B132">
        <f t="shared" si="3"/>
        <v>5</v>
      </c>
      <c r="C132" s="199" t="str">
        <f>B132&amp;LOOKUP(A132, Sheet2!$A$2:$A$11, Sheet2!$B$2:$B$11)</f>
        <v>5RP</v>
      </c>
      <c r="D132">
        <v>5</v>
      </c>
      <c r="E132">
        <v>10</v>
      </c>
      <c r="F132">
        <v>4</v>
      </c>
      <c r="G132">
        <v>0.6603</v>
      </c>
      <c r="H132">
        <v>0.23530000000000001</v>
      </c>
      <c r="I132">
        <v>0.25140000000000001</v>
      </c>
      <c r="J132" s="1" t="str">
        <f>HYPERLINK(SetRGB(J132,G132*255,H132*255,I132*255),"HOVER!")</f>
        <v>HOVER!</v>
      </c>
      <c r="K132">
        <f>E132/F132</f>
        <v>2.5</v>
      </c>
    </row>
    <row r="133" spans="1:11" ht="15" x14ac:dyDescent="0.35">
      <c r="A133">
        <f t="shared" si="2"/>
        <v>10</v>
      </c>
      <c r="B133">
        <f t="shared" si="3"/>
        <v>5</v>
      </c>
      <c r="C133" s="199" t="str">
        <f>B133&amp;LOOKUP(A133, Sheet2!$A$2:$A$11, Sheet2!$B$2:$B$11)</f>
        <v>5RP</v>
      </c>
      <c r="D133">
        <v>5</v>
      </c>
      <c r="E133">
        <v>12</v>
      </c>
      <c r="F133">
        <v>4</v>
      </c>
      <c r="G133">
        <v>0.70179999999999998</v>
      </c>
      <c r="H133">
        <v>0.18640000000000001</v>
      </c>
      <c r="I133">
        <v>0.22739999999999999</v>
      </c>
      <c r="J133" s="1" t="str">
        <f>HYPERLINK(SetRGB(J133,G133*255,H133*255,I133*255),"HOVER!")</f>
        <v>HOVER!</v>
      </c>
      <c r="K133">
        <f>E133/F133</f>
        <v>3</v>
      </c>
    </row>
    <row r="134" spans="1:11" ht="15" x14ac:dyDescent="0.35">
      <c r="A134">
        <f t="shared" si="2"/>
        <v>10</v>
      </c>
      <c r="B134">
        <f t="shared" si="3"/>
        <v>5</v>
      </c>
      <c r="C134" s="199" t="str">
        <f>B134&amp;LOOKUP(A134, Sheet2!$A$2:$A$11, Sheet2!$B$2:$B$11)</f>
        <v>5RP</v>
      </c>
      <c r="D134">
        <v>5</v>
      </c>
      <c r="E134">
        <v>14</v>
      </c>
      <c r="F134">
        <v>4</v>
      </c>
      <c r="G134">
        <v>0.74550000000000005</v>
      </c>
      <c r="H134">
        <v>0.1022</v>
      </c>
      <c r="I134">
        <v>0.2031</v>
      </c>
      <c r="J134" s="219" t="str">
        <f>HYPERLINK(SetRGB(J134,G134*255,H134*255,I134*255),"HOVER!")</f>
        <v>HOVER!</v>
      </c>
      <c r="K134">
        <f>E134/F134</f>
        <v>3.5</v>
      </c>
    </row>
    <row r="135" spans="1:11" ht="15" x14ac:dyDescent="0.35">
      <c r="A135">
        <f t="shared" si="2"/>
        <v>10</v>
      </c>
      <c r="B135">
        <f t="shared" si="3"/>
        <v>5</v>
      </c>
      <c r="C135" s="199" t="str">
        <f>B135&amp;LOOKUP(A135, Sheet2!$A$2:$A$11, Sheet2!$B$2:$B$11)</f>
        <v>5RP</v>
      </c>
      <c r="D135">
        <v>5</v>
      </c>
      <c r="E135">
        <v>2</v>
      </c>
      <c r="F135">
        <v>5</v>
      </c>
      <c r="G135">
        <v>0.54810000000000003</v>
      </c>
      <c r="H135">
        <v>0.46239999999999998</v>
      </c>
      <c r="I135">
        <v>0.45760000000000001</v>
      </c>
      <c r="J135" s="220" t="str">
        <f>HYPERLINK(SetRGB(J135,G135*255,H135*255,I135*255),"HOVER!")</f>
        <v>HOVER!</v>
      </c>
      <c r="K135">
        <f>E135/F135</f>
        <v>0.4</v>
      </c>
    </row>
    <row r="136" spans="1:11" ht="15" x14ac:dyDescent="0.35">
      <c r="A136">
        <f t="shared" si="2"/>
        <v>10</v>
      </c>
      <c r="B136">
        <f t="shared" si="3"/>
        <v>5</v>
      </c>
      <c r="C136" s="199" t="str">
        <f>B136&amp;LOOKUP(A136, Sheet2!$A$2:$A$11, Sheet2!$B$2:$B$11)</f>
        <v>5RP</v>
      </c>
      <c r="D136">
        <v>5</v>
      </c>
      <c r="E136">
        <v>4</v>
      </c>
      <c r="F136">
        <v>5</v>
      </c>
      <c r="G136">
        <v>0.61560000000000004</v>
      </c>
      <c r="H136">
        <v>0.43740000000000001</v>
      </c>
      <c r="I136">
        <v>0.42849999999999999</v>
      </c>
      <c r="J136" s="1" t="str">
        <f>HYPERLINK(SetRGB(J136,G136*255,H136*255,I136*255),"HOVER!")</f>
        <v>HOVER!</v>
      </c>
      <c r="K136">
        <f>E136/F136</f>
        <v>0.8</v>
      </c>
    </row>
    <row r="137" spans="1:11" ht="15" x14ac:dyDescent="0.35">
      <c r="A137">
        <f t="shared" si="2"/>
        <v>10</v>
      </c>
      <c r="B137">
        <f t="shared" si="3"/>
        <v>5</v>
      </c>
      <c r="C137" s="199" t="str">
        <f>B137&amp;LOOKUP(A137, Sheet2!$A$2:$A$11, Sheet2!$B$2:$B$11)</f>
        <v>5RP</v>
      </c>
      <c r="D137">
        <v>5</v>
      </c>
      <c r="E137">
        <v>6</v>
      </c>
      <c r="F137">
        <v>5</v>
      </c>
      <c r="G137">
        <v>0.67349999999999999</v>
      </c>
      <c r="H137">
        <v>0.4108</v>
      </c>
      <c r="I137">
        <v>0.3997</v>
      </c>
      <c r="J137" s="174" t="str">
        <f>HYPERLINK(SetRGB(J137,G137*255,H137*255,I137*255),"HOVER!")</f>
        <v>HOVER!</v>
      </c>
      <c r="K137">
        <f>E137/F137</f>
        <v>1.2</v>
      </c>
    </row>
    <row r="138" spans="1:11" ht="15" x14ac:dyDescent="0.35">
      <c r="A138">
        <f t="shared" si="2"/>
        <v>10</v>
      </c>
      <c r="B138">
        <f t="shared" si="3"/>
        <v>5</v>
      </c>
      <c r="C138" s="199" t="str">
        <f>B138&amp;LOOKUP(A138, Sheet2!$A$2:$A$11, Sheet2!$B$2:$B$11)</f>
        <v>5RP</v>
      </c>
      <c r="D138">
        <v>5</v>
      </c>
      <c r="E138">
        <v>8</v>
      </c>
      <c r="F138">
        <v>5</v>
      </c>
      <c r="G138">
        <v>0.72689999999999999</v>
      </c>
      <c r="H138">
        <v>0.38069999999999998</v>
      </c>
      <c r="I138">
        <v>0.37140000000000001</v>
      </c>
      <c r="J138" s="1" t="str">
        <f>HYPERLINK(SetRGB(J138,G138*255,H138*255,I138*255),"HOVER!")</f>
        <v>HOVER!</v>
      </c>
      <c r="K138">
        <f>E138/F138</f>
        <v>1.6</v>
      </c>
    </row>
    <row r="139" spans="1:11" ht="15" x14ac:dyDescent="0.35">
      <c r="A139">
        <f t="shared" si="2"/>
        <v>10</v>
      </c>
      <c r="B139">
        <f t="shared" si="3"/>
        <v>5</v>
      </c>
      <c r="C139" s="199" t="str">
        <f>B139&amp;LOOKUP(A139, Sheet2!$A$2:$A$11, Sheet2!$B$2:$B$11)</f>
        <v>5RP</v>
      </c>
      <c r="D139">
        <v>5</v>
      </c>
      <c r="E139">
        <v>10</v>
      </c>
      <c r="F139">
        <v>5</v>
      </c>
      <c r="G139">
        <v>0.77769999999999995</v>
      </c>
      <c r="H139">
        <v>0.34539999999999998</v>
      </c>
      <c r="I139">
        <v>0.34289999999999998</v>
      </c>
      <c r="J139" s="221" t="str">
        <f>HYPERLINK(SetRGB(J139,G139*255,H139*255,I139*255),"HOVER!")</f>
        <v>HOVER!</v>
      </c>
      <c r="K139">
        <f>E139/F139</f>
        <v>2</v>
      </c>
    </row>
    <row r="140" spans="1:11" ht="15" x14ac:dyDescent="0.35">
      <c r="A140">
        <f t="shared" si="2"/>
        <v>10</v>
      </c>
      <c r="B140">
        <f t="shared" si="3"/>
        <v>5</v>
      </c>
      <c r="C140" s="199" t="str">
        <f>B140&amp;LOOKUP(A140, Sheet2!$A$2:$A$11, Sheet2!$B$2:$B$11)</f>
        <v>5RP</v>
      </c>
      <c r="D140">
        <v>5</v>
      </c>
      <c r="E140">
        <v>12</v>
      </c>
      <c r="F140">
        <v>5</v>
      </c>
      <c r="G140">
        <v>0.8266</v>
      </c>
      <c r="H140">
        <v>0.30220000000000002</v>
      </c>
      <c r="I140">
        <v>0.31580000000000003</v>
      </c>
      <c r="J140" s="169" t="str">
        <f>HYPERLINK(SetRGB(J140,G140*255,H140*255,I140*255),"HOVER!")</f>
        <v>HOVER!</v>
      </c>
      <c r="K140">
        <f>E140/F140</f>
        <v>2.4</v>
      </c>
    </row>
    <row r="141" spans="1:11" ht="15" x14ac:dyDescent="0.35">
      <c r="A141">
        <f t="shared" si="2"/>
        <v>10</v>
      </c>
      <c r="B141">
        <f t="shared" si="3"/>
        <v>5</v>
      </c>
      <c r="C141" s="199" t="str">
        <f>B141&amp;LOOKUP(A141, Sheet2!$A$2:$A$11, Sheet2!$B$2:$B$11)</f>
        <v>5RP</v>
      </c>
      <c r="D141">
        <v>5</v>
      </c>
      <c r="E141">
        <v>14</v>
      </c>
      <c r="F141">
        <v>5</v>
      </c>
      <c r="G141">
        <v>0.86670000000000003</v>
      </c>
      <c r="H141">
        <v>0.25679999999999997</v>
      </c>
      <c r="I141">
        <v>0.29220000000000002</v>
      </c>
      <c r="J141" s="222" t="str">
        <f>HYPERLINK(SetRGB(J141,G141*255,H141*255,I141*255),"HOVER!")</f>
        <v>HOVER!</v>
      </c>
      <c r="K141">
        <f>E141/F141</f>
        <v>2.8</v>
      </c>
    </row>
    <row r="142" spans="1:11" ht="15" x14ac:dyDescent="0.35">
      <c r="A142">
        <f t="shared" ref="A142:A205" si="4">IF(FLOOR(D142/10,1)=0,10,FLOOR(D142/10,1))</f>
        <v>10</v>
      </c>
      <c r="B142">
        <f t="shared" ref="B142:B205" si="5">IF(MOD(D142,10)=0,10,MOD(D142,10))</f>
        <v>5</v>
      </c>
      <c r="C142" s="199" t="str">
        <f>B142&amp;LOOKUP(A142, Sheet2!$A$2:$A$11, Sheet2!$B$2:$B$11)</f>
        <v>5RP</v>
      </c>
      <c r="D142">
        <v>5</v>
      </c>
      <c r="E142">
        <v>16</v>
      </c>
      <c r="F142">
        <v>5</v>
      </c>
      <c r="G142">
        <v>0.91169999999999995</v>
      </c>
      <c r="H142">
        <v>0.18479999999999999</v>
      </c>
      <c r="I142">
        <v>0.26619999999999999</v>
      </c>
      <c r="J142" s="223" t="str">
        <f>HYPERLINK(SetRGB(J142,G142*255,H142*255,I142*255),"HOVER!")</f>
        <v>HOVER!</v>
      </c>
      <c r="K142">
        <f>E142/F142</f>
        <v>3.2</v>
      </c>
    </row>
    <row r="143" spans="1:11" ht="15" x14ac:dyDescent="0.35">
      <c r="A143">
        <f t="shared" si="4"/>
        <v>10</v>
      </c>
      <c r="B143">
        <f t="shared" si="5"/>
        <v>5</v>
      </c>
      <c r="C143" s="199" t="str">
        <f>B143&amp;LOOKUP(A143, Sheet2!$A$2:$A$11, Sheet2!$B$2:$B$11)</f>
        <v>5RP</v>
      </c>
      <c r="D143">
        <v>5</v>
      </c>
      <c r="E143">
        <v>18</v>
      </c>
      <c r="F143">
        <v>5</v>
      </c>
      <c r="G143">
        <v>0.95509999999999995</v>
      </c>
      <c r="H143">
        <v>3.3099999999999997E-2</v>
      </c>
      <c r="I143">
        <v>0.24</v>
      </c>
      <c r="J143" s="168" t="str">
        <f>HYPERLINK(SetRGB(J143,G143*255,H143*255,I143*255),"HOVER!")</f>
        <v>HOVER!</v>
      </c>
      <c r="K143">
        <f>E143/F143</f>
        <v>3.6</v>
      </c>
    </row>
    <row r="144" spans="1:11" ht="15" x14ac:dyDescent="0.35">
      <c r="A144">
        <f t="shared" si="4"/>
        <v>10</v>
      </c>
      <c r="B144">
        <f t="shared" si="5"/>
        <v>5</v>
      </c>
      <c r="C144" s="199" t="str">
        <f>B144&amp;LOOKUP(A144, Sheet2!$A$2:$A$11, Sheet2!$B$2:$B$11)</f>
        <v>5RP</v>
      </c>
      <c r="D144">
        <v>5</v>
      </c>
      <c r="E144">
        <v>2</v>
      </c>
      <c r="F144">
        <v>6</v>
      </c>
      <c r="G144">
        <v>0.6502</v>
      </c>
      <c r="H144">
        <v>0.56520000000000004</v>
      </c>
      <c r="I144">
        <v>0.55969999999999998</v>
      </c>
      <c r="J144" s="224" t="str">
        <f>HYPERLINK(SetRGB(J144,G144*255,H144*255,I144*255),"HOVER!")</f>
        <v>HOVER!</v>
      </c>
      <c r="K144">
        <f>E144/F144</f>
        <v>0.33333333333333331</v>
      </c>
    </row>
    <row r="145" spans="1:11" ht="15" x14ac:dyDescent="0.35">
      <c r="A145">
        <f t="shared" si="4"/>
        <v>10</v>
      </c>
      <c r="B145">
        <f t="shared" si="5"/>
        <v>5</v>
      </c>
      <c r="C145" s="199" t="str">
        <f>B145&amp;LOOKUP(A145, Sheet2!$A$2:$A$11, Sheet2!$B$2:$B$11)</f>
        <v>5RP</v>
      </c>
      <c r="D145">
        <v>5</v>
      </c>
      <c r="E145">
        <v>4</v>
      </c>
      <c r="F145">
        <v>6</v>
      </c>
      <c r="G145">
        <v>0.71730000000000005</v>
      </c>
      <c r="H145">
        <v>0.54190000000000005</v>
      </c>
      <c r="I145">
        <v>0.5302</v>
      </c>
      <c r="J145" s="225" t="str">
        <f>HYPERLINK(SetRGB(J145,G145*255,H145*255,I145*255),"HOVER!")</f>
        <v>HOVER!</v>
      </c>
      <c r="K145">
        <f>E145/F145</f>
        <v>0.66666666666666663</v>
      </c>
    </row>
    <row r="146" spans="1:11" ht="15" x14ac:dyDescent="0.35">
      <c r="A146">
        <f t="shared" si="4"/>
        <v>10</v>
      </c>
      <c r="B146">
        <f t="shared" si="5"/>
        <v>5</v>
      </c>
      <c r="C146" s="199" t="str">
        <f>B146&amp;LOOKUP(A146, Sheet2!$A$2:$A$11, Sheet2!$B$2:$B$11)</f>
        <v>5RP</v>
      </c>
      <c r="D146">
        <v>5</v>
      </c>
      <c r="E146">
        <v>6</v>
      </c>
      <c r="F146">
        <v>6</v>
      </c>
      <c r="G146">
        <v>0.77900000000000003</v>
      </c>
      <c r="H146">
        <v>0.5161</v>
      </c>
      <c r="I146">
        <v>0.49990000000000001</v>
      </c>
      <c r="J146" s="226" t="str">
        <f>HYPERLINK(SetRGB(J146,G146*255,H146*255,I146*255),"HOVER!")</f>
        <v>HOVER!</v>
      </c>
      <c r="K146">
        <f>E146/F146</f>
        <v>1</v>
      </c>
    </row>
    <row r="147" spans="1:11" ht="15" x14ac:dyDescent="0.35">
      <c r="A147">
        <f t="shared" si="4"/>
        <v>10</v>
      </c>
      <c r="B147">
        <f t="shared" si="5"/>
        <v>5</v>
      </c>
      <c r="C147" s="199" t="str">
        <f>B147&amp;LOOKUP(A147, Sheet2!$A$2:$A$11, Sheet2!$B$2:$B$11)</f>
        <v>5RP</v>
      </c>
      <c r="D147">
        <v>5</v>
      </c>
      <c r="E147">
        <v>8</v>
      </c>
      <c r="F147">
        <v>6</v>
      </c>
      <c r="G147">
        <v>0.83169999999999999</v>
      </c>
      <c r="H147">
        <v>0.48980000000000001</v>
      </c>
      <c r="I147">
        <v>0.4733</v>
      </c>
      <c r="J147" s="2" t="str">
        <f>HYPERLINK(SetRGB(J147,G147*255,H147*255,I147*255),"HOVER!")</f>
        <v>HOVER!</v>
      </c>
      <c r="K147">
        <f>E147/F147</f>
        <v>1.3333333333333333</v>
      </c>
    </row>
    <row r="148" spans="1:11" ht="15" x14ac:dyDescent="0.35">
      <c r="A148">
        <f t="shared" si="4"/>
        <v>10</v>
      </c>
      <c r="B148">
        <f t="shared" si="5"/>
        <v>5</v>
      </c>
      <c r="C148" s="199" t="str">
        <f>B148&amp;LOOKUP(A148, Sheet2!$A$2:$A$11, Sheet2!$B$2:$B$11)</f>
        <v>5RP</v>
      </c>
      <c r="D148">
        <v>5</v>
      </c>
      <c r="E148">
        <v>10</v>
      </c>
      <c r="F148">
        <v>6</v>
      </c>
      <c r="G148">
        <v>0.88629999999999998</v>
      </c>
      <c r="H148">
        <v>0.45750000000000002</v>
      </c>
      <c r="I148">
        <v>0.44359999999999999</v>
      </c>
      <c r="J148" s="2" t="str">
        <f>HYPERLINK(SetRGB(J148,G148*255,H148*255,I148*255),"HOVER!")</f>
        <v>HOVER!</v>
      </c>
      <c r="K148">
        <f>E148/F148</f>
        <v>1.6666666666666667</v>
      </c>
    </row>
    <row r="149" spans="1:11" ht="15" x14ac:dyDescent="0.35">
      <c r="A149">
        <f t="shared" si="4"/>
        <v>10</v>
      </c>
      <c r="B149">
        <f t="shared" si="5"/>
        <v>5</v>
      </c>
      <c r="C149" s="199" t="str">
        <f>B149&amp;LOOKUP(A149, Sheet2!$A$2:$A$11, Sheet2!$B$2:$B$11)</f>
        <v>5RP</v>
      </c>
      <c r="D149">
        <v>5</v>
      </c>
      <c r="E149">
        <v>12</v>
      </c>
      <c r="F149">
        <v>6</v>
      </c>
      <c r="G149">
        <v>0.93740000000000001</v>
      </c>
      <c r="H149">
        <v>0.42120000000000002</v>
      </c>
      <c r="I149">
        <v>0.4158</v>
      </c>
      <c r="J149" s="167" t="str">
        <f>HYPERLINK(SetRGB(J149,G149*255,H149*255,I149*255),"HOVER!")</f>
        <v>HOVER!</v>
      </c>
      <c r="K149">
        <f>E149/F149</f>
        <v>2</v>
      </c>
    </row>
    <row r="150" spans="1:11" ht="15" x14ac:dyDescent="0.35">
      <c r="A150">
        <f t="shared" si="4"/>
        <v>10</v>
      </c>
      <c r="B150">
        <f t="shared" si="5"/>
        <v>5</v>
      </c>
      <c r="C150" s="199" t="str">
        <f>B150&amp;LOOKUP(A150, Sheet2!$A$2:$A$11, Sheet2!$B$2:$B$11)</f>
        <v>5RP</v>
      </c>
      <c r="D150">
        <v>5</v>
      </c>
      <c r="E150">
        <v>14</v>
      </c>
      <c r="F150">
        <v>6</v>
      </c>
      <c r="G150">
        <v>0.98340000000000005</v>
      </c>
      <c r="H150">
        <v>0.38169999999999998</v>
      </c>
      <c r="I150">
        <v>0.38900000000000001</v>
      </c>
      <c r="J150" s="2" t="str">
        <f>HYPERLINK(SetRGB(J150,G150*255,H150*255,I150*255),"HOVER!")</f>
        <v>HOVER!</v>
      </c>
      <c r="K150">
        <f>E150/F150</f>
        <v>2.3333333333333335</v>
      </c>
    </row>
    <row r="151" spans="1:11" ht="15" x14ac:dyDescent="0.35">
      <c r="A151">
        <f t="shared" si="4"/>
        <v>10</v>
      </c>
      <c r="B151">
        <f t="shared" si="5"/>
        <v>5</v>
      </c>
      <c r="C151" s="199" t="str">
        <f>B151&amp;LOOKUP(A151, Sheet2!$A$2:$A$11, Sheet2!$B$2:$B$11)</f>
        <v>5RP</v>
      </c>
      <c r="D151">
        <v>5</v>
      </c>
      <c r="E151">
        <v>16</v>
      </c>
      <c r="F151">
        <v>6</v>
      </c>
      <c r="G151">
        <v>1</v>
      </c>
      <c r="H151">
        <v>0.33</v>
      </c>
      <c r="I151">
        <v>0.35959999999999998</v>
      </c>
      <c r="J151" s="2" t="str">
        <f>HYPERLINK(SetRGB(J151,G151*255,H151*255,I151*255),"HOVER!")</f>
        <v>HOVER!</v>
      </c>
      <c r="K151">
        <f>E151/F151</f>
        <v>2.6666666666666665</v>
      </c>
    </row>
    <row r="152" spans="1:11" ht="15" x14ac:dyDescent="0.35">
      <c r="A152">
        <f t="shared" si="4"/>
        <v>10</v>
      </c>
      <c r="B152">
        <f t="shared" si="5"/>
        <v>5</v>
      </c>
      <c r="C152" s="199" t="str">
        <f>B152&amp;LOOKUP(A152, Sheet2!$A$2:$A$11, Sheet2!$B$2:$B$11)</f>
        <v>5RP</v>
      </c>
      <c r="D152">
        <v>5</v>
      </c>
      <c r="E152">
        <v>18</v>
      </c>
      <c r="F152">
        <v>6</v>
      </c>
      <c r="G152">
        <v>1</v>
      </c>
      <c r="H152">
        <v>0.26650000000000001</v>
      </c>
      <c r="I152">
        <v>0.33169999999999999</v>
      </c>
      <c r="J152" s="1" t="str">
        <f>HYPERLINK(SetRGB(J152,G152*255,H152*255,I152*255),"HOVER!")</f>
        <v>HOVER!</v>
      </c>
      <c r="K152">
        <f>E152/F152</f>
        <v>3</v>
      </c>
    </row>
    <row r="153" spans="1:11" ht="15" x14ac:dyDescent="0.35">
      <c r="A153">
        <f t="shared" si="4"/>
        <v>10</v>
      </c>
      <c r="B153">
        <f t="shared" si="5"/>
        <v>5</v>
      </c>
      <c r="C153" s="199" t="str">
        <f>B153&amp;LOOKUP(A153, Sheet2!$A$2:$A$11, Sheet2!$B$2:$B$11)</f>
        <v>5RP</v>
      </c>
      <c r="D153">
        <v>5</v>
      </c>
      <c r="E153">
        <v>2</v>
      </c>
      <c r="F153">
        <v>7</v>
      </c>
      <c r="G153">
        <v>0.75239999999999996</v>
      </c>
      <c r="H153">
        <v>0.66930000000000001</v>
      </c>
      <c r="I153">
        <v>0.66259999999999997</v>
      </c>
      <c r="J153" s="2" t="str">
        <f>HYPERLINK(SetRGB(J153,G153*255,H153*255,I153*255),"HOVER!")</f>
        <v>HOVER!</v>
      </c>
      <c r="K153">
        <f>E153/F153</f>
        <v>0.2857142857142857</v>
      </c>
    </row>
    <row r="154" spans="1:11" ht="15" x14ac:dyDescent="0.35">
      <c r="A154">
        <f t="shared" si="4"/>
        <v>10</v>
      </c>
      <c r="B154">
        <f t="shared" si="5"/>
        <v>5</v>
      </c>
      <c r="C154" s="199" t="str">
        <f>B154&amp;LOOKUP(A154, Sheet2!$A$2:$A$11, Sheet2!$B$2:$B$11)</f>
        <v>5RP</v>
      </c>
      <c r="D154">
        <v>5</v>
      </c>
      <c r="E154">
        <v>4</v>
      </c>
      <c r="F154">
        <v>7</v>
      </c>
      <c r="G154">
        <v>0.8206</v>
      </c>
      <c r="H154">
        <v>0.64670000000000005</v>
      </c>
      <c r="I154">
        <v>0.6321</v>
      </c>
      <c r="J154" s="2" t="str">
        <f>HYPERLINK(SetRGB(J154,G154*255,H154*255,I154*255),"HOVER!")</f>
        <v>HOVER!</v>
      </c>
      <c r="K154">
        <f>E154/F154</f>
        <v>0.5714285714285714</v>
      </c>
    </row>
    <row r="155" spans="1:11" ht="15" x14ac:dyDescent="0.35">
      <c r="A155">
        <f t="shared" si="4"/>
        <v>10</v>
      </c>
      <c r="B155">
        <f t="shared" si="5"/>
        <v>5</v>
      </c>
      <c r="C155" s="199" t="str">
        <f>B155&amp;LOOKUP(A155, Sheet2!$A$2:$A$11, Sheet2!$B$2:$B$11)</f>
        <v>5RP</v>
      </c>
      <c r="D155">
        <v>5</v>
      </c>
      <c r="E155">
        <v>6</v>
      </c>
      <c r="F155">
        <v>7</v>
      </c>
      <c r="G155">
        <v>0.88470000000000004</v>
      </c>
      <c r="H155">
        <v>0.62150000000000005</v>
      </c>
      <c r="I155">
        <v>0.6018</v>
      </c>
      <c r="J155" s="2" t="str">
        <f>HYPERLINK(SetRGB(J155,G155*255,H155*255,I155*255),"HOVER!")</f>
        <v>HOVER!</v>
      </c>
      <c r="K155">
        <f>E155/F155</f>
        <v>0.8571428571428571</v>
      </c>
    </row>
    <row r="156" spans="1:11" ht="15" x14ac:dyDescent="0.35">
      <c r="A156">
        <f t="shared" si="4"/>
        <v>10</v>
      </c>
      <c r="B156">
        <f t="shared" si="5"/>
        <v>5</v>
      </c>
      <c r="C156" s="199" t="str">
        <f>B156&amp;LOOKUP(A156, Sheet2!$A$2:$A$11, Sheet2!$B$2:$B$11)</f>
        <v>5RP</v>
      </c>
      <c r="D156">
        <v>5</v>
      </c>
      <c r="E156">
        <v>8</v>
      </c>
      <c r="F156">
        <v>7</v>
      </c>
      <c r="G156">
        <v>0.94650000000000001</v>
      </c>
      <c r="H156">
        <v>0.59299999999999997</v>
      </c>
      <c r="I156">
        <v>0.57110000000000005</v>
      </c>
      <c r="J156" s="2" t="str">
        <f>HYPERLINK(SetRGB(J156,G156*255,H156*255,I156*255),"HOVER!")</f>
        <v>HOVER!</v>
      </c>
      <c r="K156">
        <f>E156/F156</f>
        <v>1.1428571428571428</v>
      </c>
    </row>
    <row r="157" spans="1:11" ht="15" x14ac:dyDescent="0.35">
      <c r="A157">
        <f t="shared" si="4"/>
        <v>10</v>
      </c>
      <c r="B157">
        <f t="shared" si="5"/>
        <v>5</v>
      </c>
      <c r="C157" s="199" t="str">
        <f>B157&amp;LOOKUP(A157, Sheet2!$A$2:$A$11, Sheet2!$B$2:$B$11)</f>
        <v>5RP</v>
      </c>
      <c r="D157">
        <v>5</v>
      </c>
      <c r="E157">
        <v>10</v>
      </c>
      <c r="F157">
        <v>7</v>
      </c>
      <c r="G157">
        <v>1</v>
      </c>
      <c r="H157">
        <v>0.56269999999999998</v>
      </c>
      <c r="I157">
        <v>0.54120000000000001</v>
      </c>
      <c r="J157" s="2" t="str">
        <f>HYPERLINK(SetRGB(J157,G157*255,H157*255,I157*255),"HOVER!")</f>
        <v>HOVER!</v>
      </c>
      <c r="K157">
        <f>E157/F157</f>
        <v>1.4285714285714286</v>
      </c>
    </row>
    <row r="158" spans="1:11" ht="15" x14ac:dyDescent="0.35">
      <c r="A158">
        <f t="shared" si="4"/>
        <v>10</v>
      </c>
      <c r="B158">
        <f t="shared" si="5"/>
        <v>5</v>
      </c>
      <c r="C158" s="199" t="str">
        <f>B158&amp;LOOKUP(A158, Sheet2!$A$2:$A$11, Sheet2!$B$2:$B$11)</f>
        <v>5RP</v>
      </c>
      <c r="D158">
        <v>5</v>
      </c>
      <c r="E158">
        <v>12</v>
      </c>
      <c r="F158">
        <v>7</v>
      </c>
      <c r="G158">
        <v>1</v>
      </c>
      <c r="H158">
        <v>0.5252</v>
      </c>
      <c r="I158">
        <v>0.50919999999999999</v>
      </c>
      <c r="J158" s="2" t="str">
        <f>HYPERLINK(SetRGB(J158,G158*255,H158*255,I158*255),"HOVER!")</f>
        <v>HOVER!</v>
      </c>
      <c r="K158">
        <f>E158/F158</f>
        <v>1.7142857142857142</v>
      </c>
    </row>
    <row r="159" spans="1:11" ht="15" x14ac:dyDescent="0.35">
      <c r="A159">
        <f t="shared" si="4"/>
        <v>10</v>
      </c>
      <c r="B159">
        <f t="shared" si="5"/>
        <v>5</v>
      </c>
      <c r="C159" s="199" t="str">
        <f>B159&amp;LOOKUP(A159, Sheet2!$A$2:$A$11, Sheet2!$B$2:$B$11)</f>
        <v>5RP</v>
      </c>
      <c r="D159">
        <v>5</v>
      </c>
      <c r="E159">
        <v>14</v>
      </c>
      <c r="F159">
        <v>7</v>
      </c>
      <c r="G159">
        <v>1</v>
      </c>
      <c r="H159">
        <v>0.48580000000000001</v>
      </c>
      <c r="I159">
        <v>0.47889999999999999</v>
      </c>
      <c r="J159" s="2" t="str">
        <f>HYPERLINK(SetRGB(J159,G159*255,H159*255,I159*255),"HOVER!")</f>
        <v>HOVER!</v>
      </c>
      <c r="K159">
        <f>E159/F159</f>
        <v>2</v>
      </c>
    </row>
    <row r="160" spans="1:11" ht="15" x14ac:dyDescent="0.35">
      <c r="A160">
        <f t="shared" si="4"/>
        <v>10</v>
      </c>
      <c r="B160">
        <f t="shared" si="5"/>
        <v>5</v>
      </c>
      <c r="C160" s="199" t="str">
        <f>B160&amp;LOOKUP(A160, Sheet2!$A$2:$A$11, Sheet2!$B$2:$B$11)</f>
        <v>5RP</v>
      </c>
      <c r="D160">
        <v>5</v>
      </c>
      <c r="E160">
        <v>2</v>
      </c>
      <c r="F160">
        <v>8</v>
      </c>
      <c r="G160">
        <v>0.8478</v>
      </c>
      <c r="H160">
        <v>0.77710000000000001</v>
      </c>
      <c r="I160">
        <v>0.7702</v>
      </c>
      <c r="J160" s="2" t="str">
        <f>HYPERLINK(SetRGB(J160,G160*255,H160*255,I160*255),"HOVER!")</f>
        <v>HOVER!</v>
      </c>
      <c r="K160">
        <f>E160/F160</f>
        <v>0.25</v>
      </c>
    </row>
    <row r="161" spans="1:11" ht="15" x14ac:dyDescent="0.35">
      <c r="A161">
        <f t="shared" si="4"/>
        <v>10</v>
      </c>
      <c r="B161">
        <f t="shared" si="5"/>
        <v>5</v>
      </c>
      <c r="C161" s="199" t="str">
        <f>B161&amp;LOOKUP(A161, Sheet2!$A$2:$A$11, Sheet2!$B$2:$B$11)</f>
        <v>5RP</v>
      </c>
      <c r="D161">
        <v>5</v>
      </c>
      <c r="E161">
        <v>4</v>
      </c>
      <c r="F161">
        <v>8</v>
      </c>
      <c r="G161">
        <v>0.92989999999999995</v>
      </c>
      <c r="H161">
        <v>0.751</v>
      </c>
      <c r="I161">
        <v>0.73319999999999996</v>
      </c>
      <c r="J161" s="175" t="str">
        <f>HYPERLINK(SetRGB(J161,G161*255,H161*255,I161*255),"HOVER!")</f>
        <v>HOVER!</v>
      </c>
      <c r="K161">
        <f>E161/F161</f>
        <v>0.5</v>
      </c>
    </row>
    <row r="162" spans="1:11" ht="15" x14ac:dyDescent="0.35">
      <c r="A162">
        <f t="shared" si="4"/>
        <v>10</v>
      </c>
      <c r="B162">
        <f t="shared" si="5"/>
        <v>5</v>
      </c>
      <c r="C162" s="199" t="str">
        <f>B162&amp;LOOKUP(A162, Sheet2!$A$2:$A$11, Sheet2!$B$2:$B$11)</f>
        <v>5RP</v>
      </c>
      <c r="D162">
        <v>5</v>
      </c>
      <c r="E162">
        <v>6</v>
      </c>
      <c r="F162">
        <v>8</v>
      </c>
      <c r="G162">
        <v>0.99790000000000001</v>
      </c>
      <c r="H162">
        <v>0.72529999999999994</v>
      </c>
      <c r="I162">
        <v>0.70079999999999998</v>
      </c>
      <c r="J162" s="2" t="str">
        <f>HYPERLINK(SetRGB(J162,G162*255,H162*255,I162*255),"HOVER!")</f>
        <v>HOVER!</v>
      </c>
      <c r="K162">
        <f>E162/F162</f>
        <v>0.75</v>
      </c>
    </row>
    <row r="163" spans="1:11" ht="15" x14ac:dyDescent="0.35">
      <c r="A163">
        <f t="shared" si="4"/>
        <v>10</v>
      </c>
      <c r="B163">
        <f t="shared" si="5"/>
        <v>5</v>
      </c>
      <c r="C163" s="199" t="str">
        <f>B163&amp;LOOKUP(A163, Sheet2!$A$2:$A$11, Sheet2!$B$2:$B$11)</f>
        <v>5RP</v>
      </c>
      <c r="D163">
        <v>5</v>
      </c>
      <c r="E163">
        <v>8</v>
      </c>
      <c r="F163">
        <v>8</v>
      </c>
      <c r="G163">
        <v>1</v>
      </c>
      <c r="H163">
        <v>0.69420000000000004</v>
      </c>
      <c r="I163">
        <v>0.66590000000000005</v>
      </c>
      <c r="J163" s="2" t="str">
        <f>HYPERLINK(SetRGB(J163,G163*255,H163*255,I163*255),"HOVER!")</f>
        <v>HOVER!</v>
      </c>
      <c r="K163">
        <f>E163/F163</f>
        <v>1</v>
      </c>
    </row>
    <row r="164" spans="1:11" ht="15" x14ac:dyDescent="0.35">
      <c r="A164">
        <f t="shared" si="4"/>
        <v>10</v>
      </c>
      <c r="B164">
        <f t="shared" si="5"/>
        <v>5</v>
      </c>
      <c r="C164" s="199" t="str">
        <f>B164&amp;LOOKUP(A164, Sheet2!$A$2:$A$11, Sheet2!$B$2:$B$11)</f>
        <v>5RP</v>
      </c>
      <c r="D164">
        <v>5</v>
      </c>
      <c r="E164">
        <v>10</v>
      </c>
      <c r="F164">
        <v>8</v>
      </c>
      <c r="G164">
        <v>1</v>
      </c>
      <c r="H164">
        <v>0.66159999999999997</v>
      </c>
      <c r="I164">
        <v>0.63219999999999998</v>
      </c>
      <c r="J164" s="2" t="str">
        <f>HYPERLINK(SetRGB(J164,G164*255,H164*255,I164*255),"HOVER!")</f>
        <v>HOVER!</v>
      </c>
      <c r="K164">
        <f>E164/F164</f>
        <v>1.25</v>
      </c>
    </row>
    <row r="165" spans="1:11" ht="15" x14ac:dyDescent="0.35">
      <c r="A165">
        <f t="shared" si="4"/>
        <v>10</v>
      </c>
      <c r="B165">
        <f t="shared" si="5"/>
        <v>5</v>
      </c>
      <c r="C165" s="199" t="str">
        <f>B165&amp;LOOKUP(A165, Sheet2!$A$2:$A$11, Sheet2!$B$2:$B$11)</f>
        <v>5RP</v>
      </c>
      <c r="D165">
        <v>5</v>
      </c>
      <c r="E165">
        <v>2</v>
      </c>
      <c r="F165">
        <v>9</v>
      </c>
      <c r="G165">
        <v>0.95550000000000002</v>
      </c>
      <c r="H165">
        <v>0.88449999999999995</v>
      </c>
      <c r="I165">
        <v>0.87580000000000002</v>
      </c>
      <c r="J165" s="2" t="str">
        <f>HYPERLINK(SetRGB(J165,G165*255,H165*255,I165*255),"HOVER!")</f>
        <v>HOVER!</v>
      </c>
      <c r="K165">
        <f>E165/F165</f>
        <v>0.22222222222222221</v>
      </c>
    </row>
    <row r="166" spans="1:11" ht="15" x14ac:dyDescent="0.35">
      <c r="A166">
        <f t="shared" si="4"/>
        <v>10</v>
      </c>
      <c r="B166">
        <f t="shared" si="5"/>
        <v>5</v>
      </c>
      <c r="C166" s="199" t="str">
        <f>B166&amp;LOOKUP(A166, Sheet2!$A$2:$A$11, Sheet2!$B$2:$B$11)</f>
        <v>5RP</v>
      </c>
      <c r="D166">
        <v>5</v>
      </c>
      <c r="E166">
        <v>4</v>
      </c>
      <c r="F166">
        <v>9</v>
      </c>
      <c r="G166">
        <v>1</v>
      </c>
      <c r="H166">
        <v>0.85519999999999996</v>
      </c>
      <c r="I166">
        <v>0.83430000000000004</v>
      </c>
      <c r="J166" s="2" t="str">
        <f>HYPERLINK(SetRGB(J166,G166*255,H166*255,I166*255),"HOVER!")</f>
        <v>HOVER!</v>
      </c>
      <c r="K166">
        <f>E166/F166</f>
        <v>0.44444444444444442</v>
      </c>
    </row>
    <row r="167" spans="1:11" ht="15" x14ac:dyDescent="0.35">
      <c r="A167">
        <f t="shared" si="4"/>
        <v>10</v>
      </c>
      <c r="B167">
        <f t="shared" si="5"/>
        <v>5</v>
      </c>
      <c r="C167" s="199" t="str">
        <f>B167&amp;LOOKUP(A167, Sheet2!$A$2:$A$11, Sheet2!$B$2:$B$11)</f>
        <v>5RP</v>
      </c>
      <c r="D167">
        <v>5</v>
      </c>
      <c r="E167">
        <v>6</v>
      </c>
      <c r="F167">
        <v>9</v>
      </c>
      <c r="G167">
        <v>1</v>
      </c>
      <c r="H167">
        <v>0.82640000000000002</v>
      </c>
      <c r="I167">
        <v>0.79530000000000001</v>
      </c>
      <c r="J167" s="2" t="str">
        <f>HYPERLINK(SetRGB(J167,G167*255,H167*255,I167*255),"HOVER!")</f>
        <v>HOVER!</v>
      </c>
      <c r="K167">
        <f>E167/F167</f>
        <v>0.66666666666666663</v>
      </c>
    </row>
    <row r="168" spans="1:11" ht="15" x14ac:dyDescent="0.35">
      <c r="A168">
        <f t="shared" si="4"/>
        <v>10</v>
      </c>
      <c r="B168">
        <f t="shared" si="5"/>
        <v>7.5</v>
      </c>
      <c r="C168" s="199" t="str">
        <f>B168&amp;LOOKUP(A168, Sheet2!$A$2:$A$11, Sheet2!$B$2:$B$11)</f>
        <v>7.5RP</v>
      </c>
      <c r="D168">
        <v>7.5</v>
      </c>
      <c r="E168">
        <v>2</v>
      </c>
      <c r="F168">
        <v>1</v>
      </c>
      <c r="G168">
        <v>0.1789</v>
      </c>
      <c r="H168">
        <v>8.5300000000000001E-2</v>
      </c>
      <c r="I168">
        <v>9.8799999999999999E-2</v>
      </c>
      <c r="J168" s="30" t="str">
        <f>HYPERLINK(SetRGB(J168,G168*255,H168*255,I168*255),"HOVER!")</f>
        <v>HOVER!</v>
      </c>
      <c r="K168">
        <f>E168/F168</f>
        <v>2</v>
      </c>
    </row>
    <row r="169" spans="1:11" ht="15" x14ac:dyDescent="0.35">
      <c r="A169">
        <f t="shared" si="4"/>
        <v>10</v>
      </c>
      <c r="B169">
        <f t="shared" si="5"/>
        <v>7.5</v>
      </c>
      <c r="C169" s="199" t="str">
        <f>B169&amp;LOOKUP(A169, Sheet2!$A$2:$A$11, Sheet2!$B$2:$B$11)</f>
        <v>7.5RP</v>
      </c>
      <c r="D169">
        <v>7.5</v>
      </c>
      <c r="E169">
        <v>4</v>
      </c>
      <c r="F169">
        <v>1</v>
      </c>
      <c r="G169">
        <v>0.21790000000000001</v>
      </c>
      <c r="H169">
        <v>5.4899999999999997E-2</v>
      </c>
      <c r="I169">
        <v>9.0399999999999994E-2</v>
      </c>
      <c r="J169" s="31" t="str">
        <f>HYPERLINK(SetRGB(J169,G169*255,H169*255,I169*255),"HOVER!")</f>
        <v>HOVER!</v>
      </c>
      <c r="K169">
        <f>E169/F169</f>
        <v>4</v>
      </c>
    </row>
    <row r="170" spans="1:11" ht="15" x14ac:dyDescent="0.35">
      <c r="A170">
        <f t="shared" si="4"/>
        <v>10</v>
      </c>
      <c r="B170">
        <f t="shared" si="5"/>
        <v>7.5</v>
      </c>
      <c r="C170" s="199" t="str">
        <f>B170&amp;LOOKUP(A170, Sheet2!$A$2:$A$11, Sheet2!$B$2:$B$11)</f>
        <v>7.5RP</v>
      </c>
      <c r="D170">
        <v>7.5</v>
      </c>
      <c r="E170">
        <v>2</v>
      </c>
      <c r="F170">
        <v>2</v>
      </c>
      <c r="G170">
        <v>0.25950000000000001</v>
      </c>
      <c r="H170">
        <v>0.1714</v>
      </c>
      <c r="I170">
        <v>0.17169999999999999</v>
      </c>
      <c r="J170" s="166" t="str">
        <f>HYPERLINK(SetRGB(J170,G170*255,H170*255,I170*255),"HOVER!")</f>
        <v>HOVER!</v>
      </c>
      <c r="K170">
        <f>E170/F170</f>
        <v>1</v>
      </c>
    </row>
    <row r="171" spans="1:11" ht="15" x14ac:dyDescent="0.35">
      <c r="A171">
        <f t="shared" si="4"/>
        <v>10</v>
      </c>
      <c r="B171">
        <f t="shared" si="5"/>
        <v>7.5</v>
      </c>
      <c r="C171" s="199" t="str">
        <f>B171&amp;LOOKUP(A171, Sheet2!$A$2:$A$11, Sheet2!$B$2:$B$11)</f>
        <v>7.5RP</v>
      </c>
      <c r="D171">
        <v>7.5</v>
      </c>
      <c r="E171">
        <v>4</v>
      </c>
      <c r="F171">
        <v>2</v>
      </c>
      <c r="G171">
        <v>0.30690000000000001</v>
      </c>
      <c r="H171">
        <v>0.14660000000000001</v>
      </c>
      <c r="I171">
        <v>0.15129999999999999</v>
      </c>
      <c r="J171" s="1" t="str">
        <f>HYPERLINK(SetRGB(J171,G171*255,H171*255,I171*255),"HOVER!")</f>
        <v>HOVER!</v>
      </c>
      <c r="K171">
        <f>E171/F171</f>
        <v>2</v>
      </c>
    </row>
    <row r="172" spans="1:11" ht="15" x14ac:dyDescent="0.35">
      <c r="A172">
        <f t="shared" si="4"/>
        <v>10</v>
      </c>
      <c r="B172">
        <f t="shared" si="5"/>
        <v>7.5</v>
      </c>
      <c r="C172" s="199" t="str">
        <f>B172&amp;LOOKUP(A172, Sheet2!$A$2:$A$11, Sheet2!$B$2:$B$11)</f>
        <v>7.5RP</v>
      </c>
      <c r="D172">
        <v>7.5</v>
      </c>
      <c r="E172">
        <v>6</v>
      </c>
      <c r="F172">
        <v>2</v>
      </c>
      <c r="G172">
        <v>0.34670000000000001</v>
      </c>
      <c r="H172">
        <v>0.11609999999999999</v>
      </c>
      <c r="I172">
        <v>0.1323</v>
      </c>
      <c r="J172" s="1" t="str">
        <f>HYPERLINK(SetRGB(J172,G172*255,H172*255,I172*255),"HOVER!")</f>
        <v>HOVER!</v>
      </c>
      <c r="K172">
        <f>E172/F172</f>
        <v>3</v>
      </c>
    </row>
    <row r="173" spans="1:11" ht="15" x14ac:dyDescent="0.35">
      <c r="A173">
        <f t="shared" si="4"/>
        <v>10</v>
      </c>
      <c r="B173">
        <f t="shared" si="5"/>
        <v>7.5</v>
      </c>
      <c r="C173" s="199" t="str">
        <f>B173&amp;LOOKUP(A173, Sheet2!$A$2:$A$11, Sheet2!$B$2:$B$11)</f>
        <v>7.5RP</v>
      </c>
      <c r="D173">
        <v>7.5</v>
      </c>
      <c r="E173">
        <v>8</v>
      </c>
      <c r="F173">
        <v>2</v>
      </c>
      <c r="G173">
        <v>0.3876</v>
      </c>
      <c r="H173">
        <v>6.4199999999999993E-2</v>
      </c>
      <c r="I173">
        <v>0.11310000000000001</v>
      </c>
      <c r="J173" s="1" t="str">
        <f>HYPERLINK(SetRGB(J173,G173*255,H173*255,I173*255),"HOVER!")</f>
        <v>HOVER!</v>
      </c>
      <c r="K173">
        <f>E173/F173</f>
        <v>4</v>
      </c>
    </row>
    <row r="174" spans="1:11" ht="15" x14ac:dyDescent="0.35">
      <c r="A174">
        <f t="shared" si="4"/>
        <v>10</v>
      </c>
      <c r="B174">
        <f t="shared" si="5"/>
        <v>7.5</v>
      </c>
      <c r="C174" s="199" t="str">
        <f>B174&amp;LOOKUP(A174, Sheet2!$A$2:$A$11, Sheet2!$B$2:$B$11)</f>
        <v>7.5RP</v>
      </c>
      <c r="D174">
        <v>7.5</v>
      </c>
      <c r="E174">
        <v>2</v>
      </c>
      <c r="F174">
        <v>3</v>
      </c>
      <c r="G174">
        <v>0.35980000000000001</v>
      </c>
      <c r="H174">
        <v>0.25979999999999998</v>
      </c>
      <c r="I174">
        <v>0.24979999999999999</v>
      </c>
      <c r="J174" s="1" t="str">
        <f>HYPERLINK(SetRGB(J174,G174*255,H174*255,I174*255),"HOVER!")</f>
        <v>HOVER!</v>
      </c>
      <c r="K174">
        <f>E174/F174</f>
        <v>0.66666666666666663</v>
      </c>
    </row>
    <row r="175" spans="1:11" ht="15" x14ac:dyDescent="0.35">
      <c r="A175">
        <f t="shared" si="4"/>
        <v>10</v>
      </c>
      <c r="B175">
        <f t="shared" si="5"/>
        <v>7.5</v>
      </c>
      <c r="C175" s="199" t="str">
        <f>B175&amp;LOOKUP(A175, Sheet2!$A$2:$A$11, Sheet2!$B$2:$B$11)</f>
        <v>7.5RP</v>
      </c>
      <c r="D175">
        <v>7.5</v>
      </c>
      <c r="E175">
        <v>4</v>
      </c>
      <c r="F175">
        <v>3</v>
      </c>
      <c r="G175">
        <v>0.41599999999999998</v>
      </c>
      <c r="H175">
        <v>0.23419999999999999</v>
      </c>
      <c r="I175">
        <v>0.21709999999999999</v>
      </c>
      <c r="J175" s="1" t="str">
        <f>HYPERLINK(SetRGB(J175,G175*255,H175*255,I175*255),"HOVER!")</f>
        <v>HOVER!</v>
      </c>
      <c r="K175">
        <f>E175/F175</f>
        <v>1.3333333333333333</v>
      </c>
    </row>
    <row r="176" spans="1:11" ht="15" x14ac:dyDescent="0.35">
      <c r="A176">
        <f t="shared" si="4"/>
        <v>10</v>
      </c>
      <c r="B176">
        <f t="shared" si="5"/>
        <v>7.5</v>
      </c>
      <c r="C176" s="199" t="str">
        <f>B176&amp;LOOKUP(A176, Sheet2!$A$2:$A$11, Sheet2!$B$2:$B$11)</f>
        <v>7.5RP</v>
      </c>
      <c r="D176">
        <v>7.5</v>
      </c>
      <c r="E176">
        <v>6</v>
      </c>
      <c r="F176">
        <v>3</v>
      </c>
      <c r="G176">
        <v>0.4617</v>
      </c>
      <c r="H176">
        <v>0.20599999999999999</v>
      </c>
      <c r="I176">
        <v>0.18690000000000001</v>
      </c>
      <c r="J176" s="1" t="str">
        <f>HYPERLINK(SetRGB(J176,G176*255,H176*255,I176*255),"HOVER!")</f>
        <v>HOVER!</v>
      </c>
      <c r="K176">
        <f>E176/F176</f>
        <v>2</v>
      </c>
    </row>
    <row r="177" spans="1:11" ht="15" x14ac:dyDescent="0.35">
      <c r="A177">
        <f t="shared" si="4"/>
        <v>10</v>
      </c>
      <c r="B177">
        <f t="shared" si="5"/>
        <v>7.5</v>
      </c>
      <c r="C177" s="199" t="str">
        <f>B177&amp;LOOKUP(A177, Sheet2!$A$2:$A$11, Sheet2!$B$2:$B$11)</f>
        <v>7.5RP</v>
      </c>
      <c r="D177">
        <v>7.5</v>
      </c>
      <c r="E177">
        <v>8</v>
      </c>
      <c r="F177">
        <v>3</v>
      </c>
      <c r="G177">
        <v>0.50629999999999997</v>
      </c>
      <c r="H177">
        <v>0.16819999999999999</v>
      </c>
      <c r="I177">
        <v>0.1535</v>
      </c>
      <c r="J177" s="1" t="str">
        <f>HYPERLINK(SetRGB(J177,G177*255,H177*255,I177*255),"HOVER!")</f>
        <v>HOVER!</v>
      </c>
      <c r="K177">
        <f>E177/F177</f>
        <v>2.6666666666666665</v>
      </c>
    </row>
    <row r="178" spans="1:11" ht="15" x14ac:dyDescent="0.35">
      <c r="A178">
        <f t="shared" si="4"/>
        <v>10</v>
      </c>
      <c r="B178">
        <f t="shared" si="5"/>
        <v>7.5</v>
      </c>
      <c r="C178" s="199" t="str">
        <f>B178&amp;LOOKUP(A178, Sheet2!$A$2:$A$11, Sheet2!$B$2:$B$11)</f>
        <v>7.5RP</v>
      </c>
      <c r="D178">
        <v>7.5</v>
      </c>
      <c r="E178">
        <v>10</v>
      </c>
      <c r="F178">
        <v>3</v>
      </c>
      <c r="G178">
        <v>0.54810000000000003</v>
      </c>
      <c r="H178">
        <v>0.1142</v>
      </c>
      <c r="I178">
        <v>0.1191</v>
      </c>
      <c r="J178" s="1" t="str">
        <f>HYPERLINK(SetRGB(J178,G178*255,H178*255,I178*255),"HOVER!")</f>
        <v>HOVER!</v>
      </c>
      <c r="K178">
        <f>E178/F178</f>
        <v>3.3333333333333335</v>
      </c>
    </row>
    <row r="179" spans="1:11" ht="15" x14ac:dyDescent="0.35">
      <c r="A179">
        <f t="shared" si="4"/>
        <v>10</v>
      </c>
      <c r="B179">
        <f t="shared" si="5"/>
        <v>7.5</v>
      </c>
      <c r="C179" s="199" t="str">
        <f>B179&amp;LOOKUP(A179, Sheet2!$A$2:$A$11, Sheet2!$B$2:$B$11)</f>
        <v>7.5RP</v>
      </c>
      <c r="D179">
        <v>7.5</v>
      </c>
      <c r="E179">
        <v>2</v>
      </c>
      <c r="F179">
        <v>4</v>
      </c>
      <c r="G179">
        <v>0.45519999999999999</v>
      </c>
      <c r="H179">
        <v>0.35880000000000001</v>
      </c>
      <c r="I179">
        <v>0.34749999999999998</v>
      </c>
      <c r="J179" s="1" t="str">
        <f>HYPERLINK(SetRGB(J179,G179*255,H179*255,I179*255),"HOVER!")</f>
        <v>HOVER!</v>
      </c>
      <c r="K179">
        <f>E179/F179</f>
        <v>0.5</v>
      </c>
    </row>
    <row r="180" spans="1:11" ht="15" x14ac:dyDescent="0.35">
      <c r="A180">
        <f t="shared" si="4"/>
        <v>10</v>
      </c>
      <c r="B180">
        <f t="shared" si="5"/>
        <v>7.5</v>
      </c>
      <c r="C180" s="199" t="str">
        <f>B180&amp;LOOKUP(A180, Sheet2!$A$2:$A$11, Sheet2!$B$2:$B$11)</f>
        <v>7.5RP</v>
      </c>
      <c r="D180">
        <v>7.5</v>
      </c>
      <c r="E180">
        <v>4</v>
      </c>
      <c r="F180">
        <v>4</v>
      </c>
      <c r="G180">
        <v>0.51729999999999998</v>
      </c>
      <c r="H180">
        <v>0.33400000000000002</v>
      </c>
      <c r="I180">
        <v>0.31190000000000001</v>
      </c>
      <c r="J180" s="1" t="str">
        <f>HYPERLINK(SetRGB(J180,G180*255,H180*255,I180*255),"HOVER!")</f>
        <v>HOVER!</v>
      </c>
      <c r="K180">
        <f>E180/F180</f>
        <v>1</v>
      </c>
    </row>
    <row r="181" spans="1:11" ht="15" x14ac:dyDescent="0.35">
      <c r="A181">
        <f t="shared" si="4"/>
        <v>10</v>
      </c>
      <c r="B181">
        <f t="shared" si="5"/>
        <v>7.5</v>
      </c>
      <c r="C181" s="199" t="str">
        <f>B181&amp;LOOKUP(A181, Sheet2!$A$2:$A$11, Sheet2!$B$2:$B$11)</f>
        <v>7.5RP</v>
      </c>
      <c r="D181">
        <v>7.5</v>
      </c>
      <c r="E181">
        <v>6</v>
      </c>
      <c r="F181">
        <v>4</v>
      </c>
      <c r="G181">
        <v>0.56869999999999998</v>
      </c>
      <c r="H181">
        <v>0.30780000000000002</v>
      </c>
      <c r="I181">
        <v>0.27760000000000001</v>
      </c>
      <c r="J181" s="1" t="str">
        <f>HYPERLINK(SetRGB(J181,G181*255,H181*255,I181*255),"HOVER!")</f>
        <v>HOVER!</v>
      </c>
      <c r="K181">
        <f>E181/F181</f>
        <v>1.5</v>
      </c>
    </row>
    <row r="182" spans="1:11" ht="15" x14ac:dyDescent="0.35">
      <c r="A182">
        <f t="shared" si="4"/>
        <v>10</v>
      </c>
      <c r="B182">
        <f t="shared" si="5"/>
        <v>7.5</v>
      </c>
      <c r="C182" s="199" t="str">
        <f>B182&amp;LOOKUP(A182, Sheet2!$A$2:$A$11, Sheet2!$B$2:$B$11)</f>
        <v>7.5RP</v>
      </c>
      <c r="D182">
        <v>7.5</v>
      </c>
      <c r="E182">
        <v>8</v>
      </c>
      <c r="F182">
        <v>4</v>
      </c>
      <c r="G182">
        <v>0.61719999999999997</v>
      </c>
      <c r="H182">
        <v>0.27629999999999999</v>
      </c>
      <c r="I182">
        <v>0.24060000000000001</v>
      </c>
      <c r="J182" s="176" t="str">
        <f>HYPERLINK(SetRGB(J182,G182*255,H182*255,I182*255),"HOVER!")</f>
        <v>HOVER!</v>
      </c>
      <c r="K182">
        <f>E182/F182</f>
        <v>2</v>
      </c>
    </row>
    <row r="183" spans="1:11" ht="15" x14ac:dyDescent="0.35">
      <c r="A183">
        <f t="shared" si="4"/>
        <v>10</v>
      </c>
      <c r="B183">
        <f t="shared" si="5"/>
        <v>7.5</v>
      </c>
      <c r="C183" s="199" t="str">
        <f>B183&amp;LOOKUP(A183, Sheet2!$A$2:$A$11, Sheet2!$B$2:$B$11)</f>
        <v>7.5RP</v>
      </c>
      <c r="D183">
        <v>7.5</v>
      </c>
      <c r="E183">
        <v>10</v>
      </c>
      <c r="F183">
        <v>4</v>
      </c>
      <c r="G183">
        <v>0.65900000000000003</v>
      </c>
      <c r="H183">
        <v>0.24149999999999999</v>
      </c>
      <c r="I183">
        <v>0.20599999999999999</v>
      </c>
      <c r="J183" s="1" t="str">
        <f>HYPERLINK(SetRGB(J183,G183*255,H183*255,I183*255),"HOVER!")</f>
        <v>HOVER!</v>
      </c>
      <c r="K183">
        <f>E183/F183</f>
        <v>2.5</v>
      </c>
    </row>
    <row r="184" spans="1:11" ht="15" x14ac:dyDescent="0.35">
      <c r="A184">
        <f t="shared" si="4"/>
        <v>10</v>
      </c>
      <c r="B184">
        <f t="shared" si="5"/>
        <v>7.5</v>
      </c>
      <c r="C184" s="199" t="str">
        <f>B184&amp;LOOKUP(A184, Sheet2!$A$2:$A$11, Sheet2!$B$2:$B$11)</f>
        <v>7.5RP</v>
      </c>
      <c r="D184">
        <v>7.5</v>
      </c>
      <c r="E184">
        <v>12</v>
      </c>
      <c r="F184">
        <v>4</v>
      </c>
      <c r="G184">
        <v>0.69879999999999998</v>
      </c>
      <c r="H184">
        <v>0.19739999999999999</v>
      </c>
      <c r="I184">
        <v>0.1696</v>
      </c>
      <c r="J184" s="1" t="str">
        <f>HYPERLINK(SetRGB(J184,G184*255,H184*255,I184*255),"HOVER!")</f>
        <v>HOVER!</v>
      </c>
      <c r="K184">
        <f>E184/F184</f>
        <v>3</v>
      </c>
    </row>
    <row r="185" spans="1:11" ht="15" x14ac:dyDescent="0.35">
      <c r="A185">
        <f t="shared" si="4"/>
        <v>10</v>
      </c>
      <c r="B185">
        <f t="shared" si="5"/>
        <v>7.5</v>
      </c>
      <c r="C185" s="199" t="str">
        <f>B185&amp;LOOKUP(A185, Sheet2!$A$2:$A$11, Sheet2!$B$2:$B$11)</f>
        <v>7.5RP</v>
      </c>
      <c r="D185">
        <v>7.5</v>
      </c>
      <c r="E185">
        <v>14</v>
      </c>
      <c r="F185">
        <v>4</v>
      </c>
      <c r="G185">
        <v>0.73819999999999997</v>
      </c>
      <c r="H185">
        <v>0.13239999999999999</v>
      </c>
      <c r="I185">
        <v>0.12870000000000001</v>
      </c>
      <c r="J185" s="165" t="str">
        <f>HYPERLINK(SetRGB(J185,G185*255,H185*255,I185*255),"HOVER!")</f>
        <v>HOVER!</v>
      </c>
      <c r="K185">
        <f>E185/F185</f>
        <v>3.5</v>
      </c>
    </row>
    <row r="186" spans="1:11" ht="15" x14ac:dyDescent="0.35">
      <c r="A186">
        <f t="shared" si="4"/>
        <v>10</v>
      </c>
      <c r="B186">
        <f t="shared" si="5"/>
        <v>7.5</v>
      </c>
      <c r="C186" s="199" t="str">
        <f>B186&amp;LOOKUP(A186, Sheet2!$A$2:$A$11, Sheet2!$B$2:$B$11)</f>
        <v>7.5RP</v>
      </c>
      <c r="D186">
        <v>7.5</v>
      </c>
      <c r="E186">
        <v>2</v>
      </c>
      <c r="F186">
        <v>5</v>
      </c>
      <c r="G186">
        <v>0.55010000000000003</v>
      </c>
      <c r="H186">
        <v>0.46250000000000002</v>
      </c>
      <c r="I186">
        <v>0.4496</v>
      </c>
      <c r="J186" s="1" t="str">
        <f>HYPERLINK(SetRGB(J186,G186*255,H186*255,I186*255),"HOVER!")</f>
        <v>HOVER!</v>
      </c>
      <c r="K186">
        <f>E186/F186</f>
        <v>0.4</v>
      </c>
    </row>
    <row r="187" spans="1:11" ht="15" x14ac:dyDescent="0.35">
      <c r="A187">
        <f t="shared" si="4"/>
        <v>10</v>
      </c>
      <c r="B187">
        <f t="shared" si="5"/>
        <v>7.5</v>
      </c>
      <c r="C187" s="199" t="str">
        <f>B187&amp;LOOKUP(A187, Sheet2!$A$2:$A$11, Sheet2!$B$2:$B$11)</f>
        <v>7.5RP</v>
      </c>
      <c r="D187">
        <v>7.5</v>
      </c>
      <c r="E187">
        <v>4</v>
      </c>
      <c r="F187">
        <v>5</v>
      </c>
      <c r="G187">
        <v>0.61750000000000005</v>
      </c>
      <c r="H187">
        <v>0.43819999999999998</v>
      </c>
      <c r="I187">
        <v>0.41189999999999999</v>
      </c>
      <c r="J187" s="1" t="str">
        <f>HYPERLINK(SetRGB(J187,G187*255,H187*255,I187*255),"HOVER!")</f>
        <v>HOVER!</v>
      </c>
      <c r="K187">
        <f>E187/F187</f>
        <v>0.8</v>
      </c>
    </row>
    <row r="188" spans="1:11" ht="15" x14ac:dyDescent="0.35">
      <c r="A188">
        <f t="shared" si="4"/>
        <v>10</v>
      </c>
      <c r="B188">
        <f t="shared" si="5"/>
        <v>7.5</v>
      </c>
      <c r="C188" s="199" t="str">
        <f>B188&amp;LOOKUP(A188, Sheet2!$A$2:$A$11, Sheet2!$B$2:$B$11)</f>
        <v>7.5RP</v>
      </c>
      <c r="D188">
        <v>7.5</v>
      </c>
      <c r="E188">
        <v>6</v>
      </c>
      <c r="F188">
        <v>5</v>
      </c>
      <c r="G188">
        <v>0.67490000000000006</v>
      </c>
      <c r="H188">
        <v>0.41270000000000001</v>
      </c>
      <c r="I188">
        <v>0.3735</v>
      </c>
      <c r="J188" s="1" t="str">
        <f>HYPERLINK(SetRGB(J188,G188*255,H188*255,I188*255),"HOVER!")</f>
        <v>HOVER!</v>
      </c>
      <c r="K188">
        <f>E188/F188</f>
        <v>1.2</v>
      </c>
    </row>
    <row r="189" spans="1:11" ht="15" x14ac:dyDescent="0.35">
      <c r="A189">
        <f t="shared" si="4"/>
        <v>10</v>
      </c>
      <c r="B189">
        <f t="shared" si="5"/>
        <v>7.5</v>
      </c>
      <c r="C189" s="199" t="str">
        <f>B189&amp;LOOKUP(A189, Sheet2!$A$2:$A$11, Sheet2!$B$2:$B$11)</f>
        <v>7.5RP</v>
      </c>
      <c r="D189">
        <v>7.5</v>
      </c>
      <c r="E189">
        <v>8</v>
      </c>
      <c r="F189">
        <v>5</v>
      </c>
      <c r="G189">
        <v>0.72829999999999995</v>
      </c>
      <c r="H189">
        <v>0.3836</v>
      </c>
      <c r="I189">
        <v>0.33279999999999998</v>
      </c>
      <c r="J189" s="1" t="str">
        <f>HYPERLINK(SetRGB(J189,G189*255,H189*255,I189*255),"HOVER!")</f>
        <v>HOVER!</v>
      </c>
      <c r="K189">
        <f>E189/F189</f>
        <v>1.6</v>
      </c>
    </row>
    <row r="190" spans="1:11" ht="15" x14ac:dyDescent="0.35">
      <c r="A190">
        <f t="shared" si="4"/>
        <v>10</v>
      </c>
      <c r="B190">
        <f t="shared" si="5"/>
        <v>7.5</v>
      </c>
      <c r="C190" s="199" t="str">
        <f>B190&amp;LOOKUP(A190, Sheet2!$A$2:$A$11, Sheet2!$B$2:$B$11)</f>
        <v>7.5RP</v>
      </c>
      <c r="D190">
        <v>7.5</v>
      </c>
      <c r="E190">
        <v>10</v>
      </c>
      <c r="F190">
        <v>5</v>
      </c>
      <c r="G190">
        <v>0.77739999999999998</v>
      </c>
      <c r="H190">
        <v>0.35060000000000002</v>
      </c>
      <c r="I190">
        <v>0.29339999999999999</v>
      </c>
      <c r="J190" s="1" t="str">
        <f>HYPERLINK(SetRGB(J190,G190*255,H190*255,I190*255),"HOVER!")</f>
        <v>HOVER!</v>
      </c>
      <c r="K190">
        <f>E190/F190</f>
        <v>2</v>
      </c>
    </row>
    <row r="191" spans="1:11" ht="15" x14ac:dyDescent="0.35">
      <c r="A191">
        <f t="shared" si="4"/>
        <v>10</v>
      </c>
      <c r="B191">
        <f t="shared" si="5"/>
        <v>7.5</v>
      </c>
      <c r="C191" s="199" t="str">
        <f>B191&amp;LOOKUP(A191, Sheet2!$A$2:$A$11, Sheet2!$B$2:$B$11)</f>
        <v>7.5RP</v>
      </c>
      <c r="D191">
        <v>7.5</v>
      </c>
      <c r="E191">
        <v>12</v>
      </c>
      <c r="F191">
        <v>5</v>
      </c>
      <c r="G191">
        <v>0.82410000000000005</v>
      </c>
      <c r="H191">
        <v>0.31119999999999998</v>
      </c>
      <c r="I191">
        <v>0.25280000000000002</v>
      </c>
      <c r="J191" s="1" t="str">
        <f>HYPERLINK(SetRGB(J191,G191*255,H191*255,I191*255),"HOVER!")</f>
        <v>HOVER!</v>
      </c>
      <c r="K191">
        <f>E191/F191</f>
        <v>2.4</v>
      </c>
    </row>
    <row r="192" spans="1:11" ht="15" x14ac:dyDescent="0.35">
      <c r="A192">
        <f t="shared" si="4"/>
        <v>10</v>
      </c>
      <c r="B192">
        <f t="shared" si="5"/>
        <v>7.5</v>
      </c>
      <c r="C192" s="199" t="str">
        <f>B192&amp;LOOKUP(A192, Sheet2!$A$2:$A$11, Sheet2!$B$2:$B$11)</f>
        <v>7.5RP</v>
      </c>
      <c r="D192">
        <v>7.5</v>
      </c>
      <c r="E192">
        <v>14</v>
      </c>
      <c r="F192">
        <v>5</v>
      </c>
      <c r="G192">
        <v>0.86419999999999997</v>
      </c>
      <c r="H192">
        <v>0.26850000000000002</v>
      </c>
      <c r="I192">
        <v>0.21190000000000001</v>
      </c>
      <c r="J192" s="1" t="str">
        <f>HYPERLINK(SetRGB(J192,G192*255,H192*255,I192*255),"HOVER!")</f>
        <v>HOVER!</v>
      </c>
      <c r="K192">
        <f>E192/F192</f>
        <v>2.8</v>
      </c>
    </row>
    <row r="193" spans="1:11" ht="15" x14ac:dyDescent="0.35">
      <c r="A193">
        <f t="shared" si="4"/>
        <v>10</v>
      </c>
      <c r="B193">
        <f t="shared" si="5"/>
        <v>7.5</v>
      </c>
      <c r="C193" s="199" t="str">
        <f>B193&amp;LOOKUP(A193, Sheet2!$A$2:$A$11, Sheet2!$B$2:$B$11)</f>
        <v>7.5RP</v>
      </c>
      <c r="D193">
        <v>7.5</v>
      </c>
      <c r="E193">
        <v>16</v>
      </c>
      <c r="F193">
        <v>5</v>
      </c>
      <c r="G193">
        <v>0.90559999999999996</v>
      </c>
      <c r="H193">
        <v>0.20910000000000001</v>
      </c>
      <c r="I193">
        <v>0.1648</v>
      </c>
      <c r="J193" s="1" t="str">
        <f>HYPERLINK(SetRGB(J193,G193*255,H193*255,I193*255),"HOVER!")</f>
        <v>HOVER!</v>
      </c>
      <c r="K193">
        <f>E193/F193</f>
        <v>3.2</v>
      </c>
    </row>
    <row r="194" spans="1:11" ht="15" x14ac:dyDescent="0.35">
      <c r="A194">
        <f t="shared" si="4"/>
        <v>10</v>
      </c>
      <c r="B194">
        <f t="shared" si="5"/>
        <v>7.5</v>
      </c>
      <c r="C194" s="199" t="str">
        <f>B194&amp;LOOKUP(A194, Sheet2!$A$2:$A$11, Sheet2!$B$2:$B$11)</f>
        <v>7.5RP</v>
      </c>
      <c r="D194">
        <v>7.5</v>
      </c>
      <c r="E194">
        <v>18</v>
      </c>
      <c r="F194">
        <v>5</v>
      </c>
      <c r="G194">
        <v>0.94240000000000002</v>
      </c>
      <c r="H194">
        <v>0.12520000000000001</v>
      </c>
      <c r="I194">
        <v>0.1179</v>
      </c>
      <c r="J194" s="1" t="str">
        <f>HYPERLINK(SetRGB(J194,G194*255,H194*255,I194*255),"HOVER!")</f>
        <v>HOVER!</v>
      </c>
      <c r="K194">
        <f>E194/F194</f>
        <v>3.6</v>
      </c>
    </row>
    <row r="195" spans="1:11" ht="15" x14ac:dyDescent="0.35">
      <c r="A195">
        <f t="shared" si="4"/>
        <v>10</v>
      </c>
      <c r="B195">
        <f t="shared" si="5"/>
        <v>7.5</v>
      </c>
      <c r="C195" s="199" t="str">
        <f>B195&amp;LOOKUP(A195, Sheet2!$A$2:$A$11, Sheet2!$B$2:$B$11)</f>
        <v>7.5RP</v>
      </c>
      <c r="D195">
        <v>7.5</v>
      </c>
      <c r="E195">
        <v>2</v>
      </c>
      <c r="F195">
        <v>6</v>
      </c>
      <c r="G195">
        <v>0.65390000000000004</v>
      </c>
      <c r="H195">
        <v>0.56489999999999996</v>
      </c>
      <c r="I195">
        <v>0.54959999999999998</v>
      </c>
      <c r="J195" s="2" t="str">
        <f>HYPERLINK(SetRGB(J195,G195*255,H195*255,I195*255),"HOVER!")</f>
        <v>HOVER!</v>
      </c>
      <c r="K195">
        <f>E195/F195</f>
        <v>0.33333333333333331</v>
      </c>
    </row>
    <row r="196" spans="1:11" ht="15" x14ac:dyDescent="0.35">
      <c r="A196">
        <f t="shared" si="4"/>
        <v>10</v>
      </c>
      <c r="B196">
        <f t="shared" si="5"/>
        <v>7.5</v>
      </c>
      <c r="C196" s="199" t="str">
        <f>B196&amp;LOOKUP(A196, Sheet2!$A$2:$A$11, Sheet2!$B$2:$B$11)</f>
        <v>7.5RP</v>
      </c>
      <c r="D196">
        <v>7.5</v>
      </c>
      <c r="E196">
        <v>4</v>
      </c>
      <c r="F196">
        <v>6</v>
      </c>
      <c r="G196">
        <v>0.72050000000000003</v>
      </c>
      <c r="H196">
        <v>0.54249999999999998</v>
      </c>
      <c r="I196">
        <v>0.51160000000000005</v>
      </c>
      <c r="J196" s="2" t="str">
        <f>HYPERLINK(SetRGB(J196,G196*255,H196*255,I196*255),"HOVER!")</f>
        <v>HOVER!</v>
      </c>
      <c r="K196">
        <f>E196/F196</f>
        <v>0.66666666666666663</v>
      </c>
    </row>
    <row r="197" spans="1:11" ht="15" x14ac:dyDescent="0.35">
      <c r="A197">
        <f t="shared" si="4"/>
        <v>10</v>
      </c>
      <c r="B197">
        <f t="shared" si="5"/>
        <v>7.5</v>
      </c>
      <c r="C197" s="199" t="str">
        <f>B197&amp;LOOKUP(A197, Sheet2!$A$2:$A$11, Sheet2!$B$2:$B$11)</f>
        <v>7.5RP</v>
      </c>
      <c r="D197">
        <v>7.5</v>
      </c>
      <c r="E197">
        <v>6</v>
      </c>
      <c r="F197">
        <v>6</v>
      </c>
      <c r="G197">
        <v>0.77939999999999998</v>
      </c>
      <c r="H197">
        <v>0.51849999999999996</v>
      </c>
      <c r="I197">
        <v>0.4743</v>
      </c>
      <c r="J197" s="2" t="str">
        <f>HYPERLINK(SetRGB(J197,G197*255,H197*255,I197*255),"HOVER!")</f>
        <v>HOVER!</v>
      </c>
      <c r="K197">
        <f>E197/F197</f>
        <v>1</v>
      </c>
    </row>
    <row r="198" spans="1:11" ht="15" x14ac:dyDescent="0.35">
      <c r="A198">
        <f t="shared" si="4"/>
        <v>10</v>
      </c>
      <c r="B198">
        <f t="shared" si="5"/>
        <v>7.5</v>
      </c>
      <c r="C198" s="199" t="str">
        <f>B198&amp;LOOKUP(A198, Sheet2!$A$2:$A$11, Sheet2!$B$2:$B$11)</f>
        <v>7.5RP</v>
      </c>
      <c r="D198">
        <v>7.5</v>
      </c>
      <c r="E198">
        <v>8</v>
      </c>
      <c r="F198">
        <v>6</v>
      </c>
      <c r="G198">
        <v>0.83440000000000003</v>
      </c>
      <c r="H198">
        <v>0.49209999999999998</v>
      </c>
      <c r="I198">
        <v>0.43430000000000002</v>
      </c>
      <c r="J198" s="2" t="str">
        <f>HYPERLINK(SetRGB(J198,G198*255,H198*255,I198*255),"HOVER!")</f>
        <v>HOVER!</v>
      </c>
      <c r="K198">
        <f>E198/F198</f>
        <v>1.3333333333333333</v>
      </c>
    </row>
    <row r="199" spans="1:11" ht="15" x14ac:dyDescent="0.35">
      <c r="A199">
        <f t="shared" si="4"/>
        <v>10</v>
      </c>
      <c r="B199">
        <f t="shared" si="5"/>
        <v>7.5</v>
      </c>
      <c r="C199" s="199" t="str">
        <f>B199&amp;LOOKUP(A199, Sheet2!$A$2:$A$11, Sheet2!$B$2:$B$11)</f>
        <v>7.5RP</v>
      </c>
      <c r="D199">
        <v>7.5</v>
      </c>
      <c r="E199">
        <v>10</v>
      </c>
      <c r="F199">
        <v>6</v>
      </c>
      <c r="G199">
        <v>0.88929999999999998</v>
      </c>
      <c r="H199">
        <v>0.46060000000000001</v>
      </c>
      <c r="I199">
        <v>0.39090000000000003</v>
      </c>
      <c r="J199" s="2" t="str">
        <f>HYPERLINK(SetRGB(J199,G199*255,H199*255,I199*255),"HOVER!")</f>
        <v>HOVER!</v>
      </c>
      <c r="K199">
        <f>E199/F199</f>
        <v>1.6666666666666667</v>
      </c>
    </row>
    <row r="200" spans="1:11" ht="15" x14ac:dyDescent="0.35">
      <c r="A200">
        <f t="shared" si="4"/>
        <v>10</v>
      </c>
      <c r="B200">
        <f t="shared" si="5"/>
        <v>7.5</v>
      </c>
      <c r="C200" s="199" t="str">
        <f>B200&amp;LOOKUP(A200, Sheet2!$A$2:$A$11, Sheet2!$B$2:$B$11)</f>
        <v>7.5RP</v>
      </c>
      <c r="D200">
        <v>7.5</v>
      </c>
      <c r="E200">
        <v>12</v>
      </c>
      <c r="F200">
        <v>6</v>
      </c>
      <c r="G200">
        <v>0.9365</v>
      </c>
      <c r="H200">
        <v>0.4284</v>
      </c>
      <c r="I200">
        <v>0.3488</v>
      </c>
      <c r="J200" s="2" t="str">
        <f>HYPERLINK(SetRGB(J200,G200*255,H200*255,I200*255),"HOVER!")</f>
        <v>HOVER!</v>
      </c>
      <c r="K200">
        <f>E200/F200</f>
        <v>2</v>
      </c>
    </row>
    <row r="201" spans="1:11" ht="15" x14ac:dyDescent="0.35">
      <c r="A201">
        <f t="shared" si="4"/>
        <v>10</v>
      </c>
      <c r="B201">
        <f t="shared" si="5"/>
        <v>7.5</v>
      </c>
      <c r="C201" s="199" t="str">
        <f>B201&amp;LOOKUP(A201, Sheet2!$A$2:$A$11, Sheet2!$B$2:$B$11)</f>
        <v>7.5RP</v>
      </c>
      <c r="D201">
        <v>7.5</v>
      </c>
      <c r="E201">
        <v>14</v>
      </c>
      <c r="F201">
        <v>6</v>
      </c>
      <c r="G201">
        <v>0.98229999999999995</v>
      </c>
      <c r="H201">
        <v>0.3911</v>
      </c>
      <c r="I201">
        <v>0.3034</v>
      </c>
      <c r="J201" s="2" t="str">
        <f>HYPERLINK(SetRGB(J201,G201*255,H201*255,I201*255),"HOVER!")</f>
        <v>HOVER!</v>
      </c>
      <c r="K201">
        <f>E201/F201</f>
        <v>2.3333333333333335</v>
      </c>
    </row>
    <row r="202" spans="1:11" ht="15" x14ac:dyDescent="0.35">
      <c r="A202">
        <f t="shared" si="4"/>
        <v>10</v>
      </c>
      <c r="B202">
        <f t="shared" si="5"/>
        <v>7.5</v>
      </c>
      <c r="C202" s="199" t="str">
        <f>B202&amp;LOOKUP(A202, Sheet2!$A$2:$A$11, Sheet2!$B$2:$B$11)</f>
        <v>7.5RP</v>
      </c>
      <c r="D202">
        <v>7.5</v>
      </c>
      <c r="E202">
        <v>16</v>
      </c>
      <c r="F202">
        <v>6</v>
      </c>
      <c r="G202">
        <v>1</v>
      </c>
      <c r="H202">
        <v>0.34699999999999998</v>
      </c>
      <c r="I202">
        <v>0.25409999999999999</v>
      </c>
      <c r="J202" s="2" t="str">
        <f>HYPERLINK(SetRGB(J202,G202*255,H202*255,I202*255),"HOVER!")</f>
        <v>HOVER!</v>
      </c>
      <c r="K202">
        <f>E202/F202</f>
        <v>2.6666666666666665</v>
      </c>
    </row>
    <row r="203" spans="1:11" ht="15" x14ac:dyDescent="0.35">
      <c r="A203">
        <f t="shared" si="4"/>
        <v>10</v>
      </c>
      <c r="B203">
        <f t="shared" si="5"/>
        <v>7.5</v>
      </c>
      <c r="C203" s="199" t="str">
        <f>B203&amp;LOOKUP(A203, Sheet2!$A$2:$A$11, Sheet2!$B$2:$B$11)</f>
        <v>7.5RP</v>
      </c>
      <c r="D203">
        <v>7.5</v>
      </c>
      <c r="E203">
        <v>18</v>
      </c>
      <c r="F203">
        <v>6</v>
      </c>
      <c r="G203">
        <v>1</v>
      </c>
      <c r="H203">
        <v>0.2954</v>
      </c>
      <c r="I203">
        <v>0.20150000000000001</v>
      </c>
      <c r="J203" s="164" t="str">
        <f>HYPERLINK(SetRGB(J203,G203*255,H203*255,I203*255),"HOVER!")</f>
        <v>HOVER!</v>
      </c>
      <c r="K203">
        <f>E203/F203</f>
        <v>3</v>
      </c>
    </row>
    <row r="204" spans="1:11" ht="15" x14ac:dyDescent="0.35">
      <c r="A204">
        <f t="shared" si="4"/>
        <v>10</v>
      </c>
      <c r="B204">
        <f t="shared" si="5"/>
        <v>7.5</v>
      </c>
      <c r="C204" s="199" t="str">
        <f>B204&amp;LOOKUP(A204, Sheet2!$A$2:$A$11, Sheet2!$B$2:$B$11)</f>
        <v>7.5RP</v>
      </c>
      <c r="D204">
        <v>7.5</v>
      </c>
      <c r="E204">
        <v>2</v>
      </c>
      <c r="F204">
        <v>7</v>
      </c>
      <c r="G204">
        <v>0.75570000000000004</v>
      </c>
      <c r="H204">
        <v>0.66910000000000003</v>
      </c>
      <c r="I204">
        <v>0.65339999999999998</v>
      </c>
      <c r="J204" s="2" t="str">
        <f>HYPERLINK(SetRGB(J204,G204*255,H204*255,I204*255),"HOVER!")</f>
        <v>HOVER!</v>
      </c>
      <c r="K204">
        <f>E204/F204</f>
        <v>0.2857142857142857</v>
      </c>
    </row>
    <row r="205" spans="1:11" ht="15" x14ac:dyDescent="0.35">
      <c r="A205">
        <f t="shared" si="4"/>
        <v>10</v>
      </c>
      <c r="B205">
        <f t="shared" si="5"/>
        <v>7.5</v>
      </c>
      <c r="C205" s="199" t="str">
        <f>B205&amp;LOOKUP(A205, Sheet2!$A$2:$A$11, Sheet2!$B$2:$B$11)</f>
        <v>7.5RP</v>
      </c>
      <c r="D205">
        <v>7.5</v>
      </c>
      <c r="E205">
        <v>4</v>
      </c>
      <c r="F205">
        <v>7</v>
      </c>
      <c r="G205">
        <v>0.82550000000000001</v>
      </c>
      <c r="H205">
        <v>0.64670000000000005</v>
      </c>
      <c r="I205">
        <v>0.61339999999999995</v>
      </c>
      <c r="J205" s="2" t="str">
        <f>HYPERLINK(SetRGB(J205,G205*255,H205*255,I205*255),"HOVER!")</f>
        <v>HOVER!</v>
      </c>
      <c r="K205">
        <f>E205/F205</f>
        <v>0.5714285714285714</v>
      </c>
    </row>
    <row r="206" spans="1:11" ht="15" x14ac:dyDescent="0.35">
      <c r="A206">
        <f t="shared" ref="A206:A269" si="6">IF(FLOOR(D206/10,1)=0,10,FLOOR(D206/10,1))</f>
        <v>10</v>
      </c>
      <c r="B206">
        <f t="shared" ref="B206:B269" si="7">IF(MOD(D206,10)=0,10,MOD(D206,10))</f>
        <v>7.5</v>
      </c>
      <c r="C206" s="199" t="str">
        <f>B206&amp;LOOKUP(A206, Sheet2!$A$2:$A$11, Sheet2!$B$2:$B$11)</f>
        <v>7.5RP</v>
      </c>
      <c r="D206">
        <v>7.5</v>
      </c>
      <c r="E206">
        <v>6</v>
      </c>
      <c r="F206">
        <v>7</v>
      </c>
      <c r="G206">
        <v>0.88780000000000003</v>
      </c>
      <c r="H206">
        <v>0.623</v>
      </c>
      <c r="I206">
        <v>0.57299999999999995</v>
      </c>
      <c r="J206" s="163" t="str">
        <f>HYPERLINK(SetRGB(J206,G206*255,H206*255,I206*255),"HOVER!")</f>
        <v>HOVER!</v>
      </c>
      <c r="K206">
        <f>E206/F206</f>
        <v>0.8571428571428571</v>
      </c>
    </row>
    <row r="207" spans="1:11" ht="15" x14ac:dyDescent="0.35">
      <c r="A207">
        <f t="shared" si="6"/>
        <v>10</v>
      </c>
      <c r="B207">
        <f t="shared" si="7"/>
        <v>7.5</v>
      </c>
      <c r="C207" s="199" t="str">
        <f>B207&amp;LOOKUP(A207, Sheet2!$A$2:$A$11, Sheet2!$B$2:$B$11)</f>
        <v>7.5RP</v>
      </c>
      <c r="D207">
        <v>7.5</v>
      </c>
      <c r="E207">
        <v>8</v>
      </c>
      <c r="F207">
        <v>7</v>
      </c>
      <c r="G207">
        <v>0.9516</v>
      </c>
      <c r="H207">
        <v>0.59440000000000004</v>
      </c>
      <c r="I207">
        <v>0.52829999999999999</v>
      </c>
      <c r="J207" s="2" t="str">
        <f>HYPERLINK(SetRGB(J207,G207*255,H207*255,I207*255),"HOVER!")</f>
        <v>HOVER!</v>
      </c>
      <c r="K207">
        <f>E207/F207</f>
        <v>1.1428571428571428</v>
      </c>
    </row>
    <row r="208" spans="1:11" ht="15" x14ac:dyDescent="0.35">
      <c r="A208">
        <f t="shared" si="6"/>
        <v>10</v>
      </c>
      <c r="B208">
        <f t="shared" si="7"/>
        <v>7.5</v>
      </c>
      <c r="C208" s="199" t="str">
        <f>B208&amp;LOOKUP(A208, Sheet2!$A$2:$A$11, Sheet2!$B$2:$B$11)</f>
        <v>7.5RP</v>
      </c>
      <c r="D208">
        <v>7.5</v>
      </c>
      <c r="E208">
        <v>10</v>
      </c>
      <c r="F208">
        <v>7</v>
      </c>
      <c r="G208">
        <v>1</v>
      </c>
      <c r="H208">
        <v>0.56679999999999997</v>
      </c>
      <c r="I208">
        <v>0.4874</v>
      </c>
      <c r="J208" s="2" t="str">
        <f>HYPERLINK(SetRGB(J208,G208*255,H208*255,I208*255),"HOVER!")</f>
        <v>HOVER!</v>
      </c>
      <c r="K208">
        <f>E208/F208</f>
        <v>1.4285714285714286</v>
      </c>
    </row>
    <row r="209" spans="1:11" ht="15" x14ac:dyDescent="0.35">
      <c r="A209">
        <f t="shared" si="6"/>
        <v>10</v>
      </c>
      <c r="B209">
        <f t="shared" si="7"/>
        <v>7.5</v>
      </c>
      <c r="C209" s="199" t="str">
        <f>B209&amp;LOOKUP(A209, Sheet2!$A$2:$A$11, Sheet2!$B$2:$B$11)</f>
        <v>7.5RP</v>
      </c>
      <c r="D209">
        <v>7.5</v>
      </c>
      <c r="E209">
        <v>12</v>
      </c>
      <c r="F209">
        <v>7</v>
      </c>
      <c r="G209">
        <v>1</v>
      </c>
      <c r="H209">
        <v>0.53220000000000001</v>
      </c>
      <c r="I209">
        <v>0.44009999999999999</v>
      </c>
      <c r="J209" s="177" t="str">
        <f>HYPERLINK(SetRGB(J209,G209*255,H209*255,I209*255),"HOVER!")</f>
        <v>HOVER!</v>
      </c>
      <c r="K209">
        <f>E209/F209</f>
        <v>1.7142857142857142</v>
      </c>
    </row>
    <row r="210" spans="1:11" ht="15" x14ac:dyDescent="0.35">
      <c r="A210">
        <f t="shared" si="6"/>
        <v>10</v>
      </c>
      <c r="B210">
        <f t="shared" si="7"/>
        <v>7.5</v>
      </c>
      <c r="C210" s="199" t="str">
        <f>B210&amp;LOOKUP(A210, Sheet2!$A$2:$A$11, Sheet2!$B$2:$B$11)</f>
        <v>7.5RP</v>
      </c>
      <c r="D210">
        <v>7.5</v>
      </c>
      <c r="E210">
        <v>14</v>
      </c>
      <c r="F210">
        <v>7</v>
      </c>
      <c r="G210">
        <v>1</v>
      </c>
      <c r="H210">
        <v>0.49709999999999999</v>
      </c>
      <c r="I210">
        <v>0.39229999999999998</v>
      </c>
      <c r="J210" s="2" t="str">
        <f>HYPERLINK(SetRGB(J210,G210*255,H210*255,I210*255),"HOVER!")</f>
        <v>HOVER!</v>
      </c>
      <c r="K210">
        <f>E210/F210</f>
        <v>2</v>
      </c>
    </row>
    <row r="211" spans="1:11" ht="15" x14ac:dyDescent="0.35">
      <c r="A211">
        <f t="shared" si="6"/>
        <v>10</v>
      </c>
      <c r="B211">
        <f t="shared" si="7"/>
        <v>7.5</v>
      </c>
      <c r="C211" s="199" t="str">
        <f>B211&amp;LOOKUP(A211, Sheet2!$A$2:$A$11, Sheet2!$B$2:$B$11)</f>
        <v>7.5RP</v>
      </c>
      <c r="D211">
        <v>7.5</v>
      </c>
      <c r="E211">
        <v>16</v>
      </c>
      <c r="F211">
        <v>7</v>
      </c>
      <c r="G211">
        <v>1</v>
      </c>
      <c r="H211">
        <v>0.45610000000000001</v>
      </c>
      <c r="I211">
        <v>0.34050000000000002</v>
      </c>
      <c r="J211" s="2" t="str">
        <f>HYPERLINK(SetRGB(J211,G211*255,H211*255,I211*255),"HOVER!")</f>
        <v>HOVER!</v>
      </c>
      <c r="K211">
        <f>E211/F211</f>
        <v>2.2857142857142856</v>
      </c>
    </row>
    <row r="212" spans="1:11" ht="15" x14ac:dyDescent="0.35">
      <c r="A212">
        <f t="shared" si="6"/>
        <v>10</v>
      </c>
      <c r="B212">
        <f t="shared" si="7"/>
        <v>7.5</v>
      </c>
      <c r="C212" s="199" t="str">
        <f>B212&amp;LOOKUP(A212, Sheet2!$A$2:$A$11, Sheet2!$B$2:$B$11)</f>
        <v>7.5RP</v>
      </c>
      <c r="D212">
        <v>7.5</v>
      </c>
      <c r="E212">
        <v>2</v>
      </c>
      <c r="F212">
        <v>8</v>
      </c>
      <c r="G212">
        <v>0.85070000000000001</v>
      </c>
      <c r="H212">
        <v>0.77710000000000001</v>
      </c>
      <c r="I212">
        <v>0.76170000000000004</v>
      </c>
      <c r="J212" s="2" t="str">
        <f>HYPERLINK(SetRGB(J212,G212*255,H212*255,I212*255),"HOVER!")</f>
        <v>HOVER!</v>
      </c>
      <c r="K212">
        <f>E212/F212</f>
        <v>0.25</v>
      </c>
    </row>
    <row r="213" spans="1:11" ht="15" x14ac:dyDescent="0.35">
      <c r="A213">
        <f t="shared" si="6"/>
        <v>10</v>
      </c>
      <c r="B213">
        <f t="shared" si="7"/>
        <v>7.5</v>
      </c>
      <c r="C213" s="199" t="str">
        <f>B213&amp;LOOKUP(A213, Sheet2!$A$2:$A$11, Sheet2!$B$2:$B$11)</f>
        <v>7.5RP</v>
      </c>
      <c r="D213">
        <v>7.5</v>
      </c>
      <c r="E213">
        <v>4</v>
      </c>
      <c r="F213">
        <v>8</v>
      </c>
      <c r="G213">
        <v>0.93530000000000002</v>
      </c>
      <c r="H213">
        <v>0.75090000000000001</v>
      </c>
      <c r="I213">
        <v>0.7137</v>
      </c>
      <c r="J213" s="2" t="str">
        <f>HYPERLINK(SetRGB(J213,G213*255,H213*255,I213*255),"HOVER!")</f>
        <v>HOVER!</v>
      </c>
      <c r="K213">
        <f>E213/F213</f>
        <v>0.5</v>
      </c>
    </row>
    <row r="214" spans="1:11" ht="15" x14ac:dyDescent="0.35">
      <c r="A214">
        <f t="shared" si="6"/>
        <v>10</v>
      </c>
      <c r="B214">
        <f t="shared" si="7"/>
        <v>7.5</v>
      </c>
      <c r="C214" s="199" t="str">
        <f>B214&amp;LOOKUP(A214, Sheet2!$A$2:$A$11, Sheet2!$B$2:$B$11)</f>
        <v>7.5RP</v>
      </c>
      <c r="D214">
        <v>7.5</v>
      </c>
      <c r="E214">
        <v>6</v>
      </c>
      <c r="F214">
        <v>8</v>
      </c>
      <c r="G214">
        <v>1</v>
      </c>
      <c r="H214">
        <v>0.72560000000000002</v>
      </c>
      <c r="I214">
        <v>0.66890000000000005</v>
      </c>
      <c r="J214" s="2" t="str">
        <f>HYPERLINK(SetRGB(J214,G214*255,H214*255,I214*255),"HOVER!")</f>
        <v>HOVER!</v>
      </c>
      <c r="K214">
        <f>E214/F214</f>
        <v>0.75</v>
      </c>
    </row>
    <row r="215" spans="1:11" ht="15" x14ac:dyDescent="0.35">
      <c r="A215">
        <f t="shared" si="6"/>
        <v>10</v>
      </c>
      <c r="B215">
        <f t="shared" si="7"/>
        <v>7.5</v>
      </c>
      <c r="C215" s="199" t="str">
        <f>B215&amp;LOOKUP(A215, Sheet2!$A$2:$A$11, Sheet2!$B$2:$B$11)</f>
        <v>7.5RP</v>
      </c>
      <c r="D215">
        <v>7.5</v>
      </c>
      <c r="E215">
        <v>8</v>
      </c>
      <c r="F215">
        <v>8</v>
      </c>
      <c r="G215">
        <v>1</v>
      </c>
      <c r="H215">
        <v>0.69640000000000002</v>
      </c>
      <c r="I215">
        <v>0.62009999999999998</v>
      </c>
      <c r="J215" s="2" t="str">
        <f>HYPERLINK(SetRGB(J215,G215*255,H215*255,I215*255),"HOVER!")</f>
        <v>HOVER!</v>
      </c>
      <c r="K215">
        <f>E215/F215</f>
        <v>1</v>
      </c>
    </row>
    <row r="216" spans="1:11" ht="15" x14ac:dyDescent="0.35">
      <c r="A216">
        <f t="shared" si="6"/>
        <v>10</v>
      </c>
      <c r="B216">
        <f t="shared" si="7"/>
        <v>7.5</v>
      </c>
      <c r="C216" s="199" t="str">
        <f>B216&amp;LOOKUP(A216, Sheet2!$A$2:$A$11, Sheet2!$B$2:$B$11)</f>
        <v>7.5RP</v>
      </c>
      <c r="D216">
        <v>7.5</v>
      </c>
      <c r="E216">
        <v>10</v>
      </c>
      <c r="F216">
        <v>8</v>
      </c>
      <c r="G216">
        <v>1</v>
      </c>
      <c r="H216">
        <v>0.66639999999999999</v>
      </c>
      <c r="I216">
        <v>0.57430000000000003</v>
      </c>
      <c r="J216" s="2" t="str">
        <f>HYPERLINK(SetRGB(J216,G216*255,H216*255,I216*255),"HOVER!")</f>
        <v>HOVER!</v>
      </c>
      <c r="K216">
        <f>E216/F216</f>
        <v>1.25</v>
      </c>
    </row>
    <row r="217" spans="1:11" ht="15" x14ac:dyDescent="0.35">
      <c r="A217">
        <f t="shared" si="6"/>
        <v>10</v>
      </c>
      <c r="B217">
        <f t="shared" si="7"/>
        <v>7.5</v>
      </c>
      <c r="C217" s="199" t="str">
        <f>B217&amp;LOOKUP(A217, Sheet2!$A$2:$A$11, Sheet2!$B$2:$B$11)</f>
        <v>7.5RP</v>
      </c>
      <c r="D217">
        <v>7.5</v>
      </c>
      <c r="E217">
        <v>2</v>
      </c>
      <c r="F217">
        <v>9</v>
      </c>
      <c r="G217">
        <v>0.95960000000000001</v>
      </c>
      <c r="H217">
        <v>0.88400000000000001</v>
      </c>
      <c r="I217">
        <v>0.86699999999999999</v>
      </c>
      <c r="J217" s="2" t="str">
        <f>HYPERLINK(SetRGB(J217,G217*255,H217*255,I217*255),"HOVER!")</f>
        <v>HOVER!</v>
      </c>
      <c r="K217">
        <f>E217/F217</f>
        <v>0.22222222222222221</v>
      </c>
    </row>
    <row r="218" spans="1:11" ht="15" x14ac:dyDescent="0.35">
      <c r="A218">
        <f t="shared" si="6"/>
        <v>10</v>
      </c>
      <c r="B218">
        <f t="shared" si="7"/>
        <v>7.5</v>
      </c>
      <c r="C218" s="199" t="str">
        <f>B218&amp;LOOKUP(A218, Sheet2!$A$2:$A$11, Sheet2!$B$2:$B$11)</f>
        <v>7.5RP</v>
      </c>
      <c r="D218">
        <v>7.5</v>
      </c>
      <c r="E218">
        <v>4</v>
      </c>
      <c r="F218">
        <v>9</v>
      </c>
      <c r="G218">
        <v>1</v>
      </c>
      <c r="H218">
        <v>0.85509999999999997</v>
      </c>
      <c r="I218">
        <v>0.81159999999999999</v>
      </c>
      <c r="J218" s="2" t="str">
        <f>HYPERLINK(SetRGB(J218,G218*255,H218*255,I218*255),"HOVER!")</f>
        <v>HOVER!</v>
      </c>
      <c r="K218">
        <f>E218/F218</f>
        <v>0.44444444444444442</v>
      </c>
    </row>
    <row r="219" spans="1:11" ht="15" x14ac:dyDescent="0.35">
      <c r="A219">
        <f t="shared" si="6"/>
        <v>10</v>
      </c>
      <c r="B219">
        <f t="shared" si="7"/>
        <v>7.5</v>
      </c>
      <c r="C219" s="199" t="str">
        <f>B219&amp;LOOKUP(A219, Sheet2!$A$2:$A$11, Sheet2!$B$2:$B$11)</f>
        <v>7.5RP</v>
      </c>
      <c r="D219">
        <v>7.5</v>
      </c>
      <c r="E219">
        <v>6</v>
      </c>
      <c r="F219">
        <v>9</v>
      </c>
      <c r="G219">
        <v>1</v>
      </c>
      <c r="H219">
        <v>0.8286</v>
      </c>
      <c r="I219">
        <v>0.75929999999999997</v>
      </c>
      <c r="J219" s="2" t="str">
        <f>HYPERLINK(SetRGB(J219,G219*255,H219*255,I219*255),"HOVER!")</f>
        <v>HOVER!</v>
      </c>
      <c r="K219">
        <f>E219/F219</f>
        <v>0.66666666666666663</v>
      </c>
    </row>
    <row r="220" spans="1:11" ht="15" x14ac:dyDescent="0.35">
      <c r="A220">
        <f t="shared" si="6"/>
        <v>1</v>
      </c>
      <c r="B220">
        <f t="shared" si="7"/>
        <v>10</v>
      </c>
      <c r="C220" s="199" t="str">
        <f>B220&amp;LOOKUP(A220, Sheet2!$A$2:$A$11, Sheet2!$B$2:$B$11)</f>
        <v>10YR</v>
      </c>
      <c r="D220">
        <v>10</v>
      </c>
      <c r="E220">
        <v>2</v>
      </c>
      <c r="F220">
        <v>1</v>
      </c>
      <c r="G220">
        <v>0.1789</v>
      </c>
      <c r="H220">
        <v>8.6300000000000002E-2</v>
      </c>
      <c r="I220">
        <v>0.09</v>
      </c>
      <c r="J220" s="32" t="str">
        <f>HYPERLINK(SetRGB(J220,G220*255,H220*255,I220*255),"HOVER!")</f>
        <v>HOVER!</v>
      </c>
      <c r="K220">
        <f>E220/F220</f>
        <v>2</v>
      </c>
    </row>
    <row r="221" spans="1:11" ht="15" x14ac:dyDescent="0.35">
      <c r="A221">
        <f t="shared" si="6"/>
        <v>1</v>
      </c>
      <c r="B221">
        <f t="shared" si="7"/>
        <v>10</v>
      </c>
      <c r="C221" s="199" t="str">
        <f>B221&amp;LOOKUP(A221, Sheet2!$A$2:$A$11, Sheet2!$B$2:$B$11)</f>
        <v>10YR</v>
      </c>
      <c r="D221">
        <v>10</v>
      </c>
      <c r="E221">
        <v>4</v>
      </c>
      <c r="F221">
        <v>1</v>
      </c>
      <c r="G221">
        <v>0.22070000000000001</v>
      </c>
      <c r="H221">
        <v>5.4600000000000003E-2</v>
      </c>
      <c r="I221">
        <v>7.2499999999999995E-2</v>
      </c>
      <c r="J221" s="33" t="str">
        <f>HYPERLINK(SetRGB(J221,G221*255,H221*255,I221*255),"HOVER!")</f>
        <v>HOVER!</v>
      </c>
      <c r="K221">
        <f>E221/F221</f>
        <v>4</v>
      </c>
    </row>
    <row r="222" spans="1:11" ht="15" x14ac:dyDescent="0.35">
      <c r="A222">
        <f t="shared" si="6"/>
        <v>1</v>
      </c>
      <c r="B222">
        <f t="shared" si="7"/>
        <v>10</v>
      </c>
      <c r="C222" s="199" t="str">
        <f>B222&amp;LOOKUP(A222, Sheet2!$A$2:$A$11, Sheet2!$B$2:$B$11)</f>
        <v>10YR</v>
      </c>
      <c r="D222">
        <v>10</v>
      </c>
      <c r="E222">
        <v>2</v>
      </c>
      <c r="F222">
        <v>2</v>
      </c>
      <c r="G222">
        <v>0.2586</v>
      </c>
      <c r="H222">
        <v>0.17280000000000001</v>
      </c>
      <c r="I222">
        <v>0.1628</v>
      </c>
      <c r="J222" s="1" t="str">
        <f>HYPERLINK(SetRGB(J222,G222*255,H222*255,I222*255),"HOVER!")</f>
        <v>HOVER!</v>
      </c>
      <c r="K222">
        <f>E222/F222</f>
        <v>1</v>
      </c>
    </row>
    <row r="223" spans="1:11" ht="15" x14ac:dyDescent="0.35">
      <c r="A223">
        <f t="shared" si="6"/>
        <v>1</v>
      </c>
      <c r="B223">
        <f t="shared" si="7"/>
        <v>10</v>
      </c>
      <c r="C223" s="199" t="str">
        <f>B223&amp;LOOKUP(A223, Sheet2!$A$2:$A$11, Sheet2!$B$2:$B$11)</f>
        <v>10YR</v>
      </c>
      <c r="D223">
        <v>10</v>
      </c>
      <c r="E223">
        <v>4</v>
      </c>
      <c r="F223">
        <v>2</v>
      </c>
      <c r="G223">
        <v>0.30640000000000001</v>
      </c>
      <c r="H223">
        <v>0.1489</v>
      </c>
      <c r="I223">
        <v>0.13289999999999999</v>
      </c>
      <c r="J223" s="1" t="str">
        <f>HYPERLINK(SetRGB(J223,G223*255,H223*255,I223*255),"HOVER!")</f>
        <v>HOVER!</v>
      </c>
      <c r="K223">
        <f>E223/F223</f>
        <v>2</v>
      </c>
    </row>
    <row r="224" spans="1:11" ht="15" x14ac:dyDescent="0.35">
      <c r="A224">
        <f t="shared" si="6"/>
        <v>1</v>
      </c>
      <c r="B224">
        <f t="shared" si="7"/>
        <v>10</v>
      </c>
      <c r="C224" s="199" t="str">
        <f>B224&amp;LOOKUP(A224, Sheet2!$A$2:$A$11, Sheet2!$B$2:$B$11)</f>
        <v>10YR</v>
      </c>
      <c r="D224">
        <v>10</v>
      </c>
      <c r="E224">
        <v>6</v>
      </c>
      <c r="F224">
        <v>2</v>
      </c>
      <c r="G224">
        <v>0.34570000000000001</v>
      </c>
      <c r="H224">
        <v>0.1202</v>
      </c>
      <c r="I224">
        <v>0.1037</v>
      </c>
      <c r="J224" s="1" t="str">
        <f>HYPERLINK(SetRGB(J224,G224*255,H224*255,I224*255),"HOVER!")</f>
        <v>HOVER!</v>
      </c>
      <c r="K224">
        <f>E224/F224</f>
        <v>3</v>
      </c>
    </row>
    <row r="225" spans="1:11" ht="15" x14ac:dyDescent="0.35">
      <c r="A225">
        <f t="shared" si="6"/>
        <v>1</v>
      </c>
      <c r="B225">
        <f t="shared" si="7"/>
        <v>10</v>
      </c>
      <c r="C225" s="199" t="str">
        <f>B225&amp;LOOKUP(A225, Sheet2!$A$2:$A$11, Sheet2!$B$2:$B$11)</f>
        <v>10YR</v>
      </c>
      <c r="D225">
        <v>10</v>
      </c>
      <c r="E225">
        <v>8</v>
      </c>
      <c r="F225">
        <v>2</v>
      </c>
      <c r="G225">
        <v>0.38569999999999999</v>
      </c>
      <c r="H225">
        <v>7.3400000000000007E-2</v>
      </c>
      <c r="I225">
        <v>7.1999999999999995E-2</v>
      </c>
      <c r="J225" s="1" t="str">
        <f>HYPERLINK(SetRGB(J225,G225*255,H225*255,I225*255),"HOVER!")</f>
        <v>HOVER!</v>
      </c>
      <c r="K225">
        <f>E225/F225</f>
        <v>4</v>
      </c>
    </row>
    <row r="226" spans="1:11" ht="15" x14ac:dyDescent="0.35">
      <c r="A226">
        <f t="shared" si="6"/>
        <v>1</v>
      </c>
      <c r="B226">
        <f t="shared" si="7"/>
        <v>10</v>
      </c>
      <c r="C226" s="199" t="str">
        <f>B226&amp;LOOKUP(A226, Sheet2!$A$2:$A$11, Sheet2!$B$2:$B$11)</f>
        <v>10YR</v>
      </c>
      <c r="D226">
        <v>10</v>
      </c>
      <c r="E226">
        <v>2</v>
      </c>
      <c r="F226">
        <v>3</v>
      </c>
      <c r="G226">
        <v>0.35849999999999999</v>
      </c>
      <c r="H226">
        <v>0.26119999999999999</v>
      </c>
      <c r="I226">
        <v>0.24149999999999999</v>
      </c>
      <c r="J226" s="1" t="str">
        <f>HYPERLINK(SetRGB(J226,G226*255,H226*255,I226*255),"HOVER!")</f>
        <v>HOVER!</v>
      </c>
      <c r="K226">
        <f>E226/F226</f>
        <v>0.66666666666666663</v>
      </c>
    </row>
    <row r="227" spans="1:11" ht="15" x14ac:dyDescent="0.35">
      <c r="A227">
        <f t="shared" si="6"/>
        <v>1</v>
      </c>
      <c r="B227">
        <f t="shared" si="7"/>
        <v>10</v>
      </c>
      <c r="C227" s="199" t="str">
        <f>B227&amp;LOOKUP(A227, Sheet2!$A$2:$A$11, Sheet2!$B$2:$B$11)</f>
        <v>10YR</v>
      </c>
      <c r="D227">
        <v>10</v>
      </c>
      <c r="E227">
        <v>4</v>
      </c>
      <c r="F227">
        <v>3</v>
      </c>
      <c r="G227">
        <v>0.41310000000000002</v>
      </c>
      <c r="H227">
        <v>0.2374</v>
      </c>
      <c r="I227">
        <v>0.20200000000000001</v>
      </c>
      <c r="J227" s="162" t="str">
        <f>HYPERLINK(SetRGB(J227,G227*255,H227*255,I227*255),"HOVER!")</f>
        <v>HOVER!</v>
      </c>
      <c r="K227">
        <f>E227/F227</f>
        <v>1.3333333333333333</v>
      </c>
    </row>
    <row r="228" spans="1:11" ht="15" x14ac:dyDescent="0.35">
      <c r="A228">
        <f t="shared" si="6"/>
        <v>1</v>
      </c>
      <c r="B228">
        <f t="shared" si="7"/>
        <v>10</v>
      </c>
      <c r="C228" s="199" t="str">
        <f>B228&amp;LOOKUP(A228, Sheet2!$A$2:$A$11, Sheet2!$B$2:$B$11)</f>
        <v>10YR</v>
      </c>
      <c r="D228">
        <v>10</v>
      </c>
      <c r="E228">
        <v>6</v>
      </c>
      <c r="F228">
        <v>3</v>
      </c>
      <c r="G228">
        <v>0.45829999999999999</v>
      </c>
      <c r="H228">
        <v>0.2109</v>
      </c>
      <c r="I228">
        <v>0.16209999999999999</v>
      </c>
      <c r="J228" s="1" t="str">
        <f>HYPERLINK(SetRGB(J228,G228*255,H228*255,I228*255),"HOVER!")</f>
        <v>HOVER!</v>
      </c>
      <c r="K228">
        <f>E228/F228</f>
        <v>2</v>
      </c>
    </row>
    <row r="229" spans="1:11" ht="15" x14ac:dyDescent="0.35">
      <c r="A229">
        <f t="shared" si="6"/>
        <v>1</v>
      </c>
      <c r="B229">
        <f t="shared" si="7"/>
        <v>10</v>
      </c>
      <c r="C229" s="199" t="str">
        <f>B229&amp;LOOKUP(A229, Sheet2!$A$2:$A$11, Sheet2!$B$2:$B$11)</f>
        <v>10YR</v>
      </c>
      <c r="D229">
        <v>10</v>
      </c>
      <c r="E229">
        <v>8</v>
      </c>
      <c r="F229">
        <v>3</v>
      </c>
      <c r="G229">
        <v>0.50080000000000002</v>
      </c>
      <c r="H229">
        <v>0.17710000000000001</v>
      </c>
      <c r="I229">
        <v>0.1171</v>
      </c>
      <c r="J229" s="1" t="str">
        <f>HYPERLINK(SetRGB(J229,G229*255,H229*255,I229*255),"HOVER!")</f>
        <v>HOVER!</v>
      </c>
      <c r="K229">
        <f>E229/F229</f>
        <v>2.6666666666666665</v>
      </c>
    </row>
    <row r="230" spans="1:11" ht="15" x14ac:dyDescent="0.35">
      <c r="A230">
        <f t="shared" si="6"/>
        <v>1</v>
      </c>
      <c r="B230">
        <f t="shared" si="7"/>
        <v>10</v>
      </c>
      <c r="C230" s="199" t="str">
        <f>B230&amp;LOOKUP(A230, Sheet2!$A$2:$A$11, Sheet2!$B$2:$B$11)</f>
        <v>10YR</v>
      </c>
      <c r="D230">
        <v>10</v>
      </c>
      <c r="E230">
        <v>10</v>
      </c>
      <c r="F230">
        <v>3</v>
      </c>
      <c r="G230">
        <v>0.53900000000000003</v>
      </c>
      <c r="H230">
        <v>0.13350000000000001</v>
      </c>
      <c r="I230">
        <v>6.5799999999999997E-2</v>
      </c>
      <c r="J230" s="1" t="str">
        <f>HYPERLINK(SetRGB(J230,G230*255,H230*255,I230*255),"HOVER!")</f>
        <v>HOVER!</v>
      </c>
      <c r="K230">
        <f>E230/F230</f>
        <v>3.3333333333333335</v>
      </c>
    </row>
    <row r="231" spans="1:11" ht="15" x14ac:dyDescent="0.35">
      <c r="A231">
        <f t="shared" si="6"/>
        <v>1</v>
      </c>
      <c r="B231">
        <f t="shared" si="7"/>
        <v>10</v>
      </c>
      <c r="C231" s="199" t="str">
        <f>B231&amp;LOOKUP(A231, Sheet2!$A$2:$A$11, Sheet2!$B$2:$B$11)</f>
        <v>10YR</v>
      </c>
      <c r="D231">
        <v>10</v>
      </c>
      <c r="E231">
        <v>2</v>
      </c>
      <c r="F231">
        <v>4</v>
      </c>
      <c r="G231">
        <v>0.45590000000000003</v>
      </c>
      <c r="H231">
        <v>0.35949999999999999</v>
      </c>
      <c r="I231">
        <v>0.3377</v>
      </c>
      <c r="J231" s="1" t="str">
        <f>HYPERLINK(SetRGB(J231,G231*255,H231*255,I231*255),"HOVER!")</f>
        <v>HOVER!</v>
      </c>
      <c r="K231">
        <f>E231/F231</f>
        <v>0.5</v>
      </c>
    </row>
    <row r="232" spans="1:11" ht="15" x14ac:dyDescent="0.35">
      <c r="A232">
        <f t="shared" si="6"/>
        <v>1</v>
      </c>
      <c r="B232">
        <f t="shared" si="7"/>
        <v>10</v>
      </c>
      <c r="C232" s="199" t="str">
        <f>B232&amp;LOOKUP(A232, Sheet2!$A$2:$A$11, Sheet2!$B$2:$B$11)</f>
        <v>10YR</v>
      </c>
      <c r="D232">
        <v>10</v>
      </c>
      <c r="E232">
        <v>4</v>
      </c>
      <c r="F232">
        <v>4</v>
      </c>
      <c r="G232">
        <v>0.51700000000000002</v>
      </c>
      <c r="H232">
        <v>0.3362</v>
      </c>
      <c r="I232">
        <v>0.29160000000000003</v>
      </c>
      <c r="J232" s="1" t="str">
        <f>HYPERLINK(SetRGB(J232,G232*255,H232*255,I232*255),"HOVER!")</f>
        <v>HOVER!</v>
      </c>
      <c r="K232">
        <f>E232/F232</f>
        <v>1</v>
      </c>
    </row>
    <row r="233" spans="1:11" ht="15" x14ac:dyDescent="0.35">
      <c r="A233">
        <f t="shared" si="6"/>
        <v>1</v>
      </c>
      <c r="B233">
        <f t="shared" si="7"/>
        <v>10</v>
      </c>
      <c r="C233" s="199" t="str">
        <f>B233&amp;LOOKUP(A233, Sheet2!$A$2:$A$11, Sheet2!$B$2:$B$11)</f>
        <v>10YR</v>
      </c>
      <c r="D233">
        <v>10</v>
      </c>
      <c r="E233">
        <v>6</v>
      </c>
      <c r="F233">
        <v>4</v>
      </c>
      <c r="G233">
        <v>0.56530000000000002</v>
      </c>
      <c r="H233">
        <v>0.31269999999999998</v>
      </c>
      <c r="I233">
        <v>0.2465</v>
      </c>
      <c r="J233" s="178" t="str">
        <f>HYPERLINK(SetRGB(J233,G233*255,H233*255,I233*255),"HOVER!")</f>
        <v>HOVER!</v>
      </c>
      <c r="K233">
        <f>E233/F233</f>
        <v>1.5</v>
      </c>
    </row>
    <row r="234" spans="1:11" ht="15" x14ac:dyDescent="0.35">
      <c r="A234">
        <f t="shared" si="6"/>
        <v>1</v>
      </c>
      <c r="B234">
        <f t="shared" si="7"/>
        <v>10</v>
      </c>
      <c r="C234" s="199" t="str">
        <f>B234&amp;LOOKUP(A234, Sheet2!$A$2:$A$11, Sheet2!$B$2:$B$11)</f>
        <v>10YR</v>
      </c>
      <c r="D234">
        <v>10</v>
      </c>
      <c r="E234">
        <v>8</v>
      </c>
      <c r="F234">
        <v>4</v>
      </c>
      <c r="G234">
        <v>0.61060000000000003</v>
      </c>
      <c r="H234">
        <v>0.28520000000000001</v>
      </c>
      <c r="I234">
        <v>0.19700000000000001</v>
      </c>
      <c r="J234" s="1" t="str">
        <f>HYPERLINK(SetRGB(J234,G234*255,H234*255,I234*255),"HOVER!")</f>
        <v>HOVER!</v>
      </c>
      <c r="K234">
        <f>E234/F234</f>
        <v>2</v>
      </c>
    </row>
    <row r="235" spans="1:11" ht="15" x14ac:dyDescent="0.35">
      <c r="A235">
        <f t="shared" si="6"/>
        <v>1</v>
      </c>
      <c r="B235">
        <f t="shared" si="7"/>
        <v>10</v>
      </c>
      <c r="C235" s="199" t="str">
        <f>B235&amp;LOOKUP(A235, Sheet2!$A$2:$A$11, Sheet2!$B$2:$B$11)</f>
        <v>10YR</v>
      </c>
      <c r="D235">
        <v>10</v>
      </c>
      <c r="E235">
        <v>10</v>
      </c>
      <c r="F235">
        <v>4</v>
      </c>
      <c r="G235">
        <v>0.65080000000000005</v>
      </c>
      <c r="H235">
        <v>0.25419999999999998</v>
      </c>
      <c r="I235">
        <v>0.1431</v>
      </c>
      <c r="J235" s="1" t="str">
        <f>HYPERLINK(SetRGB(J235,G235*255,H235*255,I235*255),"HOVER!")</f>
        <v>HOVER!</v>
      </c>
      <c r="K235">
        <f>E235/F235</f>
        <v>2.5</v>
      </c>
    </row>
    <row r="236" spans="1:11" ht="15" x14ac:dyDescent="0.35">
      <c r="A236">
        <f t="shared" si="6"/>
        <v>1</v>
      </c>
      <c r="B236">
        <f t="shared" si="7"/>
        <v>10</v>
      </c>
      <c r="C236" s="199" t="str">
        <f>B236&amp;LOOKUP(A236, Sheet2!$A$2:$A$11, Sheet2!$B$2:$B$11)</f>
        <v>10YR</v>
      </c>
      <c r="D236">
        <v>10</v>
      </c>
      <c r="E236">
        <v>12</v>
      </c>
      <c r="F236">
        <v>4</v>
      </c>
      <c r="G236">
        <v>0.68569999999999998</v>
      </c>
      <c r="H236">
        <v>0.22040000000000001</v>
      </c>
      <c r="I236">
        <v>6.9699999999999998E-2</v>
      </c>
      <c r="J236" s="1" t="str">
        <f>HYPERLINK(SetRGB(J236,G236*255,H236*255,I236*255),"HOVER!")</f>
        <v>HOVER!</v>
      </c>
      <c r="K236">
        <f>E236/F236</f>
        <v>3</v>
      </c>
    </row>
    <row r="237" spans="1:11" ht="15" x14ac:dyDescent="0.35">
      <c r="A237">
        <f t="shared" si="6"/>
        <v>1</v>
      </c>
      <c r="B237">
        <f t="shared" si="7"/>
        <v>10</v>
      </c>
      <c r="C237" s="199" t="str">
        <f>B237&amp;LOOKUP(A237, Sheet2!$A$2:$A$11, Sheet2!$B$2:$B$11)</f>
        <v>10YR</v>
      </c>
      <c r="D237">
        <v>10</v>
      </c>
      <c r="E237">
        <v>2</v>
      </c>
      <c r="F237">
        <v>5</v>
      </c>
      <c r="G237">
        <v>0.55179999999999996</v>
      </c>
      <c r="H237">
        <v>0.46289999999999998</v>
      </c>
      <c r="I237">
        <v>0.43930000000000002</v>
      </c>
      <c r="J237" s="1" t="str">
        <f>HYPERLINK(SetRGB(J237,G237*255,H237*255,I237*255),"HOVER!")</f>
        <v>HOVER!</v>
      </c>
      <c r="K237">
        <f>E237/F237</f>
        <v>0.4</v>
      </c>
    </row>
    <row r="238" spans="1:11" ht="15" x14ac:dyDescent="0.35">
      <c r="A238">
        <f t="shared" si="6"/>
        <v>1</v>
      </c>
      <c r="B238">
        <f t="shared" si="7"/>
        <v>10</v>
      </c>
      <c r="C238" s="199" t="str">
        <f>B238&amp;LOOKUP(A238, Sheet2!$A$2:$A$11, Sheet2!$B$2:$B$11)</f>
        <v>10YR</v>
      </c>
      <c r="D238">
        <v>10</v>
      </c>
      <c r="E238">
        <v>4</v>
      </c>
      <c r="F238">
        <v>5</v>
      </c>
      <c r="G238">
        <v>0.61650000000000005</v>
      </c>
      <c r="H238">
        <v>0.44080000000000003</v>
      </c>
      <c r="I238">
        <v>0.3901</v>
      </c>
      <c r="J238" s="1" t="str">
        <f>HYPERLINK(SetRGB(J238,G238*255,H238*255,I238*255),"HOVER!")</f>
        <v>HOVER!</v>
      </c>
      <c r="K238">
        <f>E238/F238</f>
        <v>0.8</v>
      </c>
    </row>
    <row r="239" spans="1:11" ht="15" x14ac:dyDescent="0.35">
      <c r="A239">
        <f t="shared" si="6"/>
        <v>1</v>
      </c>
      <c r="B239">
        <f t="shared" si="7"/>
        <v>10</v>
      </c>
      <c r="C239" s="199" t="str">
        <f>B239&amp;LOOKUP(A239, Sheet2!$A$2:$A$11, Sheet2!$B$2:$B$11)</f>
        <v>10YR</v>
      </c>
      <c r="D239">
        <v>10</v>
      </c>
      <c r="E239">
        <v>6</v>
      </c>
      <c r="F239">
        <v>5</v>
      </c>
      <c r="G239">
        <v>0.67330000000000001</v>
      </c>
      <c r="H239">
        <v>0.4168</v>
      </c>
      <c r="I239">
        <v>0.33860000000000001</v>
      </c>
      <c r="J239" s="1" t="str">
        <f>HYPERLINK(SetRGB(J239,G239*255,H239*255,I239*255),"HOVER!")</f>
        <v>HOVER!</v>
      </c>
      <c r="K239">
        <f>E239/F239</f>
        <v>1.2</v>
      </c>
    </row>
    <row r="240" spans="1:11" ht="15" x14ac:dyDescent="0.35">
      <c r="A240">
        <f t="shared" si="6"/>
        <v>1</v>
      </c>
      <c r="B240">
        <f t="shared" si="7"/>
        <v>10</v>
      </c>
      <c r="C240" s="199" t="str">
        <f>B240&amp;LOOKUP(A240, Sheet2!$A$2:$A$11, Sheet2!$B$2:$B$11)</f>
        <v>10YR</v>
      </c>
      <c r="D240">
        <v>10</v>
      </c>
      <c r="E240">
        <v>8</v>
      </c>
      <c r="F240">
        <v>5</v>
      </c>
      <c r="G240">
        <v>0.72419999999999995</v>
      </c>
      <c r="H240">
        <v>0.39040000000000002</v>
      </c>
      <c r="I240">
        <v>0.28470000000000001</v>
      </c>
      <c r="J240" s="1" t="str">
        <f>HYPERLINK(SetRGB(J240,G240*255,H240*255,I240*255),"HOVER!")</f>
        <v>HOVER!</v>
      </c>
      <c r="K240">
        <f>E240/F240</f>
        <v>1.6</v>
      </c>
    </row>
    <row r="241" spans="1:11" ht="15" x14ac:dyDescent="0.35">
      <c r="A241">
        <f t="shared" si="6"/>
        <v>1</v>
      </c>
      <c r="B241">
        <f t="shared" si="7"/>
        <v>10</v>
      </c>
      <c r="C241" s="199" t="str">
        <f>B241&amp;LOOKUP(A241, Sheet2!$A$2:$A$11, Sheet2!$B$2:$B$11)</f>
        <v>10YR</v>
      </c>
      <c r="D241">
        <v>10</v>
      </c>
      <c r="E241">
        <v>10</v>
      </c>
      <c r="F241">
        <v>5</v>
      </c>
      <c r="G241">
        <v>0.76990000000000003</v>
      </c>
      <c r="H241">
        <v>0.36170000000000002</v>
      </c>
      <c r="I241">
        <v>0.2248</v>
      </c>
      <c r="J241" s="1" t="str">
        <f>HYPERLINK(SetRGB(J241,G241*255,H241*255,I241*255),"HOVER!")</f>
        <v>HOVER!</v>
      </c>
      <c r="K241">
        <f>E241/F241</f>
        <v>2</v>
      </c>
    </row>
    <row r="242" spans="1:11" ht="15" x14ac:dyDescent="0.35">
      <c r="A242">
        <f t="shared" si="6"/>
        <v>1</v>
      </c>
      <c r="B242">
        <f t="shared" si="7"/>
        <v>10</v>
      </c>
      <c r="C242" s="199" t="str">
        <f>B242&amp;LOOKUP(A242, Sheet2!$A$2:$A$11, Sheet2!$B$2:$B$11)</f>
        <v>10YR</v>
      </c>
      <c r="D242">
        <v>10</v>
      </c>
      <c r="E242">
        <v>12</v>
      </c>
      <c r="F242">
        <v>5</v>
      </c>
      <c r="G242">
        <v>0.81069999999999998</v>
      </c>
      <c r="H242">
        <v>0.33069999999999999</v>
      </c>
      <c r="I242">
        <v>0.15540000000000001</v>
      </c>
      <c r="J242" s="161" t="str">
        <f>HYPERLINK(SetRGB(J242,G242*255,H242*255,I242*255),"HOVER!")</f>
        <v>HOVER!</v>
      </c>
      <c r="K242">
        <f>E242/F242</f>
        <v>2.4</v>
      </c>
    </row>
    <row r="243" spans="1:11" ht="15" x14ac:dyDescent="0.35">
      <c r="A243">
        <f t="shared" si="6"/>
        <v>1</v>
      </c>
      <c r="B243">
        <f t="shared" si="7"/>
        <v>10</v>
      </c>
      <c r="C243" s="199" t="str">
        <f>B243&amp;LOOKUP(A243, Sheet2!$A$2:$A$11, Sheet2!$B$2:$B$11)</f>
        <v>10YR</v>
      </c>
      <c r="D243">
        <v>10</v>
      </c>
      <c r="E243">
        <v>14</v>
      </c>
      <c r="F243">
        <v>5</v>
      </c>
      <c r="G243">
        <v>0.84330000000000005</v>
      </c>
      <c r="H243">
        <v>0.30080000000000001</v>
      </c>
      <c r="I243">
        <v>7.22E-2</v>
      </c>
      <c r="J243" s="1" t="str">
        <f>HYPERLINK(SetRGB(J243,G243*255,H243*255,I243*255),"HOVER!")</f>
        <v>HOVER!</v>
      </c>
      <c r="K243">
        <f>E243/F243</f>
        <v>2.8</v>
      </c>
    </row>
    <row r="244" spans="1:11" ht="15" x14ac:dyDescent="0.35">
      <c r="A244">
        <f t="shared" si="6"/>
        <v>1</v>
      </c>
      <c r="B244">
        <f t="shared" si="7"/>
        <v>10</v>
      </c>
      <c r="C244" s="199" t="str">
        <f>B244&amp;LOOKUP(A244, Sheet2!$A$2:$A$11, Sheet2!$B$2:$B$11)</f>
        <v>10YR</v>
      </c>
      <c r="D244">
        <v>10</v>
      </c>
      <c r="E244">
        <v>2</v>
      </c>
      <c r="F244">
        <v>6</v>
      </c>
      <c r="G244">
        <v>0.65669999999999995</v>
      </c>
      <c r="H244">
        <v>0.56499999999999995</v>
      </c>
      <c r="I244">
        <v>0.5393</v>
      </c>
      <c r="J244" s="2" t="str">
        <f>HYPERLINK(SetRGB(J244,G244*255,H244*255,I244*255),"HOVER!")</f>
        <v>HOVER!</v>
      </c>
      <c r="K244">
        <f>E244/F244</f>
        <v>0.33333333333333331</v>
      </c>
    </row>
    <row r="245" spans="1:11" ht="15" x14ac:dyDescent="0.35">
      <c r="A245">
        <f t="shared" si="6"/>
        <v>1</v>
      </c>
      <c r="B245">
        <f t="shared" si="7"/>
        <v>10</v>
      </c>
      <c r="C245" s="199" t="str">
        <f>B245&amp;LOOKUP(A245, Sheet2!$A$2:$A$11, Sheet2!$B$2:$B$11)</f>
        <v>10YR</v>
      </c>
      <c r="D245">
        <v>10</v>
      </c>
      <c r="E245">
        <v>4</v>
      </c>
      <c r="F245">
        <v>6</v>
      </c>
      <c r="G245">
        <v>0.72299999999999998</v>
      </c>
      <c r="H245">
        <v>0.54369999999999996</v>
      </c>
      <c r="I245">
        <v>0.48820000000000002</v>
      </c>
      <c r="J245" s="2" t="str">
        <f>HYPERLINK(SetRGB(J245,G245*255,H245*255,I245*255),"HOVER!")</f>
        <v>HOVER!</v>
      </c>
      <c r="K245">
        <f>E245/F245</f>
        <v>0.66666666666666663</v>
      </c>
    </row>
    <row r="246" spans="1:11" ht="15" x14ac:dyDescent="0.35">
      <c r="A246">
        <f t="shared" si="6"/>
        <v>1</v>
      </c>
      <c r="B246">
        <f t="shared" si="7"/>
        <v>10</v>
      </c>
      <c r="C246" s="199" t="str">
        <f>B246&amp;LOOKUP(A246, Sheet2!$A$2:$A$11, Sheet2!$B$2:$B$11)</f>
        <v>10YR</v>
      </c>
      <c r="D246">
        <v>10</v>
      </c>
      <c r="E246">
        <v>6</v>
      </c>
      <c r="F246">
        <v>6</v>
      </c>
      <c r="G246">
        <v>0.77869999999999995</v>
      </c>
      <c r="H246">
        <v>0.5222</v>
      </c>
      <c r="I246">
        <v>0.43909999999999999</v>
      </c>
      <c r="J246" s="2" t="str">
        <f>HYPERLINK(SetRGB(J246,G246*255,H246*255,I246*255),"HOVER!")</f>
        <v>HOVER!</v>
      </c>
      <c r="K246">
        <f>E246/F246</f>
        <v>1</v>
      </c>
    </row>
    <row r="247" spans="1:11" ht="15" x14ac:dyDescent="0.35">
      <c r="A247">
        <f t="shared" si="6"/>
        <v>1</v>
      </c>
      <c r="B247">
        <f t="shared" si="7"/>
        <v>10</v>
      </c>
      <c r="C247" s="199" t="str">
        <f>B247&amp;LOOKUP(A247, Sheet2!$A$2:$A$11, Sheet2!$B$2:$B$11)</f>
        <v>10YR</v>
      </c>
      <c r="D247">
        <v>10</v>
      </c>
      <c r="E247">
        <v>8</v>
      </c>
      <c r="F247">
        <v>6</v>
      </c>
      <c r="G247">
        <v>0.83130000000000004</v>
      </c>
      <c r="H247">
        <v>0.498</v>
      </c>
      <c r="I247">
        <v>0.38690000000000002</v>
      </c>
      <c r="J247" s="2" t="str">
        <f>HYPERLINK(SetRGB(J247,G247*255,H247*255,I247*255),"HOVER!")</f>
        <v>HOVER!</v>
      </c>
      <c r="K247">
        <f>E247/F247</f>
        <v>1.3333333333333333</v>
      </c>
    </row>
    <row r="248" spans="1:11" ht="15" x14ac:dyDescent="0.35">
      <c r="A248">
        <f t="shared" si="6"/>
        <v>1</v>
      </c>
      <c r="B248">
        <f t="shared" si="7"/>
        <v>10</v>
      </c>
      <c r="C248" s="199" t="str">
        <f>B248&amp;LOOKUP(A248, Sheet2!$A$2:$A$11, Sheet2!$B$2:$B$11)</f>
        <v>10YR</v>
      </c>
      <c r="D248">
        <v>10</v>
      </c>
      <c r="E248">
        <v>10</v>
      </c>
      <c r="F248">
        <v>6</v>
      </c>
      <c r="G248">
        <v>0.88200000000000001</v>
      </c>
      <c r="H248">
        <v>0.4708</v>
      </c>
      <c r="I248">
        <v>0.32650000000000001</v>
      </c>
      <c r="J248" s="2" t="str">
        <f>HYPERLINK(SetRGB(J248,G248*255,H248*255,I248*255),"HOVER!")</f>
        <v>HOVER!</v>
      </c>
      <c r="K248">
        <f>E248/F248</f>
        <v>1.6666666666666667</v>
      </c>
    </row>
    <row r="249" spans="1:11" ht="15" x14ac:dyDescent="0.35">
      <c r="A249">
        <f t="shared" si="6"/>
        <v>1</v>
      </c>
      <c r="B249">
        <f t="shared" si="7"/>
        <v>10</v>
      </c>
      <c r="C249" s="199" t="str">
        <f>B249&amp;LOOKUP(A249, Sheet2!$A$2:$A$11, Sheet2!$B$2:$B$11)</f>
        <v>10YR</v>
      </c>
      <c r="D249">
        <v>10</v>
      </c>
      <c r="E249">
        <v>12</v>
      </c>
      <c r="F249">
        <v>6</v>
      </c>
      <c r="G249">
        <v>0.92689999999999995</v>
      </c>
      <c r="H249">
        <v>0.44230000000000003</v>
      </c>
      <c r="I249">
        <v>0.2621</v>
      </c>
      <c r="J249" s="2" t="str">
        <f>HYPERLINK(SetRGB(J249,G249*255,H249*255,I249*255),"HOVER!")</f>
        <v>HOVER!</v>
      </c>
      <c r="K249">
        <f>E249/F249</f>
        <v>2</v>
      </c>
    </row>
    <row r="250" spans="1:11" ht="15" x14ac:dyDescent="0.35">
      <c r="A250">
        <f t="shared" si="6"/>
        <v>1</v>
      </c>
      <c r="B250">
        <f t="shared" si="7"/>
        <v>10</v>
      </c>
      <c r="C250" s="199" t="str">
        <f>B250&amp;LOOKUP(A250, Sheet2!$A$2:$A$11, Sheet2!$B$2:$B$11)</f>
        <v>10YR</v>
      </c>
      <c r="D250">
        <v>10</v>
      </c>
      <c r="E250">
        <v>14</v>
      </c>
      <c r="F250">
        <v>6</v>
      </c>
      <c r="G250">
        <v>0.96809999999999996</v>
      </c>
      <c r="H250">
        <v>0.41170000000000001</v>
      </c>
      <c r="I250">
        <v>0.18559999999999999</v>
      </c>
      <c r="J250" s="2" t="str">
        <f>HYPERLINK(SetRGB(J250,G250*255,H250*255,I250*255),"HOVER!")</f>
        <v>HOVER!</v>
      </c>
      <c r="K250">
        <f>E250/F250</f>
        <v>2.3333333333333335</v>
      </c>
    </row>
    <row r="251" spans="1:11" ht="15" x14ac:dyDescent="0.35">
      <c r="A251">
        <f t="shared" si="6"/>
        <v>1</v>
      </c>
      <c r="B251">
        <f t="shared" si="7"/>
        <v>10</v>
      </c>
      <c r="C251" s="199" t="str">
        <f>B251&amp;LOOKUP(A251, Sheet2!$A$2:$A$11, Sheet2!$B$2:$B$11)</f>
        <v>10YR</v>
      </c>
      <c r="D251">
        <v>10</v>
      </c>
      <c r="E251">
        <v>16</v>
      </c>
      <c r="F251">
        <v>6</v>
      </c>
      <c r="G251">
        <v>1</v>
      </c>
      <c r="H251">
        <v>0.38159999999999999</v>
      </c>
      <c r="I251">
        <v>7.7499999999999999E-2</v>
      </c>
      <c r="J251" s="2" t="str">
        <f>HYPERLINK(SetRGB(J251,G251*255,H251*255,I251*255),"HOVER!")</f>
        <v>HOVER!</v>
      </c>
      <c r="K251">
        <f>E251/F251</f>
        <v>2.6666666666666665</v>
      </c>
    </row>
    <row r="252" spans="1:11" ht="15" x14ac:dyDescent="0.35">
      <c r="A252">
        <f t="shared" si="6"/>
        <v>1</v>
      </c>
      <c r="B252">
        <f t="shared" si="7"/>
        <v>10</v>
      </c>
      <c r="C252" s="199" t="str">
        <f>B252&amp;LOOKUP(A252, Sheet2!$A$2:$A$11, Sheet2!$B$2:$B$11)</f>
        <v>10YR</v>
      </c>
      <c r="D252">
        <v>10</v>
      </c>
      <c r="E252">
        <v>2</v>
      </c>
      <c r="F252">
        <v>7</v>
      </c>
      <c r="G252">
        <v>0.7571</v>
      </c>
      <c r="H252">
        <v>0.66969999999999996</v>
      </c>
      <c r="I252">
        <v>0.64410000000000001</v>
      </c>
      <c r="J252" s="2" t="str">
        <f>HYPERLINK(SetRGB(J252,G252*255,H252*255,I252*255),"HOVER!")</f>
        <v>HOVER!</v>
      </c>
      <c r="K252">
        <f>E252/F252</f>
        <v>0.2857142857142857</v>
      </c>
    </row>
    <row r="253" spans="1:11" ht="15" x14ac:dyDescent="0.35">
      <c r="A253">
        <f t="shared" si="6"/>
        <v>1</v>
      </c>
      <c r="B253">
        <f t="shared" si="7"/>
        <v>10</v>
      </c>
      <c r="C253" s="199" t="str">
        <f>B253&amp;LOOKUP(A253, Sheet2!$A$2:$A$11, Sheet2!$B$2:$B$11)</f>
        <v>10YR</v>
      </c>
      <c r="D253">
        <v>10</v>
      </c>
      <c r="E253">
        <v>4</v>
      </c>
      <c r="F253">
        <v>7</v>
      </c>
      <c r="G253">
        <v>0.82699999999999996</v>
      </c>
      <c r="H253">
        <v>0.64829999999999999</v>
      </c>
      <c r="I253">
        <v>0.5907</v>
      </c>
      <c r="J253" s="2" t="str">
        <f>HYPERLINK(SetRGB(J253,G253*255,H253*255,I253*255),"HOVER!")</f>
        <v>HOVER!</v>
      </c>
      <c r="K253">
        <f>E253/F253</f>
        <v>0.5714285714285714</v>
      </c>
    </row>
    <row r="254" spans="1:11" ht="15" x14ac:dyDescent="0.35">
      <c r="A254">
        <f t="shared" si="6"/>
        <v>1</v>
      </c>
      <c r="B254">
        <f t="shared" si="7"/>
        <v>10</v>
      </c>
      <c r="C254" s="199" t="str">
        <f>B254&amp;LOOKUP(A254, Sheet2!$A$2:$A$11, Sheet2!$B$2:$B$11)</f>
        <v>10YR</v>
      </c>
      <c r="D254">
        <v>10</v>
      </c>
      <c r="E254">
        <v>6</v>
      </c>
      <c r="F254">
        <v>7</v>
      </c>
      <c r="G254">
        <v>0.88939999999999997</v>
      </c>
      <c r="H254">
        <v>0.62560000000000004</v>
      </c>
      <c r="I254">
        <v>0.5373</v>
      </c>
      <c r="J254" s="2" t="str">
        <f>HYPERLINK(SetRGB(J254,G254*255,H254*255,I254*255),"HOVER!")</f>
        <v>HOVER!</v>
      </c>
      <c r="K254">
        <f>E254/F254</f>
        <v>0.8571428571428571</v>
      </c>
    </row>
    <row r="255" spans="1:11" ht="15" x14ac:dyDescent="0.35">
      <c r="A255">
        <f t="shared" si="6"/>
        <v>1</v>
      </c>
      <c r="B255">
        <f t="shared" si="7"/>
        <v>10</v>
      </c>
      <c r="C255" s="199" t="str">
        <f>B255&amp;LOOKUP(A255, Sheet2!$A$2:$A$11, Sheet2!$B$2:$B$11)</f>
        <v>10YR</v>
      </c>
      <c r="D255">
        <v>10</v>
      </c>
      <c r="E255">
        <v>8</v>
      </c>
      <c r="F255">
        <v>7</v>
      </c>
      <c r="G255">
        <v>0.94810000000000005</v>
      </c>
      <c r="H255">
        <v>0.60060000000000002</v>
      </c>
      <c r="I255">
        <v>0.48060000000000003</v>
      </c>
      <c r="J255" s="2" t="str">
        <f>HYPERLINK(SetRGB(J255,G255*255,H255*255,I255*255),"HOVER!")</f>
        <v>HOVER!</v>
      </c>
      <c r="K255">
        <f>E255/F255</f>
        <v>1.1428571428571428</v>
      </c>
    </row>
    <row r="256" spans="1:11" ht="15" x14ac:dyDescent="0.35">
      <c r="A256">
        <f t="shared" si="6"/>
        <v>1</v>
      </c>
      <c r="B256">
        <f t="shared" si="7"/>
        <v>10</v>
      </c>
      <c r="C256" s="199" t="str">
        <f>B256&amp;LOOKUP(A256, Sheet2!$A$2:$A$11, Sheet2!$B$2:$B$11)</f>
        <v>10YR</v>
      </c>
      <c r="D256">
        <v>10</v>
      </c>
      <c r="E256">
        <v>10</v>
      </c>
      <c r="F256">
        <v>7</v>
      </c>
      <c r="G256">
        <v>0.99680000000000002</v>
      </c>
      <c r="H256">
        <v>0.5766</v>
      </c>
      <c r="I256">
        <v>0.42630000000000001</v>
      </c>
      <c r="J256" s="2" t="str">
        <f>HYPERLINK(SetRGB(J256,G256*255,H256*255,I256*255),"HOVER!")</f>
        <v>HOVER!</v>
      </c>
      <c r="K256">
        <f>E256/F256</f>
        <v>1.4285714285714286</v>
      </c>
    </row>
    <row r="257" spans="1:11" ht="15" x14ac:dyDescent="0.35">
      <c r="A257">
        <f t="shared" si="6"/>
        <v>1</v>
      </c>
      <c r="B257">
        <f t="shared" si="7"/>
        <v>10</v>
      </c>
      <c r="C257" s="199" t="str">
        <f>B257&amp;LOOKUP(A257, Sheet2!$A$2:$A$11, Sheet2!$B$2:$B$11)</f>
        <v>10YR</v>
      </c>
      <c r="D257">
        <v>10</v>
      </c>
      <c r="E257">
        <v>12</v>
      </c>
      <c r="F257">
        <v>7</v>
      </c>
      <c r="G257">
        <v>1</v>
      </c>
      <c r="H257">
        <v>0.54779999999999995</v>
      </c>
      <c r="I257">
        <v>0.35759999999999997</v>
      </c>
      <c r="J257" s="179" t="str">
        <f>HYPERLINK(SetRGB(J257,G257*255,H257*255,I257*255),"HOVER!")</f>
        <v>HOVER!</v>
      </c>
      <c r="K257">
        <f>E257/F257</f>
        <v>1.7142857142857142</v>
      </c>
    </row>
    <row r="258" spans="1:11" ht="15" x14ac:dyDescent="0.35">
      <c r="A258">
        <f t="shared" si="6"/>
        <v>1</v>
      </c>
      <c r="B258">
        <f t="shared" si="7"/>
        <v>10</v>
      </c>
      <c r="C258" s="199" t="str">
        <f>B258&amp;LOOKUP(A258, Sheet2!$A$2:$A$11, Sheet2!$B$2:$B$11)</f>
        <v>10YR</v>
      </c>
      <c r="D258">
        <v>10</v>
      </c>
      <c r="E258">
        <v>14</v>
      </c>
      <c r="F258">
        <v>7</v>
      </c>
      <c r="G258">
        <v>1</v>
      </c>
      <c r="H258">
        <v>0.51770000000000005</v>
      </c>
      <c r="I258">
        <v>0.28449999999999998</v>
      </c>
      <c r="J258" s="2" t="str">
        <f>HYPERLINK(SetRGB(J258,G258*255,H258*255,I258*255),"HOVER!")</f>
        <v>HOVER!</v>
      </c>
      <c r="K258">
        <f>E258/F258</f>
        <v>2</v>
      </c>
    </row>
    <row r="259" spans="1:11" ht="15" x14ac:dyDescent="0.35">
      <c r="A259">
        <f t="shared" si="6"/>
        <v>1</v>
      </c>
      <c r="B259">
        <f t="shared" si="7"/>
        <v>10</v>
      </c>
      <c r="C259" s="199" t="str">
        <f>B259&amp;LOOKUP(A259, Sheet2!$A$2:$A$11, Sheet2!$B$2:$B$11)</f>
        <v>10YR</v>
      </c>
      <c r="D259">
        <v>10</v>
      </c>
      <c r="E259">
        <v>16</v>
      </c>
      <c r="F259">
        <v>7</v>
      </c>
      <c r="G259">
        <v>1</v>
      </c>
      <c r="H259">
        <v>0.48620000000000002</v>
      </c>
      <c r="I259">
        <v>0.19359999999999999</v>
      </c>
      <c r="J259" s="2" t="str">
        <f>HYPERLINK(SetRGB(J259,G259*255,H259*255,I259*255),"HOVER!")</f>
        <v>HOVER!</v>
      </c>
      <c r="K259">
        <f>E259/F259</f>
        <v>2.2857142857142856</v>
      </c>
    </row>
    <row r="260" spans="1:11" ht="15" x14ac:dyDescent="0.35">
      <c r="A260">
        <f t="shared" si="6"/>
        <v>1</v>
      </c>
      <c r="B260">
        <f t="shared" si="7"/>
        <v>10</v>
      </c>
      <c r="C260" s="199" t="str">
        <f>B260&amp;LOOKUP(A260, Sheet2!$A$2:$A$11, Sheet2!$B$2:$B$11)</f>
        <v>10YR</v>
      </c>
      <c r="D260">
        <v>10</v>
      </c>
      <c r="E260">
        <v>2</v>
      </c>
      <c r="F260">
        <v>8</v>
      </c>
      <c r="G260">
        <v>0.85370000000000001</v>
      </c>
      <c r="H260">
        <v>0.77700000000000002</v>
      </c>
      <c r="I260">
        <v>0.75290000000000001</v>
      </c>
      <c r="J260" s="160" t="str">
        <f>HYPERLINK(SetRGB(J260,G260*255,H260*255,I260*255),"HOVER!")</f>
        <v>HOVER!</v>
      </c>
      <c r="K260">
        <f>E260/F260</f>
        <v>0.25</v>
      </c>
    </row>
    <row r="261" spans="1:11" ht="15" x14ac:dyDescent="0.35">
      <c r="A261">
        <f t="shared" si="6"/>
        <v>1</v>
      </c>
      <c r="B261">
        <f t="shared" si="7"/>
        <v>10</v>
      </c>
      <c r="C261" s="199" t="str">
        <f>B261&amp;LOOKUP(A261, Sheet2!$A$2:$A$11, Sheet2!$B$2:$B$11)</f>
        <v>10YR</v>
      </c>
      <c r="D261">
        <v>10</v>
      </c>
      <c r="E261">
        <v>4</v>
      </c>
      <c r="F261">
        <v>8</v>
      </c>
      <c r="G261">
        <v>0.93810000000000004</v>
      </c>
      <c r="H261">
        <v>0.75209999999999999</v>
      </c>
      <c r="I261">
        <v>0.69020000000000004</v>
      </c>
      <c r="J261" s="2" t="str">
        <f>HYPERLINK(SetRGB(J261,G261*255,H261*255,I261*255),"HOVER!")</f>
        <v>HOVER!</v>
      </c>
      <c r="K261">
        <f>E261/F261</f>
        <v>0.5</v>
      </c>
    </row>
    <row r="262" spans="1:11" ht="15" x14ac:dyDescent="0.35">
      <c r="A262">
        <f t="shared" si="6"/>
        <v>1</v>
      </c>
      <c r="B262">
        <f t="shared" si="7"/>
        <v>10</v>
      </c>
      <c r="C262" s="199" t="str">
        <f>B262&amp;LOOKUP(A262, Sheet2!$A$2:$A$11, Sheet2!$B$2:$B$11)</f>
        <v>10YR</v>
      </c>
      <c r="D262">
        <v>10</v>
      </c>
      <c r="E262">
        <v>6</v>
      </c>
      <c r="F262">
        <v>8</v>
      </c>
      <c r="G262">
        <v>1</v>
      </c>
      <c r="H262">
        <v>0.72909999999999997</v>
      </c>
      <c r="I262">
        <v>0.63270000000000004</v>
      </c>
      <c r="J262" s="2" t="str">
        <f>HYPERLINK(SetRGB(J262,G262*255,H262*255,I262*255),"HOVER!")</f>
        <v>HOVER!</v>
      </c>
      <c r="K262">
        <f>E262/F262</f>
        <v>0.75</v>
      </c>
    </row>
    <row r="263" spans="1:11" ht="15" x14ac:dyDescent="0.35">
      <c r="A263">
        <f t="shared" si="6"/>
        <v>1</v>
      </c>
      <c r="B263">
        <f t="shared" si="7"/>
        <v>10</v>
      </c>
      <c r="C263" s="199" t="str">
        <f>B263&amp;LOOKUP(A263, Sheet2!$A$2:$A$11, Sheet2!$B$2:$B$11)</f>
        <v>10YR</v>
      </c>
      <c r="D263">
        <v>10</v>
      </c>
      <c r="E263">
        <v>8</v>
      </c>
      <c r="F263">
        <v>8</v>
      </c>
      <c r="G263">
        <v>1</v>
      </c>
      <c r="H263">
        <v>0.70379999999999998</v>
      </c>
      <c r="I263">
        <v>0.5716</v>
      </c>
      <c r="J263" s="2" t="str">
        <f>HYPERLINK(SetRGB(J263,G263*255,H263*255,I263*255),"HOVER!")</f>
        <v>HOVER!</v>
      </c>
      <c r="K263">
        <f>E263/F263</f>
        <v>1</v>
      </c>
    </row>
    <row r="264" spans="1:11" ht="15" x14ac:dyDescent="0.35">
      <c r="A264">
        <f t="shared" si="6"/>
        <v>1</v>
      </c>
      <c r="B264">
        <f t="shared" si="7"/>
        <v>10</v>
      </c>
      <c r="C264" s="199" t="str">
        <f>B264&amp;LOOKUP(A264, Sheet2!$A$2:$A$11, Sheet2!$B$2:$B$11)</f>
        <v>10YR</v>
      </c>
      <c r="D264">
        <v>10</v>
      </c>
      <c r="E264">
        <v>10</v>
      </c>
      <c r="F264">
        <v>8</v>
      </c>
      <c r="G264">
        <v>1</v>
      </c>
      <c r="H264">
        <v>0.67849999999999999</v>
      </c>
      <c r="I264">
        <v>0.51390000000000002</v>
      </c>
      <c r="J264" s="2" t="str">
        <f>HYPERLINK(SetRGB(J264,G264*255,H264*255,I264*255),"HOVER!")</f>
        <v>HOVER!</v>
      </c>
      <c r="K264">
        <f>E264/F264</f>
        <v>1.25</v>
      </c>
    </row>
    <row r="265" spans="1:11" ht="15" x14ac:dyDescent="0.35">
      <c r="A265">
        <f t="shared" si="6"/>
        <v>1</v>
      </c>
      <c r="B265">
        <f t="shared" si="7"/>
        <v>10</v>
      </c>
      <c r="C265" s="199" t="str">
        <f>B265&amp;LOOKUP(A265, Sheet2!$A$2:$A$11, Sheet2!$B$2:$B$11)</f>
        <v>10YR</v>
      </c>
      <c r="D265">
        <v>10</v>
      </c>
      <c r="E265">
        <v>2</v>
      </c>
      <c r="F265">
        <v>9</v>
      </c>
      <c r="G265">
        <v>0.96260000000000001</v>
      </c>
      <c r="H265">
        <v>0.88400000000000001</v>
      </c>
      <c r="I265">
        <v>0.85819999999999996</v>
      </c>
      <c r="J265" s="2" t="str">
        <f>HYPERLINK(SetRGB(J265,G265*255,H265*255,I265*255),"HOVER!")</f>
        <v>HOVER!</v>
      </c>
      <c r="K265">
        <f>E265/F265</f>
        <v>0.22222222222222221</v>
      </c>
    </row>
    <row r="266" spans="1:11" ht="15" x14ac:dyDescent="0.35">
      <c r="A266">
        <f t="shared" si="6"/>
        <v>1</v>
      </c>
      <c r="B266">
        <f t="shared" si="7"/>
        <v>10</v>
      </c>
      <c r="C266" s="199" t="str">
        <f>B266&amp;LOOKUP(A266, Sheet2!$A$2:$A$11, Sheet2!$B$2:$B$11)</f>
        <v>10YR</v>
      </c>
      <c r="D266">
        <v>10</v>
      </c>
      <c r="E266">
        <v>4</v>
      </c>
      <c r="F266">
        <v>9</v>
      </c>
      <c r="G266">
        <v>1</v>
      </c>
      <c r="H266">
        <v>0.85680000000000001</v>
      </c>
      <c r="I266">
        <v>0.78749999999999998</v>
      </c>
      <c r="J266" s="180" t="str">
        <f>HYPERLINK(SetRGB(J266,G266*255,H266*255,I266*255),"HOVER!")</f>
        <v>HOVER!</v>
      </c>
      <c r="K266">
        <f>E266/F266</f>
        <v>0.44444444444444442</v>
      </c>
    </row>
    <row r="267" spans="1:11" ht="15" x14ac:dyDescent="0.35">
      <c r="A267">
        <f t="shared" si="6"/>
        <v>1</v>
      </c>
      <c r="B267">
        <f t="shared" si="7"/>
        <v>10</v>
      </c>
      <c r="C267" s="199" t="str">
        <f>B267&amp;LOOKUP(A267, Sheet2!$A$2:$A$11, Sheet2!$B$2:$B$11)</f>
        <v>10YR</v>
      </c>
      <c r="D267">
        <v>10</v>
      </c>
      <c r="E267">
        <v>6</v>
      </c>
      <c r="F267">
        <v>9</v>
      </c>
      <c r="G267">
        <v>1</v>
      </c>
      <c r="H267">
        <v>0.83189999999999997</v>
      </c>
      <c r="I267">
        <v>0.7248</v>
      </c>
      <c r="J267" s="2" t="str">
        <f>HYPERLINK(SetRGB(J267,G267*255,H267*255,I267*255),"HOVER!")</f>
        <v>HOVER!</v>
      </c>
      <c r="K267">
        <f>E267/F267</f>
        <v>0.66666666666666663</v>
      </c>
    </row>
    <row r="268" spans="1:11" ht="15" x14ac:dyDescent="0.35">
      <c r="A268">
        <f t="shared" si="6"/>
        <v>1</v>
      </c>
      <c r="B268">
        <f t="shared" si="7"/>
        <v>2.5</v>
      </c>
      <c r="C268" s="199" t="str">
        <f>B268&amp;LOOKUP(A268, Sheet2!$A$2:$A$11, Sheet2!$B$2:$B$11)</f>
        <v>2.5YR</v>
      </c>
      <c r="D268">
        <v>12.5</v>
      </c>
      <c r="E268">
        <v>2</v>
      </c>
      <c r="F268">
        <v>1</v>
      </c>
      <c r="G268">
        <v>0.17699999999999999</v>
      </c>
      <c r="H268">
        <v>8.8900000000000007E-2</v>
      </c>
      <c r="I268">
        <v>7.6899999999999996E-2</v>
      </c>
      <c r="J268" s="34" t="str">
        <f>HYPERLINK(SetRGB(J268,G268*255,H268*255,I268*255),"HOVER!")</f>
        <v>HOVER!</v>
      </c>
      <c r="K268">
        <f>E268/F268</f>
        <v>2</v>
      </c>
    </row>
    <row r="269" spans="1:11" ht="15" x14ac:dyDescent="0.35">
      <c r="A269">
        <f t="shared" si="6"/>
        <v>1</v>
      </c>
      <c r="B269">
        <f t="shared" si="7"/>
        <v>2.5</v>
      </c>
      <c r="C269" s="199" t="str">
        <f>B269&amp;LOOKUP(A269, Sheet2!$A$2:$A$11, Sheet2!$B$2:$B$11)</f>
        <v>2.5YR</v>
      </c>
      <c r="D269">
        <v>12.5</v>
      </c>
      <c r="E269">
        <v>4</v>
      </c>
      <c r="F269">
        <v>1</v>
      </c>
      <c r="G269">
        <v>0.2215</v>
      </c>
      <c r="H269">
        <v>5.7200000000000001E-2</v>
      </c>
      <c r="I269">
        <v>4.1000000000000002E-2</v>
      </c>
      <c r="J269" s="35" t="str">
        <f>HYPERLINK(SetRGB(J269,G269*255,H269*255,I269*255),"HOVER!")</f>
        <v>HOVER!</v>
      </c>
      <c r="K269">
        <f>E269/F269</f>
        <v>4</v>
      </c>
    </row>
    <row r="270" spans="1:11" ht="15" x14ac:dyDescent="0.35">
      <c r="A270">
        <f t="shared" ref="A270:A333" si="8">IF(FLOOR(D270/10,1)=0,10,FLOOR(D270/10,1))</f>
        <v>1</v>
      </c>
      <c r="B270">
        <f t="shared" ref="B270:B333" si="9">IF(MOD(D270,10)=0,10,MOD(D270,10))</f>
        <v>2.5</v>
      </c>
      <c r="C270" s="199" t="str">
        <f>B270&amp;LOOKUP(A270, Sheet2!$A$2:$A$11, Sheet2!$B$2:$B$11)</f>
        <v>2.5YR</v>
      </c>
      <c r="D270">
        <v>12.5</v>
      </c>
      <c r="E270">
        <v>6</v>
      </c>
      <c r="F270">
        <v>1</v>
      </c>
      <c r="G270">
        <v>0.253</v>
      </c>
      <c r="H270">
        <v>1.04E-2</v>
      </c>
      <c r="I270">
        <v>9.2999999999999992E-3</v>
      </c>
      <c r="J270" s="36" t="str">
        <f>HYPERLINK(SetRGB(J270,G270*255,H270*255,I270*255),"HOVER!")</f>
        <v>HOVER!</v>
      </c>
      <c r="K270">
        <f>E270/F270</f>
        <v>6</v>
      </c>
    </row>
    <row r="271" spans="1:11" ht="15" x14ac:dyDescent="0.35">
      <c r="A271">
        <f t="shared" si="8"/>
        <v>1</v>
      </c>
      <c r="B271">
        <f t="shared" si="9"/>
        <v>2.5</v>
      </c>
      <c r="C271" s="199" t="str">
        <f>B271&amp;LOOKUP(A271, Sheet2!$A$2:$A$11, Sheet2!$B$2:$B$11)</f>
        <v>2.5YR</v>
      </c>
      <c r="D271">
        <v>12.5</v>
      </c>
      <c r="E271">
        <v>2</v>
      </c>
      <c r="F271">
        <v>2</v>
      </c>
      <c r="G271">
        <v>0.25619999999999998</v>
      </c>
      <c r="H271">
        <v>0.17469999999999999</v>
      </c>
      <c r="I271">
        <v>0.1547</v>
      </c>
      <c r="J271" s="1" t="str">
        <f>HYPERLINK(SetRGB(J271,G271*255,H271*255,I271*255),"HOVER!")</f>
        <v>HOVER!</v>
      </c>
      <c r="K271">
        <f>E271/F271</f>
        <v>1</v>
      </c>
    </row>
    <row r="272" spans="1:11" ht="15" x14ac:dyDescent="0.35">
      <c r="A272">
        <f t="shared" si="8"/>
        <v>1</v>
      </c>
      <c r="B272">
        <f t="shared" si="9"/>
        <v>2.5</v>
      </c>
      <c r="C272" s="199" t="str">
        <f>B272&amp;LOOKUP(A272, Sheet2!$A$2:$A$11, Sheet2!$B$2:$B$11)</f>
        <v>2.5YR</v>
      </c>
      <c r="D272">
        <v>12.5</v>
      </c>
      <c r="E272">
        <v>4</v>
      </c>
      <c r="F272">
        <v>2</v>
      </c>
      <c r="G272">
        <v>0.3029</v>
      </c>
      <c r="H272">
        <v>0.15290000000000001</v>
      </c>
      <c r="I272">
        <v>0.11360000000000001</v>
      </c>
      <c r="J272" s="1" t="str">
        <f>HYPERLINK(SetRGB(J272,G272*255,H272*255,I272*255),"HOVER!")</f>
        <v>HOVER!</v>
      </c>
      <c r="K272">
        <f>E272/F272</f>
        <v>2</v>
      </c>
    </row>
    <row r="273" spans="1:11" ht="15" x14ac:dyDescent="0.35">
      <c r="A273">
        <f t="shared" si="8"/>
        <v>1</v>
      </c>
      <c r="B273">
        <f t="shared" si="9"/>
        <v>2.5</v>
      </c>
      <c r="C273" s="199" t="str">
        <f>B273&amp;LOOKUP(A273, Sheet2!$A$2:$A$11, Sheet2!$B$2:$B$11)</f>
        <v>2.5YR</v>
      </c>
      <c r="D273">
        <v>12.5</v>
      </c>
      <c r="E273">
        <v>6</v>
      </c>
      <c r="F273">
        <v>2</v>
      </c>
      <c r="G273">
        <v>0.3402</v>
      </c>
      <c r="H273">
        <v>0.12809999999999999</v>
      </c>
      <c r="I273">
        <v>6.8400000000000002E-2</v>
      </c>
      <c r="J273" s="1" t="str">
        <f>HYPERLINK(SetRGB(J273,G273*255,H273*255,I273*255),"HOVER!")</f>
        <v>HOVER!</v>
      </c>
      <c r="K273">
        <f>E273/F273</f>
        <v>3</v>
      </c>
    </row>
    <row r="274" spans="1:11" ht="15" x14ac:dyDescent="0.35">
      <c r="A274">
        <f t="shared" si="8"/>
        <v>1</v>
      </c>
      <c r="B274">
        <f t="shared" si="9"/>
        <v>2.5</v>
      </c>
      <c r="C274" s="199" t="str">
        <f>B274&amp;LOOKUP(A274, Sheet2!$A$2:$A$11, Sheet2!$B$2:$B$11)</f>
        <v>2.5YR</v>
      </c>
      <c r="D274">
        <v>12.5</v>
      </c>
      <c r="E274">
        <v>2</v>
      </c>
      <c r="F274">
        <v>3</v>
      </c>
      <c r="G274">
        <v>0.3553</v>
      </c>
      <c r="H274">
        <v>0.26340000000000002</v>
      </c>
      <c r="I274">
        <v>0.2326</v>
      </c>
      <c r="J274" s="1" t="str">
        <f>HYPERLINK(SetRGB(J274,G274*255,H274*255,I274*255),"HOVER!")</f>
        <v>HOVER!</v>
      </c>
      <c r="K274">
        <f>E274/F274</f>
        <v>0.66666666666666663</v>
      </c>
    </row>
    <row r="275" spans="1:11" ht="15" x14ac:dyDescent="0.35">
      <c r="A275">
        <f t="shared" si="8"/>
        <v>1</v>
      </c>
      <c r="B275">
        <f t="shared" si="9"/>
        <v>2.5</v>
      </c>
      <c r="C275" s="199" t="str">
        <f>B275&amp;LOOKUP(A275, Sheet2!$A$2:$A$11, Sheet2!$B$2:$B$11)</f>
        <v>2.5YR</v>
      </c>
      <c r="D275">
        <v>12.5</v>
      </c>
      <c r="E275">
        <v>4</v>
      </c>
      <c r="F275">
        <v>3</v>
      </c>
      <c r="G275">
        <v>0.40539999999999998</v>
      </c>
      <c r="H275">
        <v>0.24329999999999999</v>
      </c>
      <c r="I275">
        <v>0.18329999999999999</v>
      </c>
      <c r="J275" s="159" t="str">
        <f>HYPERLINK(SetRGB(J275,G275*255,H275*255,I275*255),"HOVER!")</f>
        <v>HOVER!</v>
      </c>
      <c r="K275">
        <f>E275/F275</f>
        <v>1.3333333333333333</v>
      </c>
    </row>
    <row r="276" spans="1:11" ht="15" x14ac:dyDescent="0.35">
      <c r="A276">
        <f t="shared" si="8"/>
        <v>1</v>
      </c>
      <c r="B276">
        <f t="shared" si="9"/>
        <v>2.5</v>
      </c>
      <c r="C276" s="199" t="str">
        <f>B276&amp;LOOKUP(A276, Sheet2!$A$2:$A$11, Sheet2!$B$2:$B$11)</f>
        <v>2.5YR</v>
      </c>
      <c r="D276">
        <v>12.5</v>
      </c>
      <c r="E276">
        <v>6</v>
      </c>
      <c r="F276">
        <v>3</v>
      </c>
      <c r="G276">
        <v>0.44779999999999998</v>
      </c>
      <c r="H276">
        <v>0.221</v>
      </c>
      <c r="I276">
        <v>0.12720000000000001</v>
      </c>
      <c r="J276" s="1" t="str">
        <f>HYPERLINK(SetRGB(J276,G276*255,H276*255,I276*255),"HOVER!")</f>
        <v>HOVER!</v>
      </c>
      <c r="K276">
        <f>E276/F276</f>
        <v>2</v>
      </c>
    </row>
    <row r="277" spans="1:11" ht="15" x14ac:dyDescent="0.35">
      <c r="A277">
        <f t="shared" si="8"/>
        <v>1</v>
      </c>
      <c r="B277">
        <f t="shared" si="9"/>
        <v>2.5</v>
      </c>
      <c r="C277" s="199" t="str">
        <f>B277&amp;LOOKUP(A277, Sheet2!$A$2:$A$11, Sheet2!$B$2:$B$11)</f>
        <v>2.5YR</v>
      </c>
      <c r="D277">
        <v>12.5</v>
      </c>
      <c r="E277">
        <v>8</v>
      </c>
      <c r="F277">
        <v>3</v>
      </c>
      <c r="G277">
        <v>0.4819</v>
      </c>
      <c r="H277">
        <v>0.19800000000000001</v>
      </c>
      <c r="I277">
        <v>5.6300000000000003E-2</v>
      </c>
      <c r="J277" s="1" t="str">
        <f>HYPERLINK(SetRGB(J277,G277*255,H277*255,I277*255),"HOVER!")</f>
        <v>HOVER!</v>
      </c>
      <c r="K277">
        <f>E277/F277</f>
        <v>2.6666666666666665</v>
      </c>
    </row>
    <row r="278" spans="1:11" ht="15" x14ac:dyDescent="0.35">
      <c r="A278">
        <f t="shared" si="8"/>
        <v>1</v>
      </c>
      <c r="B278">
        <f t="shared" si="9"/>
        <v>2.5</v>
      </c>
      <c r="C278" s="199" t="str">
        <f>B278&amp;LOOKUP(A278, Sheet2!$A$2:$A$11, Sheet2!$B$2:$B$11)</f>
        <v>2.5YR</v>
      </c>
      <c r="D278">
        <v>12.5</v>
      </c>
      <c r="E278">
        <v>2</v>
      </c>
      <c r="F278">
        <v>4</v>
      </c>
      <c r="G278">
        <v>0.4546</v>
      </c>
      <c r="H278">
        <v>0.36120000000000002</v>
      </c>
      <c r="I278">
        <v>0.3261</v>
      </c>
      <c r="J278" s="1" t="str">
        <f>HYPERLINK(SetRGB(J278,G278*255,H278*255,I278*255),"HOVER!")</f>
        <v>HOVER!</v>
      </c>
      <c r="K278">
        <f>E278/F278</f>
        <v>0.5</v>
      </c>
    </row>
    <row r="279" spans="1:11" ht="15" x14ac:dyDescent="0.35">
      <c r="A279">
        <f t="shared" si="8"/>
        <v>1</v>
      </c>
      <c r="B279">
        <f t="shared" si="9"/>
        <v>2.5</v>
      </c>
      <c r="C279" s="199" t="str">
        <f>B279&amp;LOOKUP(A279, Sheet2!$A$2:$A$11, Sheet2!$B$2:$B$11)</f>
        <v>2.5YR</v>
      </c>
      <c r="D279">
        <v>12.5</v>
      </c>
      <c r="E279">
        <v>4</v>
      </c>
      <c r="F279">
        <v>4</v>
      </c>
      <c r="G279">
        <v>0.51170000000000004</v>
      </c>
      <c r="H279">
        <v>0.3407</v>
      </c>
      <c r="I279">
        <v>0.27089999999999997</v>
      </c>
      <c r="J279" s="1" t="str">
        <f>HYPERLINK(SetRGB(J279,G279*255,H279*255,I279*255),"HOVER!")</f>
        <v>HOVER!</v>
      </c>
      <c r="K279">
        <f>E279/F279</f>
        <v>1</v>
      </c>
    </row>
    <row r="280" spans="1:11" ht="15" x14ac:dyDescent="0.35">
      <c r="A280">
        <f t="shared" si="8"/>
        <v>1</v>
      </c>
      <c r="B280">
        <f t="shared" si="9"/>
        <v>2.5</v>
      </c>
      <c r="C280" s="199" t="str">
        <f>B280&amp;LOOKUP(A280, Sheet2!$A$2:$A$11, Sheet2!$B$2:$B$11)</f>
        <v>2.5YR</v>
      </c>
      <c r="D280">
        <v>12.5</v>
      </c>
      <c r="E280">
        <v>6</v>
      </c>
      <c r="F280">
        <v>4</v>
      </c>
      <c r="G280">
        <v>0.55589999999999995</v>
      </c>
      <c r="H280">
        <v>0.32090000000000002</v>
      </c>
      <c r="I280">
        <v>0.21540000000000001</v>
      </c>
      <c r="J280" s="1" t="str">
        <f>HYPERLINK(SetRGB(J280,G280*255,H280*255,I280*255),"HOVER!")</f>
        <v>HOVER!</v>
      </c>
      <c r="K280">
        <f>E280/F280</f>
        <v>1.5</v>
      </c>
    </row>
    <row r="281" spans="1:11" ht="15" x14ac:dyDescent="0.35">
      <c r="A281">
        <f t="shared" si="8"/>
        <v>1</v>
      </c>
      <c r="B281">
        <f t="shared" si="9"/>
        <v>2.5</v>
      </c>
      <c r="C281" s="199" t="str">
        <f>B281&amp;LOOKUP(A281, Sheet2!$A$2:$A$11, Sheet2!$B$2:$B$11)</f>
        <v>2.5YR</v>
      </c>
      <c r="D281">
        <v>12.5</v>
      </c>
      <c r="E281">
        <v>8</v>
      </c>
      <c r="F281">
        <v>4</v>
      </c>
      <c r="G281">
        <v>0.59530000000000005</v>
      </c>
      <c r="H281">
        <v>0.29930000000000001</v>
      </c>
      <c r="I281">
        <v>0.15090000000000001</v>
      </c>
      <c r="J281" s="1" t="str">
        <f>HYPERLINK(SetRGB(J281,G281*255,H281*255,I281*255),"HOVER!")</f>
        <v>HOVER!</v>
      </c>
      <c r="K281">
        <f>E281/F281</f>
        <v>2</v>
      </c>
    </row>
    <row r="282" spans="1:11" ht="15" x14ac:dyDescent="0.35">
      <c r="A282">
        <f t="shared" si="8"/>
        <v>1</v>
      </c>
      <c r="B282">
        <f t="shared" si="9"/>
        <v>2.5</v>
      </c>
      <c r="C282" s="199" t="str">
        <f>B282&amp;LOOKUP(A282, Sheet2!$A$2:$A$11, Sheet2!$B$2:$B$11)</f>
        <v>2.5YR</v>
      </c>
      <c r="D282">
        <v>12.5</v>
      </c>
      <c r="E282">
        <v>10</v>
      </c>
      <c r="F282">
        <v>4</v>
      </c>
      <c r="G282">
        <v>0.627</v>
      </c>
      <c r="H282">
        <v>0.2787</v>
      </c>
      <c r="I282">
        <v>6.0699999999999997E-2</v>
      </c>
      <c r="J282" s="1" t="str">
        <f>HYPERLINK(SetRGB(J282,G282*255,H282*255,I282*255),"HOVER!")</f>
        <v>HOVER!</v>
      </c>
      <c r="K282">
        <f>E282/F282</f>
        <v>2.5</v>
      </c>
    </row>
    <row r="283" spans="1:11" ht="15" x14ac:dyDescent="0.35">
      <c r="A283">
        <f t="shared" si="8"/>
        <v>1</v>
      </c>
      <c r="B283">
        <f t="shared" si="9"/>
        <v>2.5</v>
      </c>
      <c r="C283" s="199" t="str">
        <f>B283&amp;LOOKUP(A283, Sheet2!$A$2:$A$11, Sheet2!$B$2:$B$11)</f>
        <v>2.5YR</v>
      </c>
      <c r="D283">
        <v>12.5</v>
      </c>
      <c r="E283">
        <v>2</v>
      </c>
      <c r="F283">
        <v>5</v>
      </c>
      <c r="G283">
        <v>0.55230000000000001</v>
      </c>
      <c r="H283">
        <v>0.46389999999999998</v>
      </c>
      <c r="I283">
        <v>0.4274</v>
      </c>
      <c r="J283" s="1" t="str">
        <f>HYPERLINK(SetRGB(J283,G283*255,H283*255,I283*255),"HOVER!")</f>
        <v>HOVER!</v>
      </c>
      <c r="K283">
        <f>E283/F283</f>
        <v>0.4</v>
      </c>
    </row>
    <row r="284" spans="1:11" ht="15" x14ac:dyDescent="0.35">
      <c r="A284">
        <f t="shared" si="8"/>
        <v>1</v>
      </c>
      <c r="B284">
        <f t="shared" si="9"/>
        <v>2.5</v>
      </c>
      <c r="C284" s="199" t="str">
        <f>B284&amp;LOOKUP(A284, Sheet2!$A$2:$A$11, Sheet2!$B$2:$B$11)</f>
        <v>2.5YR</v>
      </c>
      <c r="D284">
        <v>12.5</v>
      </c>
      <c r="E284">
        <v>4</v>
      </c>
      <c r="F284">
        <v>5</v>
      </c>
      <c r="G284">
        <v>0.6119</v>
      </c>
      <c r="H284">
        <v>0.4446</v>
      </c>
      <c r="I284">
        <v>0.37140000000000001</v>
      </c>
      <c r="J284" s="181" t="str">
        <f>HYPERLINK(SetRGB(J284,G284*255,H284*255,I284*255),"HOVER!")</f>
        <v>HOVER!</v>
      </c>
      <c r="K284">
        <f>E284/F284</f>
        <v>0.8</v>
      </c>
    </row>
    <row r="285" spans="1:11" ht="15" x14ac:dyDescent="0.35">
      <c r="A285">
        <f t="shared" si="8"/>
        <v>1</v>
      </c>
      <c r="B285">
        <f t="shared" si="9"/>
        <v>2.5</v>
      </c>
      <c r="C285" s="199" t="str">
        <f>B285&amp;LOOKUP(A285, Sheet2!$A$2:$A$11, Sheet2!$B$2:$B$11)</f>
        <v>2.5YR</v>
      </c>
      <c r="D285">
        <v>12.5</v>
      </c>
      <c r="E285">
        <v>6</v>
      </c>
      <c r="F285">
        <v>5</v>
      </c>
      <c r="G285">
        <v>0.66510000000000002</v>
      </c>
      <c r="H285">
        <v>0.42359999999999998</v>
      </c>
      <c r="I285">
        <v>0.30919999999999997</v>
      </c>
      <c r="J285" s="1" t="str">
        <f>HYPERLINK(SetRGB(J285,G285*255,H285*255,I285*255),"HOVER!")</f>
        <v>HOVER!</v>
      </c>
      <c r="K285">
        <f>E285/F285</f>
        <v>1.2</v>
      </c>
    </row>
    <row r="286" spans="1:11" ht="15" x14ac:dyDescent="0.35">
      <c r="A286">
        <f t="shared" si="8"/>
        <v>1</v>
      </c>
      <c r="B286">
        <f t="shared" si="9"/>
        <v>2.5</v>
      </c>
      <c r="C286" s="199" t="str">
        <f>B286&amp;LOOKUP(A286, Sheet2!$A$2:$A$11, Sheet2!$B$2:$B$11)</f>
        <v>2.5YR</v>
      </c>
      <c r="D286">
        <v>12.5</v>
      </c>
      <c r="E286">
        <v>8</v>
      </c>
      <c r="F286">
        <v>5</v>
      </c>
      <c r="G286">
        <v>0.71189999999999998</v>
      </c>
      <c r="H286">
        <v>0.4012</v>
      </c>
      <c r="I286">
        <v>0.2409</v>
      </c>
      <c r="J286" s="1" t="str">
        <f>HYPERLINK(SetRGB(J286,G286*255,H286*255,I286*255),"HOVER!")</f>
        <v>HOVER!</v>
      </c>
      <c r="K286">
        <f>E286/F286</f>
        <v>1.6</v>
      </c>
    </row>
    <row r="287" spans="1:11" ht="15" x14ac:dyDescent="0.35">
      <c r="A287">
        <f t="shared" si="8"/>
        <v>1</v>
      </c>
      <c r="B287">
        <f t="shared" si="9"/>
        <v>2.5</v>
      </c>
      <c r="C287" s="199" t="str">
        <f>B287&amp;LOOKUP(A287, Sheet2!$A$2:$A$11, Sheet2!$B$2:$B$11)</f>
        <v>2.5YR</v>
      </c>
      <c r="D287">
        <v>12.5</v>
      </c>
      <c r="E287">
        <v>10</v>
      </c>
      <c r="F287">
        <v>5</v>
      </c>
      <c r="G287">
        <v>0.75029999999999997</v>
      </c>
      <c r="H287">
        <v>0.3795</v>
      </c>
      <c r="I287">
        <v>0.16450000000000001</v>
      </c>
      <c r="J287" s="1" t="str">
        <f>HYPERLINK(SetRGB(J287,G287*255,H287*255,I287*255),"HOVER!")</f>
        <v>HOVER!</v>
      </c>
      <c r="K287">
        <f>E287/F287</f>
        <v>2</v>
      </c>
    </row>
    <row r="288" spans="1:11" ht="15" x14ac:dyDescent="0.35">
      <c r="A288">
        <f t="shared" si="8"/>
        <v>1</v>
      </c>
      <c r="B288">
        <f t="shared" si="9"/>
        <v>2.5</v>
      </c>
      <c r="C288" s="199" t="str">
        <f>B288&amp;LOOKUP(A288, Sheet2!$A$2:$A$11, Sheet2!$B$2:$B$11)</f>
        <v>2.5YR</v>
      </c>
      <c r="D288">
        <v>12.5</v>
      </c>
      <c r="E288">
        <v>12</v>
      </c>
      <c r="F288">
        <v>5</v>
      </c>
      <c r="G288">
        <v>0.77890000000000004</v>
      </c>
      <c r="H288">
        <v>0.36109999999999998</v>
      </c>
      <c r="I288">
        <v>5.6899999999999999E-2</v>
      </c>
      <c r="J288" s="1" t="str">
        <f>HYPERLINK(SetRGB(J288,G288*255,H288*255,I288*255),"HOVER!")</f>
        <v>HOVER!</v>
      </c>
      <c r="K288">
        <f>E288/F288</f>
        <v>2.4</v>
      </c>
    </row>
    <row r="289" spans="1:11" ht="15" x14ac:dyDescent="0.35">
      <c r="A289">
        <f t="shared" si="8"/>
        <v>1</v>
      </c>
      <c r="B289">
        <f t="shared" si="9"/>
        <v>2.5</v>
      </c>
      <c r="C289" s="199" t="str">
        <f>B289&amp;LOOKUP(A289, Sheet2!$A$2:$A$11, Sheet2!$B$2:$B$11)</f>
        <v>2.5YR</v>
      </c>
      <c r="D289">
        <v>12.5</v>
      </c>
      <c r="E289">
        <v>2</v>
      </c>
      <c r="F289">
        <v>6</v>
      </c>
      <c r="G289">
        <v>0.65720000000000001</v>
      </c>
      <c r="H289">
        <v>0.56610000000000005</v>
      </c>
      <c r="I289">
        <v>0.52669999999999995</v>
      </c>
      <c r="J289" s="2" t="str">
        <f>HYPERLINK(SetRGB(J289,G289*255,H289*255,I289*255),"HOVER!")</f>
        <v>HOVER!</v>
      </c>
      <c r="K289">
        <f>E289/F289</f>
        <v>0.33333333333333331</v>
      </c>
    </row>
    <row r="290" spans="1:11" ht="15" x14ac:dyDescent="0.35">
      <c r="A290">
        <f t="shared" si="8"/>
        <v>1</v>
      </c>
      <c r="B290">
        <f t="shared" si="9"/>
        <v>2.5</v>
      </c>
      <c r="C290" s="199" t="str">
        <f>B290&amp;LOOKUP(A290, Sheet2!$A$2:$A$11, Sheet2!$B$2:$B$11)</f>
        <v>2.5YR</v>
      </c>
      <c r="D290">
        <v>12.5</v>
      </c>
      <c r="E290">
        <v>4</v>
      </c>
      <c r="F290">
        <v>6</v>
      </c>
      <c r="G290">
        <v>0.71760000000000002</v>
      </c>
      <c r="H290">
        <v>0.54779999999999995</v>
      </c>
      <c r="I290">
        <v>0.46899999999999997</v>
      </c>
      <c r="J290" s="196" t="str">
        <f>HYPERLINK(SetRGB(J290,G290*255,H290*255,I290*255),"HOVER!")</f>
        <v>HOVER!</v>
      </c>
      <c r="K290">
        <f>E290/F290</f>
        <v>0.66666666666666663</v>
      </c>
    </row>
    <row r="291" spans="1:11" ht="15" x14ac:dyDescent="0.35">
      <c r="A291">
        <f t="shared" si="8"/>
        <v>1</v>
      </c>
      <c r="B291">
        <f t="shared" si="9"/>
        <v>2.5</v>
      </c>
      <c r="C291" s="199" t="str">
        <f>B291&amp;LOOKUP(A291, Sheet2!$A$2:$A$11, Sheet2!$B$2:$B$11)</f>
        <v>2.5YR</v>
      </c>
      <c r="D291">
        <v>12.5</v>
      </c>
      <c r="E291">
        <v>6</v>
      </c>
      <c r="F291">
        <v>6</v>
      </c>
      <c r="G291">
        <v>0.77390000000000003</v>
      </c>
      <c r="H291">
        <v>0.5272</v>
      </c>
      <c r="I291">
        <v>0.40689999999999998</v>
      </c>
      <c r="J291" s="2" t="str">
        <f>HYPERLINK(SetRGB(J291,G291*255,H291*255,I291*255),"HOVER!")</f>
        <v>HOVER!</v>
      </c>
      <c r="K291">
        <f>E291/F291</f>
        <v>1</v>
      </c>
    </row>
    <row r="292" spans="1:11" ht="15" x14ac:dyDescent="0.35">
      <c r="A292">
        <f t="shared" si="8"/>
        <v>1</v>
      </c>
      <c r="B292">
        <f t="shared" si="9"/>
        <v>2.5</v>
      </c>
      <c r="C292" s="199" t="str">
        <f>B292&amp;LOOKUP(A292, Sheet2!$A$2:$A$11, Sheet2!$B$2:$B$11)</f>
        <v>2.5YR</v>
      </c>
      <c r="D292">
        <v>12.5</v>
      </c>
      <c r="E292">
        <v>8</v>
      </c>
      <c r="F292">
        <v>6</v>
      </c>
      <c r="G292">
        <v>0.82189999999999996</v>
      </c>
      <c r="H292">
        <v>0.50660000000000005</v>
      </c>
      <c r="I292">
        <v>0.34439999999999998</v>
      </c>
      <c r="J292" s="2" t="str">
        <f>HYPERLINK(SetRGB(J292,G292*255,H292*255,I292*255),"HOVER!")</f>
        <v>HOVER!</v>
      </c>
      <c r="K292">
        <f>E292/F292</f>
        <v>1.3333333333333333</v>
      </c>
    </row>
    <row r="293" spans="1:11" ht="15" x14ac:dyDescent="0.35">
      <c r="A293">
        <f t="shared" si="8"/>
        <v>1</v>
      </c>
      <c r="B293">
        <f t="shared" si="9"/>
        <v>2.5</v>
      </c>
      <c r="C293" s="199" t="str">
        <f>B293&amp;LOOKUP(A293, Sheet2!$A$2:$A$11, Sheet2!$B$2:$B$11)</f>
        <v>2.5YR</v>
      </c>
      <c r="D293">
        <v>12.5</v>
      </c>
      <c r="E293">
        <v>10</v>
      </c>
      <c r="F293">
        <v>6</v>
      </c>
      <c r="G293">
        <v>0.86619999999999997</v>
      </c>
      <c r="H293">
        <v>0.48459999999999998</v>
      </c>
      <c r="I293">
        <v>0.2707</v>
      </c>
      <c r="J293" s="158" t="str">
        <f>HYPERLINK(SetRGB(J293,G293*255,H293*255,I293*255),"HOVER!")</f>
        <v>HOVER!</v>
      </c>
      <c r="K293">
        <f>E293/F293</f>
        <v>1.6666666666666667</v>
      </c>
    </row>
    <row r="294" spans="1:11" ht="15" x14ac:dyDescent="0.35">
      <c r="A294">
        <f t="shared" si="8"/>
        <v>1</v>
      </c>
      <c r="B294">
        <f t="shared" si="9"/>
        <v>2.5</v>
      </c>
      <c r="C294" s="199" t="str">
        <f>B294&amp;LOOKUP(A294, Sheet2!$A$2:$A$11, Sheet2!$B$2:$B$11)</f>
        <v>2.5YR</v>
      </c>
      <c r="D294">
        <v>12.5</v>
      </c>
      <c r="E294">
        <v>12</v>
      </c>
      <c r="F294">
        <v>6</v>
      </c>
      <c r="G294">
        <v>0.90329999999999999</v>
      </c>
      <c r="H294">
        <v>0.46360000000000001</v>
      </c>
      <c r="I294">
        <v>0.18260000000000001</v>
      </c>
      <c r="J294" s="182" t="str">
        <f>HYPERLINK(SetRGB(J294,G294*255,H294*255,I294*255),"HOVER!")</f>
        <v>HOVER!</v>
      </c>
      <c r="K294">
        <f>E294/F294</f>
        <v>2</v>
      </c>
    </row>
    <row r="295" spans="1:11" ht="15" x14ac:dyDescent="0.35">
      <c r="A295">
        <f t="shared" si="8"/>
        <v>1</v>
      </c>
      <c r="B295">
        <f t="shared" si="9"/>
        <v>2.5</v>
      </c>
      <c r="C295" s="199" t="str">
        <f>B295&amp;LOOKUP(A295, Sheet2!$A$2:$A$11, Sheet2!$B$2:$B$11)</f>
        <v>2.5YR</v>
      </c>
      <c r="D295">
        <v>12.5</v>
      </c>
      <c r="E295">
        <v>14</v>
      </c>
      <c r="F295">
        <v>6</v>
      </c>
      <c r="G295">
        <v>0.93320000000000003</v>
      </c>
      <c r="H295">
        <v>0.44469999999999998</v>
      </c>
      <c r="I295">
        <v>3.95E-2</v>
      </c>
      <c r="J295" s="183" t="str">
        <f>HYPERLINK(SetRGB(J295,G295*255,H295*255,I295*255),"HOVER!")</f>
        <v>HOVER!</v>
      </c>
      <c r="K295">
        <f>E295/F295</f>
        <v>2.3333333333333335</v>
      </c>
    </row>
    <row r="296" spans="1:11" ht="15" x14ac:dyDescent="0.35">
      <c r="A296">
        <f t="shared" si="8"/>
        <v>1</v>
      </c>
      <c r="B296">
        <f t="shared" si="9"/>
        <v>2.5</v>
      </c>
      <c r="C296" s="199" t="str">
        <f>B296&amp;LOOKUP(A296, Sheet2!$A$2:$A$11, Sheet2!$B$2:$B$11)</f>
        <v>2.5YR</v>
      </c>
      <c r="D296">
        <v>12.5</v>
      </c>
      <c r="E296">
        <v>2</v>
      </c>
      <c r="F296">
        <v>7</v>
      </c>
      <c r="G296">
        <v>0.75819999999999999</v>
      </c>
      <c r="H296">
        <v>0.67049999999999998</v>
      </c>
      <c r="I296">
        <v>0.63149999999999995</v>
      </c>
      <c r="J296" s="184" t="str">
        <f>HYPERLINK(SetRGB(J296,G296*255,H296*255,I296*255),"HOVER!")</f>
        <v>HOVER!</v>
      </c>
      <c r="K296">
        <f>E296/F296</f>
        <v>0.2857142857142857</v>
      </c>
    </row>
    <row r="297" spans="1:11" ht="15" x14ac:dyDescent="0.35">
      <c r="A297">
        <f t="shared" si="8"/>
        <v>1</v>
      </c>
      <c r="B297">
        <f t="shared" si="9"/>
        <v>2.5</v>
      </c>
      <c r="C297" s="199" t="str">
        <f>B297&amp;LOOKUP(A297, Sheet2!$A$2:$A$11, Sheet2!$B$2:$B$11)</f>
        <v>2.5YR</v>
      </c>
      <c r="D297">
        <v>12.5</v>
      </c>
      <c r="E297">
        <v>4</v>
      </c>
      <c r="F297">
        <v>7</v>
      </c>
      <c r="G297">
        <v>0.82399999999999995</v>
      </c>
      <c r="H297">
        <v>0.65159999999999996</v>
      </c>
      <c r="I297">
        <v>0.56930000000000003</v>
      </c>
      <c r="J297" s="185" t="str">
        <f>HYPERLINK(SetRGB(J297,G297*255,H297*255,I297*255),"HOVER!")</f>
        <v>HOVER!</v>
      </c>
      <c r="K297">
        <f>E297/F297</f>
        <v>0.5714285714285714</v>
      </c>
    </row>
    <row r="298" spans="1:11" ht="15" x14ac:dyDescent="0.35">
      <c r="A298">
        <f t="shared" si="8"/>
        <v>1</v>
      </c>
      <c r="B298">
        <f t="shared" si="9"/>
        <v>2.5</v>
      </c>
      <c r="C298" s="199" t="str">
        <f>B298&amp;LOOKUP(A298, Sheet2!$A$2:$A$11, Sheet2!$B$2:$B$11)</f>
        <v>2.5YR</v>
      </c>
      <c r="D298">
        <v>12.5</v>
      </c>
      <c r="E298">
        <v>6</v>
      </c>
      <c r="F298">
        <v>7</v>
      </c>
      <c r="G298">
        <v>0.88429999999999997</v>
      </c>
      <c r="H298">
        <v>0.63100000000000001</v>
      </c>
      <c r="I298">
        <v>0.50360000000000005</v>
      </c>
      <c r="J298" s="186" t="str">
        <f>HYPERLINK(SetRGB(J298,G298*255,H298*255,I298*255),"HOVER!")</f>
        <v>HOVER!</v>
      </c>
      <c r="K298">
        <f>E298/F298</f>
        <v>0.8571428571428571</v>
      </c>
    </row>
    <row r="299" spans="1:11" ht="15" x14ac:dyDescent="0.35">
      <c r="A299">
        <f t="shared" si="8"/>
        <v>1</v>
      </c>
      <c r="B299">
        <f t="shared" si="9"/>
        <v>2.5</v>
      </c>
      <c r="C299" s="199" t="str">
        <f>B299&amp;LOOKUP(A299, Sheet2!$A$2:$A$11, Sheet2!$B$2:$B$11)</f>
        <v>2.5YR</v>
      </c>
      <c r="D299">
        <v>12.5</v>
      </c>
      <c r="E299">
        <v>8</v>
      </c>
      <c r="F299">
        <v>7</v>
      </c>
      <c r="G299">
        <v>0.93540000000000001</v>
      </c>
      <c r="H299">
        <v>0.61060000000000003</v>
      </c>
      <c r="I299">
        <v>0.43880000000000002</v>
      </c>
      <c r="J299" s="187" t="str">
        <f>HYPERLINK(SetRGB(J299,G299*255,H299*255,I299*255),"HOVER!")</f>
        <v>HOVER!</v>
      </c>
      <c r="K299">
        <f>E299/F299</f>
        <v>1.1428571428571428</v>
      </c>
    </row>
    <row r="300" spans="1:11" ht="15" x14ac:dyDescent="0.35">
      <c r="A300">
        <f t="shared" si="8"/>
        <v>1</v>
      </c>
      <c r="B300">
        <f t="shared" si="9"/>
        <v>2.5</v>
      </c>
      <c r="C300" s="199" t="str">
        <f>B300&amp;LOOKUP(A300, Sheet2!$A$2:$A$11, Sheet2!$B$2:$B$11)</f>
        <v>2.5YR</v>
      </c>
      <c r="D300">
        <v>12.5</v>
      </c>
      <c r="E300">
        <v>10</v>
      </c>
      <c r="F300">
        <v>7</v>
      </c>
      <c r="G300">
        <v>0.98040000000000005</v>
      </c>
      <c r="H300">
        <v>0.59009999999999996</v>
      </c>
      <c r="I300">
        <v>0.3725</v>
      </c>
      <c r="J300" s="188" t="str">
        <f>HYPERLINK(SetRGB(J300,G300*255,H300*255,I300*255),"HOVER!")</f>
        <v>HOVER!</v>
      </c>
      <c r="K300">
        <f>E300/F300</f>
        <v>1.4285714285714286</v>
      </c>
    </row>
    <row r="301" spans="1:11" ht="15" x14ac:dyDescent="0.35">
      <c r="A301">
        <f t="shared" si="8"/>
        <v>1</v>
      </c>
      <c r="B301">
        <f t="shared" si="9"/>
        <v>2.5</v>
      </c>
      <c r="C301" s="199" t="str">
        <f>B301&amp;LOOKUP(A301, Sheet2!$A$2:$A$11, Sheet2!$B$2:$B$11)</f>
        <v>2.5YR</v>
      </c>
      <c r="D301">
        <v>12.5</v>
      </c>
      <c r="E301">
        <v>12</v>
      </c>
      <c r="F301">
        <v>7</v>
      </c>
      <c r="G301">
        <v>1</v>
      </c>
      <c r="H301">
        <v>0.56710000000000005</v>
      </c>
      <c r="I301">
        <v>0.28420000000000001</v>
      </c>
      <c r="J301" s="189" t="str">
        <f>HYPERLINK(SetRGB(J301,G301*255,H301*255,I301*255),"HOVER!")</f>
        <v>HOVER!</v>
      </c>
      <c r="K301">
        <f>E301/F301</f>
        <v>1.7142857142857142</v>
      </c>
    </row>
    <row r="302" spans="1:11" ht="15" x14ac:dyDescent="0.35">
      <c r="A302">
        <f t="shared" si="8"/>
        <v>1</v>
      </c>
      <c r="B302">
        <f t="shared" si="9"/>
        <v>2.5</v>
      </c>
      <c r="C302" s="199" t="str">
        <f>B302&amp;LOOKUP(A302, Sheet2!$A$2:$A$11, Sheet2!$B$2:$B$11)</f>
        <v>2.5YR</v>
      </c>
      <c r="D302">
        <v>12.5</v>
      </c>
      <c r="E302">
        <v>14</v>
      </c>
      <c r="F302">
        <v>7</v>
      </c>
      <c r="G302">
        <v>1</v>
      </c>
      <c r="H302">
        <v>0.5454</v>
      </c>
      <c r="I302">
        <v>0.17069999999999999</v>
      </c>
      <c r="J302" s="190" t="str">
        <f>HYPERLINK(SetRGB(J302,G302*255,H302*255,I302*255),"HOVER!")</f>
        <v>HOVER!</v>
      </c>
      <c r="K302">
        <f>E302/F302</f>
        <v>2</v>
      </c>
    </row>
    <row r="303" spans="1:11" ht="15" x14ac:dyDescent="0.35">
      <c r="A303">
        <f t="shared" si="8"/>
        <v>1</v>
      </c>
      <c r="B303">
        <f t="shared" si="9"/>
        <v>2.5</v>
      </c>
      <c r="C303" s="199" t="str">
        <f>B303&amp;LOOKUP(A303, Sheet2!$A$2:$A$11, Sheet2!$B$2:$B$11)</f>
        <v>2.5YR</v>
      </c>
      <c r="D303">
        <v>12.5</v>
      </c>
      <c r="E303">
        <v>2</v>
      </c>
      <c r="F303">
        <v>8</v>
      </c>
      <c r="G303">
        <v>0.85709999999999997</v>
      </c>
      <c r="H303">
        <v>0.7772</v>
      </c>
      <c r="I303">
        <v>0.7399</v>
      </c>
      <c r="J303" s="191" t="str">
        <f>HYPERLINK(SetRGB(J303,G303*255,H303*255,I303*255),"HOVER!")</f>
        <v>HOVER!</v>
      </c>
      <c r="K303">
        <f>E303/F303</f>
        <v>0.25</v>
      </c>
    </row>
    <row r="304" spans="1:11" ht="15" x14ac:dyDescent="0.35">
      <c r="A304">
        <f t="shared" si="8"/>
        <v>1</v>
      </c>
      <c r="B304">
        <f t="shared" si="9"/>
        <v>2.5</v>
      </c>
      <c r="C304" s="199" t="str">
        <f>B304&amp;LOOKUP(A304, Sheet2!$A$2:$A$11, Sheet2!$B$2:$B$11)</f>
        <v>2.5YR</v>
      </c>
      <c r="D304">
        <v>12.5</v>
      </c>
      <c r="E304">
        <v>4</v>
      </c>
      <c r="F304">
        <v>8</v>
      </c>
      <c r="G304">
        <v>0.93530000000000002</v>
      </c>
      <c r="H304">
        <v>0.75560000000000005</v>
      </c>
      <c r="I304">
        <v>0.66549999999999998</v>
      </c>
      <c r="J304" s="192" t="str">
        <f>HYPERLINK(SetRGB(J304,G304*255,H304*255,I304*255),"HOVER!")</f>
        <v>HOVER!</v>
      </c>
      <c r="K304">
        <f>E304/F304</f>
        <v>0.5</v>
      </c>
    </row>
    <row r="305" spans="1:11" ht="15" x14ac:dyDescent="0.35">
      <c r="A305">
        <f t="shared" si="8"/>
        <v>1</v>
      </c>
      <c r="B305">
        <f t="shared" si="9"/>
        <v>2.5</v>
      </c>
      <c r="C305" s="199" t="str">
        <f>B305&amp;LOOKUP(A305, Sheet2!$A$2:$A$11, Sheet2!$B$2:$B$11)</f>
        <v>2.5YR</v>
      </c>
      <c r="D305">
        <v>12.5</v>
      </c>
      <c r="E305">
        <v>6</v>
      </c>
      <c r="F305">
        <v>8</v>
      </c>
      <c r="G305">
        <v>0.99629999999999996</v>
      </c>
      <c r="H305">
        <v>0.73560000000000003</v>
      </c>
      <c r="I305">
        <v>0.60050000000000003</v>
      </c>
      <c r="J305" s="157" t="str">
        <f>HYPERLINK(SetRGB(J305,G305*255,H305*255,I305*255),"HOVER!")</f>
        <v>HOVER!</v>
      </c>
      <c r="K305">
        <f>E305/F305</f>
        <v>0.75</v>
      </c>
    </row>
    <row r="306" spans="1:11" ht="15" x14ac:dyDescent="0.35">
      <c r="A306">
        <f t="shared" si="8"/>
        <v>1</v>
      </c>
      <c r="B306">
        <f t="shared" si="9"/>
        <v>2.5</v>
      </c>
      <c r="C306" s="199" t="str">
        <f>B306&amp;LOOKUP(A306, Sheet2!$A$2:$A$11, Sheet2!$B$2:$B$11)</f>
        <v>2.5YR</v>
      </c>
      <c r="D306">
        <v>12.5</v>
      </c>
      <c r="E306">
        <v>8</v>
      </c>
      <c r="F306">
        <v>8</v>
      </c>
      <c r="G306">
        <v>1</v>
      </c>
      <c r="H306">
        <v>0.71340000000000003</v>
      </c>
      <c r="I306">
        <v>0.52759999999999996</v>
      </c>
      <c r="J306" s="193" t="str">
        <f>HYPERLINK(SetRGB(J306,G306*255,H306*255,I306*255),"HOVER!")</f>
        <v>HOVER!</v>
      </c>
      <c r="K306">
        <f>E306/F306</f>
        <v>1</v>
      </c>
    </row>
    <row r="307" spans="1:11" ht="15" x14ac:dyDescent="0.35">
      <c r="A307">
        <f t="shared" si="8"/>
        <v>1</v>
      </c>
      <c r="B307">
        <f t="shared" si="9"/>
        <v>2.5</v>
      </c>
      <c r="C307" s="199" t="str">
        <f>B307&amp;LOOKUP(A307, Sheet2!$A$2:$A$11, Sheet2!$B$2:$B$11)</f>
        <v>2.5YR</v>
      </c>
      <c r="D307">
        <v>12.5</v>
      </c>
      <c r="E307">
        <v>10</v>
      </c>
      <c r="F307">
        <v>8</v>
      </c>
      <c r="G307">
        <v>1</v>
      </c>
      <c r="H307">
        <v>0.69399999999999995</v>
      </c>
      <c r="I307">
        <v>0.45629999999999998</v>
      </c>
      <c r="J307" s="194" t="str">
        <f>HYPERLINK(SetRGB(J307,G307*255,H307*255,I307*255),"HOVER!")</f>
        <v>HOVER!</v>
      </c>
      <c r="K307">
        <f>E307/F307</f>
        <v>1.25</v>
      </c>
    </row>
    <row r="308" spans="1:11" ht="15" x14ac:dyDescent="0.35">
      <c r="A308">
        <f t="shared" si="8"/>
        <v>1</v>
      </c>
      <c r="B308">
        <f t="shared" si="9"/>
        <v>2.5</v>
      </c>
      <c r="C308" s="199" t="str">
        <f>B308&amp;LOOKUP(A308, Sheet2!$A$2:$A$11, Sheet2!$B$2:$B$11)</f>
        <v>2.5YR</v>
      </c>
      <c r="D308">
        <v>12.5</v>
      </c>
      <c r="E308">
        <v>12</v>
      </c>
      <c r="F308">
        <v>8</v>
      </c>
      <c r="G308">
        <v>1</v>
      </c>
      <c r="H308">
        <v>0.67049999999999998</v>
      </c>
      <c r="I308">
        <v>0.37180000000000002</v>
      </c>
      <c r="J308" s="156" t="str">
        <f>HYPERLINK(SetRGB(J308,G308*255,H308*255,I308*255),"HOVER!")</f>
        <v>HOVER!</v>
      </c>
      <c r="K308">
        <f>E308/F308</f>
        <v>1.5</v>
      </c>
    </row>
    <row r="309" spans="1:11" ht="15" x14ac:dyDescent="0.35">
      <c r="A309">
        <f t="shared" si="8"/>
        <v>1</v>
      </c>
      <c r="B309">
        <f t="shared" si="9"/>
        <v>2.5</v>
      </c>
      <c r="C309" s="199" t="str">
        <f>B309&amp;LOOKUP(A309, Sheet2!$A$2:$A$11, Sheet2!$B$2:$B$11)</f>
        <v>2.5YR</v>
      </c>
      <c r="D309">
        <v>12.5</v>
      </c>
      <c r="E309">
        <v>2</v>
      </c>
      <c r="F309">
        <v>9</v>
      </c>
      <c r="G309">
        <v>0.96740000000000004</v>
      </c>
      <c r="H309">
        <v>0.88390000000000002</v>
      </c>
      <c r="I309">
        <v>0.84299999999999997</v>
      </c>
      <c r="J309" s="195" t="str">
        <f>HYPERLINK(SetRGB(J309,G309*255,H309*255,I309*255),"HOVER!")</f>
        <v>HOVER!</v>
      </c>
      <c r="K309">
        <f>E309/F309</f>
        <v>0.22222222222222221</v>
      </c>
    </row>
    <row r="310" spans="1:11" ht="15" x14ac:dyDescent="0.35">
      <c r="A310">
        <f t="shared" si="8"/>
        <v>1</v>
      </c>
      <c r="B310">
        <f t="shared" si="9"/>
        <v>2.5</v>
      </c>
      <c r="C310" s="199" t="str">
        <f>B310&amp;LOOKUP(A310, Sheet2!$A$2:$A$11, Sheet2!$B$2:$B$11)</f>
        <v>2.5YR</v>
      </c>
      <c r="D310">
        <v>12.5</v>
      </c>
      <c r="E310">
        <v>4</v>
      </c>
      <c r="F310">
        <v>9</v>
      </c>
      <c r="G310">
        <v>1</v>
      </c>
      <c r="H310">
        <v>0.86050000000000004</v>
      </c>
      <c r="I310">
        <v>0.76200000000000001</v>
      </c>
      <c r="J310" s="2" t="str">
        <f>HYPERLINK(SetRGB(J310,G310*255,H310*255,I310*255),"HOVER!")</f>
        <v>HOVER!</v>
      </c>
      <c r="K310">
        <f>E310/F310</f>
        <v>0.44444444444444442</v>
      </c>
    </row>
    <row r="311" spans="1:11" ht="15" x14ac:dyDescent="0.35">
      <c r="A311">
        <f t="shared" si="8"/>
        <v>1</v>
      </c>
      <c r="B311">
        <f t="shared" si="9"/>
        <v>2.5</v>
      </c>
      <c r="C311" s="199" t="str">
        <f>B311&amp;LOOKUP(A311, Sheet2!$A$2:$A$11, Sheet2!$B$2:$B$11)</f>
        <v>2.5YR</v>
      </c>
      <c r="D311">
        <v>12.5</v>
      </c>
      <c r="E311">
        <v>6</v>
      </c>
      <c r="F311">
        <v>9</v>
      </c>
      <c r="G311">
        <v>1</v>
      </c>
      <c r="H311">
        <v>0.84009999999999996</v>
      </c>
      <c r="I311">
        <v>0.68740000000000001</v>
      </c>
      <c r="J311" s="2" t="str">
        <f>HYPERLINK(SetRGB(J311,G311*255,H311*255,I311*255),"HOVER!")</f>
        <v>HOVER!</v>
      </c>
      <c r="K311">
        <f>E311/F311</f>
        <v>0.66666666666666663</v>
      </c>
    </row>
    <row r="312" spans="1:11" ht="15" x14ac:dyDescent="0.35">
      <c r="A312">
        <f t="shared" si="8"/>
        <v>1</v>
      </c>
      <c r="B312">
        <f t="shared" si="9"/>
        <v>5</v>
      </c>
      <c r="C312" s="199" t="str">
        <f>B312&amp;LOOKUP(A312, Sheet2!$A$2:$A$11, Sheet2!$B$2:$B$11)</f>
        <v>5YR</v>
      </c>
      <c r="D312">
        <v>15</v>
      </c>
      <c r="E312">
        <v>2</v>
      </c>
      <c r="F312">
        <v>1</v>
      </c>
      <c r="G312">
        <v>0.17280000000000001</v>
      </c>
      <c r="H312">
        <v>9.2600000000000002E-2</v>
      </c>
      <c r="I312">
        <v>6.1499999999999999E-2</v>
      </c>
      <c r="J312" s="37" t="str">
        <f>HYPERLINK(SetRGB(J312,G312*255,H312*255,I312*255),"HOVER!")</f>
        <v>HOVER!</v>
      </c>
      <c r="K312">
        <f>E312/F312</f>
        <v>2</v>
      </c>
    </row>
    <row r="313" spans="1:11" ht="15" x14ac:dyDescent="0.35">
      <c r="A313">
        <f t="shared" si="8"/>
        <v>1</v>
      </c>
      <c r="B313">
        <f t="shared" si="9"/>
        <v>5</v>
      </c>
      <c r="C313" s="199" t="str">
        <f>B313&amp;LOOKUP(A313, Sheet2!$A$2:$A$11, Sheet2!$B$2:$B$11)</f>
        <v>5YR</v>
      </c>
      <c r="D313">
        <v>15</v>
      </c>
      <c r="E313">
        <v>2</v>
      </c>
      <c r="F313">
        <v>2</v>
      </c>
      <c r="G313">
        <v>0.25159999999999999</v>
      </c>
      <c r="H313">
        <v>0.17760000000000001</v>
      </c>
      <c r="I313">
        <v>0.1457</v>
      </c>
      <c r="J313" s="1" t="str">
        <f>HYPERLINK(SetRGB(J313,G313*255,H313*255,I313*255),"HOVER!")</f>
        <v>HOVER!</v>
      </c>
      <c r="K313">
        <f>E313/F313</f>
        <v>1</v>
      </c>
    </row>
    <row r="314" spans="1:11" ht="15" x14ac:dyDescent="0.35">
      <c r="A314">
        <f t="shared" si="8"/>
        <v>1</v>
      </c>
      <c r="B314">
        <f t="shared" si="9"/>
        <v>5</v>
      </c>
      <c r="C314" s="199" t="str">
        <f>B314&amp;LOOKUP(A314, Sheet2!$A$2:$A$11, Sheet2!$B$2:$B$11)</f>
        <v>5YR</v>
      </c>
      <c r="D314">
        <v>15</v>
      </c>
      <c r="E314">
        <v>4</v>
      </c>
      <c r="F314">
        <v>2</v>
      </c>
      <c r="G314">
        <v>0.29409999999999997</v>
      </c>
      <c r="H314">
        <v>0.16</v>
      </c>
      <c r="I314">
        <v>9.0800000000000006E-2</v>
      </c>
      <c r="J314" s="1" t="str">
        <f>HYPERLINK(SetRGB(J314,G314*255,H314*255,I314*255),"HOVER!")</f>
        <v>HOVER!</v>
      </c>
      <c r="K314">
        <f>E314/F314</f>
        <v>2</v>
      </c>
    </row>
    <row r="315" spans="1:11" ht="15" x14ac:dyDescent="0.35">
      <c r="A315">
        <f t="shared" si="8"/>
        <v>1</v>
      </c>
      <c r="B315">
        <f t="shared" si="9"/>
        <v>5</v>
      </c>
      <c r="C315" s="199" t="str">
        <f>B315&amp;LOOKUP(A315, Sheet2!$A$2:$A$11, Sheet2!$B$2:$B$11)</f>
        <v>5YR</v>
      </c>
      <c r="D315">
        <v>15</v>
      </c>
      <c r="E315">
        <v>6</v>
      </c>
      <c r="F315">
        <v>2</v>
      </c>
      <c r="G315">
        <v>0.32779999999999998</v>
      </c>
      <c r="H315">
        <v>0.1409</v>
      </c>
      <c r="I315">
        <v>3.8E-3</v>
      </c>
      <c r="J315" s="1" t="str">
        <f>HYPERLINK(SetRGB(J315,G315*255,H315*255,I315*255),"HOVER!")</f>
        <v>HOVER!</v>
      </c>
      <c r="K315">
        <f>E315/F315</f>
        <v>3</v>
      </c>
    </row>
    <row r="316" spans="1:11" ht="15" x14ac:dyDescent="0.35">
      <c r="A316">
        <f t="shared" si="8"/>
        <v>1</v>
      </c>
      <c r="B316">
        <f t="shared" si="9"/>
        <v>5</v>
      </c>
      <c r="C316" s="199" t="str">
        <f>B316&amp;LOOKUP(A316, Sheet2!$A$2:$A$11, Sheet2!$B$2:$B$11)</f>
        <v>5YR</v>
      </c>
      <c r="D316">
        <v>15</v>
      </c>
      <c r="E316">
        <v>2</v>
      </c>
      <c r="F316">
        <v>3</v>
      </c>
      <c r="G316">
        <v>0.3498</v>
      </c>
      <c r="H316">
        <v>0.2666</v>
      </c>
      <c r="I316">
        <v>0.22370000000000001</v>
      </c>
      <c r="J316" s="1" t="str">
        <f>HYPERLINK(SetRGB(J316,G316*255,H316*255,I316*255),"HOVER!")</f>
        <v>HOVER!</v>
      </c>
      <c r="K316">
        <f>E316/F316</f>
        <v>0.66666666666666663</v>
      </c>
    </row>
    <row r="317" spans="1:11" ht="15" x14ac:dyDescent="0.35">
      <c r="A317">
        <f t="shared" si="8"/>
        <v>1</v>
      </c>
      <c r="B317">
        <f t="shared" si="9"/>
        <v>5</v>
      </c>
      <c r="C317" s="199" t="str">
        <f>B317&amp;LOOKUP(A317, Sheet2!$A$2:$A$11, Sheet2!$B$2:$B$11)</f>
        <v>5YR</v>
      </c>
      <c r="D317">
        <v>15</v>
      </c>
      <c r="E317">
        <v>4</v>
      </c>
      <c r="F317">
        <v>3</v>
      </c>
      <c r="G317">
        <v>0.3947</v>
      </c>
      <c r="H317">
        <v>0.25030000000000002</v>
      </c>
      <c r="I317">
        <v>0.1663</v>
      </c>
      <c r="J317" s="1" t="str">
        <f>HYPERLINK(SetRGB(J317,G317*255,H317*255,I317*255),"HOVER!")</f>
        <v>HOVER!</v>
      </c>
      <c r="K317">
        <f>E317/F317</f>
        <v>1.3333333333333333</v>
      </c>
    </row>
    <row r="318" spans="1:11" ht="15" x14ac:dyDescent="0.35">
      <c r="A318">
        <f t="shared" si="8"/>
        <v>1</v>
      </c>
      <c r="B318">
        <f t="shared" si="9"/>
        <v>5</v>
      </c>
      <c r="C318" s="199" t="str">
        <f>B318&amp;LOOKUP(A318, Sheet2!$A$2:$A$11, Sheet2!$B$2:$B$11)</f>
        <v>5YR</v>
      </c>
      <c r="D318">
        <v>15</v>
      </c>
      <c r="E318">
        <v>6</v>
      </c>
      <c r="F318">
        <v>3</v>
      </c>
      <c r="G318">
        <v>0.43180000000000002</v>
      </c>
      <c r="H318">
        <v>0.23319999999999999</v>
      </c>
      <c r="I318">
        <v>9.64E-2</v>
      </c>
      <c r="J318" s="1" t="str">
        <f>HYPERLINK(SetRGB(J318,G318*255,H318*255,I318*255),"HOVER!")</f>
        <v>HOVER!</v>
      </c>
      <c r="K318">
        <f>E318/F318</f>
        <v>2</v>
      </c>
    </row>
    <row r="319" spans="1:11" ht="15" x14ac:dyDescent="0.35">
      <c r="A319">
        <f t="shared" si="8"/>
        <v>1</v>
      </c>
      <c r="B319">
        <f t="shared" si="9"/>
        <v>5</v>
      </c>
      <c r="C319" s="199" t="str">
        <f>B319&amp;LOOKUP(A319, Sheet2!$A$2:$A$11, Sheet2!$B$2:$B$11)</f>
        <v>5YR</v>
      </c>
      <c r="D319">
        <v>15</v>
      </c>
      <c r="E319">
        <v>2</v>
      </c>
      <c r="F319">
        <v>4</v>
      </c>
      <c r="G319">
        <v>0.45069999999999999</v>
      </c>
      <c r="H319">
        <v>0.36380000000000001</v>
      </c>
      <c r="I319">
        <v>0.31519999999999998</v>
      </c>
      <c r="J319" s="1" t="str">
        <f>HYPERLINK(SetRGB(J319,G319*255,H319*255,I319*255),"HOVER!")</f>
        <v>HOVER!</v>
      </c>
      <c r="K319">
        <f>E319/F319</f>
        <v>0.5</v>
      </c>
    </row>
    <row r="320" spans="1:11" ht="15" x14ac:dyDescent="0.35">
      <c r="A320">
        <f t="shared" si="8"/>
        <v>1</v>
      </c>
      <c r="B320">
        <f t="shared" si="9"/>
        <v>5</v>
      </c>
      <c r="C320" s="199" t="str">
        <f>B320&amp;LOOKUP(A320, Sheet2!$A$2:$A$11, Sheet2!$B$2:$B$11)</f>
        <v>5YR</v>
      </c>
      <c r="D320">
        <v>15</v>
      </c>
      <c r="E320">
        <v>4</v>
      </c>
      <c r="F320">
        <v>4</v>
      </c>
      <c r="G320">
        <v>0.50319999999999998</v>
      </c>
      <c r="H320">
        <v>0.34649999999999997</v>
      </c>
      <c r="I320">
        <v>0.24929999999999999</v>
      </c>
      <c r="J320" s="155" t="str">
        <f>HYPERLINK(SetRGB(J320,G320*255,H320*255,I320*255),"HOVER!")</f>
        <v>HOVER!</v>
      </c>
      <c r="K320">
        <f>E320/F320</f>
        <v>1</v>
      </c>
    </row>
    <row r="321" spans="1:11" ht="15" x14ac:dyDescent="0.35">
      <c r="A321">
        <f t="shared" si="8"/>
        <v>1</v>
      </c>
      <c r="B321">
        <f t="shared" si="9"/>
        <v>5</v>
      </c>
      <c r="C321" s="199" t="str">
        <f>B321&amp;LOOKUP(A321, Sheet2!$A$2:$A$11, Sheet2!$B$2:$B$11)</f>
        <v>5YR</v>
      </c>
      <c r="D321">
        <v>15</v>
      </c>
      <c r="E321">
        <v>6</v>
      </c>
      <c r="F321">
        <v>4</v>
      </c>
      <c r="G321">
        <v>0.54169999999999996</v>
      </c>
      <c r="H321">
        <v>0.33100000000000002</v>
      </c>
      <c r="I321">
        <v>0.18410000000000001</v>
      </c>
      <c r="J321" s="1" t="str">
        <f>HYPERLINK(SetRGB(J321,G321*255,H321*255,I321*255),"HOVER!")</f>
        <v>HOVER!</v>
      </c>
      <c r="K321">
        <f>E321/F321</f>
        <v>1.5</v>
      </c>
    </row>
    <row r="322" spans="1:11" ht="15" x14ac:dyDescent="0.35">
      <c r="A322">
        <f t="shared" si="8"/>
        <v>1</v>
      </c>
      <c r="B322">
        <f t="shared" si="9"/>
        <v>5</v>
      </c>
      <c r="C322" s="199" t="str">
        <f>B322&amp;LOOKUP(A322, Sheet2!$A$2:$A$11, Sheet2!$B$2:$B$11)</f>
        <v>5YR</v>
      </c>
      <c r="D322">
        <v>15</v>
      </c>
      <c r="E322">
        <v>8</v>
      </c>
      <c r="F322">
        <v>4</v>
      </c>
      <c r="G322">
        <v>0.57369999999999999</v>
      </c>
      <c r="H322">
        <v>0.31559999999999999</v>
      </c>
      <c r="I322">
        <v>0.10639999999999999</v>
      </c>
      <c r="J322" s="1" t="str">
        <f>HYPERLINK(SetRGB(J322,G322*255,H322*255,I322*255),"HOVER!")</f>
        <v>HOVER!</v>
      </c>
      <c r="K322">
        <f>E322/F322</f>
        <v>2</v>
      </c>
    </row>
    <row r="323" spans="1:11" ht="15" x14ac:dyDescent="0.35">
      <c r="A323">
        <f t="shared" si="8"/>
        <v>1</v>
      </c>
      <c r="B323">
        <f t="shared" si="9"/>
        <v>5</v>
      </c>
      <c r="C323" s="199" t="str">
        <f>B323&amp;LOOKUP(A323, Sheet2!$A$2:$A$11, Sheet2!$B$2:$B$11)</f>
        <v>5YR</v>
      </c>
      <c r="D323">
        <v>15</v>
      </c>
      <c r="E323">
        <v>2</v>
      </c>
      <c r="F323">
        <v>5</v>
      </c>
      <c r="G323">
        <v>0.5494</v>
      </c>
      <c r="H323">
        <v>0.46600000000000003</v>
      </c>
      <c r="I323">
        <v>0.4168</v>
      </c>
      <c r="J323" s="1" t="str">
        <f>HYPERLINK(SetRGB(J323,G323*255,H323*255,I323*255),"HOVER!")</f>
        <v>HOVER!</v>
      </c>
      <c r="K323">
        <f>E323/F323</f>
        <v>0.4</v>
      </c>
    </row>
    <row r="324" spans="1:11" ht="15" x14ac:dyDescent="0.35">
      <c r="A324">
        <f t="shared" si="8"/>
        <v>1</v>
      </c>
      <c r="B324">
        <f t="shared" si="9"/>
        <v>5</v>
      </c>
      <c r="C324" s="199" t="str">
        <f>B324&amp;LOOKUP(A324, Sheet2!$A$2:$A$11, Sheet2!$B$2:$B$11)</f>
        <v>5YR</v>
      </c>
      <c r="D324">
        <v>15</v>
      </c>
      <c r="E324">
        <v>4</v>
      </c>
      <c r="F324">
        <v>5</v>
      </c>
      <c r="G324">
        <v>0.60389999999999999</v>
      </c>
      <c r="H324">
        <v>0.4501</v>
      </c>
      <c r="I324">
        <v>0.34920000000000001</v>
      </c>
      <c r="J324" s="1" t="str">
        <f>HYPERLINK(SetRGB(J324,G324*255,H324*255,I324*255),"HOVER!")</f>
        <v>HOVER!</v>
      </c>
      <c r="K324">
        <f>E324/F324</f>
        <v>0.8</v>
      </c>
    </row>
    <row r="325" spans="1:11" ht="15" x14ac:dyDescent="0.35">
      <c r="A325">
        <f t="shared" si="8"/>
        <v>1</v>
      </c>
      <c r="B325">
        <f t="shared" si="9"/>
        <v>5</v>
      </c>
      <c r="C325" s="199" t="str">
        <f>B325&amp;LOOKUP(A325, Sheet2!$A$2:$A$11, Sheet2!$B$2:$B$11)</f>
        <v>5YR</v>
      </c>
      <c r="D325">
        <v>15</v>
      </c>
      <c r="E325">
        <v>6</v>
      </c>
      <c r="F325">
        <v>5</v>
      </c>
      <c r="G325">
        <v>0.65249999999999997</v>
      </c>
      <c r="H325">
        <v>0.4325</v>
      </c>
      <c r="I325">
        <v>0.27500000000000002</v>
      </c>
      <c r="J325" s="1" t="str">
        <f>HYPERLINK(SetRGB(J325,G325*255,H325*255,I325*255),"HOVER!")</f>
        <v>HOVER!</v>
      </c>
      <c r="K325">
        <f>E325/F325</f>
        <v>1.2</v>
      </c>
    </row>
    <row r="326" spans="1:11" ht="15" x14ac:dyDescent="0.35">
      <c r="A326">
        <f t="shared" si="8"/>
        <v>1</v>
      </c>
      <c r="B326">
        <f t="shared" si="9"/>
        <v>5</v>
      </c>
      <c r="C326" s="199" t="str">
        <f>B326&amp;LOOKUP(A326, Sheet2!$A$2:$A$11, Sheet2!$B$2:$B$11)</f>
        <v>5YR</v>
      </c>
      <c r="D326">
        <v>15</v>
      </c>
      <c r="E326">
        <v>8</v>
      </c>
      <c r="F326">
        <v>5</v>
      </c>
      <c r="G326">
        <v>0.69210000000000005</v>
      </c>
      <c r="H326">
        <v>0.41549999999999998</v>
      </c>
      <c r="I326">
        <v>0.1943</v>
      </c>
      <c r="J326" s="1" t="str">
        <f>HYPERLINK(SetRGB(J326,G326*255,H326*255,I326*255),"HOVER!")</f>
        <v>HOVER!</v>
      </c>
      <c r="K326">
        <f>E326/F326</f>
        <v>1.6</v>
      </c>
    </row>
    <row r="327" spans="1:11" ht="15" x14ac:dyDescent="0.35">
      <c r="A327">
        <f t="shared" si="8"/>
        <v>1</v>
      </c>
      <c r="B327">
        <f t="shared" si="9"/>
        <v>5</v>
      </c>
      <c r="C327" s="199" t="str">
        <f>B327&amp;LOOKUP(A327, Sheet2!$A$2:$A$11, Sheet2!$B$2:$B$11)</f>
        <v>5YR</v>
      </c>
      <c r="D327">
        <v>15</v>
      </c>
      <c r="E327">
        <v>10</v>
      </c>
      <c r="F327">
        <v>5</v>
      </c>
      <c r="G327">
        <v>0.72219999999999995</v>
      </c>
      <c r="H327">
        <v>0.40060000000000001</v>
      </c>
      <c r="I327">
        <v>9.8599999999999993E-2</v>
      </c>
      <c r="J327" s="1" t="str">
        <f>HYPERLINK(SetRGB(J327,G327*255,H327*255,I327*255),"HOVER!")</f>
        <v>HOVER!</v>
      </c>
      <c r="K327">
        <f>E327/F327</f>
        <v>2</v>
      </c>
    </row>
    <row r="328" spans="1:11" ht="15" x14ac:dyDescent="0.35">
      <c r="A328">
        <f t="shared" si="8"/>
        <v>1</v>
      </c>
      <c r="B328">
        <f t="shared" si="9"/>
        <v>5</v>
      </c>
      <c r="C328" s="199" t="str">
        <f>B328&amp;LOOKUP(A328, Sheet2!$A$2:$A$11, Sheet2!$B$2:$B$11)</f>
        <v>5YR</v>
      </c>
      <c r="D328">
        <v>15</v>
      </c>
      <c r="E328">
        <v>2</v>
      </c>
      <c r="F328">
        <v>6</v>
      </c>
      <c r="G328">
        <v>0.65400000000000003</v>
      </c>
      <c r="H328">
        <v>0.56840000000000002</v>
      </c>
      <c r="I328">
        <v>0.51549999999999996</v>
      </c>
      <c r="J328" s="2" t="str">
        <f>HYPERLINK(SetRGB(J328,G328*255,H328*255,I328*255),"HOVER!")</f>
        <v>HOVER!</v>
      </c>
      <c r="K328">
        <f>E328/F328</f>
        <v>0.33333333333333331</v>
      </c>
    </row>
    <row r="329" spans="1:11" ht="15" x14ac:dyDescent="0.35">
      <c r="A329">
        <f t="shared" si="8"/>
        <v>1</v>
      </c>
      <c r="B329">
        <f t="shared" si="9"/>
        <v>5</v>
      </c>
      <c r="C329" s="199" t="str">
        <f>B329&amp;LOOKUP(A329, Sheet2!$A$2:$A$11, Sheet2!$B$2:$B$11)</f>
        <v>5YR</v>
      </c>
      <c r="D329">
        <v>15</v>
      </c>
      <c r="E329">
        <v>4</v>
      </c>
      <c r="F329">
        <v>6</v>
      </c>
      <c r="G329">
        <v>0.70989999999999998</v>
      </c>
      <c r="H329">
        <v>0.55279999999999996</v>
      </c>
      <c r="I329">
        <v>0.44800000000000001</v>
      </c>
      <c r="J329" s="2" t="str">
        <f>HYPERLINK(SetRGB(J329,G329*255,H329*255,I329*255),"HOVER!")</f>
        <v>HOVER!</v>
      </c>
      <c r="K329">
        <f>E329/F329</f>
        <v>0.66666666666666663</v>
      </c>
    </row>
    <row r="330" spans="1:11" ht="15" x14ac:dyDescent="0.35">
      <c r="A330">
        <f t="shared" si="8"/>
        <v>1</v>
      </c>
      <c r="B330">
        <f t="shared" si="9"/>
        <v>5</v>
      </c>
      <c r="C330" s="199" t="str">
        <f>B330&amp;LOOKUP(A330, Sheet2!$A$2:$A$11, Sheet2!$B$2:$B$11)</f>
        <v>5YR</v>
      </c>
      <c r="D330">
        <v>15</v>
      </c>
      <c r="E330">
        <v>6</v>
      </c>
      <c r="F330">
        <v>6</v>
      </c>
      <c r="G330">
        <v>0.76080000000000003</v>
      </c>
      <c r="H330">
        <v>0.53610000000000002</v>
      </c>
      <c r="I330">
        <v>0.3725</v>
      </c>
      <c r="J330" s="2" t="str">
        <f>HYPERLINK(SetRGB(J330,G330*255,H330*255,I330*255),"HOVER!")</f>
        <v>HOVER!</v>
      </c>
      <c r="K330">
        <f>E330/F330</f>
        <v>1</v>
      </c>
    </row>
    <row r="331" spans="1:11" ht="15" x14ac:dyDescent="0.35">
      <c r="A331">
        <f t="shared" si="8"/>
        <v>1</v>
      </c>
      <c r="B331">
        <f t="shared" si="9"/>
        <v>5</v>
      </c>
      <c r="C331" s="199" t="str">
        <f>B331&amp;LOOKUP(A331, Sheet2!$A$2:$A$11, Sheet2!$B$2:$B$11)</f>
        <v>5YR</v>
      </c>
      <c r="D331">
        <v>15</v>
      </c>
      <c r="E331">
        <v>8</v>
      </c>
      <c r="F331">
        <v>6</v>
      </c>
      <c r="G331">
        <v>0.80400000000000005</v>
      </c>
      <c r="H331">
        <v>0.51939999999999997</v>
      </c>
      <c r="I331">
        <v>0.29480000000000001</v>
      </c>
      <c r="J331" s="2" t="str">
        <f>HYPERLINK(SetRGB(J331,G331*255,H331*255,I331*255),"HOVER!")</f>
        <v>HOVER!</v>
      </c>
      <c r="K331">
        <f>E331/F331</f>
        <v>1.3333333333333333</v>
      </c>
    </row>
    <row r="332" spans="1:11" ht="15" x14ac:dyDescent="0.35">
      <c r="A332">
        <f t="shared" si="8"/>
        <v>1</v>
      </c>
      <c r="B332">
        <f t="shared" si="9"/>
        <v>5</v>
      </c>
      <c r="C332" s="199" t="str">
        <f>B332&amp;LOOKUP(A332, Sheet2!$A$2:$A$11, Sheet2!$B$2:$B$11)</f>
        <v>5YR</v>
      </c>
      <c r="D332">
        <v>15</v>
      </c>
      <c r="E332">
        <v>10</v>
      </c>
      <c r="F332">
        <v>6</v>
      </c>
      <c r="G332">
        <v>0.84</v>
      </c>
      <c r="H332">
        <v>0.50339999999999996</v>
      </c>
      <c r="I332">
        <v>0.20669999999999999</v>
      </c>
      <c r="J332" s="2" t="str">
        <f>HYPERLINK(SetRGB(J332,G332*255,H332*255,I332*255),"HOVER!")</f>
        <v>HOVER!</v>
      </c>
      <c r="K332">
        <f>E332/F332</f>
        <v>1.6666666666666667</v>
      </c>
    </row>
    <row r="333" spans="1:11" ht="15" x14ac:dyDescent="0.35">
      <c r="A333">
        <f t="shared" si="8"/>
        <v>1</v>
      </c>
      <c r="B333">
        <f t="shared" si="9"/>
        <v>5</v>
      </c>
      <c r="C333" s="199" t="str">
        <f>B333&amp;LOOKUP(A333, Sheet2!$A$2:$A$11, Sheet2!$B$2:$B$11)</f>
        <v>5YR</v>
      </c>
      <c r="D333">
        <v>15</v>
      </c>
      <c r="E333">
        <v>12</v>
      </c>
      <c r="F333">
        <v>6</v>
      </c>
      <c r="G333">
        <v>0.86829999999999996</v>
      </c>
      <c r="H333">
        <v>0.48970000000000002</v>
      </c>
      <c r="I333">
        <v>8.1699999999999995E-2</v>
      </c>
      <c r="J333" s="2" t="str">
        <f>HYPERLINK(SetRGB(J333,G333*255,H333*255,I333*255),"HOVER!")</f>
        <v>HOVER!</v>
      </c>
      <c r="K333">
        <f>E333/F333</f>
        <v>2</v>
      </c>
    </row>
    <row r="334" spans="1:11" ht="15" x14ac:dyDescent="0.35">
      <c r="A334">
        <f t="shared" ref="A334:A397" si="10">IF(FLOOR(D334/10,1)=0,10,FLOOR(D334/10,1))</f>
        <v>1</v>
      </c>
      <c r="B334">
        <f t="shared" ref="B334:B397" si="11">IF(MOD(D334,10)=0,10,MOD(D334,10))</f>
        <v>5</v>
      </c>
      <c r="C334" s="199" t="str">
        <f>B334&amp;LOOKUP(A334, Sheet2!$A$2:$A$11, Sheet2!$B$2:$B$11)</f>
        <v>5YR</v>
      </c>
      <c r="D334">
        <v>15</v>
      </c>
      <c r="E334">
        <v>2</v>
      </c>
      <c r="F334">
        <v>7</v>
      </c>
      <c r="G334">
        <v>0.75729999999999997</v>
      </c>
      <c r="H334">
        <v>0.67220000000000002</v>
      </c>
      <c r="I334">
        <v>0.61799999999999999</v>
      </c>
      <c r="J334" s="2" t="str">
        <f>HYPERLINK(SetRGB(J334,G334*255,H334*255,I334*255),"HOVER!")</f>
        <v>HOVER!</v>
      </c>
      <c r="K334">
        <f>E334/F334</f>
        <v>0.2857142857142857</v>
      </c>
    </row>
    <row r="335" spans="1:11" ht="15" x14ac:dyDescent="0.35">
      <c r="A335">
        <f t="shared" si="10"/>
        <v>1</v>
      </c>
      <c r="B335">
        <f t="shared" si="11"/>
        <v>5</v>
      </c>
      <c r="C335" s="199" t="str">
        <f>B335&amp;LOOKUP(A335, Sheet2!$A$2:$A$11, Sheet2!$B$2:$B$11)</f>
        <v>5YR</v>
      </c>
      <c r="D335">
        <v>15</v>
      </c>
      <c r="E335">
        <v>4</v>
      </c>
      <c r="F335">
        <v>7</v>
      </c>
      <c r="G335">
        <v>0.81659999999999999</v>
      </c>
      <c r="H335">
        <v>0.65659999999999996</v>
      </c>
      <c r="I335">
        <v>0.5464</v>
      </c>
      <c r="J335" s="154" t="str">
        <f>HYPERLINK(SetRGB(J335,G335*255,H335*255,I335*255),"HOVER!")</f>
        <v>HOVER!</v>
      </c>
      <c r="K335">
        <f>E335/F335</f>
        <v>0.5714285714285714</v>
      </c>
    </row>
    <row r="336" spans="1:11" ht="15" x14ac:dyDescent="0.35">
      <c r="A336">
        <f t="shared" si="10"/>
        <v>1</v>
      </c>
      <c r="B336">
        <f t="shared" si="11"/>
        <v>5</v>
      </c>
      <c r="C336" s="199" t="str">
        <f>B336&amp;LOOKUP(A336, Sheet2!$A$2:$A$11, Sheet2!$B$2:$B$11)</f>
        <v>5YR</v>
      </c>
      <c r="D336">
        <v>15</v>
      </c>
      <c r="E336">
        <v>6</v>
      </c>
      <c r="F336">
        <v>7</v>
      </c>
      <c r="G336">
        <v>0.87009999999999998</v>
      </c>
      <c r="H336">
        <v>0.6401</v>
      </c>
      <c r="I336">
        <v>0.47039999999999998</v>
      </c>
      <c r="J336" s="2" t="str">
        <f>HYPERLINK(SetRGB(J336,G336*255,H336*255,I336*255),"HOVER!")</f>
        <v>HOVER!</v>
      </c>
      <c r="K336">
        <f>E336/F336</f>
        <v>0.8571428571428571</v>
      </c>
    </row>
    <row r="337" spans="1:11" ht="15" x14ac:dyDescent="0.35">
      <c r="A337">
        <f t="shared" si="10"/>
        <v>1</v>
      </c>
      <c r="B337">
        <f t="shared" si="11"/>
        <v>5</v>
      </c>
      <c r="C337" s="199" t="str">
        <f>B337&amp;LOOKUP(A337, Sheet2!$A$2:$A$11, Sheet2!$B$2:$B$11)</f>
        <v>5YR</v>
      </c>
      <c r="D337">
        <v>15</v>
      </c>
      <c r="E337">
        <v>8</v>
      </c>
      <c r="F337">
        <v>7</v>
      </c>
      <c r="G337">
        <v>0.91410000000000002</v>
      </c>
      <c r="H337">
        <v>0.62439999999999996</v>
      </c>
      <c r="I337">
        <v>0.39600000000000002</v>
      </c>
      <c r="J337" s="2" t="str">
        <f>HYPERLINK(SetRGB(J337,G337*255,H337*255,I337*255),"HOVER!")</f>
        <v>HOVER!</v>
      </c>
      <c r="K337">
        <f>E337/F337</f>
        <v>1.1428571428571428</v>
      </c>
    </row>
    <row r="338" spans="1:11" ht="15" x14ac:dyDescent="0.35">
      <c r="A338">
        <f t="shared" si="10"/>
        <v>1</v>
      </c>
      <c r="B338">
        <f t="shared" si="11"/>
        <v>5</v>
      </c>
      <c r="C338" s="199" t="str">
        <f>B338&amp;LOOKUP(A338, Sheet2!$A$2:$A$11, Sheet2!$B$2:$B$11)</f>
        <v>5YR</v>
      </c>
      <c r="D338">
        <v>15</v>
      </c>
      <c r="E338">
        <v>10</v>
      </c>
      <c r="F338">
        <v>7</v>
      </c>
      <c r="G338">
        <v>0.95409999999999995</v>
      </c>
      <c r="H338">
        <v>0.60840000000000005</v>
      </c>
      <c r="I338">
        <v>0.31019999999999998</v>
      </c>
      <c r="J338" s="2" t="str">
        <f>HYPERLINK(SetRGB(J338,G338*255,H338*255,I338*255),"HOVER!")</f>
        <v>HOVER!</v>
      </c>
      <c r="K338">
        <f>E338/F338</f>
        <v>1.4285714285714286</v>
      </c>
    </row>
    <row r="339" spans="1:11" ht="15" x14ac:dyDescent="0.35">
      <c r="A339">
        <f t="shared" si="10"/>
        <v>1</v>
      </c>
      <c r="B339">
        <f t="shared" si="11"/>
        <v>5</v>
      </c>
      <c r="C339" s="199" t="str">
        <f>B339&amp;LOOKUP(A339, Sheet2!$A$2:$A$11, Sheet2!$B$2:$B$11)</f>
        <v>5YR</v>
      </c>
      <c r="D339">
        <v>15</v>
      </c>
      <c r="E339">
        <v>12</v>
      </c>
      <c r="F339">
        <v>7</v>
      </c>
      <c r="G339">
        <v>0.99060000000000004</v>
      </c>
      <c r="H339">
        <v>0.59189999999999998</v>
      </c>
      <c r="I339">
        <v>0.20300000000000001</v>
      </c>
      <c r="J339" s="2" t="str">
        <f>HYPERLINK(SetRGB(J339,G339*255,H339*255,I339*255),"HOVER!")</f>
        <v>HOVER!</v>
      </c>
      <c r="K339">
        <f>E339/F339</f>
        <v>1.7142857142857142</v>
      </c>
    </row>
    <row r="340" spans="1:11" ht="15" x14ac:dyDescent="0.35">
      <c r="A340">
        <f t="shared" si="10"/>
        <v>1</v>
      </c>
      <c r="B340">
        <f t="shared" si="11"/>
        <v>5</v>
      </c>
      <c r="C340" s="199" t="str">
        <f>B340&amp;LOOKUP(A340, Sheet2!$A$2:$A$11, Sheet2!$B$2:$B$11)</f>
        <v>5YR</v>
      </c>
      <c r="D340">
        <v>15</v>
      </c>
      <c r="E340">
        <v>2</v>
      </c>
      <c r="F340">
        <v>8</v>
      </c>
      <c r="G340">
        <v>0.85909999999999997</v>
      </c>
      <c r="H340">
        <v>0.7782</v>
      </c>
      <c r="I340">
        <v>0.72270000000000001</v>
      </c>
      <c r="J340" s="2" t="str">
        <f>HYPERLINK(SetRGB(J340,G340*255,H340*255,I340*255),"HOVER!")</f>
        <v>HOVER!</v>
      </c>
      <c r="K340">
        <f>E340/F340</f>
        <v>0.25</v>
      </c>
    </row>
    <row r="341" spans="1:11" ht="15" x14ac:dyDescent="0.35">
      <c r="A341">
        <f t="shared" si="10"/>
        <v>1</v>
      </c>
      <c r="B341">
        <f t="shared" si="11"/>
        <v>5</v>
      </c>
      <c r="C341" s="199" t="str">
        <f>B341&amp;LOOKUP(A341, Sheet2!$A$2:$A$11, Sheet2!$B$2:$B$11)</f>
        <v>5YR</v>
      </c>
      <c r="D341">
        <v>15</v>
      </c>
      <c r="E341">
        <v>4</v>
      </c>
      <c r="F341">
        <v>8</v>
      </c>
      <c r="G341">
        <v>0.92549999999999999</v>
      </c>
      <c r="H341">
        <v>0.76149999999999995</v>
      </c>
      <c r="I341">
        <v>0.64339999999999997</v>
      </c>
      <c r="J341" s="2" t="str">
        <f>HYPERLINK(SetRGB(J341,G341*255,H341*255,I341*255),"HOVER!")</f>
        <v>HOVER!</v>
      </c>
      <c r="K341">
        <f>E341/F341</f>
        <v>0.5</v>
      </c>
    </row>
    <row r="342" spans="1:11" ht="15" x14ac:dyDescent="0.35">
      <c r="A342">
        <f t="shared" si="10"/>
        <v>1</v>
      </c>
      <c r="B342">
        <f t="shared" si="11"/>
        <v>5</v>
      </c>
      <c r="C342" s="199" t="str">
        <f>B342&amp;LOOKUP(A342, Sheet2!$A$2:$A$11, Sheet2!$B$2:$B$11)</f>
        <v>5YR</v>
      </c>
      <c r="D342">
        <v>15</v>
      </c>
      <c r="E342">
        <v>6</v>
      </c>
      <c r="F342">
        <v>8</v>
      </c>
      <c r="G342">
        <v>0.98050000000000004</v>
      </c>
      <c r="H342">
        <v>0.74509999999999998</v>
      </c>
      <c r="I342">
        <v>0.56820000000000004</v>
      </c>
      <c r="J342" s="2" t="str">
        <f>HYPERLINK(SetRGB(J342,G342*255,H342*255,I342*255),"HOVER!")</f>
        <v>HOVER!</v>
      </c>
      <c r="K342">
        <f>E342/F342</f>
        <v>0.75</v>
      </c>
    </row>
    <row r="343" spans="1:11" ht="15" x14ac:dyDescent="0.35">
      <c r="A343">
        <f t="shared" si="10"/>
        <v>1</v>
      </c>
      <c r="B343">
        <f t="shared" si="11"/>
        <v>5</v>
      </c>
      <c r="C343" s="199" t="str">
        <f>B343&amp;LOOKUP(A343, Sheet2!$A$2:$A$11, Sheet2!$B$2:$B$11)</f>
        <v>5YR</v>
      </c>
      <c r="D343">
        <v>15</v>
      </c>
      <c r="E343">
        <v>8</v>
      </c>
      <c r="F343">
        <v>8</v>
      </c>
      <c r="G343">
        <v>1</v>
      </c>
      <c r="H343">
        <v>0.72750000000000004</v>
      </c>
      <c r="I343">
        <v>0.48070000000000002</v>
      </c>
      <c r="J343" s="2" t="str">
        <f>HYPERLINK(SetRGB(J343,G343*255,H343*255,I343*255),"HOVER!")</f>
        <v>HOVER!</v>
      </c>
      <c r="K343">
        <f>E343/F343</f>
        <v>1</v>
      </c>
    </row>
    <row r="344" spans="1:11" ht="15" x14ac:dyDescent="0.35">
      <c r="A344">
        <f t="shared" si="10"/>
        <v>1</v>
      </c>
      <c r="B344">
        <f t="shared" si="11"/>
        <v>5</v>
      </c>
      <c r="C344" s="199" t="str">
        <f>B344&amp;LOOKUP(A344, Sheet2!$A$2:$A$11, Sheet2!$B$2:$B$11)</f>
        <v>5YR</v>
      </c>
      <c r="D344">
        <v>15</v>
      </c>
      <c r="E344">
        <v>10</v>
      </c>
      <c r="F344">
        <v>8</v>
      </c>
      <c r="G344">
        <v>1</v>
      </c>
      <c r="H344">
        <v>0.71240000000000003</v>
      </c>
      <c r="I344">
        <v>0.40039999999999998</v>
      </c>
      <c r="J344" s="153" t="str">
        <f>HYPERLINK(SetRGB(J344,G344*255,H344*255,I344*255),"HOVER!")</f>
        <v>HOVER!</v>
      </c>
      <c r="K344">
        <f>E344/F344</f>
        <v>1.25</v>
      </c>
    </row>
    <row r="345" spans="1:11" ht="15" x14ac:dyDescent="0.35">
      <c r="A345">
        <f t="shared" si="10"/>
        <v>1</v>
      </c>
      <c r="B345">
        <f t="shared" si="11"/>
        <v>5</v>
      </c>
      <c r="C345" s="199" t="str">
        <f>B345&amp;LOOKUP(A345, Sheet2!$A$2:$A$11, Sheet2!$B$2:$B$11)</f>
        <v>5YR</v>
      </c>
      <c r="D345">
        <v>15</v>
      </c>
      <c r="E345">
        <v>12</v>
      </c>
      <c r="F345">
        <v>8</v>
      </c>
      <c r="G345">
        <v>1</v>
      </c>
      <c r="H345">
        <v>0.69630000000000003</v>
      </c>
      <c r="I345">
        <v>0.30070000000000002</v>
      </c>
      <c r="J345" s="2" t="str">
        <f>HYPERLINK(SetRGB(J345,G345*255,H345*255,I345*255),"HOVER!")</f>
        <v>HOVER!</v>
      </c>
      <c r="K345">
        <f>E345/F345</f>
        <v>1.5</v>
      </c>
    </row>
    <row r="346" spans="1:11" ht="15" x14ac:dyDescent="0.35">
      <c r="A346">
        <f t="shared" si="10"/>
        <v>1</v>
      </c>
      <c r="B346">
        <f t="shared" si="11"/>
        <v>5</v>
      </c>
      <c r="C346" s="199" t="str">
        <f>B346&amp;LOOKUP(A346, Sheet2!$A$2:$A$11, Sheet2!$B$2:$B$11)</f>
        <v>5YR</v>
      </c>
      <c r="D346">
        <v>15</v>
      </c>
      <c r="E346">
        <v>14</v>
      </c>
      <c r="F346">
        <v>8</v>
      </c>
      <c r="G346">
        <v>1</v>
      </c>
      <c r="H346">
        <v>0.68220000000000003</v>
      </c>
      <c r="I346">
        <v>0.1704</v>
      </c>
      <c r="J346" s="2" t="str">
        <f>HYPERLINK(SetRGB(J346,G346*255,H346*255,I346*255),"HOVER!")</f>
        <v>HOVER!</v>
      </c>
      <c r="K346">
        <f>E346/F346</f>
        <v>1.75</v>
      </c>
    </row>
    <row r="347" spans="1:11" ht="15" x14ac:dyDescent="0.35">
      <c r="A347">
        <f t="shared" si="10"/>
        <v>1</v>
      </c>
      <c r="B347">
        <f t="shared" si="11"/>
        <v>5</v>
      </c>
      <c r="C347" s="199" t="str">
        <f>B347&amp;LOOKUP(A347, Sheet2!$A$2:$A$11, Sheet2!$B$2:$B$11)</f>
        <v>5YR</v>
      </c>
      <c r="D347">
        <v>15</v>
      </c>
      <c r="E347">
        <v>2</v>
      </c>
      <c r="F347">
        <v>9</v>
      </c>
      <c r="G347">
        <v>0.96789999999999998</v>
      </c>
      <c r="H347">
        <v>0.88560000000000005</v>
      </c>
      <c r="I347">
        <v>0.82489999999999997</v>
      </c>
      <c r="J347" s="152" t="str">
        <f>HYPERLINK(SetRGB(J347,G347*255,H347*255,I347*255),"HOVER!")</f>
        <v>HOVER!</v>
      </c>
      <c r="K347">
        <f>E347/F347</f>
        <v>0.22222222222222221</v>
      </c>
    </row>
    <row r="348" spans="1:11" ht="15" x14ac:dyDescent="0.35">
      <c r="A348">
        <f t="shared" si="10"/>
        <v>1</v>
      </c>
      <c r="B348">
        <f t="shared" si="11"/>
        <v>5</v>
      </c>
      <c r="C348" s="199" t="str">
        <f>B348&amp;LOOKUP(A348, Sheet2!$A$2:$A$11, Sheet2!$B$2:$B$11)</f>
        <v>5YR</v>
      </c>
      <c r="D348">
        <v>15</v>
      </c>
      <c r="E348">
        <v>4</v>
      </c>
      <c r="F348">
        <v>9</v>
      </c>
      <c r="G348">
        <v>1</v>
      </c>
      <c r="H348">
        <v>0.86729999999999996</v>
      </c>
      <c r="I348">
        <v>0.73499999999999999</v>
      </c>
      <c r="J348" s="2" t="str">
        <f>HYPERLINK(SetRGB(J348,G348*255,H348*255,I348*255),"HOVER!")</f>
        <v>HOVER!</v>
      </c>
      <c r="K348">
        <f>E348/F348</f>
        <v>0.44444444444444442</v>
      </c>
    </row>
    <row r="349" spans="1:11" ht="15" x14ac:dyDescent="0.35">
      <c r="A349">
        <f t="shared" si="10"/>
        <v>1</v>
      </c>
      <c r="B349">
        <f t="shared" si="11"/>
        <v>5</v>
      </c>
      <c r="C349" s="199" t="str">
        <f>B349&amp;LOOKUP(A349, Sheet2!$A$2:$A$11, Sheet2!$B$2:$B$11)</f>
        <v>5YR</v>
      </c>
      <c r="D349">
        <v>15</v>
      </c>
      <c r="E349">
        <v>6</v>
      </c>
      <c r="F349">
        <v>9</v>
      </c>
      <c r="G349">
        <v>1</v>
      </c>
      <c r="H349">
        <v>0.85070000000000001</v>
      </c>
      <c r="I349">
        <v>0.6542</v>
      </c>
      <c r="J349" s="2" t="str">
        <f>HYPERLINK(SetRGB(J349,G349*255,H349*255,I349*255),"HOVER!")</f>
        <v>HOVER!</v>
      </c>
      <c r="K349">
        <f>E349/F349</f>
        <v>0.66666666666666663</v>
      </c>
    </row>
    <row r="350" spans="1:11" ht="15" x14ac:dyDescent="0.35">
      <c r="A350">
        <f t="shared" si="10"/>
        <v>1</v>
      </c>
      <c r="B350">
        <f t="shared" si="11"/>
        <v>7.5</v>
      </c>
      <c r="C350" s="199" t="str">
        <f>B350&amp;LOOKUP(A350, Sheet2!$A$2:$A$11, Sheet2!$B$2:$B$11)</f>
        <v>7.5YR</v>
      </c>
      <c r="D350">
        <v>17.5</v>
      </c>
      <c r="E350">
        <v>2</v>
      </c>
      <c r="F350">
        <v>1</v>
      </c>
      <c r="G350">
        <v>0.1676</v>
      </c>
      <c r="H350">
        <v>9.6199999999999994E-2</v>
      </c>
      <c r="I350">
        <v>4.9500000000000002E-2</v>
      </c>
      <c r="J350" s="38" t="str">
        <f>HYPERLINK(SetRGB(J350,G350*255,H350*255,I350*255),"HOVER!")</f>
        <v>HOVER!</v>
      </c>
      <c r="K350">
        <f>E350/F350</f>
        <v>2</v>
      </c>
    </row>
    <row r="351" spans="1:11" ht="15" x14ac:dyDescent="0.35">
      <c r="A351">
        <f t="shared" si="10"/>
        <v>1</v>
      </c>
      <c r="B351">
        <f t="shared" si="11"/>
        <v>7.5</v>
      </c>
      <c r="C351" s="199" t="str">
        <f>B351&amp;LOOKUP(A351, Sheet2!$A$2:$A$11, Sheet2!$B$2:$B$11)</f>
        <v>7.5YR</v>
      </c>
      <c r="D351">
        <v>17.5</v>
      </c>
      <c r="E351">
        <v>2</v>
      </c>
      <c r="F351">
        <v>2</v>
      </c>
      <c r="G351">
        <v>0.2455</v>
      </c>
      <c r="H351">
        <v>0.18099999999999999</v>
      </c>
      <c r="I351">
        <v>0.13719999999999999</v>
      </c>
      <c r="J351" s="77" t="str">
        <f>HYPERLINK(SetRGB(J351,G351*255,H351*255,I351*255),"HOVER!")</f>
        <v>HOVER!</v>
      </c>
      <c r="K351">
        <f>E351/F351</f>
        <v>1</v>
      </c>
    </row>
    <row r="352" spans="1:11" ht="15" x14ac:dyDescent="0.35">
      <c r="A352">
        <f t="shared" si="10"/>
        <v>1</v>
      </c>
      <c r="B352">
        <f t="shared" si="11"/>
        <v>7.5</v>
      </c>
      <c r="C352" s="199" t="str">
        <f>B352&amp;LOOKUP(A352, Sheet2!$A$2:$A$11, Sheet2!$B$2:$B$11)</f>
        <v>7.5YR</v>
      </c>
      <c r="D352">
        <v>17.5</v>
      </c>
      <c r="E352">
        <v>4</v>
      </c>
      <c r="F352">
        <v>2</v>
      </c>
      <c r="G352">
        <v>0.28239999999999998</v>
      </c>
      <c r="H352">
        <v>0.1678</v>
      </c>
      <c r="I352">
        <v>6.9500000000000006E-2</v>
      </c>
      <c r="J352" s="76" t="str">
        <f>HYPERLINK(SetRGB(J352,G352*255,H352*255,I352*255),"HOVER!")</f>
        <v>HOVER!</v>
      </c>
      <c r="K352">
        <f>E352/F352</f>
        <v>2</v>
      </c>
    </row>
    <row r="353" spans="1:11" ht="15" x14ac:dyDescent="0.35">
      <c r="A353">
        <f t="shared" si="10"/>
        <v>1</v>
      </c>
      <c r="B353">
        <f t="shared" si="11"/>
        <v>7.5</v>
      </c>
      <c r="C353" s="199" t="str">
        <f>B353&amp;LOOKUP(A353, Sheet2!$A$2:$A$11, Sheet2!$B$2:$B$11)</f>
        <v>7.5YR</v>
      </c>
      <c r="D353">
        <v>17.5</v>
      </c>
      <c r="E353">
        <v>2</v>
      </c>
      <c r="F353">
        <v>3</v>
      </c>
      <c r="G353">
        <v>0.34379999999999999</v>
      </c>
      <c r="H353">
        <v>0.2697</v>
      </c>
      <c r="I353">
        <v>0.21659999999999999</v>
      </c>
      <c r="J353" s="1" t="str">
        <f>HYPERLINK(SetRGB(J353,G353*255,H353*255,I353*255),"HOVER!")</f>
        <v>HOVER!</v>
      </c>
      <c r="K353">
        <f>E353/F353</f>
        <v>0.66666666666666663</v>
      </c>
    </row>
    <row r="354" spans="1:11" ht="15" x14ac:dyDescent="0.35">
      <c r="A354">
        <f t="shared" si="10"/>
        <v>1</v>
      </c>
      <c r="B354">
        <f t="shared" si="11"/>
        <v>7.5</v>
      </c>
      <c r="C354" s="199" t="str">
        <f>B354&amp;LOOKUP(A354, Sheet2!$A$2:$A$11, Sheet2!$B$2:$B$11)</f>
        <v>7.5YR</v>
      </c>
      <c r="D354">
        <v>17.5</v>
      </c>
      <c r="E354">
        <v>4</v>
      </c>
      <c r="F354">
        <v>3</v>
      </c>
      <c r="G354">
        <v>0.38329999999999997</v>
      </c>
      <c r="H354">
        <v>0.2571</v>
      </c>
      <c r="I354">
        <v>0.14990000000000001</v>
      </c>
      <c r="J354" s="1" t="str">
        <f>HYPERLINK(SetRGB(J354,G354*255,H354*255,I354*255),"HOVER!")</f>
        <v>HOVER!</v>
      </c>
      <c r="K354">
        <f>E354/F354</f>
        <v>1.3333333333333333</v>
      </c>
    </row>
    <row r="355" spans="1:11" ht="15" x14ac:dyDescent="0.35">
      <c r="A355">
        <f t="shared" si="10"/>
        <v>1</v>
      </c>
      <c r="B355">
        <f t="shared" si="11"/>
        <v>7.5</v>
      </c>
      <c r="C355" s="199" t="str">
        <f>B355&amp;LOOKUP(A355, Sheet2!$A$2:$A$11, Sheet2!$B$2:$B$11)</f>
        <v>7.5YR</v>
      </c>
      <c r="D355">
        <v>17.5</v>
      </c>
      <c r="E355">
        <v>6</v>
      </c>
      <c r="F355">
        <v>3</v>
      </c>
      <c r="G355">
        <v>0.41349999999999998</v>
      </c>
      <c r="H355">
        <v>0.2452</v>
      </c>
      <c r="I355">
        <v>6.6600000000000006E-2</v>
      </c>
      <c r="J355" s="1" t="str">
        <f>HYPERLINK(SetRGB(J355,G355*255,H355*255,I355*255),"HOVER!")</f>
        <v>HOVER!</v>
      </c>
      <c r="K355">
        <f>E355/F355</f>
        <v>2</v>
      </c>
    </row>
    <row r="356" spans="1:11" ht="15" x14ac:dyDescent="0.35">
      <c r="A356">
        <f t="shared" si="10"/>
        <v>1</v>
      </c>
      <c r="B356">
        <f t="shared" si="11"/>
        <v>7.5</v>
      </c>
      <c r="C356" s="199" t="str">
        <f>B356&amp;LOOKUP(A356, Sheet2!$A$2:$A$11, Sheet2!$B$2:$B$11)</f>
        <v>7.5YR</v>
      </c>
      <c r="D356">
        <v>17.5</v>
      </c>
      <c r="E356">
        <v>2</v>
      </c>
      <c r="F356">
        <v>4</v>
      </c>
      <c r="G356">
        <v>0.44579999999999997</v>
      </c>
      <c r="H356">
        <v>0.3664</v>
      </c>
      <c r="I356">
        <v>0.30690000000000001</v>
      </c>
      <c r="J356" s="1" t="str">
        <f>HYPERLINK(SetRGB(J356,G356*255,H356*255,I356*255),"HOVER!")</f>
        <v>HOVER!</v>
      </c>
      <c r="K356">
        <f>E356/F356</f>
        <v>0.5</v>
      </c>
    </row>
    <row r="357" spans="1:11" ht="15" x14ac:dyDescent="0.35">
      <c r="A357">
        <f t="shared" si="10"/>
        <v>1</v>
      </c>
      <c r="B357">
        <f t="shared" si="11"/>
        <v>7.5</v>
      </c>
      <c r="C357" s="199" t="str">
        <f>B357&amp;LOOKUP(A357, Sheet2!$A$2:$A$11, Sheet2!$B$2:$B$11)</f>
        <v>7.5YR</v>
      </c>
      <c r="D357">
        <v>17.5</v>
      </c>
      <c r="E357">
        <v>4</v>
      </c>
      <c r="F357">
        <v>4</v>
      </c>
      <c r="G357">
        <v>0.4929</v>
      </c>
      <c r="H357">
        <v>0.35260000000000002</v>
      </c>
      <c r="I357">
        <v>0.23039999999999999</v>
      </c>
      <c r="J357" s="1" t="str">
        <f>HYPERLINK(SetRGB(J357,G357*255,H357*255,I357*255),"HOVER!")</f>
        <v>HOVER!</v>
      </c>
      <c r="K357">
        <f>E357/F357</f>
        <v>1</v>
      </c>
    </row>
    <row r="358" spans="1:11" ht="15" x14ac:dyDescent="0.35">
      <c r="A358">
        <f t="shared" si="10"/>
        <v>1</v>
      </c>
      <c r="B358">
        <f t="shared" si="11"/>
        <v>7.5</v>
      </c>
      <c r="C358" s="199" t="str">
        <f>B358&amp;LOOKUP(A358, Sheet2!$A$2:$A$11, Sheet2!$B$2:$B$11)</f>
        <v>7.5YR</v>
      </c>
      <c r="D358">
        <v>17.5</v>
      </c>
      <c r="E358">
        <v>6</v>
      </c>
      <c r="F358">
        <v>4</v>
      </c>
      <c r="G358">
        <v>0.52590000000000003</v>
      </c>
      <c r="H358">
        <v>0.34089999999999998</v>
      </c>
      <c r="I358">
        <v>0.15620000000000001</v>
      </c>
      <c r="J358" s="1" t="str">
        <f>HYPERLINK(SetRGB(J358,G358*255,H358*255,I358*255),"HOVER!")</f>
        <v>HOVER!</v>
      </c>
      <c r="K358">
        <f>E358/F358</f>
        <v>1.5</v>
      </c>
    </row>
    <row r="359" spans="1:11" ht="15" x14ac:dyDescent="0.35">
      <c r="A359">
        <f t="shared" si="10"/>
        <v>1</v>
      </c>
      <c r="B359">
        <f t="shared" si="11"/>
        <v>7.5</v>
      </c>
      <c r="C359" s="199" t="str">
        <f>B359&amp;LOOKUP(A359, Sheet2!$A$2:$A$11, Sheet2!$B$2:$B$11)</f>
        <v>7.5YR</v>
      </c>
      <c r="D359">
        <v>17.5</v>
      </c>
      <c r="E359">
        <v>8</v>
      </c>
      <c r="F359">
        <v>4</v>
      </c>
      <c r="G359">
        <v>0.55089999999999995</v>
      </c>
      <c r="H359">
        <v>0.3306</v>
      </c>
      <c r="I359">
        <v>5.33E-2</v>
      </c>
      <c r="J359" s="1" t="str">
        <f>HYPERLINK(SetRGB(J359,G359*255,H359*255,I359*255),"HOVER!")</f>
        <v>HOVER!</v>
      </c>
      <c r="K359">
        <f>E359/F359</f>
        <v>2</v>
      </c>
    </row>
    <row r="360" spans="1:11" ht="15" x14ac:dyDescent="0.35">
      <c r="A360">
        <f t="shared" si="10"/>
        <v>1</v>
      </c>
      <c r="B360">
        <f t="shared" si="11"/>
        <v>7.5</v>
      </c>
      <c r="C360" s="199" t="str">
        <f>B360&amp;LOOKUP(A360, Sheet2!$A$2:$A$11, Sheet2!$B$2:$B$11)</f>
        <v>7.5YR</v>
      </c>
      <c r="D360">
        <v>17.5</v>
      </c>
      <c r="E360">
        <v>2</v>
      </c>
      <c r="F360">
        <v>5</v>
      </c>
      <c r="G360">
        <v>0.54469999999999996</v>
      </c>
      <c r="H360">
        <v>0.46850000000000003</v>
      </c>
      <c r="I360">
        <v>0.40849999999999997</v>
      </c>
      <c r="J360" s="1" t="str">
        <f>HYPERLINK(SetRGB(J360,G360*255,H360*255,I360*255),"HOVER!")</f>
        <v>HOVER!</v>
      </c>
      <c r="K360">
        <f>E360/F360</f>
        <v>0.4</v>
      </c>
    </row>
    <row r="361" spans="1:11" ht="15" x14ac:dyDescent="0.35">
      <c r="A361">
        <f t="shared" si="10"/>
        <v>1</v>
      </c>
      <c r="B361">
        <f t="shared" si="11"/>
        <v>7.5</v>
      </c>
      <c r="C361" s="199" t="str">
        <f>B361&amp;LOOKUP(A361, Sheet2!$A$2:$A$11, Sheet2!$B$2:$B$11)</f>
        <v>7.5YR</v>
      </c>
      <c r="D361">
        <v>17.5</v>
      </c>
      <c r="E361">
        <v>4</v>
      </c>
      <c r="F361">
        <v>5</v>
      </c>
      <c r="G361">
        <v>0.59530000000000005</v>
      </c>
      <c r="H361">
        <v>0.4551</v>
      </c>
      <c r="I361">
        <v>0.33169999999999999</v>
      </c>
      <c r="J361" s="1" t="str">
        <f>HYPERLINK(SetRGB(J361,G361*255,H361*255,I361*255),"HOVER!")</f>
        <v>HOVER!</v>
      </c>
      <c r="K361">
        <f>E361/F361</f>
        <v>0.8</v>
      </c>
    </row>
    <row r="362" spans="1:11" ht="15" x14ac:dyDescent="0.35">
      <c r="A362">
        <f t="shared" si="10"/>
        <v>1</v>
      </c>
      <c r="B362">
        <f t="shared" si="11"/>
        <v>7.5</v>
      </c>
      <c r="C362" s="199" t="str">
        <f>B362&amp;LOOKUP(A362, Sheet2!$A$2:$A$11, Sheet2!$B$2:$B$11)</f>
        <v>7.5YR</v>
      </c>
      <c r="D362">
        <v>17.5</v>
      </c>
      <c r="E362">
        <v>6</v>
      </c>
      <c r="F362">
        <v>5</v>
      </c>
      <c r="G362">
        <v>0.6381</v>
      </c>
      <c r="H362">
        <v>0.44130000000000003</v>
      </c>
      <c r="I362">
        <v>0.24690000000000001</v>
      </c>
      <c r="J362" s="1" t="str">
        <f>HYPERLINK(SetRGB(J362,G362*255,H362*255,I362*255),"HOVER!")</f>
        <v>HOVER!</v>
      </c>
      <c r="K362">
        <f>E362/F362</f>
        <v>1.2</v>
      </c>
    </row>
    <row r="363" spans="1:11" ht="15" x14ac:dyDescent="0.35">
      <c r="A363">
        <f t="shared" si="10"/>
        <v>1</v>
      </c>
      <c r="B363">
        <f t="shared" si="11"/>
        <v>7.5</v>
      </c>
      <c r="C363" s="199" t="str">
        <f>B363&amp;LOOKUP(A363, Sheet2!$A$2:$A$11, Sheet2!$B$2:$B$11)</f>
        <v>7.5YR</v>
      </c>
      <c r="D363">
        <v>17.5</v>
      </c>
      <c r="E363">
        <v>8</v>
      </c>
      <c r="F363">
        <v>5</v>
      </c>
      <c r="G363">
        <v>0.66990000000000005</v>
      </c>
      <c r="H363">
        <v>0.4294</v>
      </c>
      <c r="I363">
        <v>0.15260000000000001</v>
      </c>
      <c r="J363" s="1" t="str">
        <f>HYPERLINK(SetRGB(J363,G363*255,H363*255,I363*255),"HOVER!")</f>
        <v>HOVER!</v>
      </c>
      <c r="K363">
        <f>E363/F363</f>
        <v>1.6</v>
      </c>
    </row>
    <row r="364" spans="1:11" ht="15" x14ac:dyDescent="0.35">
      <c r="A364">
        <f t="shared" si="10"/>
        <v>1</v>
      </c>
      <c r="B364">
        <f t="shared" si="11"/>
        <v>7.5</v>
      </c>
      <c r="C364" s="199" t="str">
        <f>B364&amp;LOOKUP(A364, Sheet2!$A$2:$A$11, Sheet2!$B$2:$B$11)</f>
        <v>7.5YR</v>
      </c>
      <c r="D364">
        <v>17.5</v>
      </c>
      <c r="E364">
        <v>2</v>
      </c>
      <c r="F364">
        <v>6</v>
      </c>
      <c r="G364">
        <v>0.64959999999999996</v>
      </c>
      <c r="H364">
        <v>0.57089999999999996</v>
      </c>
      <c r="I364">
        <v>0.50580000000000003</v>
      </c>
      <c r="J364" s="2" t="str">
        <f>HYPERLINK(SetRGB(J364,G364*255,H364*255,I364*255),"HOVER!")</f>
        <v>HOVER!</v>
      </c>
      <c r="K364">
        <f>E364/F364</f>
        <v>0.33333333333333331</v>
      </c>
    </row>
    <row r="365" spans="1:11" ht="15" x14ac:dyDescent="0.35">
      <c r="A365">
        <f t="shared" si="10"/>
        <v>1</v>
      </c>
      <c r="B365">
        <f t="shared" si="11"/>
        <v>7.5</v>
      </c>
      <c r="C365" s="199" t="str">
        <f>B365&amp;LOOKUP(A365, Sheet2!$A$2:$A$11, Sheet2!$B$2:$B$11)</f>
        <v>7.5YR</v>
      </c>
      <c r="D365">
        <v>17.5</v>
      </c>
      <c r="E365">
        <v>4</v>
      </c>
      <c r="F365">
        <v>6</v>
      </c>
      <c r="G365">
        <v>0.70089999999999997</v>
      </c>
      <c r="H365">
        <v>0.55800000000000005</v>
      </c>
      <c r="I365">
        <v>0.43</v>
      </c>
      <c r="J365" s="2" t="str">
        <f>HYPERLINK(SetRGB(J365,G365*255,H365*255,I365*255),"HOVER!")</f>
        <v>HOVER!</v>
      </c>
      <c r="K365">
        <f>E365/F365</f>
        <v>0.66666666666666663</v>
      </c>
    </row>
    <row r="366" spans="1:11" ht="15" x14ac:dyDescent="0.35">
      <c r="A366">
        <f t="shared" si="10"/>
        <v>1</v>
      </c>
      <c r="B366">
        <f t="shared" si="11"/>
        <v>7.5</v>
      </c>
      <c r="C366" s="199" t="str">
        <f>B366&amp;LOOKUP(A366, Sheet2!$A$2:$A$11, Sheet2!$B$2:$B$11)</f>
        <v>7.5YR</v>
      </c>
      <c r="D366">
        <v>17.5</v>
      </c>
      <c r="E366">
        <v>6</v>
      </c>
      <c r="F366">
        <v>6</v>
      </c>
      <c r="G366">
        <v>0.74509999999999998</v>
      </c>
      <c r="H366">
        <v>0.54510000000000003</v>
      </c>
      <c r="I366">
        <v>0.34620000000000001</v>
      </c>
      <c r="J366" s="2" t="str">
        <f>HYPERLINK(SetRGB(J366,G366*255,H366*255,I366*255),"HOVER!")</f>
        <v>HOVER!</v>
      </c>
      <c r="K366">
        <f>E366/F366</f>
        <v>1</v>
      </c>
    </row>
    <row r="367" spans="1:11" ht="15" x14ac:dyDescent="0.35">
      <c r="A367">
        <f t="shared" si="10"/>
        <v>1</v>
      </c>
      <c r="B367">
        <f t="shared" si="11"/>
        <v>7.5</v>
      </c>
      <c r="C367" s="199" t="str">
        <f>B367&amp;LOOKUP(A367, Sheet2!$A$2:$A$11, Sheet2!$B$2:$B$11)</f>
        <v>7.5YR</v>
      </c>
      <c r="D367">
        <v>17.5</v>
      </c>
      <c r="E367">
        <v>8</v>
      </c>
      <c r="F367">
        <v>6</v>
      </c>
      <c r="G367">
        <v>0.78190000000000004</v>
      </c>
      <c r="H367">
        <v>0.53259999999999996</v>
      </c>
      <c r="I367">
        <v>0.25580000000000003</v>
      </c>
      <c r="J367" s="2" t="str">
        <f>HYPERLINK(SetRGB(J367,G367*255,H367*255,I367*255),"HOVER!")</f>
        <v>HOVER!</v>
      </c>
      <c r="K367">
        <f>E367/F367</f>
        <v>1.3333333333333333</v>
      </c>
    </row>
    <row r="368" spans="1:11" ht="15" x14ac:dyDescent="0.35">
      <c r="A368">
        <f t="shared" si="10"/>
        <v>1</v>
      </c>
      <c r="B368">
        <f t="shared" si="11"/>
        <v>7.5</v>
      </c>
      <c r="C368" s="199" t="str">
        <f>B368&amp;LOOKUP(A368, Sheet2!$A$2:$A$11, Sheet2!$B$2:$B$11)</f>
        <v>7.5YR</v>
      </c>
      <c r="D368">
        <v>17.5</v>
      </c>
      <c r="E368">
        <v>10</v>
      </c>
      <c r="F368">
        <v>6</v>
      </c>
      <c r="G368">
        <v>0.81069999999999998</v>
      </c>
      <c r="H368">
        <v>0.52180000000000004</v>
      </c>
      <c r="I368">
        <v>0.14280000000000001</v>
      </c>
      <c r="J368" s="150" t="str">
        <f>HYPERLINK(SetRGB(J368,G368*255,H368*255,I368*255),"HOVER!")</f>
        <v>HOVER!</v>
      </c>
      <c r="K368">
        <f>E368/F368</f>
        <v>1.6666666666666667</v>
      </c>
    </row>
    <row r="369" spans="1:11" ht="15" x14ac:dyDescent="0.35">
      <c r="A369">
        <f t="shared" si="10"/>
        <v>1</v>
      </c>
      <c r="B369">
        <f t="shared" si="11"/>
        <v>7.5</v>
      </c>
      <c r="C369" s="199" t="str">
        <f>B369&amp;LOOKUP(A369, Sheet2!$A$2:$A$11, Sheet2!$B$2:$B$11)</f>
        <v>7.5YR</v>
      </c>
      <c r="D369">
        <v>17.5</v>
      </c>
      <c r="E369">
        <v>2</v>
      </c>
      <c r="F369">
        <v>7</v>
      </c>
      <c r="G369">
        <v>0.753</v>
      </c>
      <c r="H369">
        <v>0.67479999999999996</v>
      </c>
      <c r="I369">
        <v>0.60640000000000005</v>
      </c>
      <c r="J369" s="151" t="str">
        <f>HYPERLINK(SetRGB(J369,G369*255,H369*255,I369*255),"HOVER!")</f>
        <v>HOVER!</v>
      </c>
      <c r="K369">
        <f>E369/F369</f>
        <v>0.2857142857142857</v>
      </c>
    </row>
    <row r="370" spans="1:11" ht="15" x14ac:dyDescent="0.35">
      <c r="A370">
        <f t="shared" si="10"/>
        <v>1</v>
      </c>
      <c r="B370">
        <f t="shared" si="11"/>
        <v>7.5</v>
      </c>
      <c r="C370" s="199" t="str">
        <f>B370&amp;LOOKUP(A370, Sheet2!$A$2:$A$11, Sheet2!$B$2:$B$11)</f>
        <v>7.5YR</v>
      </c>
      <c r="D370">
        <v>17.5</v>
      </c>
      <c r="E370">
        <v>4</v>
      </c>
      <c r="F370">
        <v>7</v>
      </c>
      <c r="G370">
        <v>0.8075</v>
      </c>
      <c r="H370">
        <v>0.66190000000000004</v>
      </c>
      <c r="I370">
        <v>0.52659999999999996</v>
      </c>
      <c r="J370" s="2" t="str">
        <f>HYPERLINK(SetRGB(J370,G370*255,H370*255,I370*255),"HOVER!")</f>
        <v>HOVER!</v>
      </c>
      <c r="K370">
        <f>E370/F370</f>
        <v>0.5714285714285714</v>
      </c>
    </row>
    <row r="371" spans="1:11" ht="15" x14ac:dyDescent="0.35">
      <c r="A371">
        <f t="shared" si="10"/>
        <v>1</v>
      </c>
      <c r="B371">
        <f t="shared" si="11"/>
        <v>7.5</v>
      </c>
      <c r="C371" s="199" t="str">
        <f>B371&amp;LOOKUP(A371, Sheet2!$A$2:$A$11, Sheet2!$B$2:$B$11)</f>
        <v>7.5YR</v>
      </c>
      <c r="D371">
        <v>17.5</v>
      </c>
      <c r="E371">
        <v>6</v>
      </c>
      <c r="F371">
        <v>7</v>
      </c>
      <c r="G371">
        <v>0.85360000000000003</v>
      </c>
      <c r="H371">
        <v>0.64929999999999999</v>
      </c>
      <c r="I371">
        <v>0.442</v>
      </c>
      <c r="J371" s="149" t="str">
        <f>HYPERLINK(SetRGB(J371,G371*255,H371*255,I371*255),"HOVER!")</f>
        <v>HOVER!</v>
      </c>
      <c r="K371">
        <f>E371/F371</f>
        <v>0.8571428571428571</v>
      </c>
    </row>
    <row r="372" spans="1:11" ht="15" x14ac:dyDescent="0.35">
      <c r="A372">
        <f t="shared" si="10"/>
        <v>1</v>
      </c>
      <c r="B372">
        <f t="shared" si="11"/>
        <v>7.5</v>
      </c>
      <c r="C372" s="199" t="str">
        <f>B372&amp;LOOKUP(A372, Sheet2!$A$2:$A$11, Sheet2!$B$2:$B$11)</f>
        <v>7.5YR</v>
      </c>
      <c r="D372">
        <v>17.5</v>
      </c>
      <c r="E372">
        <v>8</v>
      </c>
      <c r="F372">
        <v>7</v>
      </c>
      <c r="G372">
        <v>0.89170000000000005</v>
      </c>
      <c r="H372">
        <v>0.63739999999999997</v>
      </c>
      <c r="I372">
        <v>0.35599999999999998</v>
      </c>
      <c r="J372" s="2" t="str">
        <f>HYPERLINK(SetRGB(J372,G372*255,H372*255,I372*255),"HOVER!")</f>
        <v>HOVER!</v>
      </c>
      <c r="K372">
        <f>E372/F372</f>
        <v>1.1428571428571428</v>
      </c>
    </row>
    <row r="373" spans="1:11" ht="15" x14ac:dyDescent="0.35">
      <c r="A373">
        <f t="shared" si="10"/>
        <v>1</v>
      </c>
      <c r="B373">
        <f t="shared" si="11"/>
        <v>7.5</v>
      </c>
      <c r="C373" s="199" t="str">
        <f>B373&amp;LOOKUP(A373, Sheet2!$A$2:$A$11, Sheet2!$B$2:$B$11)</f>
        <v>7.5YR</v>
      </c>
      <c r="D373">
        <v>17.5</v>
      </c>
      <c r="E373">
        <v>10</v>
      </c>
      <c r="F373">
        <v>7</v>
      </c>
      <c r="G373">
        <v>0.9244</v>
      </c>
      <c r="H373">
        <v>0.62609999999999999</v>
      </c>
      <c r="I373">
        <v>0.25700000000000001</v>
      </c>
      <c r="J373" s="2" t="str">
        <f>HYPERLINK(SetRGB(J373,G373*255,H373*255,I373*255),"HOVER!")</f>
        <v>HOVER!</v>
      </c>
      <c r="K373">
        <f>E373/F373</f>
        <v>1.4285714285714286</v>
      </c>
    </row>
    <row r="374" spans="1:11" ht="15" x14ac:dyDescent="0.35">
      <c r="A374">
        <f t="shared" si="10"/>
        <v>1</v>
      </c>
      <c r="B374">
        <f t="shared" si="11"/>
        <v>7.5</v>
      </c>
      <c r="C374" s="199" t="str">
        <f>B374&amp;LOOKUP(A374, Sheet2!$A$2:$A$11, Sheet2!$B$2:$B$11)</f>
        <v>7.5YR</v>
      </c>
      <c r="D374">
        <v>17.5</v>
      </c>
      <c r="E374">
        <v>12</v>
      </c>
      <c r="F374">
        <v>7</v>
      </c>
      <c r="G374">
        <v>0.95309999999999995</v>
      </c>
      <c r="H374">
        <v>0.61499999999999999</v>
      </c>
      <c r="I374">
        <v>0.11169999999999999</v>
      </c>
      <c r="J374" s="148" t="str">
        <f>HYPERLINK(SetRGB(J374,G374*255,H374*255,I374*255),"HOVER!")</f>
        <v>HOVER!</v>
      </c>
      <c r="K374">
        <f>E374/F374</f>
        <v>1.7142857142857142</v>
      </c>
    </row>
    <row r="375" spans="1:11" ht="15" x14ac:dyDescent="0.35">
      <c r="A375">
        <f t="shared" si="10"/>
        <v>1</v>
      </c>
      <c r="B375">
        <f t="shared" si="11"/>
        <v>7.5</v>
      </c>
      <c r="C375" s="199" t="str">
        <f>B375&amp;LOOKUP(A375, Sheet2!$A$2:$A$11, Sheet2!$B$2:$B$11)</f>
        <v>7.5YR</v>
      </c>
      <c r="D375">
        <v>17.5</v>
      </c>
      <c r="E375">
        <v>2</v>
      </c>
      <c r="F375">
        <v>8</v>
      </c>
      <c r="G375">
        <v>0.85619999999999996</v>
      </c>
      <c r="H375">
        <v>0.78059999999999996</v>
      </c>
      <c r="I375">
        <v>0.70860000000000001</v>
      </c>
      <c r="J375" s="2" t="str">
        <f>HYPERLINK(SetRGB(J375,G375*255,H375*255,I375*255),"HOVER!")</f>
        <v>HOVER!</v>
      </c>
      <c r="K375">
        <f>E375/F375</f>
        <v>0.25</v>
      </c>
    </row>
    <row r="376" spans="1:11" ht="15" x14ac:dyDescent="0.35">
      <c r="A376">
        <f t="shared" si="10"/>
        <v>1</v>
      </c>
      <c r="B376">
        <f t="shared" si="11"/>
        <v>7.5</v>
      </c>
      <c r="C376" s="199" t="str">
        <f>B376&amp;LOOKUP(A376, Sheet2!$A$2:$A$11, Sheet2!$B$2:$B$11)</f>
        <v>7.5YR</v>
      </c>
      <c r="D376">
        <v>17.5</v>
      </c>
      <c r="E376">
        <v>4</v>
      </c>
      <c r="F376">
        <v>8</v>
      </c>
      <c r="G376">
        <v>0.91259999999999997</v>
      </c>
      <c r="H376">
        <v>0.76800000000000002</v>
      </c>
      <c r="I376">
        <v>0.62409999999999999</v>
      </c>
      <c r="J376" s="147" t="str">
        <f>HYPERLINK(SetRGB(J376,G376*255,H376*255,I376*255),"HOVER!")</f>
        <v>HOVER!</v>
      </c>
      <c r="K376">
        <f>E376/F376</f>
        <v>0.5</v>
      </c>
    </row>
    <row r="377" spans="1:11" ht="15" x14ac:dyDescent="0.35">
      <c r="A377">
        <f t="shared" si="10"/>
        <v>1</v>
      </c>
      <c r="B377">
        <f t="shared" si="11"/>
        <v>7.5</v>
      </c>
      <c r="C377" s="199" t="str">
        <f>B377&amp;LOOKUP(A377, Sheet2!$A$2:$A$11, Sheet2!$B$2:$B$11)</f>
        <v>7.5YR</v>
      </c>
      <c r="D377">
        <v>17.5</v>
      </c>
      <c r="E377">
        <v>6</v>
      </c>
      <c r="F377">
        <v>8</v>
      </c>
      <c r="G377">
        <v>0.96279999999999999</v>
      </c>
      <c r="H377">
        <v>0.75470000000000004</v>
      </c>
      <c r="I377">
        <v>0.54010000000000002</v>
      </c>
      <c r="J377" s="2" t="str">
        <f>HYPERLINK(SetRGB(J377,G377*255,H377*255,I377*255),"HOVER!")</f>
        <v>HOVER!</v>
      </c>
      <c r="K377">
        <f>E377/F377</f>
        <v>0.75</v>
      </c>
    </row>
    <row r="378" spans="1:11" ht="15" x14ac:dyDescent="0.35">
      <c r="A378">
        <f t="shared" si="10"/>
        <v>1</v>
      </c>
      <c r="B378">
        <f t="shared" si="11"/>
        <v>7.5</v>
      </c>
      <c r="C378" s="199" t="str">
        <f>B378&amp;LOOKUP(A378, Sheet2!$A$2:$A$11, Sheet2!$B$2:$B$11)</f>
        <v>7.5YR</v>
      </c>
      <c r="D378">
        <v>17.5</v>
      </c>
      <c r="E378">
        <v>8</v>
      </c>
      <c r="F378">
        <v>8</v>
      </c>
      <c r="G378">
        <v>1</v>
      </c>
      <c r="H378">
        <v>0.74160000000000004</v>
      </c>
      <c r="I378">
        <v>0.44579999999999997</v>
      </c>
      <c r="J378" s="2" t="str">
        <f>HYPERLINK(SetRGB(J378,G378*255,H378*255,I378*255),"HOVER!")</f>
        <v>HOVER!</v>
      </c>
      <c r="K378">
        <f>E378/F378</f>
        <v>1</v>
      </c>
    </row>
    <row r="379" spans="1:11" ht="15" x14ac:dyDescent="0.35">
      <c r="A379">
        <f t="shared" si="10"/>
        <v>1</v>
      </c>
      <c r="B379">
        <f t="shared" si="11"/>
        <v>7.5</v>
      </c>
      <c r="C379" s="199" t="str">
        <f>B379&amp;LOOKUP(A379, Sheet2!$A$2:$A$11, Sheet2!$B$2:$B$11)</f>
        <v>7.5YR</v>
      </c>
      <c r="D379">
        <v>17.5</v>
      </c>
      <c r="E379">
        <v>10</v>
      </c>
      <c r="F379">
        <v>8</v>
      </c>
      <c r="G379">
        <v>1</v>
      </c>
      <c r="H379">
        <v>0.73029999999999995</v>
      </c>
      <c r="I379">
        <v>0.35139999999999999</v>
      </c>
      <c r="J379" s="146" t="str">
        <f>HYPERLINK(SetRGB(J379,G379*255,H379*255,I379*255),"HOVER!")</f>
        <v>HOVER!</v>
      </c>
      <c r="K379">
        <f>E379/F379</f>
        <v>1.25</v>
      </c>
    </row>
    <row r="380" spans="1:11" ht="15" x14ac:dyDescent="0.35">
      <c r="A380">
        <f t="shared" si="10"/>
        <v>1</v>
      </c>
      <c r="B380">
        <f t="shared" si="11"/>
        <v>7.5</v>
      </c>
      <c r="C380" s="199" t="str">
        <f>B380&amp;LOOKUP(A380, Sheet2!$A$2:$A$11, Sheet2!$B$2:$B$11)</f>
        <v>7.5YR</v>
      </c>
      <c r="D380">
        <v>17.5</v>
      </c>
      <c r="E380">
        <v>12</v>
      </c>
      <c r="F380">
        <v>8</v>
      </c>
      <c r="G380">
        <v>1</v>
      </c>
      <c r="H380">
        <v>0.71940000000000004</v>
      </c>
      <c r="I380">
        <v>0.2336</v>
      </c>
      <c r="J380" s="2" t="str">
        <f>HYPERLINK(SetRGB(J380,G380*255,H380*255,I380*255),"HOVER!")</f>
        <v>HOVER!</v>
      </c>
      <c r="K380">
        <f>E380/F380</f>
        <v>1.5</v>
      </c>
    </row>
    <row r="381" spans="1:11" ht="15" x14ac:dyDescent="0.35">
      <c r="A381">
        <f t="shared" si="10"/>
        <v>1</v>
      </c>
      <c r="B381">
        <f t="shared" si="11"/>
        <v>7.5</v>
      </c>
      <c r="C381" s="199" t="str">
        <f>B381&amp;LOOKUP(A381, Sheet2!$A$2:$A$11, Sheet2!$B$2:$B$11)</f>
        <v>7.5YR</v>
      </c>
      <c r="D381">
        <v>17.5</v>
      </c>
      <c r="E381">
        <v>2</v>
      </c>
      <c r="F381">
        <v>9</v>
      </c>
      <c r="G381">
        <v>0.96599999999999997</v>
      </c>
      <c r="H381">
        <v>0.88800000000000001</v>
      </c>
      <c r="I381">
        <v>0.80759999999999998</v>
      </c>
      <c r="J381" s="2" t="str">
        <f>HYPERLINK(SetRGB(J381,G381*255,H381*255,I381*255),"HOVER!")</f>
        <v>HOVER!</v>
      </c>
      <c r="K381">
        <f>E381/F381</f>
        <v>0.22222222222222221</v>
      </c>
    </row>
    <row r="382" spans="1:11" ht="15" x14ac:dyDescent="0.35">
      <c r="A382">
        <f t="shared" si="10"/>
        <v>1</v>
      </c>
      <c r="B382">
        <f t="shared" si="11"/>
        <v>7.5</v>
      </c>
      <c r="C382" s="199" t="str">
        <f>B382&amp;LOOKUP(A382, Sheet2!$A$2:$A$11, Sheet2!$B$2:$B$11)</f>
        <v>7.5YR</v>
      </c>
      <c r="D382">
        <v>17.5</v>
      </c>
      <c r="E382">
        <v>4</v>
      </c>
      <c r="F382">
        <v>9</v>
      </c>
      <c r="G382">
        <v>1</v>
      </c>
      <c r="H382">
        <v>0.87439999999999996</v>
      </c>
      <c r="I382">
        <v>0.71309999999999996</v>
      </c>
      <c r="J382" s="145" t="str">
        <f>HYPERLINK(SetRGB(J382,G382*255,H382*255,I382*255),"HOVER!")</f>
        <v>HOVER!</v>
      </c>
      <c r="K382">
        <f>E382/F382</f>
        <v>0.44444444444444442</v>
      </c>
    </row>
    <row r="383" spans="1:11" ht="15" x14ac:dyDescent="0.35">
      <c r="A383">
        <f t="shared" si="10"/>
        <v>1</v>
      </c>
      <c r="B383">
        <f t="shared" si="11"/>
        <v>7.5</v>
      </c>
      <c r="C383" s="199" t="str">
        <f>B383&amp;LOOKUP(A383, Sheet2!$A$2:$A$11, Sheet2!$B$2:$B$11)</f>
        <v>7.5YR</v>
      </c>
      <c r="D383">
        <v>17.5</v>
      </c>
      <c r="E383">
        <v>6</v>
      </c>
      <c r="F383">
        <v>9</v>
      </c>
      <c r="G383">
        <v>1</v>
      </c>
      <c r="H383">
        <v>0.86209999999999998</v>
      </c>
      <c r="I383">
        <v>0.62519999999999998</v>
      </c>
      <c r="J383" s="144" t="str">
        <f>HYPERLINK(SetRGB(J383,G383*255,H383*255,I383*255),"HOVER!")</f>
        <v>HOVER!</v>
      </c>
      <c r="K383">
        <f>E383/F383</f>
        <v>0.66666666666666663</v>
      </c>
    </row>
    <row r="384" spans="1:11" ht="15" x14ac:dyDescent="0.35">
      <c r="A384">
        <f t="shared" si="10"/>
        <v>1</v>
      </c>
      <c r="B384">
        <f t="shared" si="11"/>
        <v>7.5</v>
      </c>
      <c r="C384" s="199" t="str">
        <f>B384&amp;LOOKUP(A384, Sheet2!$A$2:$A$11, Sheet2!$B$2:$B$11)</f>
        <v>7.5YR</v>
      </c>
      <c r="D384">
        <v>17.5</v>
      </c>
      <c r="E384">
        <v>8</v>
      </c>
      <c r="F384">
        <v>9</v>
      </c>
      <c r="G384">
        <v>1</v>
      </c>
      <c r="H384">
        <v>0.84960000000000002</v>
      </c>
      <c r="I384">
        <v>0.53200000000000003</v>
      </c>
      <c r="J384" s="143" t="str">
        <f>HYPERLINK(SetRGB(J384,G384*255,H384*255,I384*255),"HOVER!")</f>
        <v>HOVER!</v>
      </c>
      <c r="K384">
        <f>E384/F384</f>
        <v>0.88888888888888884</v>
      </c>
    </row>
    <row r="385" spans="1:11" ht="15" x14ac:dyDescent="0.35">
      <c r="A385">
        <f t="shared" si="10"/>
        <v>2</v>
      </c>
      <c r="B385">
        <f t="shared" si="11"/>
        <v>10</v>
      </c>
      <c r="C385" s="199" t="str">
        <f>B385&amp;LOOKUP(A385, Sheet2!$A$2:$A$11, Sheet2!$B$2:$B$11)</f>
        <v>10Y</v>
      </c>
      <c r="D385">
        <v>20</v>
      </c>
      <c r="E385">
        <v>2</v>
      </c>
      <c r="F385">
        <v>1</v>
      </c>
      <c r="G385">
        <v>0.16070000000000001</v>
      </c>
      <c r="H385">
        <v>0.1004</v>
      </c>
      <c r="I385">
        <v>3.7499999999999999E-2</v>
      </c>
      <c r="J385" s="39" t="str">
        <f>HYPERLINK(SetRGB(J385,G385*255,H385*255,I385*255),"HOVER!")</f>
        <v>HOVER!</v>
      </c>
      <c r="K385">
        <f>E385/F385</f>
        <v>2</v>
      </c>
    </row>
    <row r="386" spans="1:11" ht="15" x14ac:dyDescent="0.35">
      <c r="A386">
        <f t="shared" si="10"/>
        <v>2</v>
      </c>
      <c r="B386">
        <f t="shared" si="11"/>
        <v>10</v>
      </c>
      <c r="C386" s="199" t="str">
        <f>B386&amp;LOOKUP(A386, Sheet2!$A$2:$A$11, Sheet2!$B$2:$B$11)</f>
        <v>10Y</v>
      </c>
      <c r="D386">
        <v>20</v>
      </c>
      <c r="E386">
        <v>2</v>
      </c>
      <c r="F386">
        <v>2</v>
      </c>
      <c r="G386">
        <v>0.23830000000000001</v>
      </c>
      <c r="H386">
        <v>0.18440000000000001</v>
      </c>
      <c r="I386">
        <v>0.13089999999999999</v>
      </c>
      <c r="J386" s="75" t="str">
        <f>HYPERLINK(SetRGB(J386,G386*255,H386*255,I386*255),"HOVER!")</f>
        <v>HOVER!</v>
      </c>
      <c r="K386">
        <f>E386/F386</f>
        <v>1</v>
      </c>
    </row>
    <row r="387" spans="1:11" ht="15" x14ac:dyDescent="0.35">
      <c r="A387">
        <f t="shared" si="10"/>
        <v>2</v>
      </c>
      <c r="B387">
        <f t="shared" si="11"/>
        <v>10</v>
      </c>
      <c r="C387" s="199" t="str">
        <f>B387&amp;LOOKUP(A387, Sheet2!$A$2:$A$11, Sheet2!$B$2:$B$11)</f>
        <v>10Y</v>
      </c>
      <c r="D387">
        <v>20</v>
      </c>
      <c r="E387">
        <v>4</v>
      </c>
      <c r="F387">
        <v>2</v>
      </c>
      <c r="G387">
        <v>0.2707</v>
      </c>
      <c r="H387">
        <v>0.17460000000000001</v>
      </c>
      <c r="I387">
        <v>4.99E-2</v>
      </c>
      <c r="J387" s="74" t="str">
        <f>HYPERLINK(SetRGB(J387,G387*255,H387*255,I387*255),"HOVER!")</f>
        <v>HOVER!</v>
      </c>
      <c r="K387">
        <f>E387/F387</f>
        <v>2</v>
      </c>
    </row>
    <row r="388" spans="1:11" ht="15" x14ac:dyDescent="0.35">
      <c r="A388">
        <f t="shared" si="10"/>
        <v>2</v>
      </c>
      <c r="B388">
        <f t="shared" si="11"/>
        <v>10</v>
      </c>
      <c r="C388" s="199" t="str">
        <f>B388&amp;LOOKUP(A388, Sheet2!$A$2:$A$11, Sheet2!$B$2:$B$11)</f>
        <v>10Y</v>
      </c>
      <c r="D388">
        <v>20</v>
      </c>
      <c r="E388">
        <v>2</v>
      </c>
      <c r="F388">
        <v>3</v>
      </c>
      <c r="G388">
        <v>0.33429999999999999</v>
      </c>
      <c r="H388">
        <v>0.27389999999999998</v>
      </c>
      <c r="I388">
        <v>0.21010000000000001</v>
      </c>
      <c r="J388" s="142" t="str">
        <f>HYPERLINK(SetRGB(J388,G388*255,H388*255,I388*255),"HOVER!")</f>
        <v>HOVER!</v>
      </c>
      <c r="K388">
        <f>E388/F388</f>
        <v>0.66666666666666663</v>
      </c>
    </row>
    <row r="389" spans="1:11" ht="15" x14ac:dyDescent="0.35">
      <c r="A389">
        <f t="shared" si="10"/>
        <v>2</v>
      </c>
      <c r="B389">
        <f t="shared" si="11"/>
        <v>10</v>
      </c>
      <c r="C389" s="199" t="str">
        <f>B389&amp;LOOKUP(A389, Sheet2!$A$2:$A$11, Sheet2!$B$2:$B$11)</f>
        <v>10Y</v>
      </c>
      <c r="D389">
        <v>20</v>
      </c>
      <c r="E389">
        <v>4</v>
      </c>
      <c r="F389">
        <v>3</v>
      </c>
      <c r="G389">
        <v>0.36840000000000001</v>
      </c>
      <c r="H389">
        <v>0.26479999999999998</v>
      </c>
      <c r="I389">
        <v>0.13550000000000001</v>
      </c>
      <c r="J389" s="141" t="str">
        <f>HYPERLINK(SetRGB(J389,G389*255,H389*255,I389*255),"HOVER!")</f>
        <v>HOVER!</v>
      </c>
      <c r="K389">
        <f>E389/F389</f>
        <v>1.3333333333333333</v>
      </c>
    </row>
    <row r="390" spans="1:11" ht="15" x14ac:dyDescent="0.35">
      <c r="A390">
        <f t="shared" si="10"/>
        <v>2</v>
      </c>
      <c r="B390">
        <f t="shared" si="11"/>
        <v>10</v>
      </c>
      <c r="C390" s="199" t="str">
        <f>B390&amp;LOOKUP(A390, Sheet2!$A$2:$A$11, Sheet2!$B$2:$B$11)</f>
        <v>10Y</v>
      </c>
      <c r="D390">
        <v>20</v>
      </c>
      <c r="E390">
        <v>6</v>
      </c>
      <c r="F390">
        <v>3</v>
      </c>
      <c r="G390">
        <v>0.39410000000000001</v>
      </c>
      <c r="H390">
        <v>0.25640000000000002</v>
      </c>
      <c r="I390">
        <v>0.03</v>
      </c>
      <c r="J390" s="140" t="str">
        <f>HYPERLINK(SetRGB(J390,G390*255,H390*255,I390*255),"HOVER!")</f>
        <v>HOVER!</v>
      </c>
      <c r="K390">
        <f>E390/F390</f>
        <v>2</v>
      </c>
    </row>
    <row r="391" spans="1:11" ht="15" x14ac:dyDescent="0.35">
      <c r="A391">
        <f t="shared" si="10"/>
        <v>2</v>
      </c>
      <c r="B391">
        <f t="shared" si="11"/>
        <v>10</v>
      </c>
      <c r="C391" s="199" t="str">
        <f>B391&amp;LOOKUP(A391, Sheet2!$A$2:$A$11, Sheet2!$B$2:$B$11)</f>
        <v>10Y</v>
      </c>
      <c r="D391">
        <v>20</v>
      </c>
      <c r="E391">
        <v>2</v>
      </c>
      <c r="F391">
        <v>4</v>
      </c>
      <c r="G391">
        <v>0.43640000000000001</v>
      </c>
      <c r="H391">
        <v>0.37090000000000001</v>
      </c>
      <c r="I391">
        <v>0.29649999999999999</v>
      </c>
      <c r="J391" s="1" t="str">
        <f>HYPERLINK(SetRGB(J391,G391*255,H391*255,I391*255),"HOVER!")</f>
        <v>HOVER!</v>
      </c>
      <c r="K391">
        <f>E391/F391</f>
        <v>0.5</v>
      </c>
    </row>
    <row r="392" spans="1:11" ht="15" x14ac:dyDescent="0.35">
      <c r="A392">
        <f t="shared" si="10"/>
        <v>2</v>
      </c>
      <c r="B392">
        <f t="shared" si="11"/>
        <v>10</v>
      </c>
      <c r="C392" s="199" t="str">
        <f>B392&amp;LOOKUP(A392, Sheet2!$A$2:$A$11, Sheet2!$B$2:$B$11)</f>
        <v>10Y</v>
      </c>
      <c r="D392">
        <v>20</v>
      </c>
      <c r="E392">
        <v>4</v>
      </c>
      <c r="F392">
        <v>4</v>
      </c>
      <c r="G392">
        <v>0.47699999999999998</v>
      </c>
      <c r="H392">
        <v>0.36070000000000002</v>
      </c>
      <c r="I392">
        <v>0.21329999999999999</v>
      </c>
      <c r="J392" s="1" t="str">
        <f>HYPERLINK(SetRGB(J392,G392*255,H392*255,I392*255),"HOVER!")</f>
        <v>HOVER!</v>
      </c>
      <c r="K392">
        <f>E392/F392</f>
        <v>1</v>
      </c>
    </row>
    <row r="393" spans="1:11" ht="15" x14ac:dyDescent="0.35">
      <c r="A393">
        <f t="shared" si="10"/>
        <v>2</v>
      </c>
      <c r="B393">
        <f t="shared" si="11"/>
        <v>10</v>
      </c>
      <c r="C393" s="199" t="str">
        <f>B393&amp;LOOKUP(A393, Sheet2!$A$2:$A$11, Sheet2!$B$2:$B$11)</f>
        <v>10Y</v>
      </c>
      <c r="D393">
        <v>20</v>
      </c>
      <c r="E393">
        <v>6</v>
      </c>
      <c r="F393">
        <v>4</v>
      </c>
      <c r="G393">
        <v>0.50490000000000002</v>
      </c>
      <c r="H393">
        <v>0.3523</v>
      </c>
      <c r="I393">
        <v>0.12790000000000001</v>
      </c>
      <c r="J393" s="1" t="str">
        <f>HYPERLINK(SetRGB(J393,G393*255,H393*255,I393*255),"HOVER!")</f>
        <v>HOVER!</v>
      </c>
      <c r="K393">
        <f>E393/F393</f>
        <v>1.5</v>
      </c>
    </row>
    <row r="394" spans="1:11" ht="15" x14ac:dyDescent="0.35">
      <c r="A394">
        <f t="shared" si="10"/>
        <v>2</v>
      </c>
      <c r="B394">
        <f t="shared" si="11"/>
        <v>10</v>
      </c>
      <c r="C394" s="199" t="str">
        <f>B394&amp;LOOKUP(A394, Sheet2!$A$2:$A$11, Sheet2!$B$2:$B$11)</f>
        <v>10Y</v>
      </c>
      <c r="D394">
        <v>20</v>
      </c>
      <c r="E394">
        <v>2</v>
      </c>
      <c r="F394">
        <v>5</v>
      </c>
      <c r="G394">
        <v>0.53680000000000005</v>
      </c>
      <c r="H394">
        <v>0.47239999999999999</v>
      </c>
      <c r="I394">
        <v>0.39779999999999999</v>
      </c>
      <c r="J394" s="1" t="str">
        <f>HYPERLINK(SetRGB(J394,G394*255,H394*255,I394*255),"HOVER!")</f>
        <v>HOVER!</v>
      </c>
      <c r="K394">
        <f>E394/F394</f>
        <v>0.4</v>
      </c>
    </row>
    <row r="395" spans="1:11" ht="15" x14ac:dyDescent="0.35">
      <c r="A395">
        <f t="shared" si="10"/>
        <v>2</v>
      </c>
      <c r="B395">
        <f t="shared" si="11"/>
        <v>10</v>
      </c>
      <c r="C395" s="199" t="str">
        <f>B395&amp;LOOKUP(A395, Sheet2!$A$2:$A$11, Sheet2!$B$2:$B$11)</f>
        <v>10Y</v>
      </c>
      <c r="D395">
        <v>20</v>
      </c>
      <c r="E395">
        <v>4</v>
      </c>
      <c r="F395">
        <v>5</v>
      </c>
      <c r="G395">
        <v>0.5806</v>
      </c>
      <c r="H395">
        <v>0.46260000000000001</v>
      </c>
      <c r="I395">
        <v>0.3115</v>
      </c>
      <c r="J395" s="1" t="str">
        <f>HYPERLINK(SetRGB(J395,G395*255,H395*255,I395*255),"HOVER!")</f>
        <v>HOVER!</v>
      </c>
      <c r="K395">
        <f>E395/F395</f>
        <v>0.8</v>
      </c>
    </row>
    <row r="396" spans="1:11" ht="15" x14ac:dyDescent="0.35">
      <c r="A396">
        <f t="shared" si="10"/>
        <v>2</v>
      </c>
      <c r="B396">
        <f t="shared" si="11"/>
        <v>10</v>
      </c>
      <c r="C396" s="199" t="str">
        <f>B396&amp;LOOKUP(A396, Sheet2!$A$2:$A$11, Sheet2!$B$2:$B$11)</f>
        <v>10Y</v>
      </c>
      <c r="D396">
        <v>20</v>
      </c>
      <c r="E396">
        <v>6</v>
      </c>
      <c r="F396">
        <v>5</v>
      </c>
      <c r="G396">
        <v>0.61639999999999995</v>
      </c>
      <c r="H396">
        <v>0.45290000000000002</v>
      </c>
      <c r="I396">
        <v>0.2157</v>
      </c>
      <c r="J396" s="1" t="str">
        <f>HYPERLINK(SetRGB(J396,G396*255,H396*255,I396*255),"HOVER!")</f>
        <v>HOVER!</v>
      </c>
      <c r="K396">
        <f>E396/F396</f>
        <v>1.2</v>
      </c>
    </row>
    <row r="397" spans="1:11" ht="15" x14ac:dyDescent="0.35">
      <c r="A397">
        <f t="shared" si="10"/>
        <v>2</v>
      </c>
      <c r="B397">
        <f t="shared" si="11"/>
        <v>10</v>
      </c>
      <c r="C397" s="199" t="str">
        <f>B397&amp;LOOKUP(A397, Sheet2!$A$2:$A$11, Sheet2!$B$2:$B$11)</f>
        <v>10Y</v>
      </c>
      <c r="D397">
        <v>20</v>
      </c>
      <c r="E397">
        <v>8</v>
      </c>
      <c r="F397">
        <v>5</v>
      </c>
      <c r="G397">
        <v>0.64170000000000005</v>
      </c>
      <c r="H397">
        <v>0.44500000000000001</v>
      </c>
      <c r="I397">
        <v>0.1046</v>
      </c>
      <c r="J397" s="1" t="str">
        <f>HYPERLINK(SetRGB(J397,G397*255,H397*255,I397*255),"HOVER!")</f>
        <v>HOVER!</v>
      </c>
      <c r="K397">
        <f>E397/F397</f>
        <v>1.6</v>
      </c>
    </row>
    <row r="398" spans="1:11" ht="15" x14ac:dyDescent="0.35">
      <c r="A398">
        <f t="shared" ref="A398:A461" si="12">IF(FLOOR(D398/10,1)=0,10,FLOOR(D398/10,1))</f>
        <v>2</v>
      </c>
      <c r="B398">
        <f t="shared" ref="B398:B461" si="13">IF(MOD(D398,10)=0,10,MOD(D398,10))</f>
        <v>10</v>
      </c>
      <c r="C398" s="199" t="str">
        <f>B398&amp;LOOKUP(A398, Sheet2!$A$2:$A$11, Sheet2!$B$2:$B$11)</f>
        <v>10Y</v>
      </c>
      <c r="D398">
        <v>20</v>
      </c>
      <c r="E398">
        <v>2</v>
      </c>
      <c r="F398">
        <v>6</v>
      </c>
      <c r="G398">
        <v>0.64070000000000005</v>
      </c>
      <c r="H398">
        <v>0.57509999999999994</v>
      </c>
      <c r="I398">
        <v>0.49440000000000001</v>
      </c>
      <c r="J398" s="2" t="str">
        <f>HYPERLINK(SetRGB(J398,G398*255,H398*255,I398*255),"HOVER!")</f>
        <v>HOVER!</v>
      </c>
      <c r="K398">
        <f>E398/F398</f>
        <v>0.33333333333333331</v>
      </c>
    </row>
    <row r="399" spans="1:11" ht="15" x14ac:dyDescent="0.35">
      <c r="A399">
        <f t="shared" si="12"/>
        <v>2</v>
      </c>
      <c r="B399">
        <f t="shared" si="13"/>
        <v>10</v>
      </c>
      <c r="C399" s="199" t="str">
        <f>B399&amp;LOOKUP(A399, Sheet2!$A$2:$A$11, Sheet2!$B$2:$B$11)</f>
        <v>10Y</v>
      </c>
      <c r="D399">
        <v>20</v>
      </c>
      <c r="E399">
        <v>4</v>
      </c>
      <c r="F399">
        <v>6</v>
      </c>
      <c r="G399">
        <v>0.68410000000000004</v>
      </c>
      <c r="H399">
        <v>0.56620000000000004</v>
      </c>
      <c r="I399">
        <v>0.40899999999999997</v>
      </c>
      <c r="J399" s="2" t="str">
        <f>HYPERLINK(SetRGB(J399,G399*255,H399*255,I399*255),"HOVER!")</f>
        <v>HOVER!</v>
      </c>
      <c r="K399">
        <f>E399/F399</f>
        <v>0.66666666666666663</v>
      </c>
    </row>
    <row r="400" spans="1:11" ht="15" x14ac:dyDescent="0.35">
      <c r="A400">
        <f t="shared" si="12"/>
        <v>2</v>
      </c>
      <c r="B400">
        <f t="shared" si="13"/>
        <v>10</v>
      </c>
      <c r="C400" s="199" t="str">
        <f>B400&amp;LOOKUP(A400, Sheet2!$A$2:$A$11, Sheet2!$B$2:$B$11)</f>
        <v>10Y</v>
      </c>
      <c r="D400">
        <v>20</v>
      </c>
      <c r="E400">
        <v>6</v>
      </c>
      <c r="F400">
        <v>6</v>
      </c>
      <c r="G400">
        <v>0.72330000000000005</v>
      </c>
      <c r="H400">
        <v>0.55640000000000001</v>
      </c>
      <c r="I400">
        <v>0.31519999999999998</v>
      </c>
      <c r="J400" s="2" t="str">
        <f>HYPERLINK(SetRGB(J400,G400*255,H400*255,I400*255),"HOVER!")</f>
        <v>HOVER!</v>
      </c>
      <c r="K400">
        <f>E400/F400</f>
        <v>1</v>
      </c>
    </row>
    <row r="401" spans="1:11" ht="15" x14ac:dyDescent="0.35">
      <c r="A401">
        <f t="shared" si="12"/>
        <v>2</v>
      </c>
      <c r="B401">
        <f t="shared" si="13"/>
        <v>10</v>
      </c>
      <c r="C401" s="199" t="str">
        <f>B401&amp;LOOKUP(A401, Sheet2!$A$2:$A$11, Sheet2!$B$2:$B$11)</f>
        <v>10Y</v>
      </c>
      <c r="D401">
        <v>20</v>
      </c>
      <c r="E401">
        <v>8</v>
      </c>
      <c r="F401">
        <v>6</v>
      </c>
      <c r="G401">
        <v>0.753</v>
      </c>
      <c r="H401">
        <v>0.54800000000000004</v>
      </c>
      <c r="I401">
        <v>0.21240000000000001</v>
      </c>
      <c r="J401" s="2" t="str">
        <f>HYPERLINK(SetRGB(J401,G401*255,H401*255,I401*255),"HOVER!")</f>
        <v>HOVER!</v>
      </c>
      <c r="K401">
        <f>E401/F401</f>
        <v>1.3333333333333333</v>
      </c>
    </row>
    <row r="402" spans="1:11" ht="15" x14ac:dyDescent="0.35">
      <c r="A402">
        <f t="shared" si="12"/>
        <v>2</v>
      </c>
      <c r="B402">
        <f t="shared" si="13"/>
        <v>10</v>
      </c>
      <c r="C402" s="199" t="str">
        <f>B402&amp;LOOKUP(A402, Sheet2!$A$2:$A$11, Sheet2!$B$2:$B$11)</f>
        <v>10Y</v>
      </c>
      <c r="D402">
        <v>20</v>
      </c>
      <c r="E402">
        <v>10</v>
      </c>
      <c r="F402">
        <v>6</v>
      </c>
      <c r="G402">
        <v>0.7762</v>
      </c>
      <c r="H402">
        <v>0.54059999999999997</v>
      </c>
      <c r="I402">
        <v>6.3E-2</v>
      </c>
      <c r="J402" s="2" t="str">
        <f>HYPERLINK(SetRGB(J402,G402*255,H402*255,I402*255),"HOVER!")</f>
        <v>HOVER!</v>
      </c>
      <c r="K402">
        <f>E402/F402</f>
        <v>1.6666666666666667</v>
      </c>
    </row>
    <row r="403" spans="1:11" ht="15" x14ac:dyDescent="0.35">
      <c r="A403">
        <f t="shared" si="12"/>
        <v>2</v>
      </c>
      <c r="B403">
        <f t="shared" si="13"/>
        <v>10</v>
      </c>
      <c r="C403" s="199" t="str">
        <f>B403&amp;LOOKUP(A403, Sheet2!$A$2:$A$11, Sheet2!$B$2:$B$11)</f>
        <v>10Y</v>
      </c>
      <c r="D403">
        <v>20</v>
      </c>
      <c r="E403">
        <v>2</v>
      </c>
      <c r="F403">
        <v>7</v>
      </c>
      <c r="G403">
        <v>0.74419999999999997</v>
      </c>
      <c r="H403">
        <v>0.67900000000000005</v>
      </c>
      <c r="I403">
        <v>0.59399999999999997</v>
      </c>
      <c r="J403" s="2" t="str">
        <f>HYPERLINK(SetRGB(J403,G403*255,H403*255,I403*255),"HOVER!")</f>
        <v>HOVER!</v>
      </c>
      <c r="K403">
        <f>E403/F403</f>
        <v>0.2857142857142857</v>
      </c>
    </row>
    <row r="404" spans="1:11" ht="15" x14ac:dyDescent="0.35">
      <c r="A404">
        <f t="shared" si="12"/>
        <v>2</v>
      </c>
      <c r="B404">
        <f t="shared" si="13"/>
        <v>10</v>
      </c>
      <c r="C404" s="199" t="str">
        <f>B404&amp;LOOKUP(A404, Sheet2!$A$2:$A$11, Sheet2!$B$2:$B$11)</f>
        <v>10Y</v>
      </c>
      <c r="D404">
        <v>20</v>
      </c>
      <c r="E404">
        <v>4</v>
      </c>
      <c r="F404">
        <v>7</v>
      </c>
      <c r="G404">
        <v>0.79059999999999997</v>
      </c>
      <c r="H404">
        <v>0.67010000000000003</v>
      </c>
      <c r="I404">
        <v>0.50370000000000004</v>
      </c>
      <c r="J404" s="2" t="str">
        <f>HYPERLINK(SetRGB(J404,G404*255,H404*255,I404*255),"HOVER!")</f>
        <v>HOVER!</v>
      </c>
      <c r="K404">
        <f>E404/F404</f>
        <v>0.5714285714285714</v>
      </c>
    </row>
    <row r="405" spans="1:11" ht="15" x14ac:dyDescent="0.35">
      <c r="A405">
        <f t="shared" si="12"/>
        <v>2</v>
      </c>
      <c r="B405">
        <f t="shared" si="13"/>
        <v>10</v>
      </c>
      <c r="C405" s="199" t="str">
        <f>B405&amp;LOOKUP(A405, Sheet2!$A$2:$A$11, Sheet2!$B$2:$B$11)</f>
        <v>10Y</v>
      </c>
      <c r="D405">
        <v>20</v>
      </c>
      <c r="E405">
        <v>6</v>
      </c>
      <c r="F405">
        <v>7</v>
      </c>
      <c r="G405">
        <v>0.82950000000000002</v>
      </c>
      <c r="H405">
        <v>0.6613</v>
      </c>
      <c r="I405">
        <v>0.4113</v>
      </c>
      <c r="J405" s="2" t="str">
        <f>HYPERLINK(SetRGB(J405,G405*255,H405*255,I405*255),"HOVER!")</f>
        <v>HOVER!</v>
      </c>
      <c r="K405">
        <f>E405/F405</f>
        <v>0.8571428571428571</v>
      </c>
    </row>
    <row r="406" spans="1:11" ht="15" x14ac:dyDescent="0.35">
      <c r="A406">
        <f t="shared" si="12"/>
        <v>2</v>
      </c>
      <c r="B406">
        <f t="shared" si="13"/>
        <v>10</v>
      </c>
      <c r="C406" s="199" t="str">
        <f>B406&amp;LOOKUP(A406, Sheet2!$A$2:$A$11, Sheet2!$B$2:$B$11)</f>
        <v>10Y</v>
      </c>
      <c r="D406">
        <v>20</v>
      </c>
      <c r="E406">
        <v>8</v>
      </c>
      <c r="F406">
        <v>7</v>
      </c>
      <c r="G406">
        <v>0.86209999999999998</v>
      </c>
      <c r="H406">
        <v>0.65269999999999995</v>
      </c>
      <c r="I406">
        <v>0.315</v>
      </c>
      <c r="J406" s="2" t="str">
        <f>HYPERLINK(SetRGB(J406,G406*255,H406*255,I406*255),"HOVER!")</f>
        <v>HOVER!</v>
      </c>
      <c r="K406">
        <f>E406/F406</f>
        <v>1.1428571428571428</v>
      </c>
    </row>
    <row r="407" spans="1:11" ht="15" x14ac:dyDescent="0.35">
      <c r="A407">
        <f t="shared" si="12"/>
        <v>2</v>
      </c>
      <c r="B407">
        <f t="shared" si="13"/>
        <v>10</v>
      </c>
      <c r="C407" s="199" t="str">
        <f>B407&amp;LOOKUP(A407, Sheet2!$A$2:$A$11, Sheet2!$B$2:$B$11)</f>
        <v>10Y</v>
      </c>
      <c r="D407">
        <v>20</v>
      </c>
      <c r="E407">
        <v>10</v>
      </c>
      <c r="F407">
        <v>7</v>
      </c>
      <c r="G407">
        <v>0.88970000000000005</v>
      </c>
      <c r="H407">
        <v>0.64449999999999996</v>
      </c>
      <c r="I407">
        <v>0.20019999999999999</v>
      </c>
      <c r="J407" s="2" t="str">
        <f>HYPERLINK(SetRGB(J407,G407*255,H407*255,I407*255),"HOVER!")</f>
        <v>HOVER!</v>
      </c>
      <c r="K407">
        <f>E407/F407</f>
        <v>1.4285714285714286</v>
      </c>
    </row>
    <row r="408" spans="1:11" ht="15" x14ac:dyDescent="0.35">
      <c r="A408">
        <f t="shared" si="12"/>
        <v>2</v>
      </c>
      <c r="B408">
        <f t="shared" si="13"/>
        <v>10</v>
      </c>
      <c r="C408" s="199" t="str">
        <f>B408&amp;LOOKUP(A408, Sheet2!$A$2:$A$11, Sheet2!$B$2:$B$11)</f>
        <v>10Y</v>
      </c>
      <c r="D408">
        <v>20</v>
      </c>
      <c r="E408">
        <v>2</v>
      </c>
      <c r="F408">
        <v>8</v>
      </c>
      <c r="G408">
        <v>0.84860000000000002</v>
      </c>
      <c r="H408">
        <v>0.78449999999999998</v>
      </c>
      <c r="I408">
        <v>0.69430000000000003</v>
      </c>
      <c r="J408" s="2" t="str">
        <f>HYPERLINK(SetRGB(J408,G408*255,H408*255,I408*255),"HOVER!")</f>
        <v>HOVER!</v>
      </c>
      <c r="K408">
        <f>E408/F408</f>
        <v>0.25</v>
      </c>
    </row>
    <row r="409" spans="1:11" ht="15" x14ac:dyDescent="0.35">
      <c r="A409">
        <f t="shared" si="12"/>
        <v>2</v>
      </c>
      <c r="B409">
        <f t="shared" si="13"/>
        <v>10</v>
      </c>
      <c r="C409" s="199" t="str">
        <f>B409&amp;LOOKUP(A409, Sheet2!$A$2:$A$11, Sheet2!$B$2:$B$11)</f>
        <v>10Y</v>
      </c>
      <c r="D409">
        <v>20</v>
      </c>
      <c r="E409">
        <v>4</v>
      </c>
      <c r="F409">
        <v>8</v>
      </c>
      <c r="G409">
        <v>0.89559999999999995</v>
      </c>
      <c r="H409">
        <v>0.77610000000000001</v>
      </c>
      <c r="I409">
        <v>0.60299999999999998</v>
      </c>
      <c r="J409" s="2" t="str">
        <f>HYPERLINK(SetRGB(J409,G409*255,H409*255,I409*255),"HOVER!")</f>
        <v>HOVER!</v>
      </c>
      <c r="K409">
        <f>E409/F409</f>
        <v>0.5</v>
      </c>
    </row>
    <row r="410" spans="1:11" ht="15" x14ac:dyDescent="0.35">
      <c r="A410">
        <f t="shared" si="12"/>
        <v>2</v>
      </c>
      <c r="B410">
        <f t="shared" si="13"/>
        <v>10</v>
      </c>
      <c r="C410" s="199" t="str">
        <f>B410&amp;LOOKUP(A410, Sheet2!$A$2:$A$11, Sheet2!$B$2:$B$11)</f>
        <v>10Y</v>
      </c>
      <c r="D410">
        <v>20</v>
      </c>
      <c r="E410">
        <v>6</v>
      </c>
      <c r="F410">
        <v>8</v>
      </c>
      <c r="G410">
        <v>0.93730000000000002</v>
      </c>
      <c r="H410">
        <v>0.7671</v>
      </c>
      <c r="I410">
        <v>0.50970000000000004</v>
      </c>
      <c r="J410" s="2" t="str">
        <f>HYPERLINK(SetRGB(J410,G410*255,H410*255,I410*255),"HOVER!")</f>
        <v>HOVER!</v>
      </c>
      <c r="K410">
        <f>E410/F410</f>
        <v>0.75</v>
      </c>
    </row>
    <row r="411" spans="1:11" ht="15" x14ac:dyDescent="0.35">
      <c r="A411">
        <f t="shared" si="12"/>
        <v>2</v>
      </c>
      <c r="B411">
        <f t="shared" si="13"/>
        <v>10</v>
      </c>
      <c r="C411" s="199" t="str">
        <f>B411&amp;LOOKUP(A411, Sheet2!$A$2:$A$11, Sheet2!$B$2:$B$11)</f>
        <v>10Y</v>
      </c>
      <c r="D411">
        <v>20</v>
      </c>
      <c r="E411">
        <v>8</v>
      </c>
      <c r="F411">
        <v>8</v>
      </c>
      <c r="G411">
        <v>0.97370000000000001</v>
      </c>
      <c r="H411">
        <v>0.7581</v>
      </c>
      <c r="I411">
        <v>0.40860000000000002</v>
      </c>
      <c r="J411" s="2" t="str">
        <f>HYPERLINK(SetRGB(J411,G411*255,H411*255,I411*255),"HOVER!")</f>
        <v>HOVER!</v>
      </c>
      <c r="K411">
        <f>E411/F411</f>
        <v>1</v>
      </c>
    </row>
    <row r="412" spans="1:11" ht="15" x14ac:dyDescent="0.35">
      <c r="A412">
        <f t="shared" si="12"/>
        <v>2</v>
      </c>
      <c r="B412">
        <f t="shared" si="13"/>
        <v>10</v>
      </c>
      <c r="C412" s="199" t="str">
        <f>B412&amp;LOOKUP(A412, Sheet2!$A$2:$A$11, Sheet2!$B$2:$B$11)</f>
        <v>10Y</v>
      </c>
      <c r="D412">
        <v>20</v>
      </c>
      <c r="E412">
        <v>10</v>
      </c>
      <c r="F412">
        <v>8</v>
      </c>
      <c r="G412">
        <v>1</v>
      </c>
      <c r="H412">
        <v>0.75</v>
      </c>
      <c r="I412">
        <v>0.30349999999999999</v>
      </c>
      <c r="J412" s="2" t="str">
        <f>HYPERLINK(SetRGB(J412,G412*255,H412*255,I412*255),"HOVER!")</f>
        <v>HOVER!</v>
      </c>
      <c r="K412">
        <f>E412/F412</f>
        <v>1.25</v>
      </c>
    </row>
    <row r="413" spans="1:11" ht="15" x14ac:dyDescent="0.35">
      <c r="A413">
        <f t="shared" si="12"/>
        <v>2</v>
      </c>
      <c r="B413">
        <f t="shared" si="13"/>
        <v>10</v>
      </c>
      <c r="C413" s="199" t="str">
        <f>B413&amp;LOOKUP(A413, Sheet2!$A$2:$A$11, Sheet2!$B$2:$B$11)</f>
        <v>10Y</v>
      </c>
      <c r="D413">
        <v>20</v>
      </c>
      <c r="E413">
        <v>12</v>
      </c>
      <c r="F413">
        <v>8</v>
      </c>
      <c r="G413">
        <v>1</v>
      </c>
      <c r="H413">
        <v>0.74239999999999995</v>
      </c>
      <c r="I413">
        <v>0.1585</v>
      </c>
      <c r="J413" s="2" t="str">
        <f>HYPERLINK(SetRGB(J413,G413*255,H413*255,I413*255),"HOVER!")</f>
        <v>HOVER!</v>
      </c>
      <c r="K413">
        <f>E413/F413</f>
        <v>1.5</v>
      </c>
    </row>
    <row r="414" spans="1:11" ht="15" x14ac:dyDescent="0.35">
      <c r="A414">
        <f t="shared" si="12"/>
        <v>2</v>
      </c>
      <c r="B414">
        <f t="shared" si="13"/>
        <v>10</v>
      </c>
      <c r="C414" s="199" t="str">
        <f>B414&amp;LOOKUP(A414, Sheet2!$A$2:$A$11, Sheet2!$B$2:$B$11)</f>
        <v>10Y</v>
      </c>
      <c r="D414">
        <v>20</v>
      </c>
      <c r="E414">
        <v>2</v>
      </c>
      <c r="F414">
        <v>9</v>
      </c>
      <c r="G414">
        <v>0.95789999999999997</v>
      </c>
      <c r="H414">
        <v>0.8921</v>
      </c>
      <c r="I414">
        <v>0.79200000000000004</v>
      </c>
      <c r="J414" s="2" t="str">
        <f>HYPERLINK(SetRGB(J414,G414*255,H414*255,I414*255),"HOVER!")</f>
        <v>HOVER!</v>
      </c>
      <c r="K414">
        <f>E414/F414</f>
        <v>0.22222222222222221</v>
      </c>
    </row>
    <row r="415" spans="1:11" ht="15" x14ac:dyDescent="0.35">
      <c r="A415">
        <f t="shared" si="12"/>
        <v>2</v>
      </c>
      <c r="B415">
        <f t="shared" si="13"/>
        <v>10</v>
      </c>
      <c r="C415" s="199" t="str">
        <f>B415&amp;LOOKUP(A415, Sheet2!$A$2:$A$11, Sheet2!$B$2:$B$11)</f>
        <v>10Y</v>
      </c>
      <c r="D415">
        <v>20</v>
      </c>
      <c r="E415">
        <v>4</v>
      </c>
      <c r="F415">
        <v>9</v>
      </c>
      <c r="G415">
        <v>1</v>
      </c>
      <c r="H415">
        <v>0.88339999999999996</v>
      </c>
      <c r="I415">
        <v>0.69130000000000003</v>
      </c>
      <c r="J415" s="2" t="str">
        <f>HYPERLINK(SetRGB(J415,G415*255,H415*255,I415*255),"HOVER!")</f>
        <v>HOVER!</v>
      </c>
      <c r="K415">
        <f>E415/F415</f>
        <v>0.44444444444444442</v>
      </c>
    </row>
    <row r="416" spans="1:11" ht="15" x14ac:dyDescent="0.35">
      <c r="A416">
        <f t="shared" si="12"/>
        <v>2</v>
      </c>
      <c r="B416">
        <f t="shared" si="13"/>
        <v>10</v>
      </c>
      <c r="C416" s="199" t="str">
        <f>B416&amp;LOOKUP(A416, Sheet2!$A$2:$A$11, Sheet2!$B$2:$B$11)</f>
        <v>10Y</v>
      </c>
      <c r="D416">
        <v>20</v>
      </c>
      <c r="E416">
        <v>6</v>
      </c>
      <c r="F416">
        <v>9</v>
      </c>
      <c r="G416">
        <v>1</v>
      </c>
      <c r="H416">
        <v>0.87490000000000001</v>
      </c>
      <c r="I416">
        <v>0.59509999999999996</v>
      </c>
      <c r="J416" s="2" t="str">
        <f>HYPERLINK(SetRGB(J416,G416*255,H416*255,I416*255),"HOVER!")</f>
        <v>HOVER!</v>
      </c>
      <c r="K416">
        <f>E416/F416</f>
        <v>0.66666666666666663</v>
      </c>
    </row>
    <row r="417" spans="1:11" ht="15" x14ac:dyDescent="0.35">
      <c r="A417">
        <f t="shared" si="12"/>
        <v>2</v>
      </c>
      <c r="B417">
        <f t="shared" si="13"/>
        <v>10</v>
      </c>
      <c r="C417" s="199" t="str">
        <f>B417&amp;LOOKUP(A417, Sheet2!$A$2:$A$11, Sheet2!$B$2:$B$11)</f>
        <v>10Y</v>
      </c>
      <c r="D417">
        <v>20</v>
      </c>
      <c r="E417">
        <v>8</v>
      </c>
      <c r="F417">
        <v>9</v>
      </c>
      <c r="G417">
        <v>1</v>
      </c>
      <c r="H417">
        <v>0.86629999999999996</v>
      </c>
      <c r="I417">
        <v>0.49380000000000002</v>
      </c>
      <c r="J417" s="2" t="str">
        <f>HYPERLINK(SetRGB(J417,G417*255,H417*255,I417*255),"HOVER!")</f>
        <v>HOVER!</v>
      </c>
      <c r="K417">
        <f>E417/F417</f>
        <v>0.88888888888888884</v>
      </c>
    </row>
    <row r="418" spans="1:11" ht="15" x14ac:dyDescent="0.35">
      <c r="A418">
        <f t="shared" si="12"/>
        <v>2</v>
      </c>
      <c r="B418">
        <f t="shared" si="13"/>
        <v>2.5</v>
      </c>
      <c r="C418" s="199" t="str">
        <f>B418&amp;LOOKUP(A418, Sheet2!$A$2:$A$11, Sheet2!$B$2:$B$11)</f>
        <v>2.5Y</v>
      </c>
      <c r="D418">
        <v>22.5</v>
      </c>
      <c r="E418">
        <v>2</v>
      </c>
      <c r="F418">
        <v>1</v>
      </c>
      <c r="G418">
        <v>0.14979999999999999</v>
      </c>
      <c r="H418">
        <v>0.1057</v>
      </c>
      <c r="I418">
        <v>2.92E-2</v>
      </c>
      <c r="J418" s="40" t="str">
        <f>HYPERLINK(SetRGB(J418,G418*255,H418*255,I418*255),"HOVER!")</f>
        <v>HOVER!</v>
      </c>
      <c r="K418">
        <f>E418/F418</f>
        <v>2</v>
      </c>
    </row>
    <row r="419" spans="1:11" ht="15" x14ac:dyDescent="0.35">
      <c r="A419">
        <f t="shared" si="12"/>
        <v>2</v>
      </c>
      <c r="B419">
        <f t="shared" si="13"/>
        <v>2.5</v>
      </c>
      <c r="C419" s="199" t="str">
        <f>B419&amp;LOOKUP(A419, Sheet2!$A$2:$A$11, Sheet2!$B$2:$B$11)</f>
        <v>2.5Y</v>
      </c>
      <c r="D419">
        <v>22.5</v>
      </c>
      <c r="E419">
        <v>2</v>
      </c>
      <c r="F419">
        <v>2</v>
      </c>
      <c r="G419">
        <v>0.2288</v>
      </c>
      <c r="H419">
        <v>0.1885</v>
      </c>
      <c r="I419">
        <v>0.1258</v>
      </c>
      <c r="J419" s="73" t="str">
        <f>HYPERLINK(SetRGB(J419,G419*255,H419*255,I419*255),"HOVER!")</f>
        <v>HOVER!</v>
      </c>
      <c r="K419">
        <f>E419/F419</f>
        <v>1</v>
      </c>
    </row>
    <row r="420" spans="1:11" ht="15" x14ac:dyDescent="0.35">
      <c r="A420">
        <f t="shared" si="12"/>
        <v>2</v>
      </c>
      <c r="B420">
        <f t="shared" si="13"/>
        <v>2.5</v>
      </c>
      <c r="C420" s="199" t="str">
        <f>B420&amp;LOOKUP(A420, Sheet2!$A$2:$A$11, Sheet2!$B$2:$B$11)</f>
        <v>2.5Y</v>
      </c>
      <c r="D420">
        <v>22.5</v>
      </c>
      <c r="E420">
        <v>4</v>
      </c>
      <c r="F420">
        <v>2</v>
      </c>
      <c r="G420">
        <v>0.25629999999999997</v>
      </c>
      <c r="H420">
        <v>0.182</v>
      </c>
      <c r="I420">
        <v>2.6700000000000002E-2</v>
      </c>
      <c r="J420" s="72" t="str">
        <f>HYPERLINK(SetRGB(J420,G420*255,H420*255,I420*255),"HOVER!")</f>
        <v>HOVER!</v>
      </c>
      <c r="K420">
        <f>E420/F420</f>
        <v>2</v>
      </c>
    </row>
    <row r="421" spans="1:11" ht="15" x14ac:dyDescent="0.35">
      <c r="A421">
        <f t="shared" si="12"/>
        <v>2</v>
      </c>
      <c r="B421">
        <f t="shared" si="13"/>
        <v>2.5</v>
      </c>
      <c r="C421" s="199" t="str">
        <f>B421&amp;LOOKUP(A421, Sheet2!$A$2:$A$11, Sheet2!$B$2:$B$11)</f>
        <v>2.5Y</v>
      </c>
      <c r="D421">
        <v>22.5</v>
      </c>
      <c r="E421">
        <v>2</v>
      </c>
      <c r="F421">
        <v>3</v>
      </c>
      <c r="G421">
        <v>0.32340000000000002</v>
      </c>
      <c r="H421">
        <v>0.27829999999999999</v>
      </c>
      <c r="I421">
        <v>0.20569999999999999</v>
      </c>
      <c r="J421" s="127" t="str">
        <f>HYPERLINK(SetRGB(J421,G421*255,H421*255,I421*255),"HOVER!")</f>
        <v>HOVER!</v>
      </c>
      <c r="K421">
        <f>E421/F421</f>
        <v>0.66666666666666663</v>
      </c>
    </row>
    <row r="422" spans="1:11" ht="15" x14ac:dyDescent="0.35">
      <c r="A422">
        <f t="shared" si="12"/>
        <v>2</v>
      </c>
      <c r="B422">
        <f t="shared" si="13"/>
        <v>2.5</v>
      </c>
      <c r="C422" s="199" t="str">
        <f>B422&amp;LOOKUP(A422, Sheet2!$A$2:$A$11, Sheet2!$B$2:$B$11)</f>
        <v>2.5Y</v>
      </c>
      <c r="D422">
        <v>22.5</v>
      </c>
      <c r="E422">
        <v>4</v>
      </c>
      <c r="F422">
        <v>3</v>
      </c>
      <c r="G422">
        <v>0.35170000000000001</v>
      </c>
      <c r="H422">
        <v>0.27260000000000001</v>
      </c>
      <c r="I422">
        <v>0.12330000000000001</v>
      </c>
      <c r="J422" s="1" t="str">
        <f>HYPERLINK(SetRGB(J422,G422*255,H422*255,I422*255),"HOVER!")</f>
        <v>HOVER!</v>
      </c>
      <c r="K422">
        <f>E422/F422</f>
        <v>1.3333333333333333</v>
      </c>
    </row>
    <row r="423" spans="1:11" ht="15" x14ac:dyDescent="0.35">
      <c r="A423">
        <f t="shared" si="12"/>
        <v>2</v>
      </c>
      <c r="B423">
        <f t="shared" si="13"/>
        <v>2.5</v>
      </c>
      <c r="C423" s="199" t="str">
        <f>B423&amp;LOOKUP(A423, Sheet2!$A$2:$A$11, Sheet2!$B$2:$B$11)</f>
        <v>2.5Y</v>
      </c>
      <c r="D423">
        <v>22.5</v>
      </c>
      <c r="E423">
        <v>2</v>
      </c>
      <c r="F423">
        <v>4</v>
      </c>
      <c r="G423">
        <v>0.4254</v>
      </c>
      <c r="H423">
        <v>0.37530000000000002</v>
      </c>
      <c r="I423">
        <v>0.29039999999999999</v>
      </c>
      <c r="J423" s="1" t="str">
        <f>HYPERLINK(SetRGB(J423,G423*255,H423*255,I423*255),"HOVER!")</f>
        <v>HOVER!</v>
      </c>
      <c r="K423">
        <f>E423/F423</f>
        <v>0.5</v>
      </c>
    </row>
    <row r="424" spans="1:11" ht="15" x14ac:dyDescent="0.35">
      <c r="A424">
        <f t="shared" si="12"/>
        <v>2</v>
      </c>
      <c r="B424">
        <f t="shared" si="13"/>
        <v>2.5</v>
      </c>
      <c r="C424" s="199" t="str">
        <f>B424&amp;LOOKUP(A424, Sheet2!$A$2:$A$11, Sheet2!$B$2:$B$11)</f>
        <v>2.5Y</v>
      </c>
      <c r="D424">
        <v>22.5</v>
      </c>
      <c r="E424">
        <v>4</v>
      </c>
      <c r="F424">
        <v>4</v>
      </c>
      <c r="G424">
        <v>0.45839999999999997</v>
      </c>
      <c r="H424">
        <v>0.36909999999999998</v>
      </c>
      <c r="I424">
        <v>0.2001</v>
      </c>
      <c r="J424" s="1" t="str">
        <f>HYPERLINK(SetRGB(J424,G424*255,H424*255,I424*255),"HOVER!")</f>
        <v>HOVER!</v>
      </c>
      <c r="K424">
        <f>E424/F424</f>
        <v>1</v>
      </c>
    </row>
    <row r="425" spans="1:11" ht="15" x14ac:dyDescent="0.35">
      <c r="A425">
        <f t="shared" si="12"/>
        <v>2</v>
      </c>
      <c r="B425">
        <f t="shared" si="13"/>
        <v>2.5</v>
      </c>
      <c r="C425" s="199" t="str">
        <f>B425&amp;LOOKUP(A425, Sheet2!$A$2:$A$11, Sheet2!$B$2:$B$11)</f>
        <v>2.5Y</v>
      </c>
      <c r="D425">
        <v>22.5</v>
      </c>
      <c r="E425">
        <v>6</v>
      </c>
      <c r="F425">
        <v>4</v>
      </c>
      <c r="G425">
        <v>0.48060000000000003</v>
      </c>
      <c r="H425">
        <v>0.36399999999999999</v>
      </c>
      <c r="I425">
        <v>0.1027</v>
      </c>
      <c r="J425" s="1" t="str">
        <f>HYPERLINK(SetRGB(J425,G425*255,H425*255,I425*255),"HOVER!")</f>
        <v>HOVER!</v>
      </c>
      <c r="K425">
        <f>E425/F425</f>
        <v>1.5</v>
      </c>
    </row>
    <row r="426" spans="1:11" ht="15" x14ac:dyDescent="0.35">
      <c r="A426">
        <f t="shared" si="12"/>
        <v>2</v>
      </c>
      <c r="B426">
        <f t="shared" si="13"/>
        <v>2.5</v>
      </c>
      <c r="C426" s="199" t="str">
        <f>B426&amp;LOOKUP(A426, Sheet2!$A$2:$A$11, Sheet2!$B$2:$B$11)</f>
        <v>2.5Y</v>
      </c>
      <c r="D426">
        <v>22.5</v>
      </c>
      <c r="E426">
        <v>2</v>
      </c>
      <c r="F426">
        <v>5</v>
      </c>
      <c r="G426">
        <v>0.52690000000000003</v>
      </c>
      <c r="H426">
        <v>0.47639999999999999</v>
      </c>
      <c r="I426">
        <v>0.39029999999999998</v>
      </c>
      <c r="J426" s="1" t="str">
        <f>HYPERLINK(SetRGB(J426,G426*255,H426*255,I426*255),"HOVER!")</f>
        <v>HOVER!</v>
      </c>
      <c r="K426">
        <f>E426/F426</f>
        <v>0.4</v>
      </c>
    </row>
    <row r="427" spans="1:11" ht="15" x14ac:dyDescent="0.35">
      <c r="A427">
        <f t="shared" si="12"/>
        <v>2</v>
      </c>
      <c r="B427">
        <f t="shared" si="13"/>
        <v>2.5</v>
      </c>
      <c r="C427" s="199" t="str">
        <f>B427&amp;LOOKUP(A427, Sheet2!$A$2:$A$11, Sheet2!$B$2:$B$11)</f>
        <v>2.5Y</v>
      </c>
      <c r="D427">
        <v>22.5</v>
      </c>
      <c r="E427">
        <v>4</v>
      </c>
      <c r="F427">
        <v>5</v>
      </c>
      <c r="G427">
        <v>0.56240000000000001</v>
      </c>
      <c r="H427">
        <v>0.47070000000000001</v>
      </c>
      <c r="I427">
        <v>0.29599999999999999</v>
      </c>
      <c r="J427" s="1" t="str">
        <f>HYPERLINK(SetRGB(J427,G427*255,H427*255,I427*255),"HOVER!")</f>
        <v>HOVER!</v>
      </c>
      <c r="K427">
        <f>E427/F427</f>
        <v>0.8</v>
      </c>
    </row>
    <row r="428" spans="1:11" ht="15" x14ac:dyDescent="0.35">
      <c r="A428">
        <f t="shared" si="12"/>
        <v>2</v>
      </c>
      <c r="B428">
        <f t="shared" si="13"/>
        <v>2.5</v>
      </c>
      <c r="C428" s="199" t="str">
        <f>B428&amp;LOOKUP(A428, Sheet2!$A$2:$A$11, Sheet2!$B$2:$B$11)</f>
        <v>2.5Y</v>
      </c>
      <c r="D428">
        <v>22.5</v>
      </c>
      <c r="E428">
        <v>6</v>
      </c>
      <c r="F428">
        <v>5</v>
      </c>
      <c r="G428">
        <v>0.59130000000000005</v>
      </c>
      <c r="H428">
        <v>0.4647</v>
      </c>
      <c r="I428">
        <v>0.18920000000000001</v>
      </c>
      <c r="J428" s="1" t="str">
        <f>HYPERLINK(SetRGB(J428,G428*255,H428*255,I428*255),"HOVER!")</f>
        <v>HOVER!</v>
      </c>
      <c r="K428">
        <f>E428/F428</f>
        <v>1.2</v>
      </c>
    </row>
    <row r="429" spans="1:11" ht="15" x14ac:dyDescent="0.35">
      <c r="A429">
        <f t="shared" si="12"/>
        <v>2</v>
      </c>
      <c r="B429">
        <f t="shared" si="13"/>
        <v>2.5</v>
      </c>
      <c r="C429" s="199" t="str">
        <f>B429&amp;LOOKUP(A429, Sheet2!$A$2:$A$11, Sheet2!$B$2:$B$11)</f>
        <v>2.5Y</v>
      </c>
      <c r="D429">
        <v>22.5</v>
      </c>
      <c r="E429">
        <v>8</v>
      </c>
      <c r="F429">
        <v>5</v>
      </c>
      <c r="G429">
        <v>0.61080000000000001</v>
      </c>
      <c r="H429">
        <v>0.45989999999999998</v>
      </c>
      <c r="I429">
        <v>5.1700000000000003E-2</v>
      </c>
      <c r="J429" s="139" t="str">
        <f>HYPERLINK(SetRGB(J429,G429*255,H429*255,I429*255),"HOVER!")</f>
        <v>HOVER!</v>
      </c>
      <c r="K429">
        <f>E429/F429</f>
        <v>1.6</v>
      </c>
    </row>
    <row r="430" spans="1:11" ht="15" x14ac:dyDescent="0.35">
      <c r="A430">
        <f t="shared" si="12"/>
        <v>2</v>
      </c>
      <c r="B430">
        <f t="shared" si="13"/>
        <v>2.5</v>
      </c>
      <c r="C430" s="199" t="str">
        <f>B430&amp;LOOKUP(A430, Sheet2!$A$2:$A$11, Sheet2!$B$2:$B$11)</f>
        <v>2.5Y</v>
      </c>
      <c r="D430">
        <v>22.5</v>
      </c>
      <c r="E430">
        <v>2</v>
      </c>
      <c r="F430">
        <v>6</v>
      </c>
      <c r="G430">
        <v>0.62890000000000001</v>
      </c>
      <c r="H430">
        <v>0.57989999999999997</v>
      </c>
      <c r="I430">
        <v>0.48520000000000002</v>
      </c>
      <c r="J430" s="138" t="str">
        <f>HYPERLINK(SetRGB(J430,G430*255,H430*255,I430*255),"HOVER!")</f>
        <v>HOVER!</v>
      </c>
      <c r="K430">
        <f>E430/F430</f>
        <v>0.33333333333333331</v>
      </c>
    </row>
    <row r="431" spans="1:11" ht="15" x14ac:dyDescent="0.35">
      <c r="A431">
        <f t="shared" si="12"/>
        <v>2</v>
      </c>
      <c r="B431">
        <f t="shared" si="13"/>
        <v>2.5</v>
      </c>
      <c r="C431" s="199" t="str">
        <f>B431&amp;LOOKUP(A431, Sheet2!$A$2:$A$11, Sheet2!$B$2:$B$11)</f>
        <v>2.5Y</v>
      </c>
      <c r="D431">
        <v>22.5</v>
      </c>
      <c r="E431">
        <v>4</v>
      </c>
      <c r="F431">
        <v>6</v>
      </c>
      <c r="G431">
        <v>0.66510000000000002</v>
      </c>
      <c r="H431">
        <v>0.57450000000000001</v>
      </c>
      <c r="I431">
        <v>0.39290000000000003</v>
      </c>
      <c r="J431" s="137" t="str">
        <f>HYPERLINK(SetRGB(J431,G431*255,H431*255,I431*255),"HOVER!")</f>
        <v>HOVER!</v>
      </c>
      <c r="K431">
        <f>E431/F431</f>
        <v>0.66666666666666663</v>
      </c>
    </row>
    <row r="432" spans="1:11" ht="15" x14ac:dyDescent="0.35">
      <c r="A432">
        <f t="shared" si="12"/>
        <v>2</v>
      </c>
      <c r="B432">
        <f t="shared" si="13"/>
        <v>2.5</v>
      </c>
      <c r="C432" s="199" t="str">
        <f>B432&amp;LOOKUP(A432, Sheet2!$A$2:$A$11, Sheet2!$B$2:$B$11)</f>
        <v>2.5Y</v>
      </c>
      <c r="D432">
        <v>22.5</v>
      </c>
      <c r="E432">
        <v>6</v>
      </c>
      <c r="F432">
        <v>6</v>
      </c>
      <c r="G432">
        <v>0.69679999999999997</v>
      </c>
      <c r="H432">
        <v>0.56850000000000001</v>
      </c>
      <c r="I432">
        <v>0.28960000000000002</v>
      </c>
      <c r="J432" s="128" t="str">
        <f>HYPERLINK(SetRGB(J432,G432*255,H432*255,I432*255),"HOVER!")</f>
        <v>HOVER!</v>
      </c>
      <c r="K432">
        <f>E432/F432</f>
        <v>1</v>
      </c>
    </row>
    <row r="433" spans="1:11" ht="15" x14ac:dyDescent="0.35">
      <c r="A433">
        <f t="shared" si="12"/>
        <v>2</v>
      </c>
      <c r="B433">
        <f t="shared" si="13"/>
        <v>2.5</v>
      </c>
      <c r="C433" s="199" t="str">
        <f>B433&amp;LOOKUP(A433, Sheet2!$A$2:$A$11, Sheet2!$B$2:$B$11)</f>
        <v>2.5Y</v>
      </c>
      <c r="D433">
        <v>22.5</v>
      </c>
      <c r="E433">
        <v>8</v>
      </c>
      <c r="F433">
        <v>6</v>
      </c>
      <c r="G433">
        <v>0.72219999999999995</v>
      </c>
      <c r="H433">
        <v>0.56259999999999999</v>
      </c>
      <c r="I433">
        <v>0.17230000000000001</v>
      </c>
      <c r="J433" s="129" t="str">
        <f>HYPERLINK(SetRGB(J433,G433*255,H433*255,I433*255),"HOVER!")</f>
        <v>HOVER!</v>
      </c>
      <c r="K433">
        <f>E433/F433</f>
        <v>1.3333333333333333</v>
      </c>
    </row>
    <row r="434" spans="1:11" ht="15" x14ac:dyDescent="0.35">
      <c r="A434">
        <f t="shared" si="12"/>
        <v>2</v>
      </c>
      <c r="B434">
        <f t="shared" si="13"/>
        <v>2.5</v>
      </c>
      <c r="C434" s="199" t="str">
        <f>B434&amp;LOOKUP(A434, Sheet2!$A$2:$A$11, Sheet2!$B$2:$B$11)</f>
        <v>2.5Y</v>
      </c>
      <c r="D434">
        <v>22.5</v>
      </c>
      <c r="E434">
        <v>2</v>
      </c>
      <c r="F434">
        <v>7</v>
      </c>
      <c r="G434">
        <v>0.73229999999999995</v>
      </c>
      <c r="H434">
        <v>0.68400000000000005</v>
      </c>
      <c r="I434">
        <v>0.58379999999999999</v>
      </c>
      <c r="J434" s="130" t="str">
        <f>HYPERLINK(SetRGB(J434,G434*255,H434*255,I434*255),"HOVER!")</f>
        <v>HOVER!</v>
      </c>
      <c r="K434">
        <f>E434/F434</f>
        <v>0.2857142857142857</v>
      </c>
    </row>
    <row r="435" spans="1:11" ht="15" x14ac:dyDescent="0.35">
      <c r="A435">
        <f t="shared" si="12"/>
        <v>2</v>
      </c>
      <c r="B435">
        <f t="shared" si="13"/>
        <v>2.5</v>
      </c>
      <c r="C435" s="199" t="str">
        <f>B435&amp;LOOKUP(A435, Sheet2!$A$2:$A$11, Sheet2!$B$2:$B$11)</f>
        <v>2.5Y</v>
      </c>
      <c r="D435">
        <v>22.5</v>
      </c>
      <c r="E435">
        <v>4</v>
      </c>
      <c r="F435">
        <v>7</v>
      </c>
      <c r="G435">
        <v>0.77239999999999998</v>
      </c>
      <c r="H435">
        <v>0.67789999999999995</v>
      </c>
      <c r="I435">
        <v>0.48870000000000002</v>
      </c>
      <c r="J435" s="131" t="str">
        <f>HYPERLINK(SetRGB(J435,G435*255,H435*255,I435*255),"HOVER!")</f>
        <v>HOVER!</v>
      </c>
      <c r="K435">
        <f>E435/F435</f>
        <v>0.5714285714285714</v>
      </c>
    </row>
    <row r="436" spans="1:11" ht="15" x14ac:dyDescent="0.35">
      <c r="A436">
        <f t="shared" si="12"/>
        <v>2</v>
      </c>
      <c r="B436">
        <f t="shared" si="13"/>
        <v>2.5</v>
      </c>
      <c r="C436" s="199" t="str">
        <f>B436&amp;LOOKUP(A436, Sheet2!$A$2:$A$11, Sheet2!$B$2:$B$11)</f>
        <v>2.5Y</v>
      </c>
      <c r="D436">
        <v>22.5</v>
      </c>
      <c r="E436">
        <v>6</v>
      </c>
      <c r="F436">
        <v>7</v>
      </c>
      <c r="G436">
        <v>0.80489999999999995</v>
      </c>
      <c r="H436">
        <v>0.67230000000000001</v>
      </c>
      <c r="I436">
        <v>0.3896</v>
      </c>
      <c r="J436" s="132" t="str">
        <f>HYPERLINK(SetRGB(J436,G436*255,H436*255,I436*255),"HOVER!")</f>
        <v>HOVER!</v>
      </c>
      <c r="K436">
        <f>E436/F436</f>
        <v>0.8571428571428571</v>
      </c>
    </row>
    <row r="437" spans="1:11" ht="15" x14ac:dyDescent="0.35">
      <c r="A437">
        <f t="shared" si="12"/>
        <v>2</v>
      </c>
      <c r="B437">
        <f t="shared" si="13"/>
        <v>2.5</v>
      </c>
      <c r="C437" s="199" t="str">
        <f>B437&amp;LOOKUP(A437, Sheet2!$A$2:$A$11, Sheet2!$B$2:$B$11)</f>
        <v>2.5Y</v>
      </c>
      <c r="D437">
        <v>22.5</v>
      </c>
      <c r="E437">
        <v>8</v>
      </c>
      <c r="F437">
        <v>7</v>
      </c>
      <c r="G437">
        <v>0.83030000000000004</v>
      </c>
      <c r="H437">
        <v>0.6673</v>
      </c>
      <c r="I437">
        <v>0.28239999999999998</v>
      </c>
      <c r="J437" s="133" t="str">
        <f>HYPERLINK(SetRGB(J437,G437*255,H437*255,I437*255),"HOVER!")</f>
        <v>HOVER!</v>
      </c>
      <c r="K437">
        <f>E437/F437</f>
        <v>1.1428571428571428</v>
      </c>
    </row>
    <row r="438" spans="1:11" ht="15" x14ac:dyDescent="0.35">
      <c r="A438">
        <f t="shared" si="12"/>
        <v>2</v>
      </c>
      <c r="B438">
        <f t="shared" si="13"/>
        <v>2.5</v>
      </c>
      <c r="C438" s="199" t="str">
        <f>B438&amp;LOOKUP(A438, Sheet2!$A$2:$A$11, Sheet2!$B$2:$B$11)</f>
        <v>2.5Y</v>
      </c>
      <c r="D438">
        <v>22.5</v>
      </c>
      <c r="E438">
        <v>10</v>
      </c>
      <c r="F438">
        <v>7</v>
      </c>
      <c r="G438">
        <v>0.8518</v>
      </c>
      <c r="H438">
        <v>0.66249999999999998</v>
      </c>
      <c r="I438">
        <v>0.13689999999999999</v>
      </c>
      <c r="J438" s="134" t="str">
        <f>HYPERLINK(SetRGB(J438,G438*255,H438*255,I438*255),"HOVER!")</f>
        <v>HOVER!</v>
      </c>
      <c r="K438">
        <f>E438/F438</f>
        <v>1.4285714285714286</v>
      </c>
    </row>
    <row r="439" spans="1:11" ht="15" x14ac:dyDescent="0.35">
      <c r="A439">
        <f t="shared" si="12"/>
        <v>2</v>
      </c>
      <c r="B439">
        <f t="shared" si="13"/>
        <v>2.5</v>
      </c>
      <c r="C439" s="199" t="str">
        <f>B439&amp;LOOKUP(A439, Sheet2!$A$2:$A$11, Sheet2!$B$2:$B$11)</f>
        <v>2.5Y</v>
      </c>
      <c r="D439">
        <v>22.5</v>
      </c>
      <c r="E439">
        <v>2</v>
      </c>
      <c r="F439">
        <v>8</v>
      </c>
      <c r="G439">
        <v>0.83760000000000001</v>
      </c>
      <c r="H439">
        <v>0.78920000000000001</v>
      </c>
      <c r="I439">
        <v>0.68269999999999997</v>
      </c>
      <c r="J439" s="135" t="str">
        <f>HYPERLINK(SetRGB(J439,G439*255,H439*255,I439*255),"HOVER!")</f>
        <v>HOVER!</v>
      </c>
      <c r="K439">
        <f>E439/F439</f>
        <v>0.25</v>
      </c>
    </row>
    <row r="440" spans="1:11" ht="15" x14ac:dyDescent="0.35">
      <c r="A440">
        <f t="shared" si="12"/>
        <v>2</v>
      </c>
      <c r="B440">
        <f t="shared" si="13"/>
        <v>2.5</v>
      </c>
      <c r="C440" s="199" t="str">
        <f>B440&amp;LOOKUP(A440, Sheet2!$A$2:$A$11, Sheet2!$B$2:$B$11)</f>
        <v>2.5Y</v>
      </c>
      <c r="D440">
        <v>22.5</v>
      </c>
      <c r="E440">
        <v>4</v>
      </c>
      <c r="F440">
        <v>8</v>
      </c>
      <c r="G440">
        <v>0.87519999999999998</v>
      </c>
      <c r="H440">
        <v>0.78459999999999996</v>
      </c>
      <c r="I440">
        <v>0.58699999999999997</v>
      </c>
      <c r="J440" s="136" t="str">
        <f>HYPERLINK(SetRGB(J440,G440*255,H440*255,I440*255),"HOVER!")</f>
        <v>HOVER!</v>
      </c>
      <c r="K440">
        <f>E440/F440</f>
        <v>0.5</v>
      </c>
    </row>
    <row r="441" spans="1:11" ht="15" x14ac:dyDescent="0.35">
      <c r="A441">
        <f t="shared" si="12"/>
        <v>2</v>
      </c>
      <c r="B441">
        <f t="shared" si="13"/>
        <v>2.5</v>
      </c>
      <c r="C441" s="199" t="str">
        <f>B441&amp;LOOKUP(A441, Sheet2!$A$2:$A$11, Sheet2!$B$2:$B$11)</f>
        <v>2.5Y</v>
      </c>
      <c r="D441">
        <v>22.5</v>
      </c>
      <c r="E441">
        <v>6</v>
      </c>
      <c r="F441">
        <v>8</v>
      </c>
      <c r="G441">
        <v>0.90969999999999995</v>
      </c>
      <c r="H441">
        <v>0.77910000000000001</v>
      </c>
      <c r="I441">
        <v>0.48509999999999998</v>
      </c>
      <c r="J441" s="2" t="str">
        <f>HYPERLINK(SetRGB(J441,G441*255,H441*255,I441*255),"HOVER!")</f>
        <v>HOVER!</v>
      </c>
      <c r="K441">
        <f>E441/F441</f>
        <v>0.75</v>
      </c>
    </row>
    <row r="442" spans="1:11" ht="15" x14ac:dyDescent="0.35">
      <c r="A442">
        <f t="shared" si="12"/>
        <v>2</v>
      </c>
      <c r="B442">
        <f t="shared" si="13"/>
        <v>2.5</v>
      </c>
      <c r="C442" s="199" t="str">
        <f>B442&amp;LOOKUP(A442, Sheet2!$A$2:$A$11, Sheet2!$B$2:$B$11)</f>
        <v>2.5Y</v>
      </c>
      <c r="D442">
        <v>22.5</v>
      </c>
      <c r="E442">
        <v>8</v>
      </c>
      <c r="F442">
        <v>8</v>
      </c>
      <c r="G442">
        <v>0.93899999999999995</v>
      </c>
      <c r="H442">
        <v>0.77339999999999998</v>
      </c>
      <c r="I442">
        <v>0.38059999999999999</v>
      </c>
      <c r="J442" s="2" t="str">
        <f>HYPERLINK(SetRGB(J442,G442*255,H442*255,I442*255),"HOVER!")</f>
        <v>HOVER!</v>
      </c>
      <c r="K442">
        <f>E442/F442</f>
        <v>1</v>
      </c>
    </row>
    <row r="443" spans="1:11" ht="15" x14ac:dyDescent="0.35">
      <c r="A443">
        <f t="shared" si="12"/>
        <v>2</v>
      </c>
      <c r="B443">
        <f t="shared" si="13"/>
        <v>2.5</v>
      </c>
      <c r="C443" s="199" t="str">
        <f>B443&amp;LOOKUP(A443, Sheet2!$A$2:$A$11, Sheet2!$B$2:$B$11)</f>
        <v>2.5Y</v>
      </c>
      <c r="D443">
        <v>22.5</v>
      </c>
      <c r="E443">
        <v>10</v>
      </c>
      <c r="F443">
        <v>8</v>
      </c>
      <c r="G443">
        <v>0.96389999999999998</v>
      </c>
      <c r="H443">
        <v>0.76800000000000002</v>
      </c>
      <c r="I443">
        <v>0.26</v>
      </c>
      <c r="J443" s="2" t="str">
        <f>HYPERLINK(SetRGB(J443,G443*255,H443*255,I443*255),"HOVER!")</f>
        <v>HOVER!</v>
      </c>
      <c r="K443">
        <f>E443/F443</f>
        <v>1.25</v>
      </c>
    </row>
    <row r="444" spans="1:11" ht="15" x14ac:dyDescent="0.35">
      <c r="A444">
        <f t="shared" si="12"/>
        <v>2</v>
      </c>
      <c r="B444">
        <f t="shared" si="13"/>
        <v>2.5</v>
      </c>
      <c r="C444" s="199" t="str">
        <f>B444&amp;LOOKUP(A444, Sheet2!$A$2:$A$11, Sheet2!$B$2:$B$11)</f>
        <v>2.5Y</v>
      </c>
      <c r="D444">
        <v>22.5</v>
      </c>
      <c r="E444">
        <v>12</v>
      </c>
      <c r="F444">
        <v>8</v>
      </c>
      <c r="G444">
        <v>0.98380000000000001</v>
      </c>
      <c r="H444">
        <v>0.76329999999999998</v>
      </c>
      <c r="I444">
        <v>3.8399999999999997E-2</v>
      </c>
      <c r="J444" s="2" t="str">
        <f>HYPERLINK(SetRGB(J444,G444*255,H444*255,I444*255),"HOVER!")</f>
        <v>HOVER!</v>
      </c>
      <c r="K444">
        <f>E444/F444</f>
        <v>1.5</v>
      </c>
    </row>
    <row r="445" spans="1:11" ht="15" x14ac:dyDescent="0.35">
      <c r="A445">
        <f t="shared" si="12"/>
        <v>2</v>
      </c>
      <c r="B445">
        <f t="shared" si="13"/>
        <v>2.5</v>
      </c>
      <c r="C445" s="199" t="str">
        <f>B445&amp;LOOKUP(A445, Sheet2!$A$2:$A$11, Sheet2!$B$2:$B$11)</f>
        <v>2.5Y</v>
      </c>
      <c r="D445">
        <v>22.5</v>
      </c>
      <c r="E445">
        <v>2</v>
      </c>
      <c r="F445">
        <v>9</v>
      </c>
      <c r="G445">
        <v>0.94699999999999995</v>
      </c>
      <c r="H445">
        <v>0.89670000000000005</v>
      </c>
      <c r="I445">
        <v>0.78120000000000001</v>
      </c>
      <c r="J445" s="2" t="str">
        <f>HYPERLINK(SetRGB(J445,G445*255,H445*255,I445*255),"HOVER!")</f>
        <v>HOVER!</v>
      </c>
      <c r="K445">
        <f>E445/F445</f>
        <v>0.22222222222222221</v>
      </c>
    </row>
    <row r="446" spans="1:11" ht="15" x14ac:dyDescent="0.35">
      <c r="A446">
        <f t="shared" si="12"/>
        <v>2</v>
      </c>
      <c r="B446">
        <f t="shared" si="13"/>
        <v>2.5</v>
      </c>
      <c r="C446" s="199" t="str">
        <f>B446&amp;LOOKUP(A446, Sheet2!$A$2:$A$11, Sheet2!$B$2:$B$11)</f>
        <v>2.5Y</v>
      </c>
      <c r="D446">
        <v>22.5</v>
      </c>
      <c r="E446">
        <v>4</v>
      </c>
      <c r="F446">
        <v>9</v>
      </c>
      <c r="G446">
        <v>0.98550000000000004</v>
      </c>
      <c r="H446">
        <v>0.89270000000000005</v>
      </c>
      <c r="I446">
        <v>0.67579999999999996</v>
      </c>
      <c r="J446" s="2" t="str">
        <f>HYPERLINK(SetRGB(J446,G446*255,H446*255,I446*255),"HOVER!")</f>
        <v>HOVER!</v>
      </c>
      <c r="K446">
        <f>E446/F446</f>
        <v>0.44444444444444442</v>
      </c>
    </row>
    <row r="447" spans="1:11" ht="15" x14ac:dyDescent="0.35">
      <c r="A447">
        <f t="shared" si="12"/>
        <v>2</v>
      </c>
      <c r="B447">
        <f t="shared" si="13"/>
        <v>2.5</v>
      </c>
      <c r="C447" s="199" t="str">
        <f>B447&amp;LOOKUP(A447, Sheet2!$A$2:$A$11, Sheet2!$B$2:$B$11)</f>
        <v>2.5Y</v>
      </c>
      <c r="D447">
        <v>22.5</v>
      </c>
      <c r="E447">
        <v>6</v>
      </c>
      <c r="F447">
        <v>9</v>
      </c>
      <c r="G447">
        <v>1</v>
      </c>
      <c r="H447">
        <v>0.88739999999999997</v>
      </c>
      <c r="I447">
        <v>0.57369999999999999</v>
      </c>
      <c r="J447" s="2" t="str">
        <f>HYPERLINK(SetRGB(J447,G447*255,H447*255,I447*255),"HOVER!")</f>
        <v>HOVER!</v>
      </c>
      <c r="K447">
        <f>E447/F447</f>
        <v>0.66666666666666663</v>
      </c>
    </row>
    <row r="448" spans="1:11" ht="15" x14ac:dyDescent="0.35">
      <c r="A448">
        <f t="shared" si="12"/>
        <v>2</v>
      </c>
      <c r="B448">
        <f t="shared" si="13"/>
        <v>2.5</v>
      </c>
      <c r="C448" s="199" t="str">
        <f>B448&amp;LOOKUP(A448, Sheet2!$A$2:$A$11, Sheet2!$B$2:$B$11)</f>
        <v>2.5Y</v>
      </c>
      <c r="D448">
        <v>22.5</v>
      </c>
      <c r="E448">
        <v>8</v>
      </c>
      <c r="F448">
        <v>9</v>
      </c>
      <c r="G448">
        <v>1</v>
      </c>
      <c r="H448">
        <v>0.88190000000000002</v>
      </c>
      <c r="I448">
        <v>0.46639999999999998</v>
      </c>
      <c r="J448" s="2" t="str">
        <f>HYPERLINK(SetRGB(J448,G448*255,H448*255,I448*255),"HOVER!")</f>
        <v>HOVER!</v>
      </c>
      <c r="K448">
        <f>E448/F448</f>
        <v>0.88888888888888884</v>
      </c>
    </row>
    <row r="449" spans="1:11" ht="15" x14ac:dyDescent="0.35">
      <c r="A449">
        <f t="shared" si="12"/>
        <v>2</v>
      </c>
      <c r="B449">
        <f t="shared" si="13"/>
        <v>2.5</v>
      </c>
      <c r="C449" s="199" t="str">
        <f>B449&amp;LOOKUP(A449, Sheet2!$A$2:$A$11, Sheet2!$B$2:$B$11)</f>
        <v>2.5Y</v>
      </c>
      <c r="D449">
        <v>22.5</v>
      </c>
      <c r="E449">
        <v>10</v>
      </c>
      <c r="F449">
        <v>9</v>
      </c>
      <c r="G449">
        <v>1</v>
      </c>
      <c r="H449">
        <v>0.87690000000000001</v>
      </c>
      <c r="I449">
        <v>0.35239999999999999</v>
      </c>
      <c r="J449" s="2" t="str">
        <f>HYPERLINK(SetRGB(J449,G449*255,H449*255,I449*255),"HOVER!")</f>
        <v>HOVER!</v>
      </c>
      <c r="K449">
        <f>E449/F449</f>
        <v>1.1111111111111112</v>
      </c>
    </row>
    <row r="450" spans="1:11" ht="15" x14ac:dyDescent="0.35">
      <c r="A450">
        <f t="shared" si="12"/>
        <v>2</v>
      </c>
      <c r="B450">
        <f t="shared" si="13"/>
        <v>2.5</v>
      </c>
      <c r="C450" s="199" t="str">
        <f>B450&amp;LOOKUP(A450, Sheet2!$A$2:$A$11, Sheet2!$B$2:$B$11)</f>
        <v>2.5Y</v>
      </c>
      <c r="D450">
        <v>22.5</v>
      </c>
      <c r="E450">
        <v>12</v>
      </c>
      <c r="F450">
        <v>9</v>
      </c>
      <c r="G450">
        <v>1</v>
      </c>
      <c r="H450">
        <v>0.87170000000000003</v>
      </c>
      <c r="I450">
        <v>0.20330000000000001</v>
      </c>
      <c r="J450" s="2" t="str">
        <f>HYPERLINK(SetRGB(J450,G450*255,H450*255,I450*255),"HOVER!")</f>
        <v>HOVER!</v>
      </c>
      <c r="K450">
        <f>E450/F450</f>
        <v>1.3333333333333333</v>
      </c>
    </row>
    <row r="451" spans="1:11" ht="15" x14ac:dyDescent="0.35">
      <c r="A451">
        <f t="shared" si="12"/>
        <v>2</v>
      </c>
      <c r="B451">
        <f t="shared" si="13"/>
        <v>5</v>
      </c>
      <c r="C451" s="199" t="str">
        <f>B451&amp;LOOKUP(A451, Sheet2!$A$2:$A$11, Sheet2!$B$2:$B$11)</f>
        <v>5Y</v>
      </c>
      <c r="D451">
        <v>25</v>
      </c>
      <c r="E451">
        <v>2</v>
      </c>
      <c r="F451">
        <v>1</v>
      </c>
      <c r="G451">
        <v>0.14050000000000001</v>
      </c>
      <c r="H451">
        <v>0.1095</v>
      </c>
      <c r="I451">
        <v>2.92E-2</v>
      </c>
      <c r="J451" s="41" t="str">
        <f>HYPERLINK(SetRGB(J451,G451*255,H451*255,I451*255),"HOVER!")</f>
        <v>HOVER!</v>
      </c>
      <c r="K451">
        <f>E451/F451</f>
        <v>2</v>
      </c>
    </row>
    <row r="452" spans="1:11" ht="15" x14ac:dyDescent="0.35">
      <c r="A452">
        <f t="shared" si="12"/>
        <v>2</v>
      </c>
      <c r="B452">
        <f t="shared" si="13"/>
        <v>5</v>
      </c>
      <c r="C452" s="199" t="str">
        <f>B452&amp;LOOKUP(A452, Sheet2!$A$2:$A$11, Sheet2!$B$2:$B$11)</f>
        <v>5Y</v>
      </c>
      <c r="D452">
        <v>25</v>
      </c>
      <c r="E452">
        <v>2</v>
      </c>
      <c r="F452">
        <v>2</v>
      </c>
      <c r="G452">
        <v>0.21990000000000001</v>
      </c>
      <c r="H452">
        <v>0.1918</v>
      </c>
      <c r="I452">
        <v>0.12470000000000001</v>
      </c>
      <c r="J452" s="71" t="str">
        <f>HYPERLINK(SetRGB(J452,G452*255,H452*255,I452*255),"HOVER!")</f>
        <v>HOVER!</v>
      </c>
      <c r="K452">
        <f>E452/F452</f>
        <v>1</v>
      </c>
    </row>
    <row r="453" spans="1:11" ht="15" x14ac:dyDescent="0.35">
      <c r="A453">
        <f t="shared" si="12"/>
        <v>2</v>
      </c>
      <c r="B453">
        <f t="shared" si="13"/>
        <v>5</v>
      </c>
      <c r="C453" s="199" t="str">
        <f>B453&amp;LOOKUP(A453, Sheet2!$A$2:$A$11, Sheet2!$B$2:$B$11)</f>
        <v>5Y</v>
      </c>
      <c r="D453">
        <v>25</v>
      </c>
      <c r="E453">
        <v>4</v>
      </c>
      <c r="F453">
        <v>2</v>
      </c>
      <c r="G453">
        <v>0.2422</v>
      </c>
      <c r="H453">
        <v>0.1883</v>
      </c>
      <c r="I453">
        <v>7.4999999999999997E-3</v>
      </c>
      <c r="J453" s="70" t="str">
        <f>HYPERLINK(SetRGB(J453,G453*255,H453*255,I453*255),"HOVER!")</f>
        <v>HOVER!</v>
      </c>
      <c r="K453">
        <f>E453/F453</f>
        <v>2</v>
      </c>
    </row>
    <row r="454" spans="1:11" ht="15" x14ac:dyDescent="0.35">
      <c r="A454">
        <f t="shared" si="12"/>
        <v>2</v>
      </c>
      <c r="B454">
        <f t="shared" si="13"/>
        <v>5</v>
      </c>
      <c r="C454" s="199" t="str">
        <f>B454&amp;LOOKUP(A454, Sheet2!$A$2:$A$11, Sheet2!$B$2:$B$11)</f>
        <v>5Y</v>
      </c>
      <c r="D454">
        <v>25</v>
      </c>
      <c r="E454">
        <v>2</v>
      </c>
      <c r="F454">
        <v>3</v>
      </c>
      <c r="G454">
        <v>0.31259999999999999</v>
      </c>
      <c r="H454">
        <v>0.28220000000000001</v>
      </c>
      <c r="I454">
        <v>0.20399999999999999</v>
      </c>
      <c r="J454" s="1" t="str">
        <f>HYPERLINK(SetRGB(J454,G454*255,H454*255,I454*255),"HOVER!")</f>
        <v>HOVER!</v>
      </c>
      <c r="K454">
        <f>E454/F454</f>
        <v>0.66666666666666663</v>
      </c>
    </row>
    <row r="455" spans="1:11" ht="15" x14ac:dyDescent="0.35">
      <c r="A455">
        <f t="shared" si="12"/>
        <v>2</v>
      </c>
      <c r="B455">
        <f t="shared" si="13"/>
        <v>5</v>
      </c>
      <c r="C455" s="199" t="str">
        <f>B455&amp;LOOKUP(A455, Sheet2!$A$2:$A$11, Sheet2!$B$2:$B$11)</f>
        <v>5Y</v>
      </c>
      <c r="D455">
        <v>25</v>
      </c>
      <c r="E455">
        <v>4</v>
      </c>
      <c r="F455">
        <v>3</v>
      </c>
      <c r="G455">
        <v>0.33510000000000001</v>
      </c>
      <c r="H455">
        <v>0.27939999999999998</v>
      </c>
      <c r="I455">
        <v>0.1163</v>
      </c>
      <c r="J455" s="1" t="str">
        <f>HYPERLINK(SetRGB(J455,G455*255,H455*255,I455*255),"HOVER!")</f>
        <v>HOVER!</v>
      </c>
      <c r="K455">
        <f>E455/F455</f>
        <v>1.3333333333333333</v>
      </c>
    </row>
    <row r="456" spans="1:11" ht="15" x14ac:dyDescent="0.35">
      <c r="A456">
        <f t="shared" si="12"/>
        <v>2</v>
      </c>
      <c r="B456">
        <f t="shared" si="13"/>
        <v>5</v>
      </c>
      <c r="C456" s="199" t="str">
        <f>B456&amp;LOOKUP(A456, Sheet2!$A$2:$A$11, Sheet2!$B$2:$B$11)</f>
        <v>5Y</v>
      </c>
      <c r="D456">
        <v>25</v>
      </c>
      <c r="E456">
        <v>2</v>
      </c>
      <c r="F456">
        <v>4</v>
      </c>
      <c r="G456">
        <v>0.41349999999999998</v>
      </c>
      <c r="H456">
        <v>0.37959999999999999</v>
      </c>
      <c r="I456">
        <v>0.28749999999999998</v>
      </c>
      <c r="J456" s="1" t="str">
        <f>HYPERLINK(SetRGB(J456,G456*255,H456*255,I456*255),"HOVER!")</f>
        <v>HOVER!</v>
      </c>
      <c r="K456">
        <f>E456/F456</f>
        <v>0.5</v>
      </c>
    </row>
    <row r="457" spans="1:11" ht="15" x14ac:dyDescent="0.35">
      <c r="A457">
        <f t="shared" si="12"/>
        <v>2</v>
      </c>
      <c r="B457">
        <f t="shared" si="13"/>
        <v>5</v>
      </c>
      <c r="C457" s="199" t="str">
        <f>B457&amp;LOOKUP(A457, Sheet2!$A$2:$A$11, Sheet2!$B$2:$B$11)</f>
        <v>5Y</v>
      </c>
      <c r="D457">
        <v>25</v>
      </c>
      <c r="E457">
        <v>4</v>
      </c>
      <c r="F457">
        <v>4</v>
      </c>
      <c r="G457">
        <v>0.439</v>
      </c>
      <c r="H457">
        <v>0.37690000000000001</v>
      </c>
      <c r="I457">
        <v>0.19070000000000001</v>
      </c>
      <c r="J457" s="1" t="str">
        <f>HYPERLINK(SetRGB(J457,G457*255,H457*255,I457*255),"HOVER!")</f>
        <v>HOVER!</v>
      </c>
      <c r="K457">
        <f>E457/F457</f>
        <v>1</v>
      </c>
    </row>
    <row r="458" spans="1:11" ht="15" x14ac:dyDescent="0.35">
      <c r="A458">
        <f t="shared" si="12"/>
        <v>2</v>
      </c>
      <c r="B458">
        <f t="shared" si="13"/>
        <v>5</v>
      </c>
      <c r="C458" s="199" t="str">
        <f>B458&amp;LOOKUP(A458, Sheet2!$A$2:$A$11, Sheet2!$B$2:$B$11)</f>
        <v>5Y</v>
      </c>
      <c r="D458">
        <v>25</v>
      </c>
      <c r="E458">
        <v>6</v>
      </c>
      <c r="F458">
        <v>4</v>
      </c>
      <c r="G458">
        <v>0.45660000000000001</v>
      </c>
      <c r="H458">
        <v>0.37419999999999998</v>
      </c>
      <c r="I458">
        <v>8.1000000000000003E-2</v>
      </c>
      <c r="J458" s="1" t="str">
        <f>HYPERLINK(SetRGB(J458,G458*255,H458*255,I458*255),"HOVER!")</f>
        <v>HOVER!</v>
      </c>
      <c r="K458">
        <f>E458/F458</f>
        <v>1.5</v>
      </c>
    </row>
    <row r="459" spans="1:11" ht="15" x14ac:dyDescent="0.35">
      <c r="A459">
        <f t="shared" si="12"/>
        <v>2</v>
      </c>
      <c r="B459">
        <f t="shared" si="13"/>
        <v>5</v>
      </c>
      <c r="C459" s="199" t="str">
        <f>B459&amp;LOOKUP(A459, Sheet2!$A$2:$A$11, Sheet2!$B$2:$B$11)</f>
        <v>5Y</v>
      </c>
      <c r="D459">
        <v>25</v>
      </c>
      <c r="E459">
        <v>2</v>
      </c>
      <c r="F459">
        <v>5</v>
      </c>
      <c r="G459">
        <v>0.51329999999999998</v>
      </c>
      <c r="H459">
        <v>0.48139999999999999</v>
      </c>
      <c r="I459">
        <v>0.38550000000000001</v>
      </c>
      <c r="J459" s="1" t="str">
        <f>HYPERLINK(SetRGB(J459,G459*255,H459*255,I459*255),"HOVER!")</f>
        <v>HOVER!</v>
      </c>
      <c r="K459">
        <f>E459/F459</f>
        <v>0.4</v>
      </c>
    </row>
    <row r="460" spans="1:11" ht="15" x14ac:dyDescent="0.35">
      <c r="A460">
        <f t="shared" si="12"/>
        <v>2</v>
      </c>
      <c r="B460">
        <f t="shared" si="13"/>
        <v>5</v>
      </c>
      <c r="C460" s="199" t="str">
        <f>B460&amp;LOOKUP(A460, Sheet2!$A$2:$A$11, Sheet2!$B$2:$B$11)</f>
        <v>5Y</v>
      </c>
      <c r="D460">
        <v>25</v>
      </c>
      <c r="E460">
        <v>4</v>
      </c>
      <c r="F460">
        <v>5</v>
      </c>
      <c r="G460">
        <v>0.54120000000000001</v>
      </c>
      <c r="H460">
        <v>0.47910000000000003</v>
      </c>
      <c r="I460">
        <v>0.2848</v>
      </c>
      <c r="J460" s="1" t="str">
        <f>HYPERLINK(SetRGB(J460,G460*255,H460*255,I460*255),"HOVER!")</f>
        <v>HOVER!</v>
      </c>
      <c r="K460">
        <f>E460/F460</f>
        <v>0.8</v>
      </c>
    </row>
    <row r="461" spans="1:11" ht="15" x14ac:dyDescent="0.35">
      <c r="A461">
        <f t="shared" si="12"/>
        <v>2</v>
      </c>
      <c r="B461">
        <f t="shared" si="13"/>
        <v>5</v>
      </c>
      <c r="C461" s="199" t="str">
        <f>B461&amp;LOOKUP(A461, Sheet2!$A$2:$A$11, Sheet2!$B$2:$B$11)</f>
        <v>5Y</v>
      </c>
      <c r="D461">
        <v>25</v>
      </c>
      <c r="E461">
        <v>6</v>
      </c>
      <c r="F461">
        <v>5</v>
      </c>
      <c r="G461">
        <v>0.56430000000000002</v>
      </c>
      <c r="H461">
        <v>0.47589999999999999</v>
      </c>
      <c r="I461">
        <v>0.1701</v>
      </c>
      <c r="J461" s="1" t="str">
        <f>HYPERLINK(SetRGB(J461,G461*255,H461*255,I461*255),"HOVER!")</f>
        <v>HOVER!</v>
      </c>
      <c r="K461">
        <f>E461/F461</f>
        <v>1.2</v>
      </c>
    </row>
    <row r="462" spans="1:11" ht="15" x14ac:dyDescent="0.35">
      <c r="A462">
        <f t="shared" ref="A462:A525" si="14">IF(FLOOR(D462/10,1)=0,10,FLOOR(D462/10,1))</f>
        <v>2</v>
      </c>
      <c r="B462">
        <f t="shared" ref="B462:B525" si="15">IF(MOD(D462,10)=0,10,MOD(D462,10))</f>
        <v>5</v>
      </c>
      <c r="C462" s="199" t="str">
        <f>B462&amp;LOOKUP(A462, Sheet2!$A$2:$A$11, Sheet2!$B$2:$B$11)</f>
        <v>5Y</v>
      </c>
      <c r="D462">
        <v>25</v>
      </c>
      <c r="E462">
        <v>2</v>
      </c>
      <c r="F462">
        <v>6</v>
      </c>
      <c r="G462">
        <v>0.61670000000000003</v>
      </c>
      <c r="H462">
        <v>0.58430000000000004</v>
      </c>
      <c r="I462">
        <v>0.48020000000000002</v>
      </c>
      <c r="J462" s="2" t="str">
        <f>HYPERLINK(SetRGB(J462,G462*255,H462*255,I462*255),"HOVER!")</f>
        <v>HOVER!</v>
      </c>
      <c r="K462">
        <f>E462/F462</f>
        <v>0.33333333333333331</v>
      </c>
    </row>
    <row r="463" spans="1:11" ht="15" x14ac:dyDescent="0.35">
      <c r="A463">
        <f t="shared" si="14"/>
        <v>2</v>
      </c>
      <c r="B463">
        <f t="shared" si="15"/>
        <v>5</v>
      </c>
      <c r="C463" s="199" t="str">
        <f>B463&amp;LOOKUP(A463, Sheet2!$A$2:$A$11, Sheet2!$B$2:$B$11)</f>
        <v>5Y</v>
      </c>
      <c r="D463">
        <v>25</v>
      </c>
      <c r="E463">
        <v>4</v>
      </c>
      <c r="F463">
        <v>6</v>
      </c>
      <c r="G463">
        <v>0.64259999999999995</v>
      </c>
      <c r="H463">
        <v>0.58309999999999995</v>
      </c>
      <c r="I463">
        <v>0.38169999999999998</v>
      </c>
      <c r="J463" s="2" t="str">
        <f>HYPERLINK(SetRGB(J463,G463*255,H463*255,I463*255),"HOVER!")</f>
        <v>HOVER!</v>
      </c>
      <c r="K463">
        <f>E463/F463</f>
        <v>0.66666666666666663</v>
      </c>
    </row>
    <row r="464" spans="1:11" ht="15" x14ac:dyDescent="0.35">
      <c r="A464">
        <f t="shared" si="14"/>
        <v>2</v>
      </c>
      <c r="B464">
        <f t="shared" si="15"/>
        <v>5</v>
      </c>
      <c r="C464" s="199" t="str">
        <f>B464&amp;LOOKUP(A464, Sheet2!$A$2:$A$11, Sheet2!$B$2:$B$11)</f>
        <v>5Y</v>
      </c>
      <c r="D464">
        <v>25</v>
      </c>
      <c r="E464">
        <v>6</v>
      </c>
      <c r="F464">
        <v>6</v>
      </c>
      <c r="G464">
        <v>0.66800000000000004</v>
      </c>
      <c r="H464">
        <v>0.58020000000000005</v>
      </c>
      <c r="I464">
        <v>0.27060000000000001</v>
      </c>
      <c r="J464" s="2" t="str">
        <f>HYPERLINK(SetRGB(J464,G464*255,H464*255,I464*255),"HOVER!")</f>
        <v>HOVER!</v>
      </c>
      <c r="K464">
        <f>E464/F464</f>
        <v>1</v>
      </c>
    </row>
    <row r="465" spans="1:11" ht="15" x14ac:dyDescent="0.35">
      <c r="A465">
        <f t="shared" si="14"/>
        <v>2</v>
      </c>
      <c r="B465">
        <f t="shared" si="15"/>
        <v>5</v>
      </c>
      <c r="C465" s="199" t="str">
        <f>B465&amp;LOOKUP(A465, Sheet2!$A$2:$A$11, Sheet2!$B$2:$B$11)</f>
        <v>5Y</v>
      </c>
      <c r="D465">
        <v>25</v>
      </c>
      <c r="E465">
        <v>8</v>
      </c>
      <c r="F465">
        <v>6</v>
      </c>
      <c r="G465">
        <v>0.68600000000000005</v>
      </c>
      <c r="H465">
        <v>0.57779999999999998</v>
      </c>
      <c r="I465">
        <v>0.13689999999999999</v>
      </c>
      <c r="J465" s="2" t="str">
        <f>HYPERLINK(SetRGB(J465,G465*255,H465*255,I465*255),"HOVER!")</f>
        <v>HOVER!</v>
      </c>
      <c r="K465">
        <f>E465/F465</f>
        <v>1.3333333333333333</v>
      </c>
    </row>
    <row r="466" spans="1:11" ht="15" x14ac:dyDescent="0.35">
      <c r="A466">
        <f t="shared" si="14"/>
        <v>2</v>
      </c>
      <c r="B466">
        <f t="shared" si="15"/>
        <v>5</v>
      </c>
      <c r="C466" s="199" t="str">
        <f>B466&amp;LOOKUP(A466, Sheet2!$A$2:$A$11, Sheet2!$B$2:$B$11)</f>
        <v>5Y</v>
      </c>
      <c r="D466">
        <v>25</v>
      </c>
      <c r="E466">
        <v>2</v>
      </c>
      <c r="F466">
        <v>7</v>
      </c>
      <c r="G466">
        <v>0.72099999999999997</v>
      </c>
      <c r="H466">
        <v>0.68810000000000004</v>
      </c>
      <c r="I466">
        <v>0.57879999999999998</v>
      </c>
      <c r="J466" s="2" t="str">
        <f>HYPERLINK(SetRGB(J466,G466*255,H466*255,I466*255),"HOVER!")</f>
        <v>HOVER!</v>
      </c>
      <c r="K466">
        <f>E466/F466</f>
        <v>0.2857142857142857</v>
      </c>
    </row>
    <row r="467" spans="1:11" ht="15" x14ac:dyDescent="0.35">
      <c r="A467">
        <f t="shared" si="14"/>
        <v>2</v>
      </c>
      <c r="B467">
        <f t="shared" si="15"/>
        <v>5</v>
      </c>
      <c r="C467" s="199" t="str">
        <f>B467&amp;LOOKUP(A467, Sheet2!$A$2:$A$11, Sheet2!$B$2:$B$11)</f>
        <v>5Y</v>
      </c>
      <c r="D467">
        <v>25</v>
      </c>
      <c r="E467">
        <v>4</v>
      </c>
      <c r="F467">
        <v>7</v>
      </c>
      <c r="G467">
        <v>0.74680000000000002</v>
      </c>
      <c r="H467">
        <v>0.68759999999999999</v>
      </c>
      <c r="I467">
        <v>0.47599999999999998</v>
      </c>
      <c r="J467" s="2" t="str">
        <f>HYPERLINK(SetRGB(J467,G467*255,H467*255,I467*255),"HOVER!")</f>
        <v>HOVER!</v>
      </c>
      <c r="K467">
        <f>E467/F467</f>
        <v>0.5714285714285714</v>
      </c>
    </row>
    <row r="468" spans="1:11" ht="15" x14ac:dyDescent="0.35">
      <c r="A468">
        <f t="shared" si="14"/>
        <v>2</v>
      </c>
      <c r="B468">
        <f t="shared" si="15"/>
        <v>5</v>
      </c>
      <c r="C468" s="199" t="str">
        <f>B468&amp;LOOKUP(A468, Sheet2!$A$2:$A$11, Sheet2!$B$2:$B$11)</f>
        <v>5Y</v>
      </c>
      <c r="D468">
        <v>25</v>
      </c>
      <c r="E468">
        <v>6</v>
      </c>
      <c r="F468">
        <v>7</v>
      </c>
      <c r="G468">
        <v>0.77059999999999995</v>
      </c>
      <c r="H468">
        <v>0.68579999999999997</v>
      </c>
      <c r="I468">
        <v>0.37</v>
      </c>
      <c r="J468" s="2" t="str">
        <f>HYPERLINK(SetRGB(J468,G468*255,H468*255,I468*255),"HOVER!")</f>
        <v>HOVER!</v>
      </c>
      <c r="K468">
        <f>E468/F468</f>
        <v>0.8571428571428571</v>
      </c>
    </row>
    <row r="469" spans="1:11" ht="15" x14ac:dyDescent="0.35">
      <c r="A469">
        <f t="shared" si="14"/>
        <v>2</v>
      </c>
      <c r="B469">
        <f t="shared" si="15"/>
        <v>5</v>
      </c>
      <c r="C469" s="199" t="str">
        <f>B469&amp;LOOKUP(A469, Sheet2!$A$2:$A$11, Sheet2!$B$2:$B$11)</f>
        <v>5Y</v>
      </c>
      <c r="D469">
        <v>25</v>
      </c>
      <c r="E469">
        <v>8</v>
      </c>
      <c r="F469">
        <v>7</v>
      </c>
      <c r="G469">
        <v>0.79100000000000004</v>
      </c>
      <c r="H469">
        <v>0.68330000000000002</v>
      </c>
      <c r="I469">
        <v>0.25469999999999998</v>
      </c>
      <c r="J469" s="2" t="str">
        <f>HYPERLINK(SetRGB(J469,G469*255,H469*255,I469*255),"HOVER!")</f>
        <v>HOVER!</v>
      </c>
      <c r="K469">
        <f>E469/F469</f>
        <v>1.1428571428571428</v>
      </c>
    </row>
    <row r="470" spans="1:11" ht="15" x14ac:dyDescent="0.35">
      <c r="A470">
        <f t="shared" si="14"/>
        <v>2</v>
      </c>
      <c r="B470">
        <f t="shared" si="15"/>
        <v>5</v>
      </c>
      <c r="C470" s="199" t="str">
        <f>B470&amp;LOOKUP(A470, Sheet2!$A$2:$A$11, Sheet2!$B$2:$B$11)</f>
        <v>5Y</v>
      </c>
      <c r="D470">
        <v>25</v>
      </c>
      <c r="E470">
        <v>10</v>
      </c>
      <c r="F470">
        <v>7</v>
      </c>
      <c r="G470">
        <v>0.80779999999999996</v>
      </c>
      <c r="H470">
        <v>0.68089999999999995</v>
      </c>
      <c r="I470">
        <v>5.8200000000000002E-2</v>
      </c>
      <c r="J470" s="2" t="str">
        <f>HYPERLINK(SetRGB(J470,G470*255,H470*255,I470*255),"HOVER!")</f>
        <v>HOVER!</v>
      </c>
      <c r="K470">
        <f>E470/F470</f>
        <v>1.4285714285714286</v>
      </c>
    </row>
    <row r="471" spans="1:11" ht="15" x14ac:dyDescent="0.35">
      <c r="A471">
        <f t="shared" si="14"/>
        <v>2</v>
      </c>
      <c r="B471">
        <f t="shared" si="15"/>
        <v>5</v>
      </c>
      <c r="C471" s="199" t="str">
        <f>B471&amp;LOOKUP(A471, Sheet2!$A$2:$A$11, Sheet2!$B$2:$B$11)</f>
        <v>5Y</v>
      </c>
      <c r="D471">
        <v>25</v>
      </c>
      <c r="E471">
        <v>2</v>
      </c>
      <c r="F471">
        <v>8</v>
      </c>
      <c r="G471">
        <v>0.82620000000000005</v>
      </c>
      <c r="H471">
        <v>0.79349999999999998</v>
      </c>
      <c r="I471">
        <v>0.67610000000000003</v>
      </c>
      <c r="J471" s="2" t="str">
        <f>HYPERLINK(SetRGB(J471,G471*255,H471*255,I471*255),"HOVER!")</f>
        <v>HOVER!</v>
      </c>
      <c r="K471">
        <f>E471/F471</f>
        <v>0.25</v>
      </c>
    </row>
    <row r="472" spans="1:11" ht="15" x14ac:dyDescent="0.35">
      <c r="A472">
        <f t="shared" si="14"/>
        <v>2</v>
      </c>
      <c r="B472">
        <f t="shared" si="15"/>
        <v>5</v>
      </c>
      <c r="C472" s="199" t="str">
        <f>B472&amp;LOOKUP(A472, Sheet2!$A$2:$A$11, Sheet2!$B$2:$B$11)</f>
        <v>5Y</v>
      </c>
      <c r="D472">
        <v>25</v>
      </c>
      <c r="E472">
        <v>4</v>
      </c>
      <c r="F472">
        <v>8</v>
      </c>
      <c r="G472">
        <v>0.85009999999999997</v>
      </c>
      <c r="H472">
        <v>0.79400000000000004</v>
      </c>
      <c r="I472">
        <v>0.57369999999999999</v>
      </c>
      <c r="J472" s="2" t="str">
        <f>HYPERLINK(SetRGB(J472,G472*255,H472*255,I472*255),"HOVER!")</f>
        <v>HOVER!</v>
      </c>
      <c r="K472">
        <f>E472/F472</f>
        <v>0.5</v>
      </c>
    </row>
    <row r="473" spans="1:11" ht="15" x14ac:dyDescent="0.35">
      <c r="A473">
        <f t="shared" si="14"/>
        <v>2</v>
      </c>
      <c r="B473">
        <f t="shared" si="15"/>
        <v>5</v>
      </c>
      <c r="C473" s="199" t="str">
        <f>B473&amp;LOOKUP(A473, Sheet2!$A$2:$A$11, Sheet2!$B$2:$B$11)</f>
        <v>5Y</v>
      </c>
      <c r="D473">
        <v>25</v>
      </c>
      <c r="E473">
        <v>6</v>
      </c>
      <c r="F473">
        <v>8</v>
      </c>
      <c r="G473">
        <v>0.87470000000000003</v>
      </c>
      <c r="H473">
        <v>0.79259999999999997</v>
      </c>
      <c r="I473">
        <v>0.46639999999999998</v>
      </c>
      <c r="J473" s="2" t="str">
        <f>HYPERLINK(SetRGB(J473,G473*255,H473*255,I473*255),"HOVER!")</f>
        <v>HOVER!</v>
      </c>
      <c r="K473">
        <f>E473/F473</f>
        <v>0.75</v>
      </c>
    </row>
    <row r="474" spans="1:11" ht="15" x14ac:dyDescent="0.35">
      <c r="A474">
        <f t="shared" si="14"/>
        <v>2</v>
      </c>
      <c r="B474">
        <f t="shared" si="15"/>
        <v>5</v>
      </c>
      <c r="C474" s="199" t="str">
        <f>B474&amp;LOOKUP(A474, Sheet2!$A$2:$A$11, Sheet2!$B$2:$B$11)</f>
        <v>5Y</v>
      </c>
      <c r="D474">
        <v>25</v>
      </c>
      <c r="E474">
        <v>8</v>
      </c>
      <c r="F474">
        <v>8</v>
      </c>
      <c r="G474">
        <v>0.89570000000000005</v>
      </c>
      <c r="H474">
        <v>0.79079999999999995</v>
      </c>
      <c r="I474">
        <v>0.35120000000000001</v>
      </c>
      <c r="J474" s="2" t="str">
        <f>HYPERLINK(SetRGB(J474,G474*255,H474*255,I474*255),"HOVER!")</f>
        <v>HOVER!</v>
      </c>
      <c r="K474">
        <f>E474/F474</f>
        <v>1</v>
      </c>
    </row>
    <row r="475" spans="1:11" ht="15" x14ac:dyDescent="0.35">
      <c r="A475">
        <f t="shared" si="14"/>
        <v>2</v>
      </c>
      <c r="B475">
        <f t="shared" si="15"/>
        <v>5</v>
      </c>
      <c r="C475" s="199" t="str">
        <f>B475&amp;LOOKUP(A475, Sheet2!$A$2:$A$11, Sheet2!$B$2:$B$11)</f>
        <v>5Y</v>
      </c>
      <c r="D475">
        <v>25</v>
      </c>
      <c r="E475">
        <v>10</v>
      </c>
      <c r="F475">
        <v>8</v>
      </c>
      <c r="G475">
        <v>0.91339999999999999</v>
      </c>
      <c r="H475">
        <v>0.78869999999999996</v>
      </c>
      <c r="I475">
        <v>0.21129999999999999</v>
      </c>
      <c r="J475" s="2" t="str">
        <f>HYPERLINK(SetRGB(J475,G475*255,H475*255,I475*255),"HOVER!")</f>
        <v>HOVER!</v>
      </c>
      <c r="K475">
        <f>E475/F475</f>
        <v>1.25</v>
      </c>
    </row>
    <row r="476" spans="1:11" ht="15" x14ac:dyDescent="0.35">
      <c r="A476">
        <f t="shared" si="14"/>
        <v>2</v>
      </c>
      <c r="B476">
        <f t="shared" si="15"/>
        <v>5</v>
      </c>
      <c r="C476" s="199" t="str">
        <f>B476&amp;LOOKUP(A476, Sheet2!$A$2:$A$11, Sheet2!$B$2:$B$11)</f>
        <v>5Y</v>
      </c>
      <c r="D476">
        <v>25</v>
      </c>
      <c r="E476">
        <v>2</v>
      </c>
      <c r="F476">
        <v>9</v>
      </c>
      <c r="G476">
        <v>0.93459999999999999</v>
      </c>
      <c r="H476">
        <v>0.90129999999999999</v>
      </c>
      <c r="I476">
        <v>0.77429999999999999</v>
      </c>
      <c r="J476" s="2" t="str">
        <f>HYPERLINK(SetRGB(J476,G476*255,H476*255,I476*255),"HOVER!")</f>
        <v>HOVER!</v>
      </c>
      <c r="K476">
        <f>E476/F476</f>
        <v>0.22222222222222221</v>
      </c>
    </row>
    <row r="477" spans="1:11" ht="15" x14ac:dyDescent="0.35">
      <c r="A477">
        <f t="shared" si="14"/>
        <v>2</v>
      </c>
      <c r="B477">
        <f t="shared" si="15"/>
        <v>5</v>
      </c>
      <c r="C477" s="199" t="str">
        <f>B477&amp;LOOKUP(A477, Sheet2!$A$2:$A$11, Sheet2!$B$2:$B$11)</f>
        <v>5Y</v>
      </c>
      <c r="D477">
        <v>25</v>
      </c>
      <c r="E477">
        <v>4</v>
      </c>
      <c r="F477">
        <v>9</v>
      </c>
      <c r="G477">
        <v>0.96009999999999995</v>
      </c>
      <c r="H477">
        <v>0.90210000000000001</v>
      </c>
      <c r="I477">
        <v>0.66449999999999998</v>
      </c>
      <c r="J477" s="2" t="str">
        <f>HYPERLINK(SetRGB(J477,G477*255,H477*255,I477*255),"HOVER!")</f>
        <v>HOVER!</v>
      </c>
      <c r="K477">
        <f>E477/F477</f>
        <v>0.44444444444444442</v>
      </c>
    </row>
    <row r="478" spans="1:11" ht="15" x14ac:dyDescent="0.35">
      <c r="A478">
        <f t="shared" si="14"/>
        <v>2</v>
      </c>
      <c r="B478">
        <f t="shared" si="15"/>
        <v>5</v>
      </c>
      <c r="C478" s="199" t="str">
        <f>B478&amp;LOOKUP(A478, Sheet2!$A$2:$A$11, Sheet2!$B$2:$B$11)</f>
        <v>5Y</v>
      </c>
      <c r="D478">
        <v>25</v>
      </c>
      <c r="E478">
        <v>6</v>
      </c>
      <c r="F478">
        <v>9</v>
      </c>
      <c r="G478">
        <v>0.9839</v>
      </c>
      <c r="H478">
        <v>0.90139999999999998</v>
      </c>
      <c r="I478">
        <v>0.55469999999999997</v>
      </c>
      <c r="J478" s="2" t="str">
        <f>HYPERLINK(SetRGB(J478,G478*255,H478*255,I478*255),"HOVER!")</f>
        <v>HOVER!</v>
      </c>
      <c r="K478">
        <f>E478/F478</f>
        <v>0.66666666666666663</v>
      </c>
    </row>
    <row r="479" spans="1:11" ht="15" x14ac:dyDescent="0.35">
      <c r="A479">
        <f t="shared" si="14"/>
        <v>2</v>
      </c>
      <c r="B479">
        <f t="shared" si="15"/>
        <v>5</v>
      </c>
      <c r="C479" s="199" t="str">
        <f>B479&amp;LOOKUP(A479, Sheet2!$A$2:$A$11, Sheet2!$B$2:$B$11)</f>
        <v>5Y</v>
      </c>
      <c r="D479">
        <v>25</v>
      </c>
      <c r="E479">
        <v>8</v>
      </c>
      <c r="F479">
        <v>9</v>
      </c>
      <c r="G479">
        <v>1</v>
      </c>
      <c r="H479">
        <v>0.90039999999999998</v>
      </c>
      <c r="I479">
        <v>0.43959999999999999</v>
      </c>
      <c r="J479" s="2" t="str">
        <f>HYPERLINK(SetRGB(J479,G479*255,H479*255,I479*255),"HOVER!")</f>
        <v>HOVER!</v>
      </c>
      <c r="K479">
        <f>E479/F479</f>
        <v>0.88888888888888884</v>
      </c>
    </row>
    <row r="480" spans="1:11" ht="15" x14ac:dyDescent="0.35">
      <c r="A480">
        <f t="shared" si="14"/>
        <v>2</v>
      </c>
      <c r="B480">
        <f t="shared" si="15"/>
        <v>5</v>
      </c>
      <c r="C480" s="199" t="str">
        <f>B480&amp;LOOKUP(A480, Sheet2!$A$2:$A$11, Sheet2!$B$2:$B$11)</f>
        <v>5Y</v>
      </c>
      <c r="D480">
        <v>25</v>
      </c>
      <c r="E480">
        <v>10</v>
      </c>
      <c r="F480">
        <v>9</v>
      </c>
      <c r="G480">
        <v>1</v>
      </c>
      <c r="H480">
        <v>0.89890000000000003</v>
      </c>
      <c r="I480">
        <v>0.31430000000000002</v>
      </c>
      <c r="J480" s="2" t="str">
        <f>HYPERLINK(SetRGB(J480,G480*255,H480*255,I480*255),"HOVER!")</f>
        <v>HOVER!</v>
      </c>
      <c r="K480">
        <f>E480/F480</f>
        <v>1.1111111111111112</v>
      </c>
    </row>
    <row r="481" spans="1:11" ht="15" x14ac:dyDescent="0.35">
      <c r="A481">
        <f t="shared" si="14"/>
        <v>2</v>
      </c>
      <c r="B481">
        <f t="shared" si="15"/>
        <v>5</v>
      </c>
      <c r="C481" s="199" t="str">
        <f>B481&amp;LOOKUP(A481, Sheet2!$A$2:$A$11, Sheet2!$B$2:$B$11)</f>
        <v>5Y</v>
      </c>
      <c r="D481">
        <v>25</v>
      </c>
      <c r="E481">
        <v>12</v>
      </c>
      <c r="F481">
        <v>9</v>
      </c>
      <c r="G481">
        <v>1</v>
      </c>
      <c r="H481">
        <v>0.89739999999999998</v>
      </c>
      <c r="I481">
        <v>0.1138</v>
      </c>
      <c r="J481" s="2" t="str">
        <f>HYPERLINK(SetRGB(J481,G481*255,H481*255,I481*255),"HOVER!")</f>
        <v>HOVER!</v>
      </c>
      <c r="K481">
        <f>E481/F481</f>
        <v>1.3333333333333333</v>
      </c>
    </row>
    <row r="482" spans="1:11" ht="15" x14ac:dyDescent="0.35">
      <c r="A482">
        <f t="shared" si="14"/>
        <v>2</v>
      </c>
      <c r="B482">
        <f t="shared" si="15"/>
        <v>7.5</v>
      </c>
      <c r="C482" s="199" t="str">
        <f>B482&amp;LOOKUP(A482, Sheet2!$A$2:$A$11, Sheet2!$B$2:$B$11)</f>
        <v>7.5Y</v>
      </c>
      <c r="D482">
        <v>27.5</v>
      </c>
      <c r="E482">
        <v>2</v>
      </c>
      <c r="F482">
        <v>1</v>
      </c>
      <c r="G482">
        <v>0.13009999999999999</v>
      </c>
      <c r="H482">
        <v>0.113</v>
      </c>
      <c r="I482">
        <v>3.5000000000000003E-2</v>
      </c>
      <c r="J482" s="42" t="str">
        <f>HYPERLINK(SetRGB(J482,G482*255,H482*255,I482*255),"HOVER!")</f>
        <v>HOVER!</v>
      </c>
      <c r="K482">
        <f>E482/F482</f>
        <v>2</v>
      </c>
    </row>
    <row r="483" spans="1:11" ht="15" x14ac:dyDescent="0.35">
      <c r="A483">
        <f t="shared" si="14"/>
        <v>2</v>
      </c>
      <c r="B483">
        <f t="shared" si="15"/>
        <v>7.5</v>
      </c>
      <c r="C483" s="199" t="str">
        <f>B483&amp;LOOKUP(A483, Sheet2!$A$2:$A$11, Sheet2!$B$2:$B$11)</f>
        <v>7.5Y</v>
      </c>
      <c r="D483">
        <v>27.5</v>
      </c>
      <c r="E483">
        <v>2</v>
      </c>
      <c r="F483">
        <v>2</v>
      </c>
      <c r="G483">
        <v>0.21010000000000001</v>
      </c>
      <c r="H483">
        <v>0.19489999999999999</v>
      </c>
      <c r="I483">
        <v>0.12709999999999999</v>
      </c>
      <c r="J483" s="69" t="str">
        <f>HYPERLINK(SetRGB(J483,G483*255,H483*255,I483*255),"HOVER!")</f>
        <v>HOVER!</v>
      </c>
      <c r="K483">
        <f>E483/F483</f>
        <v>1</v>
      </c>
    </row>
    <row r="484" spans="1:11" ht="15" x14ac:dyDescent="0.35">
      <c r="A484">
        <f t="shared" si="14"/>
        <v>2</v>
      </c>
      <c r="B484">
        <f t="shared" si="15"/>
        <v>7.5</v>
      </c>
      <c r="C484" s="199" t="str">
        <f>B484&amp;LOOKUP(A484, Sheet2!$A$2:$A$11, Sheet2!$B$2:$B$11)</f>
        <v>7.5Y</v>
      </c>
      <c r="D484">
        <v>27.5</v>
      </c>
      <c r="E484">
        <v>4</v>
      </c>
      <c r="F484">
        <v>2</v>
      </c>
      <c r="G484">
        <v>0.22570000000000001</v>
      </c>
      <c r="H484">
        <v>0.19470000000000001</v>
      </c>
      <c r="I484">
        <v>-1.4E-3</v>
      </c>
      <c r="J484" s="68" t="str">
        <f>HYPERLINK(SetRGB(J484,G484*255,H484*255,I484*255),"HOVER!")</f>
        <v>HOVER!</v>
      </c>
      <c r="K484">
        <f>E484/F484</f>
        <v>2</v>
      </c>
    </row>
    <row r="485" spans="1:11" ht="15" x14ac:dyDescent="0.35">
      <c r="A485">
        <f t="shared" si="14"/>
        <v>2</v>
      </c>
      <c r="B485">
        <f t="shared" si="15"/>
        <v>7.5</v>
      </c>
      <c r="C485" s="199" t="str">
        <f>B485&amp;LOOKUP(A485, Sheet2!$A$2:$A$11, Sheet2!$B$2:$B$11)</f>
        <v>7.5Y</v>
      </c>
      <c r="D485">
        <v>27.5</v>
      </c>
      <c r="E485">
        <v>2</v>
      </c>
      <c r="F485">
        <v>3</v>
      </c>
      <c r="G485">
        <v>0.30299999999999999</v>
      </c>
      <c r="H485">
        <v>0.28539999999999999</v>
      </c>
      <c r="I485">
        <v>0.2041</v>
      </c>
      <c r="J485" s="1" t="str">
        <f>HYPERLINK(SetRGB(J485,G485*255,H485*255,I485*255),"HOVER!")</f>
        <v>HOVER!</v>
      </c>
      <c r="K485">
        <f>E485/F485</f>
        <v>0.66666666666666663</v>
      </c>
    </row>
    <row r="486" spans="1:11" ht="15" x14ac:dyDescent="0.35">
      <c r="A486">
        <f t="shared" si="14"/>
        <v>2</v>
      </c>
      <c r="B486">
        <f t="shared" si="15"/>
        <v>7.5</v>
      </c>
      <c r="C486" s="199" t="str">
        <f>B486&amp;LOOKUP(A486, Sheet2!$A$2:$A$11, Sheet2!$B$2:$B$11)</f>
        <v>7.5Y</v>
      </c>
      <c r="D486">
        <v>27.5</v>
      </c>
      <c r="E486">
        <v>4</v>
      </c>
      <c r="F486">
        <v>3</v>
      </c>
      <c r="G486">
        <v>0.31769999999999998</v>
      </c>
      <c r="H486">
        <v>0.28570000000000001</v>
      </c>
      <c r="I486">
        <v>0.1132</v>
      </c>
      <c r="J486" s="1" t="str">
        <f>HYPERLINK(SetRGB(J486,G486*255,H486*255,I486*255),"HOVER!")</f>
        <v>HOVER!</v>
      </c>
      <c r="K486">
        <f>E486/F486</f>
        <v>1.3333333333333333</v>
      </c>
    </row>
    <row r="487" spans="1:11" ht="15" x14ac:dyDescent="0.35">
      <c r="A487">
        <f t="shared" si="14"/>
        <v>2</v>
      </c>
      <c r="B487">
        <f t="shared" si="15"/>
        <v>7.5</v>
      </c>
      <c r="C487" s="199" t="str">
        <f>B487&amp;LOOKUP(A487, Sheet2!$A$2:$A$11, Sheet2!$B$2:$B$11)</f>
        <v>7.5Y</v>
      </c>
      <c r="D487">
        <v>27.5</v>
      </c>
      <c r="E487">
        <v>2</v>
      </c>
      <c r="F487">
        <v>4</v>
      </c>
      <c r="G487">
        <v>0.4027</v>
      </c>
      <c r="H487">
        <v>0.3831</v>
      </c>
      <c r="I487">
        <v>0.28739999999999999</v>
      </c>
      <c r="J487" s="1" t="str">
        <f>HYPERLINK(SetRGB(J487,G487*255,H487*255,I487*255),"HOVER!")</f>
        <v>HOVER!</v>
      </c>
      <c r="K487">
        <f>E487/F487</f>
        <v>0.5</v>
      </c>
    </row>
    <row r="488" spans="1:11" ht="15" x14ac:dyDescent="0.35">
      <c r="A488">
        <f t="shared" si="14"/>
        <v>2</v>
      </c>
      <c r="B488">
        <f t="shared" si="15"/>
        <v>7.5</v>
      </c>
      <c r="C488" s="199" t="str">
        <f>B488&amp;LOOKUP(A488, Sheet2!$A$2:$A$11, Sheet2!$B$2:$B$11)</f>
        <v>7.5Y</v>
      </c>
      <c r="D488">
        <v>27.5</v>
      </c>
      <c r="E488">
        <v>4</v>
      </c>
      <c r="F488">
        <v>4</v>
      </c>
      <c r="G488">
        <v>0.4194</v>
      </c>
      <c r="H488">
        <v>0.38400000000000001</v>
      </c>
      <c r="I488">
        <v>0.1867</v>
      </c>
      <c r="J488" s="1" t="str">
        <f>HYPERLINK(SetRGB(J488,G488*255,H488*255,I488*255),"HOVER!")</f>
        <v>HOVER!</v>
      </c>
      <c r="K488">
        <f>E488/F488</f>
        <v>1</v>
      </c>
    </row>
    <row r="489" spans="1:11" ht="15" x14ac:dyDescent="0.35">
      <c r="A489">
        <f t="shared" si="14"/>
        <v>2</v>
      </c>
      <c r="B489">
        <f t="shared" si="15"/>
        <v>7.5</v>
      </c>
      <c r="C489" s="199" t="str">
        <f>B489&amp;LOOKUP(A489, Sheet2!$A$2:$A$11, Sheet2!$B$2:$B$11)</f>
        <v>7.5Y</v>
      </c>
      <c r="D489">
        <v>27.5</v>
      </c>
      <c r="E489">
        <v>6</v>
      </c>
      <c r="F489">
        <v>4</v>
      </c>
      <c r="G489">
        <v>0.43080000000000002</v>
      </c>
      <c r="H489">
        <v>0.38390000000000002</v>
      </c>
      <c r="I489">
        <v>6.7900000000000002E-2</v>
      </c>
      <c r="J489" s="1" t="str">
        <f>HYPERLINK(SetRGB(J489,G489*255,H489*255,I489*255),"HOVER!")</f>
        <v>HOVER!</v>
      </c>
      <c r="K489">
        <f>E489/F489</f>
        <v>1.5</v>
      </c>
    </row>
    <row r="490" spans="1:11" ht="15" x14ac:dyDescent="0.35">
      <c r="A490">
        <f t="shared" si="14"/>
        <v>2</v>
      </c>
      <c r="B490">
        <f t="shared" si="15"/>
        <v>7.5</v>
      </c>
      <c r="C490" s="199" t="str">
        <f>B490&amp;LOOKUP(A490, Sheet2!$A$2:$A$11, Sheet2!$B$2:$B$11)</f>
        <v>7.5Y</v>
      </c>
      <c r="D490">
        <v>27.5</v>
      </c>
      <c r="E490">
        <v>2</v>
      </c>
      <c r="F490">
        <v>5</v>
      </c>
      <c r="G490">
        <v>0.50429999999999997</v>
      </c>
      <c r="H490">
        <v>0.4844</v>
      </c>
      <c r="I490">
        <v>0.38479999999999998</v>
      </c>
      <c r="J490" s="1" t="str">
        <f>HYPERLINK(SetRGB(J490,G490*255,H490*255,I490*255),"HOVER!")</f>
        <v>HOVER!</v>
      </c>
      <c r="K490">
        <f>E490/F490</f>
        <v>0.4</v>
      </c>
    </row>
    <row r="491" spans="1:11" ht="15" x14ac:dyDescent="0.35">
      <c r="A491">
        <f t="shared" si="14"/>
        <v>2</v>
      </c>
      <c r="B491">
        <f t="shared" si="15"/>
        <v>7.5</v>
      </c>
      <c r="C491" s="199" t="str">
        <f>B491&amp;LOOKUP(A491, Sheet2!$A$2:$A$11, Sheet2!$B$2:$B$11)</f>
        <v>7.5Y</v>
      </c>
      <c r="D491">
        <v>27.5</v>
      </c>
      <c r="E491">
        <v>4</v>
      </c>
      <c r="F491">
        <v>5</v>
      </c>
      <c r="G491">
        <v>0.52229999999999999</v>
      </c>
      <c r="H491">
        <v>0.48570000000000002</v>
      </c>
      <c r="I491">
        <v>0.28100000000000003</v>
      </c>
      <c r="J491" s="1" t="str">
        <f>HYPERLINK(SetRGB(J491,G491*255,H491*255,I491*255),"HOVER!")</f>
        <v>HOVER!</v>
      </c>
      <c r="K491">
        <f>E491/F491</f>
        <v>0.8</v>
      </c>
    </row>
    <row r="492" spans="1:11" ht="15" x14ac:dyDescent="0.35">
      <c r="A492">
        <f t="shared" si="14"/>
        <v>2</v>
      </c>
      <c r="B492">
        <f t="shared" si="15"/>
        <v>7.5</v>
      </c>
      <c r="C492" s="199" t="str">
        <f>B492&amp;LOOKUP(A492, Sheet2!$A$2:$A$11, Sheet2!$B$2:$B$11)</f>
        <v>7.5Y</v>
      </c>
      <c r="D492">
        <v>27.5</v>
      </c>
      <c r="E492">
        <v>6</v>
      </c>
      <c r="F492">
        <v>5</v>
      </c>
      <c r="G492">
        <v>0.53610000000000002</v>
      </c>
      <c r="H492">
        <v>0.48630000000000001</v>
      </c>
      <c r="I492">
        <v>0.16020000000000001</v>
      </c>
      <c r="J492" s="1" t="str">
        <f>HYPERLINK(SetRGB(J492,G492*255,H492*255,I492*255),"HOVER!")</f>
        <v>HOVER!</v>
      </c>
      <c r="K492">
        <f>E492/F492</f>
        <v>1.2</v>
      </c>
    </row>
    <row r="493" spans="1:11" ht="15" x14ac:dyDescent="0.35">
      <c r="A493">
        <f t="shared" si="14"/>
        <v>2</v>
      </c>
      <c r="B493">
        <f t="shared" si="15"/>
        <v>7.5</v>
      </c>
      <c r="C493" s="199" t="str">
        <f>B493&amp;LOOKUP(A493, Sheet2!$A$2:$A$11, Sheet2!$B$2:$B$11)</f>
        <v>7.5Y</v>
      </c>
      <c r="D493">
        <v>27.5</v>
      </c>
      <c r="E493">
        <v>2</v>
      </c>
      <c r="F493">
        <v>6</v>
      </c>
      <c r="G493">
        <v>0.60670000000000002</v>
      </c>
      <c r="H493">
        <v>0.58760000000000001</v>
      </c>
      <c r="I493">
        <v>0.4788</v>
      </c>
      <c r="J493" s="2" t="str">
        <f>HYPERLINK(SetRGB(J493,G493*255,H493*255,I493*255),"HOVER!")</f>
        <v>HOVER!</v>
      </c>
      <c r="K493">
        <f>E493/F493</f>
        <v>0.33333333333333331</v>
      </c>
    </row>
    <row r="494" spans="1:11" ht="15" x14ac:dyDescent="0.35">
      <c r="A494">
        <f t="shared" si="14"/>
        <v>2</v>
      </c>
      <c r="B494">
        <f t="shared" si="15"/>
        <v>7.5</v>
      </c>
      <c r="C494" s="199" t="str">
        <f>B494&amp;LOOKUP(A494, Sheet2!$A$2:$A$11, Sheet2!$B$2:$B$11)</f>
        <v>7.5Y</v>
      </c>
      <c r="D494">
        <v>27.5</v>
      </c>
      <c r="E494">
        <v>4</v>
      </c>
      <c r="F494">
        <v>6</v>
      </c>
      <c r="G494">
        <v>0.62470000000000003</v>
      </c>
      <c r="H494">
        <v>0.58930000000000005</v>
      </c>
      <c r="I494">
        <v>0.37790000000000001</v>
      </c>
      <c r="J494" s="2" t="str">
        <f>HYPERLINK(SetRGB(J494,G494*255,H494*255,I494*255),"HOVER!")</f>
        <v>HOVER!</v>
      </c>
      <c r="K494">
        <f>E494/F494</f>
        <v>0.66666666666666663</v>
      </c>
    </row>
    <row r="495" spans="1:11" ht="15" x14ac:dyDescent="0.35">
      <c r="A495">
        <f t="shared" si="14"/>
        <v>2</v>
      </c>
      <c r="B495">
        <f t="shared" si="15"/>
        <v>7.5</v>
      </c>
      <c r="C495" s="199" t="str">
        <f>B495&amp;LOOKUP(A495, Sheet2!$A$2:$A$11, Sheet2!$B$2:$B$11)</f>
        <v>7.5Y</v>
      </c>
      <c r="D495">
        <v>27.5</v>
      </c>
      <c r="E495">
        <v>6</v>
      </c>
      <c r="F495">
        <v>6</v>
      </c>
      <c r="G495">
        <v>0.6401</v>
      </c>
      <c r="H495">
        <v>0.59030000000000005</v>
      </c>
      <c r="I495">
        <v>0.26140000000000002</v>
      </c>
      <c r="J495" s="2" t="str">
        <f>HYPERLINK(SetRGB(J495,G495*255,H495*255,I495*255),"HOVER!")</f>
        <v>HOVER!</v>
      </c>
      <c r="K495">
        <f>E495/F495</f>
        <v>1</v>
      </c>
    </row>
    <row r="496" spans="1:11" ht="15" x14ac:dyDescent="0.35">
      <c r="A496">
        <f t="shared" si="14"/>
        <v>2</v>
      </c>
      <c r="B496">
        <f t="shared" si="15"/>
        <v>7.5</v>
      </c>
      <c r="C496" s="199" t="str">
        <f>B496&amp;LOOKUP(A496, Sheet2!$A$2:$A$11, Sheet2!$B$2:$B$11)</f>
        <v>7.5Y</v>
      </c>
      <c r="D496">
        <v>27.5</v>
      </c>
      <c r="E496">
        <v>8</v>
      </c>
      <c r="F496">
        <v>6</v>
      </c>
      <c r="G496">
        <v>0.65159999999999996</v>
      </c>
      <c r="H496">
        <v>0.59050000000000002</v>
      </c>
      <c r="I496">
        <v>0.11509999999999999</v>
      </c>
      <c r="J496" s="2" t="str">
        <f>HYPERLINK(SetRGB(J496,G496*255,H496*255,I496*255),"HOVER!")</f>
        <v>HOVER!</v>
      </c>
      <c r="K496">
        <f>E496/F496</f>
        <v>1.3333333333333333</v>
      </c>
    </row>
    <row r="497" spans="1:11" ht="15" x14ac:dyDescent="0.35">
      <c r="A497">
        <f t="shared" si="14"/>
        <v>2</v>
      </c>
      <c r="B497">
        <f t="shared" si="15"/>
        <v>7.5</v>
      </c>
      <c r="C497" s="199" t="str">
        <f>B497&amp;LOOKUP(A497, Sheet2!$A$2:$A$11, Sheet2!$B$2:$B$11)</f>
        <v>7.5Y</v>
      </c>
      <c r="D497">
        <v>27.5</v>
      </c>
      <c r="E497">
        <v>2</v>
      </c>
      <c r="F497">
        <v>7</v>
      </c>
      <c r="G497">
        <v>0.71060000000000001</v>
      </c>
      <c r="H497">
        <v>0.6915</v>
      </c>
      <c r="I497">
        <v>0.57740000000000002</v>
      </c>
      <c r="J497" s="2" t="str">
        <f>HYPERLINK(SetRGB(J497,G497*255,H497*255,I497*255),"HOVER!")</f>
        <v>HOVER!</v>
      </c>
      <c r="K497">
        <f>E497/F497</f>
        <v>0.2857142857142857</v>
      </c>
    </row>
    <row r="498" spans="1:11" ht="15" x14ac:dyDescent="0.35">
      <c r="A498">
        <f t="shared" si="14"/>
        <v>2</v>
      </c>
      <c r="B498">
        <f t="shared" si="15"/>
        <v>7.5</v>
      </c>
      <c r="C498" s="199" t="str">
        <f>B498&amp;LOOKUP(A498, Sheet2!$A$2:$A$11, Sheet2!$B$2:$B$11)</f>
        <v>7.5Y</v>
      </c>
      <c r="D498">
        <v>27.5</v>
      </c>
      <c r="E498">
        <v>4</v>
      </c>
      <c r="F498">
        <v>7</v>
      </c>
      <c r="G498">
        <v>0.72919999999999996</v>
      </c>
      <c r="H498">
        <v>0.69369999999999998</v>
      </c>
      <c r="I498">
        <v>0.47249999999999998</v>
      </c>
      <c r="J498" s="2" t="str">
        <f>HYPERLINK(SetRGB(J498,G498*255,H498*255,I498*255),"HOVER!")</f>
        <v>HOVER!</v>
      </c>
      <c r="K498">
        <f>E498/F498</f>
        <v>0.5714285714285714</v>
      </c>
    </row>
    <row r="499" spans="1:11" ht="15" x14ac:dyDescent="0.35">
      <c r="A499">
        <f t="shared" si="14"/>
        <v>2</v>
      </c>
      <c r="B499">
        <f t="shared" si="15"/>
        <v>7.5</v>
      </c>
      <c r="C499" s="199" t="str">
        <f>B499&amp;LOOKUP(A499, Sheet2!$A$2:$A$11, Sheet2!$B$2:$B$11)</f>
        <v>7.5Y</v>
      </c>
      <c r="D499">
        <v>27.5</v>
      </c>
      <c r="E499">
        <v>6</v>
      </c>
      <c r="F499">
        <v>7</v>
      </c>
      <c r="G499">
        <v>0.74460000000000004</v>
      </c>
      <c r="H499">
        <v>0.69489999999999996</v>
      </c>
      <c r="I499">
        <v>0.3644</v>
      </c>
      <c r="J499" s="2" t="str">
        <f>HYPERLINK(SetRGB(J499,G499*255,H499*255,I499*255),"HOVER!")</f>
        <v>HOVER!</v>
      </c>
      <c r="K499">
        <f>E499/F499</f>
        <v>0.8571428571428571</v>
      </c>
    </row>
    <row r="500" spans="1:11" ht="15" x14ac:dyDescent="0.35">
      <c r="A500">
        <f t="shared" si="14"/>
        <v>2</v>
      </c>
      <c r="B500">
        <f t="shared" si="15"/>
        <v>7.5</v>
      </c>
      <c r="C500" s="199" t="str">
        <f>B500&amp;LOOKUP(A500, Sheet2!$A$2:$A$11, Sheet2!$B$2:$B$11)</f>
        <v>7.5Y</v>
      </c>
      <c r="D500">
        <v>27.5</v>
      </c>
      <c r="E500">
        <v>8</v>
      </c>
      <c r="F500">
        <v>7</v>
      </c>
      <c r="G500">
        <v>0.75680000000000003</v>
      </c>
      <c r="H500">
        <v>0.69569999999999999</v>
      </c>
      <c r="I500">
        <v>0.2407</v>
      </c>
      <c r="J500" s="2" t="str">
        <f>HYPERLINK(SetRGB(J500,G500*255,H500*255,I500*255),"HOVER!")</f>
        <v>HOVER!</v>
      </c>
      <c r="K500">
        <f>E500/F500</f>
        <v>1.1428571428571428</v>
      </c>
    </row>
    <row r="501" spans="1:11" ht="15" x14ac:dyDescent="0.35">
      <c r="A501">
        <f t="shared" si="14"/>
        <v>2</v>
      </c>
      <c r="B501">
        <f t="shared" si="15"/>
        <v>7.5</v>
      </c>
      <c r="C501" s="199" t="str">
        <f>B501&amp;LOOKUP(A501, Sheet2!$A$2:$A$11, Sheet2!$B$2:$B$11)</f>
        <v>7.5Y</v>
      </c>
      <c r="D501">
        <v>27.5</v>
      </c>
      <c r="E501">
        <v>2</v>
      </c>
      <c r="F501">
        <v>8</v>
      </c>
      <c r="G501">
        <v>0.81630000000000003</v>
      </c>
      <c r="H501">
        <v>0.79690000000000005</v>
      </c>
      <c r="I501">
        <v>0.67269999999999996</v>
      </c>
      <c r="J501" s="2" t="str">
        <f>HYPERLINK(SetRGB(J501,G501*255,H501*255,I501*255),"HOVER!")</f>
        <v>HOVER!</v>
      </c>
      <c r="K501">
        <f>E501/F501</f>
        <v>0.25</v>
      </c>
    </row>
    <row r="502" spans="1:11" ht="15" x14ac:dyDescent="0.35">
      <c r="A502">
        <f t="shared" si="14"/>
        <v>2</v>
      </c>
      <c r="B502">
        <f t="shared" si="15"/>
        <v>7.5</v>
      </c>
      <c r="C502" s="199" t="str">
        <f>B502&amp;LOOKUP(A502, Sheet2!$A$2:$A$11, Sheet2!$B$2:$B$11)</f>
        <v>7.5Y</v>
      </c>
      <c r="D502">
        <v>27.5</v>
      </c>
      <c r="E502">
        <v>4</v>
      </c>
      <c r="F502">
        <v>8</v>
      </c>
      <c r="G502">
        <v>0.83450000000000002</v>
      </c>
      <c r="H502">
        <v>0.7994</v>
      </c>
      <c r="I502">
        <v>0.56910000000000005</v>
      </c>
      <c r="J502" s="2" t="str">
        <f>HYPERLINK(SetRGB(J502,G502*255,H502*255,I502*255),"HOVER!")</f>
        <v>HOVER!</v>
      </c>
      <c r="K502">
        <f>E502/F502</f>
        <v>0.5</v>
      </c>
    </row>
    <row r="503" spans="1:11" ht="15" x14ac:dyDescent="0.35">
      <c r="A503">
        <f t="shared" si="14"/>
        <v>2</v>
      </c>
      <c r="B503">
        <f t="shared" si="15"/>
        <v>7.5</v>
      </c>
      <c r="C503" s="199" t="str">
        <f>B503&amp;LOOKUP(A503, Sheet2!$A$2:$A$11, Sheet2!$B$2:$B$11)</f>
        <v>7.5Y</v>
      </c>
      <c r="D503">
        <v>27.5</v>
      </c>
      <c r="E503">
        <v>6</v>
      </c>
      <c r="F503">
        <v>8</v>
      </c>
      <c r="G503">
        <v>0.84989999999999999</v>
      </c>
      <c r="H503">
        <v>0.80130000000000001</v>
      </c>
      <c r="I503">
        <v>0.4597</v>
      </c>
      <c r="J503" s="2" t="str">
        <f>HYPERLINK(SetRGB(J503,G503*255,H503*255,I503*255),"HOVER!")</f>
        <v>HOVER!</v>
      </c>
      <c r="K503">
        <f>E503/F503</f>
        <v>0.75</v>
      </c>
    </row>
    <row r="504" spans="1:11" ht="15" x14ac:dyDescent="0.35">
      <c r="A504">
        <f t="shared" si="14"/>
        <v>2</v>
      </c>
      <c r="B504">
        <f t="shared" si="15"/>
        <v>7.5</v>
      </c>
      <c r="C504" s="199" t="str">
        <f>B504&amp;LOOKUP(A504, Sheet2!$A$2:$A$11, Sheet2!$B$2:$B$11)</f>
        <v>7.5Y</v>
      </c>
      <c r="D504">
        <v>27.5</v>
      </c>
      <c r="E504">
        <v>8</v>
      </c>
      <c r="F504">
        <v>8</v>
      </c>
      <c r="G504">
        <v>0.8629</v>
      </c>
      <c r="H504">
        <v>0.80249999999999999</v>
      </c>
      <c r="I504">
        <v>0.33879999999999999</v>
      </c>
      <c r="J504" s="2" t="str">
        <f>HYPERLINK(SetRGB(J504,G504*255,H504*255,I504*255),"HOVER!")</f>
        <v>HOVER!</v>
      </c>
      <c r="K504">
        <f>E504/F504</f>
        <v>1</v>
      </c>
    </row>
    <row r="505" spans="1:11" ht="15" x14ac:dyDescent="0.35">
      <c r="A505">
        <f t="shared" si="14"/>
        <v>2</v>
      </c>
      <c r="B505">
        <f t="shared" si="15"/>
        <v>7.5</v>
      </c>
      <c r="C505" s="199" t="str">
        <f>B505&amp;LOOKUP(A505, Sheet2!$A$2:$A$11, Sheet2!$B$2:$B$11)</f>
        <v>7.5Y</v>
      </c>
      <c r="D505">
        <v>27.5</v>
      </c>
      <c r="E505">
        <v>10</v>
      </c>
      <c r="F505">
        <v>8</v>
      </c>
      <c r="G505">
        <v>0.87350000000000005</v>
      </c>
      <c r="H505">
        <v>0.80310000000000004</v>
      </c>
      <c r="I505">
        <v>0.19</v>
      </c>
      <c r="J505" s="2" t="str">
        <f>HYPERLINK(SetRGB(J505,G505*255,H505*255,I505*255),"HOVER!")</f>
        <v>HOVER!</v>
      </c>
      <c r="K505">
        <f>E505/F505</f>
        <v>1.25</v>
      </c>
    </row>
    <row r="506" spans="1:11" ht="15" x14ac:dyDescent="0.35">
      <c r="A506">
        <f t="shared" si="14"/>
        <v>2</v>
      </c>
      <c r="B506">
        <f t="shared" si="15"/>
        <v>7.5</v>
      </c>
      <c r="C506" s="199" t="str">
        <f>B506&amp;LOOKUP(A506, Sheet2!$A$2:$A$11, Sheet2!$B$2:$B$11)</f>
        <v>7.5Y</v>
      </c>
      <c r="D506">
        <v>27.5</v>
      </c>
      <c r="E506">
        <v>2</v>
      </c>
      <c r="F506">
        <v>9</v>
      </c>
      <c r="G506">
        <v>0.92390000000000005</v>
      </c>
      <c r="H506">
        <v>0.90510000000000002</v>
      </c>
      <c r="I506">
        <v>0.76990000000000003</v>
      </c>
      <c r="J506" s="2" t="str">
        <f>HYPERLINK(SetRGB(J506,G506*255,H506*255,I506*255),"HOVER!")</f>
        <v>HOVER!</v>
      </c>
      <c r="K506">
        <f>E506/F506</f>
        <v>0.22222222222222221</v>
      </c>
    </row>
    <row r="507" spans="1:11" ht="15" x14ac:dyDescent="0.35">
      <c r="A507">
        <f t="shared" si="14"/>
        <v>2</v>
      </c>
      <c r="B507">
        <f t="shared" si="15"/>
        <v>7.5</v>
      </c>
      <c r="C507" s="199" t="str">
        <f>B507&amp;LOOKUP(A507, Sheet2!$A$2:$A$11, Sheet2!$B$2:$B$11)</f>
        <v>7.5Y</v>
      </c>
      <c r="D507">
        <v>27.5</v>
      </c>
      <c r="E507">
        <v>4</v>
      </c>
      <c r="F507">
        <v>9</v>
      </c>
      <c r="G507">
        <v>0.94199999999999995</v>
      </c>
      <c r="H507">
        <v>0.90820000000000001</v>
      </c>
      <c r="I507">
        <v>0.66020000000000001</v>
      </c>
      <c r="J507" s="2" t="str">
        <f>HYPERLINK(SetRGB(J507,G507*255,H507*255,I507*255),"HOVER!")</f>
        <v>HOVER!</v>
      </c>
      <c r="K507">
        <f>E507/F507</f>
        <v>0.44444444444444442</v>
      </c>
    </row>
    <row r="508" spans="1:11" ht="15" x14ac:dyDescent="0.35">
      <c r="A508">
        <f t="shared" si="14"/>
        <v>2</v>
      </c>
      <c r="B508">
        <f t="shared" si="15"/>
        <v>7.5</v>
      </c>
      <c r="C508" s="199" t="str">
        <f>B508&amp;LOOKUP(A508, Sheet2!$A$2:$A$11, Sheet2!$B$2:$B$11)</f>
        <v>7.5Y</v>
      </c>
      <c r="D508">
        <v>27.5</v>
      </c>
      <c r="E508">
        <v>6</v>
      </c>
      <c r="F508">
        <v>9</v>
      </c>
      <c r="G508">
        <v>0.95799999999999996</v>
      </c>
      <c r="H508">
        <v>0.91039999999999999</v>
      </c>
      <c r="I508">
        <v>0.54820000000000002</v>
      </c>
      <c r="J508" s="2" t="str">
        <f>HYPERLINK(SetRGB(J508,G508*255,H508*255,I508*255),"HOVER!")</f>
        <v>HOVER!</v>
      </c>
      <c r="K508">
        <f>E508/F508</f>
        <v>0.66666666666666663</v>
      </c>
    </row>
    <row r="509" spans="1:11" ht="15" x14ac:dyDescent="0.35">
      <c r="A509">
        <f t="shared" si="14"/>
        <v>2</v>
      </c>
      <c r="B509">
        <f t="shared" si="15"/>
        <v>7.5</v>
      </c>
      <c r="C509" s="199" t="str">
        <f>B509&amp;LOOKUP(A509, Sheet2!$A$2:$A$11, Sheet2!$B$2:$B$11)</f>
        <v>7.5Y</v>
      </c>
      <c r="D509">
        <v>27.5</v>
      </c>
      <c r="E509">
        <v>8</v>
      </c>
      <c r="F509">
        <v>9</v>
      </c>
      <c r="G509">
        <v>0.97199999999999998</v>
      </c>
      <c r="H509">
        <v>0.91169999999999995</v>
      </c>
      <c r="I509">
        <v>0.42909999999999998</v>
      </c>
      <c r="J509" s="2" t="str">
        <f>HYPERLINK(SetRGB(J509,G509*255,H509*255,I509*255),"HOVER!")</f>
        <v>HOVER!</v>
      </c>
      <c r="K509">
        <f>E509/F509</f>
        <v>0.88888888888888884</v>
      </c>
    </row>
    <row r="510" spans="1:11" ht="15" x14ac:dyDescent="0.35">
      <c r="A510">
        <f t="shared" si="14"/>
        <v>2</v>
      </c>
      <c r="B510">
        <f t="shared" si="15"/>
        <v>7.5</v>
      </c>
      <c r="C510" s="199" t="str">
        <f>B510&amp;LOOKUP(A510, Sheet2!$A$2:$A$11, Sheet2!$B$2:$B$11)</f>
        <v>7.5Y</v>
      </c>
      <c r="D510">
        <v>27.5</v>
      </c>
      <c r="E510">
        <v>10</v>
      </c>
      <c r="F510">
        <v>9</v>
      </c>
      <c r="G510">
        <v>0.98370000000000002</v>
      </c>
      <c r="H510">
        <v>0.9123</v>
      </c>
      <c r="I510">
        <v>0.29699999999999999</v>
      </c>
      <c r="J510" s="2" t="str">
        <f>HYPERLINK(SetRGB(J510,G510*255,H510*255,I510*255),"HOVER!")</f>
        <v>HOVER!</v>
      </c>
      <c r="K510">
        <f>E510/F510</f>
        <v>1.1111111111111112</v>
      </c>
    </row>
    <row r="511" spans="1:11" ht="15" x14ac:dyDescent="0.35">
      <c r="A511">
        <f t="shared" si="14"/>
        <v>2</v>
      </c>
      <c r="B511">
        <f t="shared" si="15"/>
        <v>7.5</v>
      </c>
      <c r="C511" s="199" t="str">
        <f>B511&amp;LOOKUP(A511, Sheet2!$A$2:$A$11, Sheet2!$B$2:$B$11)</f>
        <v>7.5Y</v>
      </c>
      <c r="D511">
        <v>27.5</v>
      </c>
      <c r="E511">
        <v>12</v>
      </c>
      <c r="F511">
        <v>9</v>
      </c>
      <c r="G511">
        <v>0.99429999999999996</v>
      </c>
      <c r="H511">
        <v>0.91249999999999998</v>
      </c>
      <c r="I511">
        <v>4.6800000000000001E-2</v>
      </c>
      <c r="J511" s="2" t="str">
        <f>HYPERLINK(SetRGB(J511,G511*255,H511*255,I511*255),"HOVER!")</f>
        <v>HOVER!</v>
      </c>
      <c r="K511">
        <f>E511/F511</f>
        <v>1.3333333333333333</v>
      </c>
    </row>
    <row r="512" spans="1:11" ht="15" x14ac:dyDescent="0.35">
      <c r="A512">
        <f t="shared" si="14"/>
        <v>3</v>
      </c>
      <c r="B512">
        <f t="shared" si="15"/>
        <v>10</v>
      </c>
      <c r="C512" s="199" t="str">
        <f>B512&amp;LOOKUP(A512, Sheet2!$A$2:$A$11, Sheet2!$B$2:$B$11)</f>
        <v>10GY</v>
      </c>
      <c r="D512">
        <v>30</v>
      </c>
      <c r="E512">
        <v>2</v>
      </c>
      <c r="F512">
        <v>1</v>
      </c>
      <c r="G512">
        <v>0.1193</v>
      </c>
      <c r="H512">
        <v>0.1159</v>
      </c>
      <c r="I512">
        <v>4.6800000000000001E-2</v>
      </c>
      <c r="J512" s="43" t="str">
        <f>HYPERLINK(SetRGB(J512,G512*255,H512*255,I512*255),"HOVER!")</f>
        <v>HOVER!</v>
      </c>
      <c r="K512">
        <f>E512/F512</f>
        <v>2</v>
      </c>
    </row>
    <row r="513" spans="1:11" ht="15" x14ac:dyDescent="0.35">
      <c r="A513">
        <f t="shared" si="14"/>
        <v>3</v>
      </c>
      <c r="B513">
        <f t="shared" si="15"/>
        <v>10</v>
      </c>
      <c r="C513" s="199" t="str">
        <f>B513&amp;LOOKUP(A513, Sheet2!$A$2:$A$11, Sheet2!$B$2:$B$11)</f>
        <v>10GY</v>
      </c>
      <c r="D513">
        <v>30</v>
      </c>
      <c r="E513">
        <v>2</v>
      </c>
      <c r="F513">
        <v>2</v>
      </c>
      <c r="G513">
        <v>0.20080000000000001</v>
      </c>
      <c r="H513">
        <v>0.19750000000000001</v>
      </c>
      <c r="I513">
        <v>0.13170000000000001</v>
      </c>
      <c r="J513" s="67" t="str">
        <f>HYPERLINK(SetRGB(J513,G513*255,H513*255,I513*255),"HOVER!")</f>
        <v>HOVER!</v>
      </c>
      <c r="K513">
        <f>E513/F513</f>
        <v>1</v>
      </c>
    </row>
    <row r="514" spans="1:11" ht="15" x14ac:dyDescent="0.35">
      <c r="A514">
        <f t="shared" si="14"/>
        <v>3</v>
      </c>
      <c r="B514">
        <f t="shared" si="15"/>
        <v>10</v>
      </c>
      <c r="C514" s="199" t="str">
        <f>B514&amp;LOOKUP(A514, Sheet2!$A$2:$A$11, Sheet2!$B$2:$B$11)</f>
        <v>10GY</v>
      </c>
      <c r="D514">
        <v>30</v>
      </c>
      <c r="E514">
        <v>4</v>
      </c>
      <c r="F514">
        <v>2</v>
      </c>
      <c r="G514">
        <v>0.20730000000000001</v>
      </c>
      <c r="H514">
        <v>0.2006</v>
      </c>
      <c r="I514">
        <v>1.6E-2</v>
      </c>
      <c r="J514" s="66" t="str">
        <f>HYPERLINK(SetRGB(J514,G514*255,H514*255,I514*255),"HOVER!")</f>
        <v>HOVER!</v>
      </c>
      <c r="K514">
        <f>E514/F514</f>
        <v>2</v>
      </c>
    </row>
    <row r="515" spans="1:11" ht="15" x14ac:dyDescent="0.35">
      <c r="A515">
        <f t="shared" si="14"/>
        <v>3</v>
      </c>
      <c r="B515">
        <f t="shared" si="15"/>
        <v>10</v>
      </c>
      <c r="C515" s="199" t="str">
        <f>B515&amp;LOOKUP(A515, Sheet2!$A$2:$A$11, Sheet2!$B$2:$B$11)</f>
        <v>10GY</v>
      </c>
      <c r="D515">
        <v>30</v>
      </c>
      <c r="E515">
        <v>2</v>
      </c>
      <c r="F515">
        <v>3</v>
      </c>
      <c r="G515">
        <v>0.29199999999999998</v>
      </c>
      <c r="H515">
        <v>0.28860000000000002</v>
      </c>
      <c r="I515">
        <v>0.20680000000000001</v>
      </c>
      <c r="J515" s="1" t="str">
        <f>HYPERLINK(SetRGB(J515,G515*255,H515*255,I515*255),"HOVER!")</f>
        <v>HOVER!</v>
      </c>
      <c r="K515">
        <f>E515/F515</f>
        <v>0.66666666666666663</v>
      </c>
    </row>
    <row r="516" spans="1:11" ht="15" x14ac:dyDescent="0.35">
      <c r="A516">
        <f t="shared" si="14"/>
        <v>3</v>
      </c>
      <c r="B516">
        <f t="shared" si="15"/>
        <v>10</v>
      </c>
      <c r="C516" s="199" t="str">
        <f>B516&amp;LOOKUP(A516, Sheet2!$A$2:$A$11, Sheet2!$B$2:$B$11)</f>
        <v>10GY</v>
      </c>
      <c r="D516">
        <v>30</v>
      </c>
      <c r="E516">
        <v>4</v>
      </c>
      <c r="F516">
        <v>3</v>
      </c>
      <c r="G516">
        <v>0.29930000000000001</v>
      </c>
      <c r="H516">
        <v>0.29170000000000001</v>
      </c>
      <c r="I516">
        <v>0.1144</v>
      </c>
      <c r="J516" s="1" t="str">
        <f>HYPERLINK(SetRGB(J516,G516*255,H516*255,I516*255),"HOVER!")</f>
        <v>HOVER!</v>
      </c>
      <c r="K516">
        <f>E516/F516</f>
        <v>1.3333333333333333</v>
      </c>
    </row>
    <row r="517" spans="1:11" ht="15" x14ac:dyDescent="0.35">
      <c r="A517">
        <f t="shared" si="14"/>
        <v>3</v>
      </c>
      <c r="B517">
        <f t="shared" si="15"/>
        <v>10</v>
      </c>
      <c r="C517" s="199" t="str">
        <f>B517&amp;LOOKUP(A517, Sheet2!$A$2:$A$11, Sheet2!$B$2:$B$11)</f>
        <v>10GY</v>
      </c>
      <c r="D517">
        <v>30</v>
      </c>
      <c r="E517">
        <v>2</v>
      </c>
      <c r="F517">
        <v>4</v>
      </c>
      <c r="G517">
        <v>0.3836</v>
      </c>
      <c r="H517">
        <v>0.3886</v>
      </c>
      <c r="I517">
        <v>0.29339999999999999</v>
      </c>
      <c r="J517" s="1" t="str">
        <f>HYPERLINK(SetRGB(J517,G517*255,H517*255,I517*255),"HOVER!")</f>
        <v>HOVER!</v>
      </c>
      <c r="K517">
        <f>E517/F517</f>
        <v>0.5</v>
      </c>
    </row>
    <row r="518" spans="1:11" ht="15" x14ac:dyDescent="0.35">
      <c r="A518">
        <f t="shared" si="14"/>
        <v>3</v>
      </c>
      <c r="B518">
        <f t="shared" si="15"/>
        <v>10</v>
      </c>
      <c r="C518" s="199" t="str">
        <f>B518&amp;LOOKUP(A518, Sheet2!$A$2:$A$11, Sheet2!$B$2:$B$11)</f>
        <v>10GY</v>
      </c>
      <c r="D518">
        <v>30</v>
      </c>
      <c r="E518">
        <v>4</v>
      </c>
      <c r="F518">
        <v>4</v>
      </c>
      <c r="G518">
        <v>0.39900000000000002</v>
      </c>
      <c r="H518">
        <v>0.39040000000000002</v>
      </c>
      <c r="I518">
        <v>0.1898</v>
      </c>
      <c r="J518" s="1" t="str">
        <f>HYPERLINK(SetRGB(J518,G518*255,H518*255,I518*255),"HOVER!")</f>
        <v>HOVER!</v>
      </c>
      <c r="K518">
        <f>E518/F518</f>
        <v>1</v>
      </c>
    </row>
    <row r="519" spans="1:11" ht="15" x14ac:dyDescent="0.35">
      <c r="A519">
        <f t="shared" si="14"/>
        <v>3</v>
      </c>
      <c r="B519">
        <f t="shared" si="15"/>
        <v>10</v>
      </c>
      <c r="C519" s="199" t="str">
        <f>B519&amp;LOOKUP(A519, Sheet2!$A$2:$A$11, Sheet2!$B$2:$B$11)</f>
        <v>10GY</v>
      </c>
      <c r="D519">
        <v>30</v>
      </c>
      <c r="E519">
        <v>6</v>
      </c>
      <c r="F519">
        <v>4</v>
      </c>
      <c r="G519">
        <v>0.4042</v>
      </c>
      <c r="H519">
        <v>0.39269999999999999</v>
      </c>
      <c r="I519">
        <v>6.7299999999999999E-2</v>
      </c>
      <c r="J519" s="1" t="str">
        <f>HYPERLINK(SetRGB(J519,G519*255,H519*255,I519*255),"HOVER!")</f>
        <v>HOVER!</v>
      </c>
      <c r="K519">
        <f>E519/F519</f>
        <v>1.5</v>
      </c>
    </row>
    <row r="520" spans="1:11" ht="15" x14ac:dyDescent="0.35">
      <c r="A520">
        <f t="shared" si="14"/>
        <v>3</v>
      </c>
      <c r="B520">
        <f t="shared" si="15"/>
        <v>10</v>
      </c>
      <c r="C520" s="199" t="str">
        <f>B520&amp;LOOKUP(A520, Sheet2!$A$2:$A$11, Sheet2!$B$2:$B$11)</f>
        <v>10GY</v>
      </c>
      <c r="D520">
        <v>30</v>
      </c>
      <c r="E520">
        <v>2</v>
      </c>
      <c r="F520">
        <v>5</v>
      </c>
      <c r="G520">
        <v>0.49270000000000003</v>
      </c>
      <c r="H520">
        <v>0.48780000000000001</v>
      </c>
      <c r="I520">
        <v>0.38719999999999999</v>
      </c>
      <c r="J520" s="1" t="str">
        <f>HYPERLINK(SetRGB(J520,G520*255,H520*255,I520*255),"HOVER!")</f>
        <v>HOVER!</v>
      </c>
      <c r="K520">
        <f>E520/F520</f>
        <v>0.4</v>
      </c>
    </row>
    <row r="521" spans="1:11" ht="15" x14ac:dyDescent="0.35">
      <c r="A521">
        <f t="shared" si="14"/>
        <v>3</v>
      </c>
      <c r="B521">
        <f t="shared" si="15"/>
        <v>10</v>
      </c>
      <c r="C521" s="199" t="str">
        <f>B521&amp;LOOKUP(A521, Sheet2!$A$2:$A$11, Sheet2!$B$2:$B$11)</f>
        <v>10GY</v>
      </c>
      <c r="D521">
        <v>30</v>
      </c>
      <c r="E521">
        <v>4</v>
      </c>
      <c r="F521">
        <v>5</v>
      </c>
      <c r="G521">
        <v>0.50160000000000005</v>
      </c>
      <c r="H521">
        <v>0.49220000000000003</v>
      </c>
      <c r="I521">
        <v>0.28339999999999999</v>
      </c>
      <c r="J521" s="1" t="str">
        <f>HYPERLINK(SetRGB(J521,G521*255,H521*255,I521*255),"HOVER!")</f>
        <v>HOVER!</v>
      </c>
      <c r="K521">
        <f>E521/F521</f>
        <v>0.8</v>
      </c>
    </row>
    <row r="522" spans="1:11" ht="15" x14ac:dyDescent="0.35">
      <c r="A522">
        <f t="shared" si="14"/>
        <v>3</v>
      </c>
      <c r="B522">
        <f t="shared" si="15"/>
        <v>10</v>
      </c>
      <c r="C522" s="199" t="str">
        <f>B522&amp;LOOKUP(A522, Sheet2!$A$2:$A$11, Sheet2!$B$2:$B$11)</f>
        <v>10GY</v>
      </c>
      <c r="D522">
        <v>30</v>
      </c>
      <c r="E522">
        <v>6</v>
      </c>
      <c r="F522">
        <v>5</v>
      </c>
      <c r="G522">
        <v>0.50800000000000001</v>
      </c>
      <c r="H522">
        <v>0.49530000000000002</v>
      </c>
      <c r="I522">
        <v>0.16470000000000001</v>
      </c>
      <c r="J522" s="1" t="str">
        <f>HYPERLINK(SetRGB(J522,G522*255,H522*255,I522*255),"HOVER!")</f>
        <v>HOVER!</v>
      </c>
      <c r="K522">
        <f>E522/F522</f>
        <v>1.2</v>
      </c>
    </row>
    <row r="523" spans="1:11" ht="15" x14ac:dyDescent="0.35">
      <c r="A523">
        <f t="shared" si="14"/>
        <v>3</v>
      </c>
      <c r="B523">
        <f t="shared" si="15"/>
        <v>10</v>
      </c>
      <c r="C523" s="199" t="str">
        <f>B523&amp;LOOKUP(A523, Sheet2!$A$2:$A$11, Sheet2!$B$2:$B$11)</f>
        <v>10GY</v>
      </c>
      <c r="D523">
        <v>30</v>
      </c>
      <c r="E523">
        <v>2</v>
      </c>
      <c r="F523">
        <v>6</v>
      </c>
      <c r="G523">
        <v>0.59630000000000005</v>
      </c>
      <c r="H523">
        <v>0.5907</v>
      </c>
      <c r="I523">
        <v>0.48</v>
      </c>
      <c r="J523" s="2" t="str">
        <f>HYPERLINK(SetRGB(J523,G523*255,H523*255,I523*255),"HOVER!")</f>
        <v>HOVER!</v>
      </c>
      <c r="K523">
        <f>E523/F523</f>
        <v>0.33333333333333331</v>
      </c>
    </row>
    <row r="524" spans="1:11" ht="15" x14ac:dyDescent="0.35">
      <c r="A524">
        <f t="shared" si="14"/>
        <v>3</v>
      </c>
      <c r="B524">
        <f t="shared" si="15"/>
        <v>10</v>
      </c>
      <c r="C524" s="199" t="str">
        <f>B524&amp;LOOKUP(A524, Sheet2!$A$2:$A$11, Sheet2!$B$2:$B$11)</f>
        <v>10GY</v>
      </c>
      <c r="D524">
        <v>30</v>
      </c>
      <c r="E524">
        <v>4</v>
      </c>
      <c r="F524">
        <v>6</v>
      </c>
      <c r="G524">
        <v>0.60540000000000005</v>
      </c>
      <c r="H524">
        <v>0.59530000000000005</v>
      </c>
      <c r="I524">
        <v>0.37959999999999999</v>
      </c>
      <c r="J524" s="2" t="str">
        <f>HYPERLINK(SetRGB(J524,G524*255,H524*255,I524*255),"HOVER!")</f>
        <v>HOVER!</v>
      </c>
      <c r="K524">
        <f>E524/F524</f>
        <v>0.66666666666666663</v>
      </c>
    </row>
    <row r="525" spans="1:11" ht="15" x14ac:dyDescent="0.35">
      <c r="A525">
        <f t="shared" si="14"/>
        <v>3</v>
      </c>
      <c r="B525">
        <f t="shared" si="15"/>
        <v>10</v>
      </c>
      <c r="C525" s="199" t="str">
        <f>B525&amp;LOOKUP(A525, Sheet2!$A$2:$A$11, Sheet2!$B$2:$B$11)</f>
        <v>10GY</v>
      </c>
      <c r="D525">
        <v>30</v>
      </c>
      <c r="E525">
        <v>6</v>
      </c>
      <c r="F525">
        <v>6</v>
      </c>
      <c r="G525">
        <v>0.61299999999999999</v>
      </c>
      <c r="H525">
        <v>0.59889999999999999</v>
      </c>
      <c r="I525">
        <v>0.26469999999999999</v>
      </c>
      <c r="J525" s="2" t="str">
        <f>HYPERLINK(SetRGB(J525,G525*255,H525*255,I525*255),"HOVER!")</f>
        <v>HOVER!</v>
      </c>
      <c r="K525">
        <f>E525/F525</f>
        <v>1</v>
      </c>
    </row>
    <row r="526" spans="1:11" ht="15" x14ac:dyDescent="0.35">
      <c r="A526">
        <f t="shared" ref="A526:A589" si="16">IF(FLOOR(D526/10,1)=0,10,FLOOR(D526/10,1))</f>
        <v>3</v>
      </c>
      <c r="B526">
        <f t="shared" ref="B526:B589" si="17">IF(MOD(D526,10)=0,10,MOD(D526,10))</f>
        <v>10</v>
      </c>
      <c r="C526" s="199" t="str">
        <f>B526&amp;LOOKUP(A526, Sheet2!$A$2:$A$11, Sheet2!$B$2:$B$11)</f>
        <v>10GY</v>
      </c>
      <c r="D526">
        <v>30</v>
      </c>
      <c r="E526">
        <v>8</v>
      </c>
      <c r="F526">
        <v>6</v>
      </c>
      <c r="G526">
        <v>0.61829999999999996</v>
      </c>
      <c r="H526">
        <v>0.60140000000000005</v>
      </c>
      <c r="I526">
        <v>0.1137</v>
      </c>
      <c r="J526" s="2" t="str">
        <f>HYPERLINK(SetRGB(J526,G526*255,H526*255,I526*255),"HOVER!")</f>
        <v>HOVER!</v>
      </c>
      <c r="K526">
        <f>E526/F526</f>
        <v>1.3333333333333333</v>
      </c>
    </row>
    <row r="527" spans="1:11" ht="15" x14ac:dyDescent="0.35">
      <c r="A527">
        <f t="shared" si="16"/>
        <v>3</v>
      </c>
      <c r="B527">
        <f t="shared" si="17"/>
        <v>10</v>
      </c>
      <c r="C527" s="199" t="str">
        <f>B527&amp;LOOKUP(A527, Sheet2!$A$2:$A$11, Sheet2!$B$2:$B$11)</f>
        <v>10GY</v>
      </c>
      <c r="D527">
        <v>30</v>
      </c>
      <c r="E527">
        <v>2</v>
      </c>
      <c r="F527">
        <v>7</v>
      </c>
      <c r="G527">
        <v>0.70009999999999994</v>
      </c>
      <c r="H527">
        <v>0.69469999999999998</v>
      </c>
      <c r="I527">
        <v>0.57789999999999997</v>
      </c>
      <c r="J527" s="2" t="str">
        <f>HYPERLINK(SetRGB(J527,G527*255,H527*255,I527*255),"HOVER!")</f>
        <v>HOVER!</v>
      </c>
      <c r="K527">
        <f>E527/F527</f>
        <v>0.2857142857142857</v>
      </c>
    </row>
    <row r="528" spans="1:11" ht="15" x14ac:dyDescent="0.35">
      <c r="A528">
        <f t="shared" si="16"/>
        <v>3</v>
      </c>
      <c r="B528">
        <f t="shared" si="17"/>
        <v>10</v>
      </c>
      <c r="C528" s="199" t="str">
        <f>B528&amp;LOOKUP(A528, Sheet2!$A$2:$A$11, Sheet2!$B$2:$B$11)</f>
        <v>10GY</v>
      </c>
      <c r="D528">
        <v>30</v>
      </c>
      <c r="E528">
        <v>4</v>
      </c>
      <c r="F528">
        <v>7</v>
      </c>
      <c r="G528">
        <v>0.71020000000000005</v>
      </c>
      <c r="H528">
        <v>0.6996</v>
      </c>
      <c r="I528">
        <v>0.4733</v>
      </c>
      <c r="J528" s="2" t="str">
        <f>HYPERLINK(SetRGB(J528,G528*255,H528*255,I528*255),"HOVER!")</f>
        <v>HOVER!</v>
      </c>
      <c r="K528">
        <f>E528/F528</f>
        <v>0.5714285714285714</v>
      </c>
    </row>
    <row r="529" spans="1:11" ht="15" x14ac:dyDescent="0.35">
      <c r="A529">
        <f t="shared" si="16"/>
        <v>3</v>
      </c>
      <c r="B529">
        <f t="shared" si="17"/>
        <v>10</v>
      </c>
      <c r="C529" s="199" t="str">
        <f>B529&amp;LOOKUP(A529, Sheet2!$A$2:$A$11, Sheet2!$B$2:$B$11)</f>
        <v>10GY</v>
      </c>
      <c r="D529">
        <v>30</v>
      </c>
      <c r="E529">
        <v>6</v>
      </c>
      <c r="F529">
        <v>7</v>
      </c>
      <c r="G529">
        <v>0.71879999999999999</v>
      </c>
      <c r="H529">
        <v>0.70309999999999995</v>
      </c>
      <c r="I529">
        <v>0.36649999999999999</v>
      </c>
      <c r="J529" s="2" t="str">
        <f>HYPERLINK(SetRGB(J529,G529*255,H529*255,I529*255),"HOVER!")</f>
        <v>HOVER!</v>
      </c>
      <c r="K529">
        <f>E529/F529</f>
        <v>0.8571428571428571</v>
      </c>
    </row>
    <row r="530" spans="1:11" ht="15" x14ac:dyDescent="0.35">
      <c r="A530">
        <f t="shared" si="16"/>
        <v>3</v>
      </c>
      <c r="B530">
        <f t="shared" si="17"/>
        <v>10</v>
      </c>
      <c r="C530" s="199" t="str">
        <f>B530&amp;LOOKUP(A530, Sheet2!$A$2:$A$11, Sheet2!$B$2:$B$11)</f>
        <v>10GY</v>
      </c>
      <c r="D530">
        <v>30</v>
      </c>
      <c r="E530">
        <v>8</v>
      </c>
      <c r="F530">
        <v>7</v>
      </c>
      <c r="G530">
        <v>0.72519999999999996</v>
      </c>
      <c r="H530">
        <v>0.70599999999999996</v>
      </c>
      <c r="I530">
        <v>0.2387</v>
      </c>
      <c r="J530" s="2" t="str">
        <f>HYPERLINK(SetRGB(J530,G530*255,H530*255,I530*255),"HOVER!")</f>
        <v>HOVER!</v>
      </c>
      <c r="K530">
        <f>E530/F530</f>
        <v>1.1428571428571428</v>
      </c>
    </row>
    <row r="531" spans="1:11" ht="15" x14ac:dyDescent="0.35">
      <c r="A531">
        <f t="shared" si="16"/>
        <v>3</v>
      </c>
      <c r="B531">
        <f t="shared" si="17"/>
        <v>10</v>
      </c>
      <c r="C531" s="199" t="str">
        <f>B531&amp;LOOKUP(A531, Sheet2!$A$2:$A$11, Sheet2!$B$2:$B$11)</f>
        <v>10GY</v>
      </c>
      <c r="D531">
        <v>30</v>
      </c>
      <c r="E531">
        <v>2</v>
      </c>
      <c r="F531">
        <v>8</v>
      </c>
      <c r="G531">
        <v>0.80649999999999999</v>
      </c>
      <c r="H531">
        <v>0.8</v>
      </c>
      <c r="I531">
        <v>0.67220000000000002</v>
      </c>
      <c r="J531" s="2" t="str">
        <f>HYPERLINK(SetRGB(J531,G531*255,H531*255,I531*255),"HOVER!")</f>
        <v>HOVER!</v>
      </c>
      <c r="K531">
        <f>E531/F531</f>
        <v>0.25</v>
      </c>
    </row>
    <row r="532" spans="1:11" ht="15" x14ac:dyDescent="0.35">
      <c r="A532">
        <f t="shared" si="16"/>
        <v>3</v>
      </c>
      <c r="B532">
        <f t="shared" si="17"/>
        <v>10</v>
      </c>
      <c r="C532" s="199" t="str">
        <f>B532&amp;LOOKUP(A532, Sheet2!$A$2:$A$11, Sheet2!$B$2:$B$11)</f>
        <v>10GY</v>
      </c>
      <c r="D532">
        <v>30</v>
      </c>
      <c r="E532">
        <v>4</v>
      </c>
      <c r="F532">
        <v>8</v>
      </c>
      <c r="G532">
        <v>0.81699999999999995</v>
      </c>
      <c r="H532">
        <v>0.80489999999999995</v>
      </c>
      <c r="I532">
        <v>0.56930000000000003</v>
      </c>
      <c r="J532" s="2" t="str">
        <f>HYPERLINK(SetRGB(J532,G532*255,H532*255,I532*255),"HOVER!")</f>
        <v>HOVER!</v>
      </c>
      <c r="K532">
        <f>E532/F532</f>
        <v>0.5</v>
      </c>
    </row>
    <row r="533" spans="1:11" ht="15" x14ac:dyDescent="0.35">
      <c r="A533">
        <f t="shared" si="16"/>
        <v>3</v>
      </c>
      <c r="B533">
        <f t="shared" si="17"/>
        <v>10</v>
      </c>
      <c r="C533" s="199" t="str">
        <f>B533&amp;LOOKUP(A533, Sheet2!$A$2:$A$11, Sheet2!$B$2:$B$11)</f>
        <v>10GY</v>
      </c>
      <c r="D533">
        <v>30</v>
      </c>
      <c r="E533">
        <v>6</v>
      </c>
      <c r="F533">
        <v>8</v>
      </c>
      <c r="G533">
        <v>0.82540000000000002</v>
      </c>
      <c r="H533">
        <v>0.80910000000000004</v>
      </c>
      <c r="I533">
        <v>0.45850000000000002</v>
      </c>
      <c r="J533" s="2" t="str">
        <f>HYPERLINK(SetRGB(J533,G533*255,H533*255,I533*255),"HOVER!")</f>
        <v>HOVER!</v>
      </c>
      <c r="K533">
        <f>E533/F533</f>
        <v>0.75</v>
      </c>
    </row>
    <row r="534" spans="1:11" ht="15" x14ac:dyDescent="0.35">
      <c r="A534">
        <f t="shared" si="16"/>
        <v>3</v>
      </c>
      <c r="B534">
        <f t="shared" si="17"/>
        <v>10</v>
      </c>
      <c r="C534" s="199" t="str">
        <f>B534&amp;LOOKUP(A534, Sheet2!$A$2:$A$11, Sheet2!$B$2:$B$11)</f>
        <v>10GY</v>
      </c>
      <c r="D534">
        <v>30</v>
      </c>
      <c r="E534">
        <v>8</v>
      </c>
      <c r="F534">
        <v>8</v>
      </c>
      <c r="G534">
        <v>0.83250000000000002</v>
      </c>
      <c r="H534">
        <v>0.81220000000000003</v>
      </c>
      <c r="I534">
        <v>0.33900000000000002</v>
      </c>
      <c r="J534" s="2" t="str">
        <f>HYPERLINK(SetRGB(J534,G534*255,H534*255,I534*255),"HOVER!")</f>
        <v>HOVER!</v>
      </c>
      <c r="K534">
        <f>E534/F534</f>
        <v>1</v>
      </c>
    </row>
    <row r="535" spans="1:11" ht="15" x14ac:dyDescent="0.35">
      <c r="A535">
        <f t="shared" si="16"/>
        <v>3</v>
      </c>
      <c r="B535">
        <f t="shared" si="17"/>
        <v>10</v>
      </c>
      <c r="C535" s="199" t="str">
        <f>B535&amp;LOOKUP(A535, Sheet2!$A$2:$A$11, Sheet2!$B$2:$B$11)</f>
        <v>10GY</v>
      </c>
      <c r="D535">
        <v>30</v>
      </c>
      <c r="E535">
        <v>10</v>
      </c>
      <c r="F535">
        <v>8</v>
      </c>
      <c r="G535">
        <v>0.83789999999999998</v>
      </c>
      <c r="H535">
        <v>0.81469999999999998</v>
      </c>
      <c r="I535">
        <v>0.18479999999999999</v>
      </c>
      <c r="J535" s="2" t="str">
        <f>HYPERLINK(SetRGB(J535,G535*255,H535*255,I535*255),"HOVER!")</f>
        <v>HOVER!</v>
      </c>
      <c r="K535">
        <f>E535/F535</f>
        <v>1.25</v>
      </c>
    </row>
    <row r="536" spans="1:11" ht="15" x14ac:dyDescent="0.35">
      <c r="A536">
        <f t="shared" si="16"/>
        <v>3</v>
      </c>
      <c r="B536">
        <f t="shared" si="17"/>
        <v>10</v>
      </c>
      <c r="C536" s="199" t="str">
        <f>B536&amp;LOOKUP(A536, Sheet2!$A$2:$A$11, Sheet2!$B$2:$B$11)</f>
        <v>10GY</v>
      </c>
      <c r="D536">
        <v>30</v>
      </c>
      <c r="E536">
        <v>2</v>
      </c>
      <c r="F536">
        <v>9</v>
      </c>
      <c r="G536">
        <v>0.91490000000000005</v>
      </c>
      <c r="H536">
        <v>0.90780000000000005</v>
      </c>
      <c r="I536">
        <v>0.76929999999999998</v>
      </c>
      <c r="J536" s="2" t="str">
        <f>HYPERLINK(SetRGB(J536,G536*255,H536*255,I536*255),"HOVER!")</f>
        <v>HOVER!</v>
      </c>
      <c r="K536">
        <f>E536/F536</f>
        <v>0.22222222222222221</v>
      </c>
    </row>
    <row r="537" spans="1:11" ht="15" x14ac:dyDescent="0.35">
      <c r="A537">
        <f t="shared" si="16"/>
        <v>3</v>
      </c>
      <c r="B537">
        <f t="shared" si="17"/>
        <v>10</v>
      </c>
      <c r="C537" s="199" t="str">
        <f>B537&amp;LOOKUP(A537, Sheet2!$A$2:$A$11, Sheet2!$B$2:$B$11)</f>
        <v>10GY</v>
      </c>
      <c r="D537">
        <v>30</v>
      </c>
      <c r="E537">
        <v>4</v>
      </c>
      <c r="F537">
        <v>9</v>
      </c>
      <c r="G537">
        <v>0.92549999999999999</v>
      </c>
      <c r="H537">
        <v>0.91339999999999999</v>
      </c>
      <c r="I537">
        <v>0.65959999999999996</v>
      </c>
      <c r="J537" s="2" t="str">
        <f>HYPERLINK(SetRGB(J537,G537*255,H537*255,I537*255),"HOVER!")</f>
        <v>HOVER!</v>
      </c>
      <c r="K537">
        <f>E537/F537</f>
        <v>0.44444444444444442</v>
      </c>
    </row>
    <row r="538" spans="1:11" ht="15" x14ac:dyDescent="0.35">
      <c r="A538">
        <f t="shared" si="16"/>
        <v>3</v>
      </c>
      <c r="B538">
        <f t="shared" si="17"/>
        <v>10</v>
      </c>
      <c r="C538" s="199" t="str">
        <f>B538&amp;LOOKUP(A538, Sheet2!$A$2:$A$11, Sheet2!$B$2:$B$11)</f>
        <v>10GY</v>
      </c>
      <c r="D538">
        <v>30</v>
      </c>
      <c r="E538">
        <v>6</v>
      </c>
      <c r="F538">
        <v>9</v>
      </c>
      <c r="G538">
        <v>0.93469999999999998</v>
      </c>
      <c r="H538">
        <v>0.91769999999999996</v>
      </c>
      <c r="I538">
        <v>0.54769999999999996</v>
      </c>
      <c r="J538" s="2" t="str">
        <f>HYPERLINK(SetRGB(J538,G538*255,H538*255,I538*255),"HOVER!")</f>
        <v>HOVER!</v>
      </c>
      <c r="K538">
        <f>E538/F538</f>
        <v>0.66666666666666663</v>
      </c>
    </row>
    <row r="539" spans="1:11" ht="15" x14ac:dyDescent="0.35">
      <c r="A539">
        <f t="shared" si="16"/>
        <v>3</v>
      </c>
      <c r="B539">
        <f t="shared" si="17"/>
        <v>10</v>
      </c>
      <c r="C539" s="199" t="str">
        <f>B539&amp;LOOKUP(A539, Sheet2!$A$2:$A$11, Sheet2!$B$2:$B$11)</f>
        <v>10GY</v>
      </c>
      <c r="D539">
        <v>30</v>
      </c>
      <c r="E539">
        <v>8</v>
      </c>
      <c r="F539">
        <v>9</v>
      </c>
      <c r="G539">
        <v>0.94189999999999996</v>
      </c>
      <c r="H539">
        <v>0.92149999999999999</v>
      </c>
      <c r="I539">
        <v>0.42370000000000002</v>
      </c>
      <c r="J539" s="2" t="str">
        <f>HYPERLINK(SetRGB(J539,G539*255,H539*255,I539*255),"HOVER!")</f>
        <v>HOVER!</v>
      </c>
      <c r="K539">
        <f>E539/F539</f>
        <v>0.88888888888888884</v>
      </c>
    </row>
    <row r="540" spans="1:11" ht="15" x14ac:dyDescent="0.35">
      <c r="A540">
        <f t="shared" si="16"/>
        <v>3</v>
      </c>
      <c r="B540">
        <f t="shared" si="17"/>
        <v>10</v>
      </c>
      <c r="C540" s="199" t="str">
        <f>B540&amp;LOOKUP(A540, Sheet2!$A$2:$A$11, Sheet2!$B$2:$B$11)</f>
        <v>10GY</v>
      </c>
      <c r="D540">
        <v>30</v>
      </c>
      <c r="E540">
        <v>10</v>
      </c>
      <c r="F540">
        <v>9</v>
      </c>
      <c r="G540">
        <v>0.94730000000000003</v>
      </c>
      <c r="H540">
        <v>0.92420000000000002</v>
      </c>
      <c r="I540">
        <v>0.29089999999999999</v>
      </c>
      <c r="J540" s="288" t="str">
        <f>HYPERLINK(SetRGB(J540,G540*255,H540*255,I540*255),"HOVER!")</f>
        <v>HOVER!</v>
      </c>
      <c r="K540">
        <f>E540/F540</f>
        <v>1.1111111111111112</v>
      </c>
    </row>
    <row r="541" spans="1:11" ht="15" x14ac:dyDescent="0.35">
      <c r="A541">
        <f t="shared" si="16"/>
        <v>3</v>
      </c>
      <c r="B541">
        <f t="shared" si="17"/>
        <v>2.5</v>
      </c>
      <c r="C541" s="199" t="str">
        <f>B541&amp;LOOKUP(A541, Sheet2!$A$2:$A$11, Sheet2!$B$2:$B$11)</f>
        <v>2.5GY</v>
      </c>
      <c r="D541">
        <v>32.5</v>
      </c>
      <c r="E541">
        <v>2</v>
      </c>
      <c r="F541">
        <v>1</v>
      </c>
      <c r="G541">
        <v>0.1072</v>
      </c>
      <c r="H541">
        <v>0.1187</v>
      </c>
      <c r="I541">
        <v>6.0199999999999997E-2</v>
      </c>
      <c r="J541" s="44" t="str">
        <f>HYPERLINK(SetRGB(J541,G541*255,H541*255,I541*255),"HOVER!")</f>
        <v>HOVER!</v>
      </c>
      <c r="K541">
        <f>E541/F541</f>
        <v>2</v>
      </c>
    </row>
    <row r="542" spans="1:11" ht="15" x14ac:dyDescent="0.35">
      <c r="A542">
        <f t="shared" si="16"/>
        <v>3</v>
      </c>
      <c r="B542">
        <f t="shared" si="17"/>
        <v>2.5</v>
      </c>
      <c r="C542" s="199" t="str">
        <f>B542&amp;LOOKUP(A542, Sheet2!$A$2:$A$11, Sheet2!$B$2:$B$11)</f>
        <v>2.5GY</v>
      </c>
      <c r="D542">
        <v>32.5</v>
      </c>
      <c r="E542">
        <v>2</v>
      </c>
      <c r="F542">
        <v>2</v>
      </c>
      <c r="G542">
        <v>0.18970000000000001</v>
      </c>
      <c r="H542">
        <v>0.20019999999999999</v>
      </c>
      <c r="I542">
        <v>0.1396</v>
      </c>
      <c r="J542" s="65" t="str">
        <f>HYPERLINK(SetRGB(J542,G542*255,H542*255,I542*255),"HOVER!")</f>
        <v>HOVER!</v>
      </c>
      <c r="K542">
        <f>E542/F542</f>
        <v>1</v>
      </c>
    </row>
    <row r="543" spans="1:11" ht="15" x14ac:dyDescent="0.35">
      <c r="A543">
        <f t="shared" si="16"/>
        <v>3</v>
      </c>
      <c r="B543">
        <f t="shared" si="17"/>
        <v>2.5</v>
      </c>
      <c r="C543" s="199" t="str">
        <f>B543&amp;LOOKUP(A543, Sheet2!$A$2:$A$11, Sheet2!$B$2:$B$11)</f>
        <v>2.5GY</v>
      </c>
      <c r="D543">
        <v>32.5</v>
      </c>
      <c r="E543">
        <v>4</v>
      </c>
      <c r="F543">
        <v>2</v>
      </c>
      <c r="G543">
        <v>0.18429999999999999</v>
      </c>
      <c r="H543">
        <v>0.20649999999999999</v>
      </c>
      <c r="I543">
        <v>4.7199999999999999E-2</v>
      </c>
      <c r="J543" s="64" t="str">
        <f>HYPERLINK(SetRGB(J543,G543*255,H543*255,I543*255),"HOVER!")</f>
        <v>HOVER!</v>
      </c>
      <c r="K543">
        <f>E543/F543</f>
        <v>2</v>
      </c>
    </row>
    <row r="544" spans="1:11" ht="15" x14ac:dyDescent="0.35">
      <c r="A544">
        <f t="shared" si="16"/>
        <v>3</v>
      </c>
      <c r="B544">
        <f t="shared" si="17"/>
        <v>2.5</v>
      </c>
      <c r="C544" s="199" t="str">
        <f>B544&amp;LOOKUP(A544, Sheet2!$A$2:$A$11, Sheet2!$B$2:$B$11)</f>
        <v>2.5GY</v>
      </c>
      <c r="D544">
        <v>32.5</v>
      </c>
      <c r="E544">
        <v>2</v>
      </c>
      <c r="F544">
        <v>3</v>
      </c>
      <c r="G544">
        <v>0.2797</v>
      </c>
      <c r="H544">
        <v>0.2918</v>
      </c>
      <c r="I544">
        <v>0.21360000000000001</v>
      </c>
      <c r="J544" s="1" t="str">
        <f>HYPERLINK(SetRGB(J544,G544*255,H544*255,I544*255),"HOVER!")</f>
        <v>HOVER!</v>
      </c>
      <c r="K544">
        <f>E544/F544</f>
        <v>0.66666666666666663</v>
      </c>
    </row>
    <row r="545" spans="1:11" ht="15" x14ac:dyDescent="0.35">
      <c r="A545">
        <f t="shared" si="16"/>
        <v>3</v>
      </c>
      <c r="B545">
        <f t="shared" si="17"/>
        <v>2.5</v>
      </c>
      <c r="C545" s="199" t="str">
        <f>B545&amp;LOOKUP(A545, Sheet2!$A$2:$A$11, Sheet2!$B$2:$B$11)</f>
        <v>2.5GY</v>
      </c>
      <c r="D545">
        <v>32.5</v>
      </c>
      <c r="E545">
        <v>4</v>
      </c>
      <c r="F545">
        <v>3</v>
      </c>
      <c r="G545">
        <v>0.27510000000000001</v>
      </c>
      <c r="H545">
        <v>0.29830000000000001</v>
      </c>
      <c r="I545">
        <v>0.12479999999999999</v>
      </c>
      <c r="J545" s="1" t="str">
        <f>HYPERLINK(SetRGB(J545,G545*255,H545*255,I545*255),"HOVER!")</f>
        <v>HOVER!</v>
      </c>
      <c r="K545">
        <f>E545/F545</f>
        <v>1.3333333333333333</v>
      </c>
    </row>
    <row r="546" spans="1:11" ht="15" x14ac:dyDescent="0.35">
      <c r="A546">
        <f t="shared" si="16"/>
        <v>3</v>
      </c>
      <c r="B546">
        <f t="shared" si="17"/>
        <v>2.5</v>
      </c>
      <c r="C546" s="199" t="str">
        <f>B546&amp;LOOKUP(A546, Sheet2!$A$2:$A$11, Sheet2!$B$2:$B$11)</f>
        <v>2.5GY</v>
      </c>
      <c r="D546">
        <v>32.5</v>
      </c>
      <c r="E546">
        <v>2</v>
      </c>
      <c r="F546">
        <v>4</v>
      </c>
      <c r="G546">
        <v>0.37640000000000001</v>
      </c>
      <c r="H546">
        <v>0.39019999999999999</v>
      </c>
      <c r="I546">
        <v>0.29970000000000002</v>
      </c>
      <c r="J546" s="1" t="str">
        <f>HYPERLINK(SetRGB(J546,G546*255,H546*255,I546*255),"HOVER!")</f>
        <v>HOVER!</v>
      </c>
      <c r="K546">
        <f>E546/F546</f>
        <v>0.5</v>
      </c>
    </row>
    <row r="547" spans="1:11" ht="15" x14ac:dyDescent="0.35">
      <c r="A547">
        <f t="shared" si="16"/>
        <v>3</v>
      </c>
      <c r="B547">
        <f t="shared" si="17"/>
        <v>2.5</v>
      </c>
      <c r="C547" s="199" t="str">
        <f>B547&amp;LOOKUP(A547, Sheet2!$A$2:$A$11, Sheet2!$B$2:$B$11)</f>
        <v>2.5GY</v>
      </c>
      <c r="D547">
        <v>32.5</v>
      </c>
      <c r="E547">
        <v>4</v>
      </c>
      <c r="F547">
        <v>4</v>
      </c>
      <c r="G547">
        <v>0.37309999999999999</v>
      </c>
      <c r="H547">
        <v>0.39739999999999998</v>
      </c>
      <c r="I547">
        <v>0.20230000000000001</v>
      </c>
      <c r="J547" s="1" t="str">
        <f>HYPERLINK(SetRGB(J547,G547*255,H547*255,I547*255),"HOVER!")</f>
        <v>HOVER!</v>
      </c>
      <c r="K547">
        <f>E547/F547</f>
        <v>1</v>
      </c>
    </row>
    <row r="548" spans="1:11" ht="15" x14ac:dyDescent="0.35">
      <c r="A548">
        <f t="shared" si="16"/>
        <v>3</v>
      </c>
      <c r="B548">
        <f t="shared" si="17"/>
        <v>2.5</v>
      </c>
      <c r="C548" s="199" t="str">
        <f>B548&amp;LOOKUP(A548, Sheet2!$A$2:$A$11, Sheet2!$B$2:$B$11)</f>
        <v>2.5GY</v>
      </c>
      <c r="D548">
        <v>32.5</v>
      </c>
      <c r="E548">
        <v>6</v>
      </c>
      <c r="F548">
        <v>4</v>
      </c>
      <c r="G548">
        <v>0.36849999999999999</v>
      </c>
      <c r="H548">
        <v>0.40260000000000001</v>
      </c>
      <c r="I548">
        <v>9.1999999999999998E-2</v>
      </c>
      <c r="J548" s="1" t="str">
        <f>HYPERLINK(SetRGB(J548,G548*255,H548*255,I548*255),"HOVER!")</f>
        <v>HOVER!</v>
      </c>
      <c r="K548">
        <f>E548/F548</f>
        <v>1.5</v>
      </c>
    </row>
    <row r="549" spans="1:11" ht="15" x14ac:dyDescent="0.35">
      <c r="A549">
        <f t="shared" si="16"/>
        <v>3</v>
      </c>
      <c r="B549">
        <f t="shared" si="17"/>
        <v>2.5</v>
      </c>
      <c r="C549" s="199" t="str">
        <f>B549&amp;LOOKUP(A549, Sheet2!$A$2:$A$11, Sheet2!$B$2:$B$11)</f>
        <v>2.5GY</v>
      </c>
      <c r="D549">
        <v>32.5</v>
      </c>
      <c r="E549">
        <v>2</v>
      </c>
      <c r="F549">
        <v>5</v>
      </c>
      <c r="G549">
        <v>0.4783</v>
      </c>
      <c r="H549">
        <v>0.49149999999999999</v>
      </c>
      <c r="I549">
        <v>0.39400000000000002</v>
      </c>
      <c r="J549" s="1" t="str">
        <f>HYPERLINK(SetRGB(J549,G549*255,H549*255,I549*255),"HOVER!")</f>
        <v>HOVER!</v>
      </c>
      <c r="K549">
        <f>E549/F549</f>
        <v>0.4</v>
      </c>
    </row>
    <row r="550" spans="1:11" ht="15" x14ac:dyDescent="0.35">
      <c r="A550">
        <f t="shared" si="16"/>
        <v>3</v>
      </c>
      <c r="B550">
        <f t="shared" si="17"/>
        <v>2.5</v>
      </c>
      <c r="C550" s="199" t="str">
        <f>B550&amp;LOOKUP(A550, Sheet2!$A$2:$A$11, Sheet2!$B$2:$B$11)</f>
        <v>2.5GY</v>
      </c>
      <c r="D550">
        <v>32.5</v>
      </c>
      <c r="E550">
        <v>4</v>
      </c>
      <c r="F550">
        <v>5</v>
      </c>
      <c r="G550">
        <v>0.4753</v>
      </c>
      <c r="H550">
        <v>0.49909999999999999</v>
      </c>
      <c r="I550">
        <v>0.29859999999999998</v>
      </c>
      <c r="J550" s="1" t="str">
        <f>HYPERLINK(SetRGB(J550,G550*255,H550*255,I550*255),"HOVER!")</f>
        <v>HOVER!</v>
      </c>
      <c r="K550">
        <f>E550/F550</f>
        <v>0.8</v>
      </c>
    </row>
    <row r="551" spans="1:11" ht="15" x14ac:dyDescent="0.35">
      <c r="A551">
        <f t="shared" si="16"/>
        <v>3</v>
      </c>
      <c r="B551">
        <f t="shared" si="17"/>
        <v>2.5</v>
      </c>
      <c r="C551" s="199" t="str">
        <f>B551&amp;LOOKUP(A551, Sheet2!$A$2:$A$11, Sheet2!$B$2:$B$11)</f>
        <v>2.5GY</v>
      </c>
      <c r="D551">
        <v>32.5</v>
      </c>
      <c r="E551">
        <v>6</v>
      </c>
      <c r="F551">
        <v>5</v>
      </c>
      <c r="G551">
        <v>0.4713</v>
      </c>
      <c r="H551">
        <v>0.50529999999999997</v>
      </c>
      <c r="I551">
        <v>0.18729999999999999</v>
      </c>
      <c r="J551" s="1" t="str">
        <f>HYPERLINK(SetRGB(J551,G551*255,H551*255,I551*255),"HOVER!")</f>
        <v>HOVER!</v>
      </c>
      <c r="K551">
        <f>E551/F551</f>
        <v>1.2</v>
      </c>
    </row>
    <row r="552" spans="1:11" ht="15" x14ac:dyDescent="0.35">
      <c r="A552">
        <f t="shared" si="16"/>
        <v>3</v>
      </c>
      <c r="B552">
        <f t="shared" si="17"/>
        <v>2.5</v>
      </c>
      <c r="C552" s="199" t="str">
        <f>B552&amp;LOOKUP(A552, Sheet2!$A$2:$A$11, Sheet2!$B$2:$B$11)</f>
        <v>2.5GY</v>
      </c>
      <c r="D552">
        <v>32.5</v>
      </c>
      <c r="E552">
        <v>2</v>
      </c>
      <c r="F552">
        <v>6</v>
      </c>
      <c r="G552">
        <v>0.58160000000000001</v>
      </c>
      <c r="H552">
        <v>0.59470000000000001</v>
      </c>
      <c r="I552">
        <v>0.48549999999999999</v>
      </c>
      <c r="J552" s="2" t="str">
        <f>HYPERLINK(SetRGB(J552,G552*255,H552*255,I552*255),"HOVER!")</f>
        <v>HOVER!</v>
      </c>
      <c r="K552">
        <f>E552/F552</f>
        <v>0.33333333333333331</v>
      </c>
    </row>
    <row r="553" spans="1:11" ht="15" x14ac:dyDescent="0.35">
      <c r="A553">
        <f t="shared" si="16"/>
        <v>3</v>
      </c>
      <c r="B553">
        <f t="shared" si="17"/>
        <v>2.5</v>
      </c>
      <c r="C553" s="199" t="str">
        <f>B553&amp;LOOKUP(A553, Sheet2!$A$2:$A$11, Sheet2!$B$2:$B$11)</f>
        <v>2.5GY</v>
      </c>
      <c r="D553">
        <v>32.5</v>
      </c>
      <c r="E553">
        <v>4</v>
      </c>
      <c r="F553">
        <v>6</v>
      </c>
      <c r="G553">
        <v>0.57869999999999999</v>
      </c>
      <c r="H553">
        <v>0.60260000000000002</v>
      </c>
      <c r="I553">
        <v>0.38969999999999999</v>
      </c>
      <c r="J553" s="2" t="str">
        <f>HYPERLINK(SetRGB(J553,G553*255,H553*255,I553*255),"HOVER!")</f>
        <v>HOVER!</v>
      </c>
      <c r="K553">
        <f>E553/F553</f>
        <v>0.66666666666666663</v>
      </c>
    </row>
    <row r="554" spans="1:11" ht="15" x14ac:dyDescent="0.35">
      <c r="A554">
        <f t="shared" si="16"/>
        <v>3</v>
      </c>
      <c r="B554">
        <f t="shared" si="17"/>
        <v>2.5</v>
      </c>
      <c r="C554" s="199" t="str">
        <f>B554&amp;LOOKUP(A554, Sheet2!$A$2:$A$11, Sheet2!$B$2:$B$11)</f>
        <v>2.5GY</v>
      </c>
      <c r="D554">
        <v>32.5</v>
      </c>
      <c r="E554">
        <v>6</v>
      </c>
      <c r="F554">
        <v>6</v>
      </c>
      <c r="G554">
        <v>0.57550000000000001</v>
      </c>
      <c r="H554">
        <v>0.60909999999999997</v>
      </c>
      <c r="I554">
        <v>0.2833</v>
      </c>
      <c r="J554" s="2" t="str">
        <f>HYPERLINK(SetRGB(J554,G554*255,H554*255,I554*255),"HOVER!")</f>
        <v>HOVER!</v>
      </c>
      <c r="K554">
        <f>E554/F554</f>
        <v>1</v>
      </c>
    </row>
    <row r="555" spans="1:11" ht="15" x14ac:dyDescent="0.35">
      <c r="A555">
        <f t="shared" si="16"/>
        <v>3</v>
      </c>
      <c r="B555">
        <f t="shared" si="17"/>
        <v>2.5</v>
      </c>
      <c r="C555" s="199" t="str">
        <f>B555&amp;LOOKUP(A555, Sheet2!$A$2:$A$11, Sheet2!$B$2:$B$11)</f>
        <v>2.5GY</v>
      </c>
      <c r="D555">
        <v>32.5</v>
      </c>
      <c r="E555">
        <v>8</v>
      </c>
      <c r="F555">
        <v>6</v>
      </c>
      <c r="G555">
        <v>0.57069999999999999</v>
      </c>
      <c r="H555">
        <v>0.6149</v>
      </c>
      <c r="I555">
        <v>0.14180000000000001</v>
      </c>
      <c r="J555" s="2" t="str">
        <f>HYPERLINK(SetRGB(J555,G555*255,H555*255,I555*255),"HOVER!")</f>
        <v>HOVER!</v>
      </c>
      <c r="K555">
        <f>E555/F555</f>
        <v>1.3333333333333333</v>
      </c>
    </row>
    <row r="556" spans="1:11" ht="15" x14ac:dyDescent="0.35">
      <c r="A556">
        <f t="shared" si="16"/>
        <v>3</v>
      </c>
      <c r="B556">
        <f t="shared" si="17"/>
        <v>2.5</v>
      </c>
      <c r="C556" s="199" t="str">
        <f>B556&amp;LOOKUP(A556, Sheet2!$A$2:$A$11, Sheet2!$B$2:$B$11)</f>
        <v>2.5GY</v>
      </c>
      <c r="D556">
        <v>32.5</v>
      </c>
      <c r="E556">
        <v>2</v>
      </c>
      <c r="F556">
        <v>7</v>
      </c>
      <c r="G556">
        <v>0.68700000000000006</v>
      </c>
      <c r="H556">
        <v>0.69820000000000004</v>
      </c>
      <c r="I556">
        <v>0.58189999999999997</v>
      </c>
      <c r="J556" s="2" t="str">
        <f>HYPERLINK(SetRGB(J556,G556*255,H556*255,I556*255),"HOVER!")</f>
        <v>HOVER!</v>
      </c>
      <c r="K556">
        <f>E556/F556</f>
        <v>0.2857142857142857</v>
      </c>
    </row>
    <row r="557" spans="1:11" ht="15" x14ac:dyDescent="0.35">
      <c r="A557">
        <f t="shared" si="16"/>
        <v>3</v>
      </c>
      <c r="B557">
        <f t="shared" si="17"/>
        <v>2.5</v>
      </c>
      <c r="C557" s="199" t="str">
        <f>B557&amp;LOOKUP(A557, Sheet2!$A$2:$A$11, Sheet2!$B$2:$B$11)</f>
        <v>2.5GY</v>
      </c>
      <c r="D557">
        <v>32.5</v>
      </c>
      <c r="E557">
        <v>4</v>
      </c>
      <c r="F557">
        <v>7</v>
      </c>
      <c r="G557">
        <v>0.68400000000000005</v>
      </c>
      <c r="H557">
        <v>0.70669999999999999</v>
      </c>
      <c r="I557">
        <v>0.48320000000000002</v>
      </c>
      <c r="J557" s="2" t="str">
        <f>HYPERLINK(SetRGB(J557,G557*255,H557*255,I557*255),"HOVER!")</f>
        <v>HOVER!</v>
      </c>
      <c r="K557">
        <f>E557/F557</f>
        <v>0.5714285714285714</v>
      </c>
    </row>
    <row r="558" spans="1:11" ht="15" x14ac:dyDescent="0.35">
      <c r="A558">
        <f t="shared" si="16"/>
        <v>3</v>
      </c>
      <c r="B558">
        <f t="shared" si="17"/>
        <v>2.5</v>
      </c>
      <c r="C558" s="199" t="str">
        <f>B558&amp;LOOKUP(A558, Sheet2!$A$2:$A$11, Sheet2!$B$2:$B$11)</f>
        <v>2.5GY</v>
      </c>
      <c r="D558">
        <v>32.5</v>
      </c>
      <c r="E558">
        <v>6</v>
      </c>
      <c r="F558">
        <v>7</v>
      </c>
      <c r="G558">
        <v>0.68140000000000001</v>
      </c>
      <c r="H558">
        <v>0.71330000000000005</v>
      </c>
      <c r="I558">
        <v>0.38329999999999997</v>
      </c>
      <c r="J558" s="2" t="str">
        <f>HYPERLINK(SetRGB(J558,G558*255,H558*255,I558*255),"HOVER!")</f>
        <v>HOVER!</v>
      </c>
      <c r="K558">
        <f>E558/F558</f>
        <v>0.8571428571428571</v>
      </c>
    </row>
    <row r="559" spans="1:11" ht="15" x14ac:dyDescent="0.35">
      <c r="A559">
        <f t="shared" si="16"/>
        <v>3</v>
      </c>
      <c r="B559">
        <f t="shared" si="17"/>
        <v>2.5</v>
      </c>
      <c r="C559" s="199" t="str">
        <f>B559&amp;LOOKUP(A559, Sheet2!$A$2:$A$11, Sheet2!$B$2:$B$11)</f>
        <v>2.5GY</v>
      </c>
      <c r="D559">
        <v>32.5</v>
      </c>
      <c r="E559">
        <v>8</v>
      </c>
      <c r="F559">
        <v>7</v>
      </c>
      <c r="G559">
        <v>0.67779999999999996</v>
      </c>
      <c r="H559">
        <v>0.71930000000000005</v>
      </c>
      <c r="I559">
        <v>0.26190000000000002</v>
      </c>
      <c r="J559" s="2" t="str">
        <f>HYPERLINK(SetRGB(J559,G559*255,H559*255,I559*255),"HOVER!")</f>
        <v>HOVER!</v>
      </c>
      <c r="K559">
        <f>E559/F559</f>
        <v>1.1428571428571428</v>
      </c>
    </row>
    <row r="560" spans="1:11" ht="15" x14ac:dyDescent="0.35">
      <c r="A560">
        <f t="shared" si="16"/>
        <v>3</v>
      </c>
      <c r="B560">
        <f t="shared" si="17"/>
        <v>2.5</v>
      </c>
      <c r="C560" s="199" t="str">
        <f>B560&amp;LOOKUP(A560, Sheet2!$A$2:$A$11, Sheet2!$B$2:$B$11)</f>
        <v>2.5GY</v>
      </c>
      <c r="D560">
        <v>32.5</v>
      </c>
      <c r="E560">
        <v>10</v>
      </c>
      <c r="F560">
        <v>7</v>
      </c>
      <c r="G560">
        <v>0.67310000000000003</v>
      </c>
      <c r="H560">
        <v>0.72450000000000003</v>
      </c>
      <c r="I560">
        <v>4.3499999999999997E-2</v>
      </c>
      <c r="J560" s="2" t="str">
        <f>HYPERLINK(SetRGB(J560,G560*255,H560*255,I560*255),"HOVER!")</f>
        <v>HOVER!</v>
      </c>
      <c r="K560">
        <f>E560/F560</f>
        <v>1.4285714285714286</v>
      </c>
    </row>
    <row r="561" spans="1:11" ht="15" x14ac:dyDescent="0.35">
      <c r="A561">
        <f t="shared" si="16"/>
        <v>3</v>
      </c>
      <c r="B561">
        <f t="shared" si="17"/>
        <v>2.5</v>
      </c>
      <c r="C561" s="199" t="str">
        <f>B561&amp;LOOKUP(A561, Sheet2!$A$2:$A$11, Sheet2!$B$2:$B$11)</f>
        <v>2.5GY</v>
      </c>
      <c r="D561">
        <v>32.5</v>
      </c>
      <c r="E561">
        <v>2</v>
      </c>
      <c r="F561">
        <v>8</v>
      </c>
      <c r="G561">
        <v>0.79420000000000002</v>
      </c>
      <c r="H561">
        <v>0.8034</v>
      </c>
      <c r="I561">
        <v>0.67510000000000003</v>
      </c>
      <c r="J561" s="2" t="str">
        <f>HYPERLINK(SetRGB(J561,G561*255,H561*255,I561*255),"HOVER!")</f>
        <v>HOVER!</v>
      </c>
      <c r="K561">
        <f>E561/F561</f>
        <v>0.25</v>
      </c>
    </row>
    <row r="562" spans="1:11" ht="15" x14ac:dyDescent="0.35">
      <c r="A562">
        <f t="shared" si="16"/>
        <v>3</v>
      </c>
      <c r="B562">
        <f t="shared" si="17"/>
        <v>2.5</v>
      </c>
      <c r="C562" s="199" t="str">
        <f>B562&amp;LOOKUP(A562, Sheet2!$A$2:$A$11, Sheet2!$B$2:$B$11)</f>
        <v>2.5GY</v>
      </c>
      <c r="D562">
        <v>32.5</v>
      </c>
      <c r="E562">
        <v>4</v>
      </c>
      <c r="F562">
        <v>8</v>
      </c>
      <c r="G562">
        <v>0.79059999999999997</v>
      </c>
      <c r="H562">
        <v>0.81220000000000003</v>
      </c>
      <c r="I562">
        <v>0.57809999999999995</v>
      </c>
      <c r="J562" s="2" t="str">
        <f>HYPERLINK(SetRGB(J562,G562*255,H562*255,I562*255),"HOVER!")</f>
        <v>HOVER!</v>
      </c>
      <c r="K562">
        <f>E562/F562</f>
        <v>0.5</v>
      </c>
    </row>
    <row r="563" spans="1:11" ht="15" x14ac:dyDescent="0.35">
      <c r="A563">
        <f t="shared" si="16"/>
        <v>3</v>
      </c>
      <c r="B563">
        <f t="shared" si="17"/>
        <v>2.5</v>
      </c>
      <c r="C563" s="199" t="str">
        <f>B563&amp;LOOKUP(A563, Sheet2!$A$2:$A$11, Sheet2!$B$2:$B$11)</f>
        <v>2.5GY</v>
      </c>
      <c r="D563">
        <v>32.5</v>
      </c>
      <c r="E563">
        <v>6</v>
      </c>
      <c r="F563">
        <v>8</v>
      </c>
      <c r="G563">
        <v>0.78839999999999999</v>
      </c>
      <c r="H563">
        <v>0.81940000000000002</v>
      </c>
      <c r="I563">
        <v>0.47220000000000001</v>
      </c>
      <c r="J563" s="2" t="str">
        <f>HYPERLINK(SetRGB(J563,G563*255,H563*255,I563*255),"HOVER!")</f>
        <v>HOVER!</v>
      </c>
      <c r="K563">
        <f>E563/F563</f>
        <v>0.75</v>
      </c>
    </row>
    <row r="564" spans="1:11" ht="15" x14ac:dyDescent="0.35">
      <c r="A564">
        <f t="shared" si="16"/>
        <v>3</v>
      </c>
      <c r="B564">
        <f t="shared" si="17"/>
        <v>2.5</v>
      </c>
      <c r="C564" s="199" t="str">
        <f>B564&amp;LOOKUP(A564, Sheet2!$A$2:$A$11, Sheet2!$B$2:$B$11)</f>
        <v>2.5GY</v>
      </c>
      <c r="D564">
        <v>32.5</v>
      </c>
      <c r="E564">
        <v>8</v>
      </c>
      <c r="F564">
        <v>8</v>
      </c>
      <c r="G564">
        <v>0.78510000000000002</v>
      </c>
      <c r="H564">
        <v>0.82550000000000001</v>
      </c>
      <c r="I564">
        <v>0.36020000000000002</v>
      </c>
      <c r="J564" s="2" t="str">
        <f>HYPERLINK(SetRGB(J564,G564*255,H564*255,I564*255),"HOVER!")</f>
        <v>HOVER!</v>
      </c>
      <c r="K564">
        <f>E564/F564</f>
        <v>1</v>
      </c>
    </row>
    <row r="565" spans="1:11" ht="15" x14ac:dyDescent="0.35">
      <c r="A565">
        <f t="shared" si="16"/>
        <v>3</v>
      </c>
      <c r="B565">
        <f t="shared" si="17"/>
        <v>2.5</v>
      </c>
      <c r="C565" s="199" t="str">
        <f>B565&amp;LOOKUP(A565, Sheet2!$A$2:$A$11, Sheet2!$B$2:$B$11)</f>
        <v>2.5GY</v>
      </c>
      <c r="D565">
        <v>32.5</v>
      </c>
      <c r="E565">
        <v>10</v>
      </c>
      <c r="F565">
        <v>8</v>
      </c>
      <c r="G565">
        <v>0.78090000000000004</v>
      </c>
      <c r="H565">
        <v>0.83099999999999996</v>
      </c>
      <c r="I565">
        <v>0.2082</v>
      </c>
      <c r="J565" s="2" t="str">
        <f>HYPERLINK(SetRGB(J565,G565*255,H565*255,I565*255),"HOVER!")</f>
        <v>HOVER!</v>
      </c>
      <c r="K565">
        <f>E565/F565</f>
        <v>1.25</v>
      </c>
    </row>
    <row r="566" spans="1:11" ht="15" x14ac:dyDescent="0.35">
      <c r="A566">
        <f t="shared" si="16"/>
        <v>3</v>
      </c>
      <c r="B566">
        <f t="shared" si="17"/>
        <v>2.5</v>
      </c>
      <c r="C566" s="199" t="str">
        <f>B566&amp;LOOKUP(A566, Sheet2!$A$2:$A$11, Sheet2!$B$2:$B$11)</f>
        <v>2.5GY</v>
      </c>
      <c r="D566">
        <v>32.5</v>
      </c>
      <c r="E566">
        <v>2</v>
      </c>
      <c r="F566">
        <v>9</v>
      </c>
      <c r="G566">
        <v>0.90290000000000004</v>
      </c>
      <c r="H566">
        <v>0.91120000000000001</v>
      </c>
      <c r="I566">
        <v>0.77239999999999998</v>
      </c>
      <c r="J566" s="2" t="str">
        <f>HYPERLINK(SetRGB(J566,G566*255,H566*255,I566*255),"HOVER!")</f>
        <v>HOVER!</v>
      </c>
      <c r="K566">
        <f>E566/F566</f>
        <v>0.22222222222222221</v>
      </c>
    </row>
    <row r="567" spans="1:11" ht="15" x14ac:dyDescent="0.35">
      <c r="A567">
        <f t="shared" si="16"/>
        <v>3</v>
      </c>
      <c r="B567">
        <f t="shared" si="17"/>
        <v>2.5</v>
      </c>
      <c r="C567" s="199" t="str">
        <f>B567&amp;LOOKUP(A567, Sheet2!$A$2:$A$11, Sheet2!$B$2:$B$11)</f>
        <v>2.5GY</v>
      </c>
      <c r="D567">
        <v>32.5</v>
      </c>
      <c r="E567">
        <v>4</v>
      </c>
      <c r="F567">
        <v>9</v>
      </c>
      <c r="G567">
        <v>0.9002</v>
      </c>
      <c r="H567">
        <v>0.92069999999999996</v>
      </c>
      <c r="I567">
        <v>0.6643</v>
      </c>
      <c r="J567" s="2" t="str">
        <f>HYPERLINK(SetRGB(J567,G567*255,H567*255,I567*255),"HOVER!")</f>
        <v>HOVER!</v>
      </c>
      <c r="K567">
        <f>E567/F567</f>
        <v>0.44444444444444442</v>
      </c>
    </row>
    <row r="568" spans="1:11" ht="15" x14ac:dyDescent="0.35">
      <c r="A568">
        <f t="shared" si="16"/>
        <v>3</v>
      </c>
      <c r="B568">
        <f t="shared" si="17"/>
        <v>2.5</v>
      </c>
      <c r="C568" s="199" t="str">
        <f>B568&amp;LOOKUP(A568, Sheet2!$A$2:$A$11, Sheet2!$B$2:$B$11)</f>
        <v>2.5GY</v>
      </c>
      <c r="D568">
        <v>32.5</v>
      </c>
      <c r="E568">
        <v>6</v>
      </c>
      <c r="F568">
        <v>9</v>
      </c>
      <c r="G568">
        <v>0.89839999999999998</v>
      </c>
      <c r="H568">
        <v>0.92810000000000004</v>
      </c>
      <c r="I568">
        <v>0.55640000000000001</v>
      </c>
      <c r="J568" s="2" t="str">
        <f>HYPERLINK(SetRGB(J568,G568*255,H568*255,I568*255),"HOVER!")</f>
        <v>HOVER!</v>
      </c>
      <c r="K568">
        <f>E568/F568</f>
        <v>0.66666666666666663</v>
      </c>
    </row>
    <row r="569" spans="1:11" ht="15" x14ac:dyDescent="0.35">
      <c r="A569">
        <f t="shared" si="16"/>
        <v>3</v>
      </c>
      <c r="B569">
        <f t="shared" si="17"/>
        <v>2.5</v>
      </c>
      <c r="C569" s="199" t="str">
        <f>B569&amp;LOOKUP(A569, Sheet2!$A$2:$A$11, Sheet2!$B$2:$B$11)</f>
        <v>2.5GY</v>
      </c>
      <c r="D569">
        <v>32.5</v>
      </c>
      <c r="E569">
        <v>8</v>
      </c>
      <c r="F569">
        <v>9</v>
      </c>
      <c r="G569">
        <v>0.89449999999999996</v>
      </c>
      <c r="H569">
        <v>0.93500000000000005</v>
      </c>
      <c r="I569">
        <v>0.43690000000000001</v>
      </c>
      <c r="J569" s="2" t="str">
        <f>HYPERLINK(SetRGB(J569,G569*255,H569*255,I569*255),"HOVER!")</f>
        <v>HOVER!</v>
      </c>
      <c r="K569">
        <f>E569/F569</f>
        <v>0.88888888888888884</v>
      </c>
    </row>
    <row r="570" spans="1:11" ht="15" x14ac:dyDescent="0.35">
      <c r="A570">
        <f t="shared" si="16"/>
        <v>3</v>
      </c>
      <c r="B570">
        <f t="shared" si="17"/>
        <v>2.5</v>
      </c>
      <c r="C570" s="199" t="str">
        <f>B570&amp;LOOKUP(A570, Sheet2!$A$2:$A$11, Sheet2!$B$2:$B$11)</f>
        <v>2.5GY</v>
      </c>
      <c r="D570">
        <v>32.5</v>
      </c>
      <c r="E570">
        <v>10</v>
      </c>
      <c r="F570">
        <v>9</v>
      </c>
      <c r="G570">
        <v>0.89049999999999996</v>
      </c>
      <c r="H570">
        <v>0.9405</v>
      </c>
      <c r="I570">
        <v>0.3075</v>
      </c>
      <c r="J570" s="2" t="str">
        <f>HYPERLINK(SetRGB(J570,G570*255,H570*255,I570*255),"HOVER!")</f>
        <v>HOVER!</v>
      </c>
      <c r="K570">
        <f>E570/F570</f>
        <v>1.1111111111111112</v>
      </c>
    </row>
    <row r="571" spans="1:11" ht="15" x14ac:dyDescent="0.35">
      <c r="A571">
        <f t="shared" si="16"/>
        <v>3</v>
      </c>
      <c r="B571">
        <f t="shared" si="17"/>
        <v>2.5</v>
      </c>
      <c r="C571" s="199" t="str">
        <f>B571&amp;LOOKUP(A571, Sheet2!$A$2:$A$11, Sheet2!$B$2:$B$11)</f>
        <v>2.5GY</v>
      </c>
      <c r="D571">
        <v>32.5</v>
      </c>
      <c r="E571">
        <v>12</v>
      </c>
      <c r="F571">
        <v>9</v>
      </c>
      <c r="G571">
        <v>0.88629999999999998</v>
      </c>
      <c r="H571">
        <v>0.94550000000000001</v>
      </c>
      <c r="I571">
        <v>5.1900000000000002E-2</v>
      </c>
      <c r="J571" s="2" t="str">
        <f>HYPERLINK(SetRGB(J571,G571*255,H571*255,I571*255),"HOVER!")</f>
        <v>HOVER!</v>
      </c>
      <c r="K571">
        <f>E571/F571</f>
        <v>1.3333333333333333</v>
      </c>
    </row>
    <row r="572" spans="1:11" ht="15" x14ac:dyDescent="0.35">
      <c r="A572">
        <f t="shared" si="16"/>
        <v>3</v>
      </c>
      <c r="B572">
        <f t="shared" si="17"/>
        <v>5</v>
      </c>
      <c r="C572" s="199" t="str">
        <f>B572&amp;LOOKUP(A572, Sheet2!$A$2:$A$11, Sheet2!$B$2:$B$11)</f>
        <v>5GY</v>
      </c>
      <c r="D572">
        <v>35</v>
      </c>
      <c r="E572">
        <v>2</v>
      </c>
      <c r="F572">
        <v>1</v>
      </c>
      <c r="G572">
        <v>9.8400000000000001E-2</v>
      </c>
      <c r="H572">
        <v>0.12039999999999999</v>
      </c>
      <c r="I572">
        <v>6.9599999999999995E-2</v>
      </c>
      <c r="J572" s="45" t="str">
        <f>HYPERLINK(SetRGB(J572,G572*255,H572*255,I572*255),"HOVER!")</f>
        <v>HOVER!</v>
      </c>
      <c r="K572">
        <f>E572/F572</f>
        <v>2</v>
      </c>
    </row>
    <row r="573" spans="1:11" ht="15" x14ac:dyDescent="0.35">
      <c r="A573">
        <f t="shared" si="16"/>
        <v>3</v>
      </c>
      <c r="B573">
        <f t="shared" si="17"/>
        <v>5</v>
      </c>
      <c r="C573" s="199" t="str">
        <f>B573&amp;LOOKUP(A573, Sheet2!$A$2:$A$11, Sheet2!$B$2:$B$11)</f>
        <v>5GY</v>
      </c>
      <c r="D573">
        <v>35</v>
      </c>
      <c r="E573">
        <v>2</v>
      </c>
      <c r="F573">
        <v>2</v>
      </c>
      <c r="G573">
        <v>0.1812</v>
      </c>
      <c r="H573">
        <v>0.20200000000000001</v>
      </c>
      <c r="I573">
        <v>0.14749999999999999</v>
      </c>
      <c r="J573" s="63" t="str">
        <f>HYPERLINK(SetRGB(J573,G573*255,H573*255,I573*255),"HOVER!")</f>
        <v>HOVER!</v>
      </c>
      <c r="K573">
        <f>E573/F573</f>
        <v>1</v>
      </c>
    </row>
    <row r="574" spans="1:11" ht="15" x14ac:dyDescent="0.35">
      <c r="A574">
        <f t="shared" si="16"/>
        <v>3</v>
      </c>
      <c r="B574">
        <f t="shared" si="17"/>
        <v>5</v>
      </c>
      <c r="C574" s="199" t="str">
        <f>B574&amp;LOOKUP(A574, Sheet2!$A$2:$A$11, Sheet2!$B$2:$B$11)</f>
        <v>5GY</v>
      </c>
      <c r="D574">
        <v>35</v>
      </c>
      <c r="E574">
        <v>4</v>
      </c>
      <c r="F574">
        <v>2</v>
      </c>
      <c r="G574">
        <v>0.16120000000000001</v>
      </c>
      <c r="H574">
        <v>0.2112</v>
      </c>
      <c r="I574">
        <v>7.3800000000000004E-2</v>
      </c>
      <c r="J574" s="62" t="str">
        <f>HYPERLINK(SetRGB(J574,G574*255,H574*255,I574*255),"HOVER!")</f>
        <v>HOVER!</v>
      </c>
      <c r="K574">
        <f>E574/F574</f>
        <v>2</v>
      </c>
    </row>
    <row r="575" spans="1:11" ht="15" x14ac:dyDescent="0.35">
      <c r="A575">
        <f t="shared" si="16"/>
        <v>3</v>
      </c>
      <c r="B575">
        <f t="shared" si="17"/>
        <v>5</v>
      </c>
      <c r="C575" s="199" t="str">
        <f>B575&amp;LOOKUP(A575, Sheet2!$A$2:$A$11, Sheet2!$B$2:$B$11)</f>
        <v>5GY</v>
      </c>
      <c r="D575">
        <v>35</v>
      </c>
      <c r="E575">
        <v>2</v>
      </c>
      <c r="F575">
        <v>3</v>
      </c>
      <c r="G575">
        <v>0.26919999999999999</v>
      </c>
      <c r="H575">
        <v>0.29409999999999997</v>
      </c>
      <c r="I575">
        <v>0.2215</v>
      </c>
      <c r="J575" s="1" t="str">
        <f>HYPERLINK(SetRGB(J575,G575*255,H575*255,I575*255),"HOVER!")</f>
        <v>HOVER!</v>
      </c>
      <c r="K575">
        <f>E575/F575</f>
        <v>0.66666666666666663</v>
      </c>
    </row>
    <row r="576" spans="1:11" ht="15" x14ac:dyDescent="0.35">
      <c r="A576">
        <f t="shared" si="16"/>
        <v>3</v>
      </c>
      <c r="B576">
        <f t="shared" si="17"/>
        <v>5</v>
      </c>
      <c r="C576" s="199" t="str">
        <f>B576&amp;LOOKUP(A576, Sheet2!$A$2:$A$11, Sheet2!$B$2:$B$11)</f>
        <v>5GY</v>
      </c>
      <c r="D576">
        <v>35</v>
      </c>
      <c r="E576">
        <v>4</v>
      </c>
      <c r="F576">
        <v>3</v>
      </c>
      <c r="G576">
        <v>0.25059999999999999</v>
      </c>
      <c r="H576">
        <v>0.30370000000000003</v>
      </c>
      <c r="I576">
        <v>0.1447</v>
      </c>
      <c r="J576" s="1" t="str">
        <f>HYPERLINK(SetRGB(J576,G576*255,H576*255,I576*255),"HOVER!")</f>
        <v>HOVER!</v>
      </c>
      <c r="K576">
        <f>E576/F576</f>
        <v>1.3333333333333333</v>
      </c>
    </row>
    <row r="577" spans="1:11" ht="15" x14ac:dyDescent="0.35">
      <c r="A577">
        <f t="shared" si="16"/>
        <v>3</v>
      </c>
      <c r="B577">
        <f t="shared" si="17"/>
        <v>5</v>
      </c>
      <c r="C577" s="199" t="str">
        <f>B577&amp;LOOKUP(A577, Sheet2!$A$2:$A$11, Sheet2!$B$2:$B$11)</f>
        <v>5GY</v>
      </c>
      <c r="D577">
        <v>35</v>
      </c>
      <c r="E577">
        <v>6</v>
      </c>
      <c r="F577">
        <v>3</v>
      </c>
      <c r="G577">
        <v>0.23219999999999999</v>
      </c>
      <c r="H577">
        <v>0.31109999999999999</v>
      </c>
      <c r="I577">
        <v>4.2799999999999998E-2</v>
      </c>
      <c r="J577" s="1" t="str">
        <f>HYPERLINK(SetRGB(J577,G577*255,H577*255,I577*255),"HOVER!")</f>
        <v>HOVER!</v>
      </c>
      <c r="K577">
        <f>E577/F577</f>
        <v>2</v>
      </c>
    </row>
    <row r="578" spans="1:11" ht="15" x14ac:dyDescent="0.35">
      <c r="A578">
        <f t="shared" si="16"/>
        <v>3</v>
      </c>
      <c r="B578">
        <f t="shared" si="17"/>
        <v>5</v>
      </c>
      <c r="C578" s="199" t="str">
        <f>B578&amp;LOOKUP(A578, Sheet2!$A$2:$A$11, Sheet2!$B$2:$B$11)</f>
        <v>5GY</v>
      </c>
      <c r="D578">
        <v>35</v>
      </c>
      <c r="E578">
        <v>2</v>
      </c>
      <c r="F578">
        <v>4</v>
      </c>
      <c r="G578">
        <v>0.36599999999999999</v>
      </c>
      <c r="H578">
        <v>0.39250000000000002</v>
      </c>
      <c r="I578">
        <v>0.30709999999999998</v>
      </c>
      <c r="J578" s="1" t="str">
        <f>HYPERLINK(SetRGB(J578,G578*255,H578*255,I578*255),"HOVER!")</f>
        <v>HOVER!</v>
      </c>
      <c r="K578">
        <f>E578/F578</f>
        <v>0.5</v>
      </c>
    </row>
    <row r="579" spans="1:11" ht="15" x14ac:dyDescent="0.35">
      <c r="A579">
        <f t="shared" si="16"/>
        <v>3</v>
      </c>
      <c r="B579">
        <f t="shared" si="17"/>
        <v>5</v>
      </c>
      <c r="C579" s="199" t="str">
        <f>B579&amp;LOOKUP(A579, Sheet2!$A$2:$A$11, Sheet2!$B$2:$B$11)</f>
        <v>5GY</v>
      </c>
      <c r="D579">
        <v>35</v>
      </c>
      <c r="E579">
        <v>4</v>
      </c>
      <c r="F579">
        <v>4</v>
      </c>
      <c r="G579">
        <v>0.34839999999999999</v>
      </c>
      <c r="H579">
        <v>0.40300000000000002</v>
      </c>
      <c r="I579">
        <v>0.22109999999999999</v>
      </c>
      <c r="J579" s="1" t="str">
        <f>HYPERLINK(SetRGB(J579,G579*255,H579*255,I579*255),"HOVER!")</f>
        <v>HOVER!</v>
      </c>
      <c r="K579">
        <f>E579/F579</f>
        <v>1</v>
      </c>
    </row>
    <row r="580" spans="1:11" ht="15" x14ac:dyDescent="0.35">
      <c r="A580">
        <f t="shared" si="16"/>
        <v>3</v>
      </c>
      <c r="B580">
        <f t="shared" si="17"/>
        <v>5</v>
      </c>
      <c r="C580" s="199" t="str">
        <f>B580&amp;LOOKUP(A580, Sheet2!$A$2:$A$11, Sheet2!$B$2:$B$11)</f>
        <v>5GY</v>
      </c>
      <c r="D580">
        <v>35</v>
      </c>
      <c r="E580">
        <v>6</v>
      </c>
      <c r="F580">
        <v>4</v>
      </c>
      <c r="G580">
        <v>0.33</v>
      </c>
      <c r="H580">
        <v>0.4113</v>
      </c>
      <c r="I580">
        <v>0.12659999999999999</v>
      </c>
      <c r="J580" s="1" t="str">
        <f>HYPERLINK(SetRGB(J580,G580*255,H580*255,I580*255),"HOVER!")</f>
        <v>HOVER!</v>
      </c>
      <c r="K580">
        <f>E580/F580</f>
        <v>1.5</v>
      </c>
    </row>
    <row r="581" spans="1:11" ht="15" x14ac:dyDescent="0.35">
      <c r="A581">
        <f t="shared" si="16"/>
        <v>3</v>
      </c>
      <c r="B581">
        <f t="shared" si="17"/>
        <v>5</v>
      </c>
      <c r="C581" s="199" t="str">
        <f>B581&amp;LOOKUP(A581, Sheet2!$A$2:$A$11, Sheet2!$B$2:$B$11)</f>
        <v>5GY</v>
      </c>
      <c r="D581">
        <v>35</v>
      </c>
      <c r="E581">
        <v>2</v>
      </c>
      <c r="F581">
        <v>5</v>
      </c>
      <c r="G581">
        <v>0.46650000000000003</v>
      </c>
      <c r="H581">
        <v>0.49419999999999997</v>
      </c>
      <c r="I581">
        <v>0.40200000000000002</v>
      </c>
      <c r="J581" s="1" t="str">
        <f>HYPERLINK(SetRGB(J581,G581*255,H581*255,I581*255),"HOVER!")</f>
        <v>HOVER!</v>
      </c>
      <c r="K581">
        <f>E581/F581</f>
        <v>0.4</v>
      </c>
    </row>
    <row r="582" spans="1:11" ht="15" x14ac:dyDescent="0.35">
      <c r="A582">
        <f t="shared" si="16"/>
        <v>3</v>
      </c>
      <c r="B582">
        <f t="shared" si="17"/>
        <v>5</v>
      </c>
      <c r="C582" s="199" t="str">
        <f>B582&amp;LOOKUP(A582, Sheet2!$A$2:$A$11, Sheet2!$B$2:$B$11)</f>
        <v>5GY</v>
      </c>
      <c r="D582">
        <v>35</v>
      </c>
      <c r="E582">
        <v>4</v>
      </c>
      <c r="F582">
        <v>5</v>
      </c>
      <c r="G582">
        <v>0.45090000000000002</v>
      </c>
      <c r="H582">
        <v>0.50460000000000005</v>
      </c>
      <c r="I582">
        <v>0.31740000000000002</v>
      </c>
      <c r="J582" s="1" t="str">
        <f>HYPERLINK(SetRGB(J582,G582*255,H582*255,I582*255),"HOVER!")</f>
        <v>HOVER!</v>
      </c>
      <c r="K582">
        <f>E582/F582</f>
        <v>0.8</v>
      </c>
    </row>
    <row r="583" spans="1:11" ht="15" x14ac:dyDescent="0.35">
      <c r="A583">
        <f t="shared" si="16"/>
        <v>3</v>
      </c>
      <c r="B583">
        <f t="shared" si="17"/>
        <v>5</v>
      </c>
      <c r="C583" s="199" t="str">
        <f>B583&amp;LOOKUP(A583, Sheet2!$A$2:$A$11, Sheet2!$B$2:$B$11)</f>
        <v>5GY</v>
      </c>
      <c r="D583">
        <v>35</v>
      </c>
      <c r="E583">
        <v>6</v>
      </c>
      <c r="F583">
        <v>5</v>
      </c>
      <c r="G583">
        <v>0.43230000000000002</v>
      </c>
      <c r="H583">
        <v>0.51419999999999999</v>
      </c>
      <c r="I583">
        <v>0.2198</v>
      </c>
      <c r="J583" s="1" t="str">
        <f>HYPERLINK(SetRGB(J583,G583*255,H583*255,I583*255),"HOVER!")</f>
        <v>HOVER!</v>
      </c>
      <c r="K583">
        <f>E583/F583</f>
        <v>1.2</v>
      </c>
    </row>
    <row r="584" spans="1:11" ht="15" x14ac:dyDescent="0.35">
      <c r="A584">
        <f t="shared" si="16"/>
        <v>3</v>
      </c>
      <c r="B584">
        <f t="shared" si="17"/>
        <v>5</v>
      </c>
      <c r="C584" s="199" t="str">
        <f>B584&amp;LOOKUP(A584, Sheet2!$A$2:$A$11, Sheet2!$B$2:$B$11)</f>
        <v>5GY</v>
      </c>
      <c r="D584">
        <v>35</v>
      </c>
      <c r="E584">
        <v>8</v>
      </c>
      <c r="F584">
        <v>5</v>
      </c>
      <c r="G584">
        <v>0.41470000000000001</v>
      </c>
      <c r="H584">
        <v>0.52190000000000003</v>
      </c>
      <c r="I584">
        <v>8.9499999999999996E-2</v>
      </c>
      <c r="J584" s="1" t="str">
        <f>HYPERLINK(SetRGB(J584,G584*255,H584*255,I584*255),"HOVER!")</f>
        <v>HOVER!</v>
      </c>
      <c r="K584">
        <f>E584/F584</f>
        <v>1.6</v>
      </c>
    </row>
    <row r="585" spans="1:11" ht="15" x14ac:dyDescent="0.35">
      <c r="A585">
        <f t="shared" si="16"/>
        <v>3</v>
      </c>
      <c r="B585">
        <f t="shared" si="17"/>
        <v>5</v>
      </c>
      <c r="C585" s="199" t="str">
        <f>B585&amp;LOOKUP(A585, Sheet2!$A$2:$A$11, Sheet2!$B$2:$B$11)</f>
        <v>5GY</v>
      </c>
      <c r="D585">
        <v>35</v>
      </c>
      <c r="E585">
        <v>2</v>
      </c>
      <c r="F585">
        <v>6</v>
      </c>
      <c r="G585">
        <v>0.56869999999999998</v>
      </c>
      <c r="H585">
        <v>0.5978</v>
      </c>
      <c r="I585">
        <v>0.49270000000000003</v>
      </c>
      <c r="J585" s="2" t="str">
        <f>HYPERLINK(SetRGB(J585,G585*255,H585*255,I585*255),"HOVER!")</f>
        <v>HOVER!</v>
      </c>
      <c r="K585">
        <f>E585/F585</f>
        <v>0.33333333333333331</v>
      </c>
    </row>
    <row r="586" spans="1:11" ht="15" x14ac:dyDescent="0.35">
      <c r="A586">
        <f t="shared" si="16"/>
        <v>3</v>
      </c>
      <c r="B586">
        <f t="shared" si="17"/>
        <v>5</v>
      </c>
      <c r="C586" s="199" t="str">
        <f>B586&amp;LOOKUP(A586, Sheet2!$A$2:$A$11, Sheet2!$B$2:$B$11)</f>
        <v>5GY</v>
      </c>
      <c r="D586">
        <v>35</v>
      </c>
      <c r="E586">
        <v>4</v>
      </c>
      <c r="F586">
        <v>6</v>
      </c>
      <c r="G586">
        <v>0.55430000000000001</v>
      </c>
      <c r="H586">
        <v>0.60829999999999995</v>
      </c>
      <c r="I586">
        <v>0.40579999999999999</v>
      </c>
      <c r="J586" s="2" t="str">
        <f>HYPERLINK(SetRGB(J586,G586*255,H586*255,I586*255),"HOVER!")</f>
        <v>HOVER!</v>
      </c>
      <c r="K586">
        <f>E586/F586</f>
        <v>0.66666666666666663</v>
      </c>
    </row>
    <row r="587" spans="1:11" ht="15" x14ac:dyDescent="0.35">
      <c r="A587">
        <f t="shared" si="16"/>
        <v>3</v>
      </c>
      <c r="B587">
        <f t="shared" si="17"/>
        <v>5</v>
      </c>
      <c r="C587" s="199" t="str">
        <f>B587&amp;LOOKUP(A587, Sheet2!$A$2:$A$11, Sheet2!$B$2:$B$11)</f>
        <v>5GY</v>
      </c>
      <c r="D587">
        <v>35</v>
      </c>
      <c r="E587">
        <v>6</v>
      </c>
      <c r="F587">
        <v>6</v>
      </c>
      <c r="G587">
        <v>0.53749999999999998</v>
      </c>
      <c r="H587">
        <v>0.61799999999999999</v>
      </c>
      <c r="I587">
        <v>0.31190000000000001</v>
      </c>
      <c r="J587" s="2" t="str">
        <f>HYPERLINK(SetRGB(J587,G587*255,H587*255,I587*255),"HOVER!")</f>
        <v>HOVER!</v>
      </c>
      <c r="K587">
        <f>E587/F587</f>
        <v>1</v>
      </c>
    </row>
    <row r="588" spans="1:11" ht="15" x14ac:dyDescent="0.35">
      <c r="A588">
        <f t="shared" si="16"/>
        <v>3</v>
      </c>
      <c r="B588">
        <f t="shared" si="17"/>
        <v>5</v>
      </c>
      <c r="C588" s="199" t="str">
        <f>B588&amp;LOOKUP(A588, Sheet2!$A$2:$A$11, Sheet2!$B$2:$B$11)</f>
        <v>5GY</v>
      </c>
      <c r="D588">
        <v>35</v>
      </c>
      <c r="E588">
        <v>8</v>
      </c>
      <c r="F588">
        <v>6</v>
      </c>
      <c r="G588">
        <v>0.51900000000000002</v>
      </c>
      <c r="H588">
        <v>0.62680000000000002</v>
      </c>
      <c r="I588">
        <v>0.19439999999999999</v>
      </c>
      <c r="J588" s="2" t="str">
        <f>HYPERLINK(SetRGB(J588,G588*255,H588*255,I588*255),"HOVER!")</f>
        <v>HOVER!</v>
      </c>
      <c r="K588">
        <f>E588/F588</f>
        <v>1.3333333333333333</v>
      </c>
    </row>
    <row r="589" spans="1:11" ht="15" x14ac:dyDescent="0.35">
      <c r="A589">
        <f t="shared" si="16"/>
        <v>3</v>
      </c>
      <c r="B589">
        <f t="shared" si="17"/>
        <v>5</v>
      </c>
      <c r="C589" s="199" t="str">
        <f>B589&amp;LOOKUP(A589, Sheet2!$A$2:$A$11, Sheet2!$B$2:$B$11)</f>
        <v>5GY</v>
      </c>
      <c r="D589">
        <v>35</v>
      </c>
      <c r="E589">
        <v>2</v>
      </c>
      <c r="F589">
        <v>7</v>
      </c>
      <c r="G589">
        <v>0.67430000000000001</v>
      </c>
      <c r="H589">
        <v>0.70140000000000002</v>
      </c>
      <c r="I589">
        <v>0.58819999999999995</v>
      </c>
      <c r="J589" s="2" t="str">
        <f>HYPERLINK(SetRGB(J589,G589*255,H589*255,I589*255),"HOVER!")</f>
        <v>HOVER!</v>
      </c>
      <c r="K589">
        <f>E589/F589</f>
        <v>0.2857142857142857</v>
      </c>
    </row>
    <row r="590" spans="1:11" ht="15" x14ac:dyDescent="0.35">
      <c r="A590">
        <f t="shared" ref="A590:A653" si="18">IF(FLOOR(D590/10,1)=0,10,FLOOR(D590/10,1))</f>
        <v>3</v>
      </c>
      <c r="B590">
        <f t="shared" ref="B590:B653" si="19">IF(MOD(D590,10)=0,10,MOD(D590,10))</f>
        <v>5</v>
      </c>
      <c r="C590" s="199" t="str">
        <f>B590&amp;LOOKUP(A590, Sheet2!$A$2:$A$11, Sheet2!$B$2:$B$11)</f>
        <v>5GY</v>
      </c>
      <c r="D590">
        <v>35</v>
      </c>
      <c r="E590">
        <v>4</v>
      </c>
      <c r="F590">
        <v>7</v>
      </c>
      <c r="G590">
        <v>0.65859999999999996</v>
      </c>
      <c r="H590">
        <v>0.71279999999999999</v>
      </c>
      <c r="I590">
        <v>0.49880000000000002</v>
      </c>
      <c r="J590" s="2" t="str">
        <f>HYPERLINK(SetRGB(J590,G590*255,H590*255,I590*255),"HOVER!")</f>
        <v>HOVER!</v>
      </c>
      <c r="K590">
        <f>E590/F590</f>
        <v>0.5714285714285714</v>
      </c>
    </row>
    <row r="591" spans="1:11" ht="15" x14ac:dyDescent="0.35">
      <c r="A591">
        <f t="shared" si="18"/>
        <v>3</v>
      </c>
      <c r="B591">
        <f t="shared" si="19"/>
        <v>5</v>
      </c>
      <c r="C591" s="199" t="str">
        <f>B591&amp;LOOKUP(A591, Sheet2!$A$2:$A$11, Sheet2!$B$2:$B$11)</f>
        <v>5GY</v>
      </c>
      <c r="D591">
        <v>35</v>
      </c>
      <c r="E591">
        <v>6</v>
      </c>
      <c r="F591">
        <v>7</v>
      </c>
      <c r="G591">
        <v>0.64370000000000005</v>
      </c>
      <c r="H591">
        <v>0.72230000000000005</v>
      </c>
      <c r="I591">
        <v>0.40820000000000001</v>
      </c>
      <c r="J591" s="2" t="str">
        <f>HYPERLINK(SetRGB(J591,G591*255,H591*255,I591*255),"HOVER!")</f>
        <v>HOVER!</v>
      </c>
      <c r="K591">
        <f>E591/F591</f>
        <v>0.8571428571428571</v>
      </c>
    </row>
    <row r="592" spans="1:11" ht="15" x14ac:dyDescent="0.35">
      <c r="A592">
        <f t="shared" si="18"/>
        <v>3</v>
      </c>
      <c r="B592">
        <f t="shared" si="19"/>
        <v>5</v>
      </c>
      <c r="C592" s="199" t="str">
        <f>B592&amp;LOOKUP(A592, Sheet2!$A$2:$A$11, Sheet2!$B$2:$B$11)</f>
        <v>5GY</v>
      </c>
      <c r="D592">
        <v>35</v>
      </c>
      <c r="E592">
        <v>8</v>
      </c>
      <c r="F592">
        <v>7</v>
      </c>
      <c r="G592">
        <v>0.62770000000000004</v>
      </c>
      <c r="H592">
        <v>0.73109999999999997</v>
      </c>
      <c r="I592">
        <v>0.30209999999999998</v>
      </c>
      <c r="J592" s="2" t="str">
        <f>HYPERLINK(SetRGB(J592,G592*255,H592*255,I592*255),"HOVER!")</f>
        <v>HOVER!</v>
      </c>
      <c r="K592">
        <f>E592/F592</f>
        <v>1.1428571428571428</v>
      </c>
    </row>
    <row r="593" spans="1:11" ht="15" x14ac:dyDescent="0.35">
      <c r="A593">
        <f t="shared" si="18"/>
        <v>3</v>
      </c>
      <c r="B593">
        <f t="shared" si="19"/>
        <v>5</v>
      </c>
      <c r="C593" s="199" t="str">
        <f>B593&amp;LOOKUP(A593, Sheet2!$A$2:$A$11, Sheet2!$B$2:$B$11)</f>
        <v>5GY</v>
      </c>
      <c r="D593">
        <v>35</v>
      </c>
      <c r="E593">
        <v>10</v>
      </c>
      <c r="F593">
        <v>7</v>
      </c>
      <c r="G593">
        <v>0.61019999999999996</v>
      </c>
      <c r="H593">
        <v>0.73919999999999997</v>
      </c>
      <c r="I593">
        <v>0.15140000000000001</v>
      </c>
      <c r="J593" s="2" t="str">
        <f>HYPERLINK(SetRGB(J593,G593*255,H593*255,I593*255),"HOVER!")</f>
        <v>HOVER!</v>
      </c>
      <c r="K593">
        <f>E593/F593</f>
        <v>1.4285714285714286</v>
      </c>
    </row>
    <row r="594" spans="1:11" ht="15" x14ac:dyDescent="0.35">
      <c r="A594">
        <f t="shared" si="18"/>
        <v>3</v>
      </c>
      <c r="B594">
        <f t="shared" si="19"/>
        <v>5</v>
      </c>
      <c r="C594" s="199" t="str">
        <f>B594&amp;LOOKUP(A594, Sheet2!$A$2:$A$11, Sheet2!$B$2:$B$11)</f>
        <v>5GY</v>
      </c>
      <c r="D594">
        <v>35</v>
      </c>
      <c r="E594">
        <v>2</v>
      </c>
      <c r="F594">
        <v>8</v>
      </c>
      <c r="G594">
        <v>0.78069999999999995</v>
      </c>
      <c r="H594">
        <v>0.80669999999999997</v>
      </c>
      <c r="I594">
        <v>0.68289999999999995</v>
      </c>
      <c r="J594" s="2" t="str">
        <f>HYPERLINK(SetRGB(J594,G594*255,H594*255,I594*255),"HOVER!")</f>
        <v>HOVER!</v>
      </c>
      <c r="K594">
        <f>E594/F594</f>
        <v>0.25</v>
      </c>
    </row>
    <row r="595" spans="1:11" ht="15" x14ac:dyDescent="0.35">
      <c r="A595">
        <f t="shared" si="18"/>
        <v>3</v>
      </c>
      <c r="B595">
        <f t="shared" si="19"/>
        <v>5</v>
      </c>
      <c r="C595" s="199" t="str">
        <f>B595&amp;LOOKUP(A595, Sheet2!$A$2:$A$11, Sheet2!$B$2:$B$11)</f>
        <v>5GY</v>
      </c>
      <c r="D595">
        <v>35</v>
      </c>
      <c r="E595">
        <v>4</v>
      </c>
      <c r="F595">
        <v>8</v>
      </c>
      <c r="G595">
        <v>0.76880000000000004</v>
      </c>
      <c r="H595">
        <v>0.8175</v>
      </c>
      <c r="I595">
        <v>0.59030000000000005</v>
      </c>
      <c r="J595" s="2" t="str">
        <f>HYPERLINK(SetRGB(J595,G595*255,H595*255,I595*255),"HOVER!")</f>
        <v>HOVER!</v>
      </c>
      <c r="K595">
        <f>E595/F595</f>
        <v>0.5</v>
      </c>
    </row>
    <row r="596" spans="1:11" ht="15" x14ac:dyDescent="0.35">
      <c r="A596">
        <f t="shared" si="18"/>
        <v>3</v>
      </c>
      <c r="B596">
        <f t="shared" si="19"/>
        <v>5</v>
      </c>
      <c r="C596" s="199" t="str">
        <f>B596&amp;LOOKUP(A596, Sheet2!$A$2:$A$11, Sheet2!$B$2:$B$11)</f>
        <v>5GY</v>
      </c>
      <c r="D596">
        <v>35</v>
      </c>
      <c r="E596">
        <v>6</v>
      </c>
      <c r="F596">
        <v>8</v>
      </c>
      <c r="G596">
        <v>0.75329999999999997</v>
      </c>
      <c r="H596">
        <v>0.82789999999999997</v>
      </c>
      <c r="I596">
        <v>0.49299999999999999</v>
      </c>
      <c r="J596" s="2" t="str">
        <f>HYPERLINK(SetRGB(J596,G596*255,H596*255,I596*255),"HOVER!")</f>
        <v>HOVER!</v>
      </c>
      <c r="K596">
        <f>E596/F596</f>
        <v>0.75</v>
      </c>
    </row>
    <row r="597" spans="1:11" ht="15" x14ac:dyDescent="0.35">
      <c r="A597">
        <f t="shared" si="18"/>
        <v>3</v>
      </c>
      <c r="B597">
        <f t="shared" si="19"/>
        <v>5</v>
      </c>
      <c r="C597" s="199" t="str">
        <f>B597&amp;LOOKUP(A597, Sheet2!$A$2:$A$11, Sheet2!$B$2:$B$11)</f>
        <v>5GY</v>
      </c>
      <c r="D597">
        <v>35</v>
      </c>
      <c r="E597">
        <v>8</v>
      </c>
      <c r="F597">
        <v>8</v>
      </c>
      <c r="G597">
        <v>0.73680000000000001</v>
      </c>
      <c r="H597">
        <v>0.83720000000000006</v>
      </c>
      <c r="I597">
        <v>0.39219999999999999</v>
      </c>
      <c r="J597" s="2" t="str">
        <f>HYPERLINK(SetRGB(J597,G597*255,H597*255,I597*255),"HOVER!")</f>
        <v>HOVER!</v>
      </c>
      <c r="K597">
        <f>E597/F597</f>
        <v>1</v>
      </c>
    </row>
    <row r="598" spans="1:11" ht="15" x14ac:dyDescent="0.35">
      <c r="A598">
        <f t="shared" si="18"/>
        <v>3</v>
      </c>
      <c r="B598">
        <f t="shared" si="19"/>
        <v>5</v>
      </c>
      <c r="C598" s="199" t="str">
        <f>B598&amp;LOOKUP(A598, Sheet2!$A$2:$A$11, Sheet2!$B$2:$B$11)</f>
        <v>5GY</v>
      </c>
      <c r="D598">
        <v>35</v>
      </c>
      <c r="E598">
        <v>10</v>
      </c>
      <c r="F598">
        <v>8</v>
      </c>
      <c r="G598">
        <v>0.71970000000000001</v>
      </c>
      <c r="H598">
        <v>0.84570000000000001</v>
      </c>
      <c r="I598">
        <v>0.26479999999999998</v>
      </c>
      <c r="J598" s="2" t="str">
        <f>HYPERLINK(SetRGB(J598,G598*255,H598*255,I598*255),"HOVER!")</f>
        <v>HOVER!</v>
      </c>
      <c r="K598">
        <f>E598/F598</f>
        <v>1.25</v>
      </c>
    </row>
    <row r="599" spans="1:11" ht="15" x14ac:dyDescent="0.35">
      <c r="A599">
        <f t="shared" si="18"/>
        <v>3</v>
      </c>
      <c r="B599">
        <f t="shared" si="19"/>
        <v>5</v>
      </c>
      <c r="C599" s="199" t="str">
        <f>B599&amp;LOOKUP(A599, Sheet2!$A$2:$A$11, Sheet2!$B$2:$B$11)</f>
        <v>5GY</v>
      </c>
      <c r="D599">
        <v>35</v>
      </c>
      <c r="E599">
        <v>2</v>
      </c>
      <c r="F599">
        <v>9</v>
      </c>
      <c r="G599">
        <v>0.88839999999999997</v>
      </c>
      <c r="H599">
        <v>0.91490000000000005</v>
      </c>
      <c r="I599">
        <v>0.77829999999999999</v>
      </c>
      <c r="J599" s="2" t="str">
        <f>HYPERLINK(SetRGB(J599,G599*255,H599*255,I599*255),"HOVER!")</f>
        <v>HOVER!</v>
      </c>
      <c r="K599">
        <f>E599/F599</f>
        <v>0.22222222222222221</v>
      </c>
    </row>
    <row r="600" spans="1:11" ht="15" x14ac:dyDescent="0.35">
      <c r="A600">
        <f t="shared" si="18"/>
        <v>3</v>
      </c>
      <c r="B600">
        <f t="shared" si="19"/>
        <v>5</v>
      </c>
      <c r="C600" s="199" t="str">
        <f>B600&amp;LOOKUP(A600, Sheet2!$A$2:$A$11, Sheet2!$B$2:$B$11)</f>
        <v>5GY</v>
      </c>
      <c r="D600">
        <v>35</v>
      </c>
      <c r="E600">
        <v>4</v>
      </c>
      <c r="F600">
        <v>9</v>
      </c>
      <c r="G600">
        <v>0.877</v>
      </c>
      <c r="H600">
        <v>0.92659999999999998</v>
      </c>
      <c r="I600">
        <v>0.67420000000000002</v>
      </c>
      <c r="J600" s="2" t="str">
        <f>HYPERLINK(SetRGB(J600,G600*255,H600*255,I600*255),"HOVER!")</f>
        <v>HOVER!</v>
      </c>
      <c r="K600">
        <f>E600/F600</f>
        <v>0.44444444444444442</v>
      </c>
    </row>
    <row r="601" spans="1:11" ht="15" x14ac:dyDescent="0.35">
      <c r="A601">
        <f t="shared" si="18"/>
        <v>3</v>
      </c>
      <c r="B601">
        <f t="shared" si="19"/>
        <v>5</v>
      </c>
      <c r="C601" s="199" t="str">
        <f>B601&amp;LOOKUP(A601, Sheet2!$A$2:$A$11, Sheet2!$B$2:$B$11)</f>
        <v>5GY</v>
      </c>
      <c r="D601">
        <v>35</v>
      </c>
      <c r="E601">
        <v>6</v>
      </c>
      <c r="F601">
        <v>9</v>
      </c>
      <c r="G601">
        <v>0.86229999999999996</v>
      </c>
      <c r="H601">
        <v>0.93730000000000002</v>
      </c>
      <c r="I601">
        <v>0.57179999999999997</v>
      </c>
      <c r="J601" s="2" t="str">
        <f>HYPERLINK(SetRGB(J601,G601*255,H601*255,I601*255),"HOVER!")</f>
        <v>HOVER!</v>
      </c>
      <c r="K601">
        <f>E601/F601</f>
        <v>0.66666666666666663</v>
      </c>
    </row>
    <row r="602" spans="1:11" ht="15" x14ac:dyDescent="0.35">
      <c r="A602">
        <f t="shared" si="18"/>
        <v>3</v>
      </c>
      <c r="B602">
        <f t="shared" si="19"/>
        <v>5</v>
      </c>
      <c r="C602" s="199" t="str">
        <f>B602&amp;LOOKUP(A602, Sheet2!$A$2:$A$11, Sheet2!$B$2:$B$11)</f>
        <v>5GY</v>
      </c>
      <c r="D602">
        <v>35</v>
      </c>
      <c r="E602">
        <v>8</v>
      </c>
      <c r="F602">
        <v>9</v>
      </c>
      <c r="G602">
        <v>0.84619999999999995</v>
      </c>
      <c r="H602">
        <v>0.94710000000000005</v>
      </c>
      <c r="I602">
        <v>0.4617</v>
      </c>
      <c r="J602" s="2" t="str">
        <f>HYPERLINK(SetRGB(J602,G602*255,H602*255,I602*255),"HOVER!")</f>
        <v>HOVER!</v>
      </c>
      <c r="K602">
        <f>E602/F602</f>
        <v>0.88888888888888884</v>
      </c>
    </row>
    <row r="603" spans="1:11" ht="15" x14ac:dyDescent="0.35">
      <c r="A603">
        <f t="shared" si="18"/>
        <v>3</v>
      </c>
      <c r="B603">
        <f t="shared" si="19"/>
        <v>5</v>
      </c>
      <c r="C603" s="199" t="str">
        <f>B603&amp;LOOKUP(A603, Sheet2!$A$2:$A$11, Sheet2!$B$2:$B$11)</f>
        <v>5GY</v>
      </c>
      <c r="D603">
        <v>35</v>
      </c>
      <c r="E603">
        <v>10</v>
      </c>
      <c r="F603">
        <v>9</v>
      </c>
      <c r="G603">
        <v>0.83130000000000004</v>
      </c>
      <c r="H603">
        <v>0.95530000000000004</v>
      </c>
      <c r="I603">
        <v>0.34110000000000001</v>
      </c>
      <c r="J603" s="2" t="str">
        <f>HYPERLINK(SetRGB(J603,G603*255,H603*255,I603*255),"HOVER!")</f>
        <v>HOVER!</v>
      </c>
      <c r="K603">
        <f>E603/F603</f>
        <v>1.1111111111111112</v>
      </c>
    </row>
    <row r="604" spans="1:11" ht="15" x14ac:dyDescent="0.35">
      <c r="A604">
        <f t="shared" si="18"/>
        <v>3</v>
      </c>
      <c r="B604">
        <f t="shared" si="19"/>
        <v>5</v>
      </c>
      <c r="C604" s="199" t="str">
        <f>B604&amp;LOOKUP(A604, Sheet2!$A$2:$A$11, Sheet2!$B$2:$B$11)</f>
        <v>5GY</v>
      </c>
      <c r="D604">
        <v>35</v>
      </c>
      <c r="E604">
        <v>12</v>
      </c>
      <c r="F604">
        <v>9</v>
      </c>
      <c r="G604">
        <v>0.81479999999999997</v>
      </c>
      <c r="H604">
        <v>0.96309999999999996</v>
      </c>
      <c r="I604">
        <v>0.16059999999999999</v>
      </c>
      <c r="J604" s="2" t="str">
        <f>HYPERLINK(SetRGB(J604,G604*255,H604*255,I604*255),"HOVER!")</f>
        <v>HOVER!</v>
      </c>
      <c r="K604">
        <f>E604/F604</f>
        <v>1.3333333333333333</v>
      </c>
    </row>
    <row r="605" spans="1:11" ht="15" x14ac:dyDescent="0.35">
      <c r="A605">
        <f t="shared" si="18"/>
        <v>3</v>
      </c>
      <c r="B605">
        <f t="shared" si="19"/>
        <v>7.5</v>
      </c>
      <c r="C605" s="199" t="str">
        <f>B605&amp;LOOKUP(A605, Sheet2!$A$2:$A$11, Sheet2!$B$2:$B$11)</f>
        <v>7.5GY</v>
      </c>
      <c r="D605">
        <v>37.5</v>
      </c>
      <c r="E605">
        <v>2</v>
      </c>
      <c r="F605">
        <v>1</v>
      </c>
      <c r="G605">
        <v>8.77E-2</v>
      </c>
      <c r="H605">
        <v>0.1221</v>
      </c>
      <c r="I605">
        <v>8.0600000000000005E-2</v>
      </c>
      <c r="J605" s="46" t="str">
        <f>HYPERLINK(SetRGB(J605,G605*255,H605*255,I605*255),"HOVER!")</f>
        <v>HOVER!</v>
      </c>
      <c r="K605">
        <f>E605/F605</f>
        <v>2</v>
      </c>
    </row>
    <row r="606" spans="1:11" ht="15" x14ac:dyDescent="0.35">
      <c r="A606">
        <f t="shared" si="18"/>
        <v>3</v>
      </c>
      <c r="B606">
        <f t="shared" si="19"/>
        <v>7.5</v>
      </c>
      <c r="C606" s="199" t="str">
        <f>B606&amp;LOOKUP(A606, Sheet2!$A$2:$A$11, Sheet2!$B$2:$B$11)</f>
        <v>7.5GY</v>
      </c>
      <c r="D606">
        <v>37.5</v>
      </c>
      <c r="E606">
        <v>4</v>
      </c>
      <c r="F606">
        <v>1</v>
      </c>
      <c r="G606">
        <v>2.1700000000000001E-2</v>
      </c>
      <c r="H606">
        <v>0.1353</v>
      </c>
      <c r="I606">
        <v>7.4999999999999997E-3</v>
      </c>
      <c r="J606" s="47" t="str">
        <f>HYPERLINK(SetRGB(J606,G606*255,H606*255,I606*255),"HOVER!")</f>
        <v>HOVER!</v>
      </c>
      <c r="K606">
        <f>E606/F606</f>
        <v>4</v>
      </c>
    </row>
    <row r="607" spans="1:11" ht="15" x14ac:dyDescent="0.35">
      <c r="A607">
        <f t="shared" si="18"/>
        <v>3</v>
      </c>
      <c r="B607">
        <f t="shared" si="19"/>
        <v>7.5</v>
      </c>
      <c r="C607" s="199" t="str">
        <f>B607&amp;LOOKUP(A607, Sheet2!$A$2:$A$11, Sheet2!$B$2:$B$11)</f>
        <v>7.5GY</v>
      </c>
      <c r="D607">
        <v>37.5</v>
      </c>
      <c r="E607">
        <v>2</v>
      </c>
      <c r="F607">
        <v>2</v>
      </c>
      <c r="G607">
        <v>0.17</v>
      </c>
      <c r="H607">
        <v>0.20399999999999999</v>
      </c>
      <c r="I607">
        <v>0.15840000000000001</v>
      </c>
      <c r="J607" s="61" t="str">
        <f>HYPERLINK(SetRGB(J607,G607*255,H607*255,I607*255),"HOVER!")</f>
        <v>HOVER!</v>
      </c>
      <c r="K607">
        <f>E607/F607</f>
        <v>1</v>
      </c>
    </row>
    <row r="608" spans="1:11" ht="15" x14ac:dyDescent="0.35">
      <c r="A608">
        <f t="shared" si="18"/>
        <v>3</v>
      </c>
      <c r="B608">
        <f t="shared" si="19"/>
        <v>7.5</v>
      </c>
      <c r="C608" s="199" t="str">
        <f>B608&amp;LOOKUP(A608, Sheet2!$A$2:$A$11, Sheet2!$B$2:$B$11)</f>
        <v>7.5GY</v>
      </c>
      <c r="D608">
        <v>37.5</v>
      </c>
      <c r="E608">
        <v>4</v>
      </c>
      <c r="F608">
        <v>2</v>
      </c>
      <c r="G608">
        <v>0.13320000000000001</v>
      </c>
      <c r="H608">
        <v>0.2155</v>
      </c>
      <c r="I608">
        <v>0.1028</v>
      </c>
      <c r="J608" s="60" t="str">
        <f>HYPERLINK(SetRGB(J608,G608*255,H608*255,I608*255),"HOVER!")</f>
        <v>HOVER!</v>
      </c>
      <c r="K608">
        <f>E608/F608</f>
        <v>2</v>
      </c>
    </row>
    <row r="609" spans="1:11" ht="15" x14ac:dyDescent="0.35">
      <c r="A609">
        <f t="shared" si="18"/>
        <v>3</v>
      </c>
      <c r="B609">
        <f t="shared" si="19"/>
        <v>7.5</v>
      </c>
      <c r="C609" s="199" t="str">
        <f>B609&amp;LOOKUP(A609, Sheet2!$A$2:$A$11, Sheet2!$B$2:$B$11)</f>
        <v>7.5GY</v>
      </c>
      <c r="D609">
        <v>37.5</v>
      </c>
      <c r="E609">
        <v>6</v>
      </c>
      <c r="F609">
        <v>2</v>
      </c>
      <c r="G609">
        <v>8.2699999999999996E-2</v>
      </c>
      <c r="H609">
        <v>0.22539999999999999</v>
      </c>
      <c r="I609">
        <v>2.8299999999999999E-2</v>
      </c>
      <c r="J609" s="59" t="str">
        <f>HYPERLINK(SetRGB(J609,G609*255,H609*255,I609*255),"HOVER!")</f>
        <v>HOVER!</v>
      </c>
      <c r="K609">
        <f>E609/F609</f>
        <v>3</v>
      </c>
    </row>
    <row r="610" spans="1:11" ht="15" x14ac:dyDescent="0.35">
      <c r="A610">
        <f t="shared" si="18"/>
        <v>3</v>
      </c>
      <c r="B610">
        <f t="shared" si="19"/>
        <v>7.5</v>
      </c>
      <c r="C610" s="199" t="str">
        <f>B610&amp;LOOKUP(A610, Sheet2!$A$2:$A$11, Sheet2!$B$2:$B$11)</f>
        <v>7.5GY</v>
      </c>
      <c r="D610">
        <v>37.5</v>
      </c>
      <c r="E610">
        <v>2</v>
      </c>
      <c r="F610">
        <v>3</v>
      </c>
      <c r="G610">
        <v>0.25430000000000003</v>
      </c>
      <c r="H610">
        <v>0.29680000000000001</v>
      </c>
      <c r="I610">
        <v>0.23549999999999999</v>
      </c>
      <c r="J610" s="1" t="str">
        <f>HYPERLINK(SetRGB(J610,G610*255,H610*255,I610*255),"HOVER!")</f>
        <v>HOVER!</v>
      </c>
      <c r="K610">
        <f>E610/F610</f>
        <v>0.66666666666666663</v>
      </c>
    </row>
    <row r="611" spans="1:11" ht="15" x14ac:dyDescent="0.35">
      <c r="A611">
        <f t="shared" si="18"/>
        <v>3</v>
      </c>
      <c r="B611">
        <f t="shared" si="19"/>
        <v>7.5</v>
      </c>
      <c r="C611" s="199" t="str">
        <f>B611&amp;LOOKUP(A611, Sheet2!$A$2:$A$11, Sheet2!$B$2:$B$11)</f>
        <v>7.5GY</v>
      </c>
      <c r="D611">
        <v>37.5</v>
      </c>
      <c r="E611">
        <v>4</v>
      </c>
      <c r="F611">
        <v>3</v>
      </c>
      <c r="G611">
        <v>0.21779999999999999</v>
      </c>
      <c r="H611">
        <v>0.30940000000000001</v>
      </c>
      <c r="I611">
        <v>0.1739</v>
      </c>
      <c r="J611" s="1" t="str">
        <f>HYPERLINK(SetRGB(J611,G611*255,H611*255,I611*255),"HOVER!")</f>
        <v>HOVER!</v>
      </c>
      <c r="K611">
        <f>E611/F611</f>
        <v>1.3333333333333333</v>
      </c>
    </row>
    <row r="612" spans="1:11" ht="15" x14ac:dyDescent="0.35">
      <c r="A612">
        <f t="shared" si="18"/>
        <v>3</v>
      </c>
      <c r="B612">
        <f t="shared" si="19"/>
        <v>7.5</v>
      </c>
      <c r="C612" s="199" t="str">
        <f>B612&amp;LOOKUP(A612, Sheet2!$A$2:$A$11, Sheet2!$B$2:$B$11)</f>
        <v>7.5GY</v>
      </c>
      <c r="D612">
        <v>37.5</v>
      </c>
      <c r="E612">
        <v>6</v>
      </c>
      <c r="F612">
        <v>3</v>
      </c>
      <c r="G612">
        <v>0.1784</v>
      </c>
      <c r="H612">
        <v>0.31950000000000001</v>
      </c>
      <c r="I612">
        <v>0.1042</v>
      </c>
      <c r="J612" s="1" t="str">
        <f>HYPERLINK(SetRGB(J612,G612*255,H612*255,I612*255),"HOVER!")</f>
        <v>HOVER!</v>
      </c>
      <c r="K612">
        <f>E612/F612</f>
        <v>2</v>
      </c>
    </row>
    <row r="613" spans="1:11" ht="15" x14ac:dyDescent="0.35">
      <c r="A613">
        <f t="shared" si="18"/>
        <v>3</v>
      </c>
      <c r="B613">
        <f t="shared" si="19"/>
        <v>7.5</v>
      </c>
      <c r="C613" s="199" t="str">
        <f>B613&amp;LOOKUP(A613, Sheet2!$A$2:$A$11, Sheet2!$B$2:$B$11)</f>
        <v>7.5GY</v>
      </c>
      <c r="D613">
        <v>37.5</v>
      </c>
      <c r="E613">
        <v>2</v>
      </c>
      <c r="F613">
        <v>4</v>
      </c>
      <c r="G613">
        <v>0.3483</v>
      </c>
      <c r="H613">
        <v>0.39589999999999997</v>
      </c>
      <c r="I613">
        <v>0.3231</v>
      </c>
      <c r="J613" s="1" t="str">
        <f>HYPERLINK(SetRGB(J613,G613*255,H613*255,I613*255),"HOVER!")</f>
        <v>HOVER!</v>
      </c>
      <c r="K613">
        <f>E613/F613</f>
        <v>0.5</v>
      </c>
    </row>
    <row r="614" spans="1:11" ht="15" x14ac:dyDescent="0.35">
      <c r="A614">
        <f t="shared" si="18"/>
        <v>3</v>
      </c>
      <c r="B614">
        <f t="shared" si="19"/>
        <v>7.5</v>
      </c>
      <c r="C614" s="199" t="str">
        <f>B614&amp;LOOKUP(A614, Sheet2!$A$2:$A$11, Sheet2!$B$2:$B$11)</f>
        <v>7.5GY</v>
      </c>
      <c r="D614">
        <v>37.5</v>
      </c>
      <c r="E614">
        <v>4</v>
      </c>
      <c r="F614">
        <v>4</v>
      </c>
      <c r="G614">
        <v>0.31119999999999998</v>
      </c>
      <c r="H614">
        <v>0.4098</v>
      </c>
      <c r="I614">
        <v>0.25380000000000003</v>
      </c>
      <c r="J614" s="1" t="str">
        <f>HYPERLINK(SetRGB(J614,G614*255,H614*255,I614*255),"HOVER!")</f>
        <v>HOVER!</v>
      </c>
      <c r="K614">
        <f>E614/F614</f>
        <v>1</v>
      </c>
    </row>
    <row r="615" spans="1:11" ht="15" x14ac:dyDescent="0.35">
      <c r="A615">
        <f t="shared" si="18"/>
        <v>3</v>
      </c>
      <c r="B615">
        <f t="shared" si="19"/>
        <v>7.5</v>
      </c>
      <c r="C615" s="199" t="str">
        <f>B615&amp;LOOKUP(A615, Sheet2!$A$2:$A$11, Sheet2!$B$2:$B$11)</f>
        <v>7.5GY</v>
      </c>
      <c r="D615">
        <v>37.5</v>
      </c>
      <c r="E615">
        <v>6</v>
      </c>
      <c r="F615">
        <v>4</v>
      </c>
      <c r="G615">
        <v>0.27139999999999997</v>
      </c>
      <c r="H615">
        <v>0.4214</v>
      </c>
      <c r="I615">
        <v>0.17860000000000001</v>
      </c>
      <c r="J615" s="1" t="str">
        <f>HYPERLINK(SetRGB(J615,G615*255,H615*255,I615*255),"HOVER!")</f>
        <v>HOVER!</v>
      </c>
      <c r="K615">
        <f>E615/F615</f>
        <v>1.5</v>
      </c>
    </row>
    <row r="616" spans="1:11" ht="15" x14ac:dyDescent="0.35">
      <c r="A616">
        <f t="shared" si="18"/>
        <v>3</v>
      </c>
      <c r="B616">
        <f t="shared" si="19"/>
        <v>7.5</v>
      </c>
      <c r="C616" s="199" t="str">
        <f>B616&amp;LOOKUP(A616, Sheet2!$A$2:$A$11, Sheet2!$B$2:$B$11)</f>
        <v>7.5GY</v>
      </c>
      <c r="D616">
        <v>37.5</v>
      </c>
      <c r="E616">
        <v>8</v>
      </c>
      <c r="F616">
        <v>4</v>
      </c>
      <c r="G616">
        <v>0.22570000000000001</v>
      </c>
      <c r="H616">
        <v>0.43149999999999999</v>
      </c>
      <c r="I616">
        <v>7.5700000000000003E-2</v>
      </c>
      <c r="J616" s="1" t="str">
        <f>HYPERLINK(SetRGB(J616,G616*255,H616*255,I616*255),"HOVER!")</f>
        <v>HOVER!</v>
      </c>
      <c r="K616">
        <f>E616/F616</f>
        <v>2</v>
      </c>
    </row>
    <row r="617" spans="1:11" ht="15" x14ac:dyDescent="0.35">
      <c r="A617">
        <f t="shared" si="18"/>
        <v>3</v>
      </c>
      <c r="B617">
        <f t="shared" si="19"/>
        <v>7.5</v>
      </c>
      <c r="C617" s="199" t="str">
        <f>B617&amp;LOOKUP(A617, Sheet2!$A$2:$A$11, Sheet2!$B$2:$B$11)</f>
        <v>7.5GY</v>
      </c>
      <c r="D617">
        <v>37.5</v>
      </c>
      <c r="E617">
        <v>2</v>
      </c>
      <c r="F617">
        <v>5</v>
      </c>
      <c r="G617">
        <v>0.44819999999999999</v>
      </c>
      <c r="H617">
        <v>0.49790000000000001</v>
      </c>
      <c r="I617">
        <v>0.41660000000000003</v>
      </c>
      <c r="J617" s="1" t="str">
        <f>HYPERLINK(SetRGB(J617,G617*255,H617*255,I617*255),"HOVER!")</f>
        <v>HOVER!</v>
      </c>
      <c r="K617">
        <f>E617/F617</f>
        <v>0.4</v>
      </c>
    </row>
    <row r="618" spans="1:11" ht="15" x14ac:dyDescent="0.35">
      <c r="A618">
        <f t="shared" si="18"/>
        <v>3</v>
      </c>
      <c r="B618">
        <f t="shared" si="19"/>
        <v>7.5</v>
      </c>
      <c r="C618" s="199" t="str">
        <f>B618&amp;LOOKUP(A618, Sheet2!$A$2:$A$11, Sheet2!$B$2:$B$11)</f>
        <v>7.5GY</v>
      </c>
      <c r="D618">
        <v>37.5</v>
      </c>
      <c r="E618">
        <v>4</v>
      </c>
      <c r="F618">
        <v>5</v>
      </c>
      <c r="G618">
        <v>0.41410000000000002</v>
      </c>
      <c r="H618">
        <v>0.51160000000000005</v>
      </c>
      <c r="I618">
        <v>0.3488</v>
      </c>
      <c r="J618" s="1" t="str">
        <f>HYPERLINK(SetRGB(J618,G618*255,H618*255,I618*255),"HOVER!")</f>
        <v>HOVER!</v>
      </c>
      <c r="K618">
        <f>E618/F618</f>
        <v>0.8</v>
      </c>
    </row>
    <row r="619" spans="1:11" ht="15" x14ac:dyDescent="0.35">
      <c r="A619">
        <f t="shared" si="18"/>
        <v>3</v>
      </c>
      <c r="B619">
        <f t="shared" si="19"/>
        <v>7.5</v>
      </c>
      <c r="C619" s="199" t="str">
        <f>B619&amp;LOOKUP(A619, Sheet2!$A$2:$A$11, Sheet2!$B$2:$B$11)</f>
        <v>7.5GY</v>
      </c>
      <c r="D619">
        <v>37.5</v>
      </c>
      <c r="E619">
        <v>6</v>
      </c>
      <c r="F619">
        <v>5</v>
      </c>
      <c r="G619">
        <v>0.37590000000000001</v>
      </c>
      <c r="H619">
        <v>0.52429999999999999</v>
      </c>
      <c r="I619">
        <v>0.27189999999999998</v>
      </c>
      <c r="J619" s="1" t="str">
        <f>HYPERLINK(SetRGB(J619,G619*255,H619*255,I619*255),"HOVER!")</f>
        <v>HOVER!</v>
      </c>
      <c r="K619">
        <f>E619/F619</f>
        <v>1.2</v>
      </c>
    </row>
    <row r="620" spans="1:11" ht="15" x14ac:dyDescent="0.35">
      <c r="A620">
        <f t="shared" si="18"/>
        <v>3</v>
      </c>
      <c r="B620">
        <f t="shared" si="19"/>
        <v>7.5</v>
      </c>
      <c r="C620" s="199" t="str">
        <f>B620&amp;LOOKUP(A620, Sheet2!$A$2:$A$11, Sheet2!$B$2:$B$11)</f>
        <v>7.5GY</v>
      </c>
      <c r="D620">
        <v>37.5</v>
      </c>
      <c r="E620">
        <v>8</v>
      </c>
      <c r="F620">
        <v>5</v>
      </c>
      <c r="G620">
        <v>0.33529999999999999</v>
      </c>
      <c r="H620">
        <v>0.53520000000000001</v>
      </c>
      <c r="I620">
        <v>0.18579999999999999</v>
      </c>
      <c r="J620" s="1" t="str">
        <f>HYPERLINK(SetRGB(J620,G620*255,H620*255,I620*255),"HOVER!")</f>
        <v>HOVER!</v>
      </c>
      <c r="K620">
        <f>E620/F620</f>
        <v>1.6</v>
      </c>
    </row>
    <row r="621" spans="1:11" ht="15" x14ac:dyDescent="0.35">
      <c r="A621">
        <f t="shared" si="18"/>
        <v>3</v>
      </c>
      <c r="B621">
        <f t="shared" si="19"/>
        <v>7.5</v>
      </c>
      <c r="C621" s="199" t="str">
        <f>B621&amp;LOOKUP(A621, Sheet2!$A$2:$A$11, Sheet2!$B$2:$B$11)</f>
        <v>7.5GY</v>
      </c>
      <c r="D621">
        <v>37.5</v>
      </c>
      <c r="E621">
        <v>10</v>
      </c>
      <c r="F621">
        <v>5</v>
      </c>
      <c r="G621">
        <v>0.28939999999999999</v>
      </c>
      <c r="H621">
        <v>0.54510000000000003</v>
      </c>
      <c r="I621">
        <v>3.8100000000000002E-2</v>
      </c>
      <c r="J621" s="1" t="str">
        <f>HYPERLINK(SetRGB(J621,G621*255,H621*255,I621*255),"HOVER!")</f>
        <v>HOVER!</v>
      </c>
      <c r="K621">
        <f>E621/F621</f>
        <v>2</v>
      </c>
    </row>
    <row r="622" spans="1:11" ht="15" x14ac:dyDescent="0.35">
      <c r="A622">
        <f t="shared" si="18"/>
        <v>3</v>
      </c>
      <c r="B622">
        <f t="shared" si="19"/>
        <v>7.5</v>
      </c>
      <c r="C622" s="199" t="str">
        <f>B622&amp;LOOKUP(A622, Sheet2!$A$2:$A$11, Sheet2!$B$2:$B$11)</f>
        <v>7.5GY</v>
      </c>
      <c r="D622">
        <v>37.5</v>
      </c>
      <c r="E622">
        <v>2</v>
      </c>
      <c r="F622">
        <v>6</v>
      </c>
      <c r="G622">
        <v>0.54730000000000001</v>
      </c>
      <c r="H622">
        <v>0.60229999999999995</v>
      </c>
      <c r="I622">
        <v>0.50780000000000003</v>
      </c>
      <c r="J622" s="2" t="str">
        <f>HYPERLINK(SetRGB(J622,G622*255,H622*255,I622*255),"HOVER!")</f>
        <v>HOVER!</v>
      </c>
      <c r="K622">
        <f>E622/F622</f>
        <v>0.33333333333333331</v>
      </c>
    </row>
    <row r="623" spans="1:11" ht="15" x14ac:dyDescent="0.35">
      <c r="A623">
        <f t="shared" si="18"/>
        <v>3</v>
      </c>
      <c r="B623">
        <f t="shared" si="19"/>
        <v>7.5</v>
      </c>
      <c r="C623" s="199" t="str">
        <f>B623&amp;LOOKUP(A623, Sheet2!$A$2:$A$11, Sheet2!$B$2:$B$11)</f>
        <v>7.5GY</v>
      </c>
      <c r="D623">
        <v>37.5</v>
      </c>
      <c r="E623">
        <v>4</v>
      </c>
      <c r="F623">
        <v>6</v>
      </c>
      <c r="G623">
        <v>0.51439999999999997</v>
      </c>
      <c r="H623">
        <v>0.61619999999999997</v>
      </c>
      <c r="I623">
        <v>0.43769999999999998</v>
      </c>
      <c r="J623" s="2" t="str">
        <f>HYPERLINK(SetRGB(J623,G623*255,H623*255,I623*255),"HOVER!")</f>
        <v>HOVER!</v>
      </c>
      <c r="K623">
        <f>E623/F623</f>
        <v>0.66666666666666663</v>
      </c>
    </row>
    <row r="624" spans="1:11" ht="15" x14ac:dyDescent="0.35">
      <c r="A624">
        <f t="shared" si="18"/>
        <v>3</v>
      </c>
      <c r="B624">
        <f t="shared" si="19"/>
        <v>7.5</v>
      </c>
      <c r="C624" s="199" t="str">
        <f>B624&amp;LOOKUP(A624, Sheet2!$A$2:$A$11, Sheet2!$B$2:$B$11)</f>
        <v>7.5GY</v>
      </c>
      <c r="D624">
        <v>37.5</v>
      </c>
      <c r="E624">
        <v>6</v>
      </c>
      <c r="F624">
        <v>6</v>
      </c>
      <c r="G624">
        <v>0.47960000000000003</v>
      </c>
      <c r="H624">
        <v>0.62880000000000003</v>
      </c>
      <c r="I624">
        <v>0.3629</v>
      </c>
      <c r="J624" s="2" t="str">
        <f>HYPERLINK(SetRGB(J624,G624*255,H624*255,I624*255),"HOVER!")</f>
        <v>HOVER!</v>
      </c>
      <c r="K624">
        <f>E624/F624</f>
        <v>1</v>
      </c>
    </row>
    <row r="625" spans="1:11" ht="15" x14ac:dyDescent="0.35">
      <c r="A625">
        <f t="shared" si="18"/>
        <v>3</v>
      </c>
      <c r="B625">
        <f t="shared" si="19"/>
        <v>7.5</v>
      </c>
      <c r="C625" s="199" t="str">
        <f>B625&amp;LOOKUP(A625, Sheet2!$A$2:$A$11, Sheet2!$B$2:$B$11)</f>
        <v>7.5GY</v>
      </c>
      <c r="D625">
        <v>37.5</v>
      </c>
      <c r="E625">
        <v>8</v>
      </c>
      <c r="F625">
        <v>6</v>
      </c>
      <c r="G625">
        <v>0.439</v>
      </c>
      <c r="H625">
        <v>0.6411</v>
      </c>
      <c r="I625">
        <v>0.27379999999999999</v>
      </c>
      <c r="J625" s="2" t="str">
        <f>HYPERLINK(SetRGB(J625,G625*255,H625*255,I625*255),"HOVER!")</f>
        <v>HOVER!</v>
      </c>
      <c r="K625">
        <f>E625/F625</f>
        <v>1.3333333333333333</v>
      </c>
    </row>
    <row r="626" spans="1:11" ht="15" x14ac:dyDescent="0.35">
      <c r="A626">
        <f t="shared" si="18"/>
        <v>3</v>
      </c>
      <c r="B626">
        <f t="shared" si="19"/>
        <v>7.5</v>
      </c>
      <c r="C626" s="199" t="str">
        <f>B626&amp;LOOKUP(A626, Sheet2!$A$2:$A$11, Sheet2!$B$2:$B$11)</f>
        <v>7.5GY</v>
      </c>
      <c r="D626">
        <v>37.5</v>
      </c>
      <c r="E626">
        <v>10</v>
      </c>
      <c r="F626">
        <v>6</v>
      </c>
      <c r="G626">
        <v>0.39700000000000002</v>
      </c>
      <c r="H626">
        <v>0.65149999999999997</v>
      </c>
      <c r="I626">
        <v>0.16889999999999999</v>
      </c>
      <c r="J626" s="2" t="str">
        <f>HYPERLINK(SetRGB(J626,G626*255,H626*255,I626*255),"HOVER!")</f>
        <v>HOVER!</v>
      </c>
      <c r="K626">
        <f>E626/F626</f>
        <v>1.6666666666666667</v>
      </c>
    </row>
    <row r="627" spans="1:11" ht="15" x14ac:dyDescent="0.35">
      <c r="A627">
        <f t="shared" si="18"/>
        <v>3</v>
      </c>
      <c r="B627">
        <f t="shared" si="19"/>
        <v>7.5</v>
      </c>
      <c r="C627" s="199" t="str">
        <f>B627&amp;LOOKUP(A627, Sheet2!$A$2:$A$11, Sheet2!$B$2:$B$11)</f>
        <v>7.5GY</v>
      </c>
      <c r="D627">
        <v>37.5</v>
      </c>
      <c r="E627">
        <v>2</v>
      </c>
      <c r="F627">
        <v>7</v>
      </c>
      <c r="G627">
        <v>0.65</v>
      </c>
      <c r="H627">
        <v>0.70650000000000002</v>
      </c>
      <c r="I627">
        <v>0.60589999999999999</v>
      </c>
      <c r="J627" s="2" t="str">
        <f>HYPERLINK(SetRGB(J627,G627*255,H627*255,I627*255),"HOVER!")</f>
        <v>HOVER!</v>
      </c>
      <c r="K627">
        <f>E627/F627</f>
        <v>0.2857142857142857</v>
      </c>
    </row>
    <row r="628" spans="1:11" ht="15" x14ac:dyDescent="0.35">
      <c r="A628">
        <f t="shared" si="18"/>
        <v>3</v>
      </c>
      <c r="B628">
        <f t="shared" si="19"/>
        <v>7.5</v>
      </c>
      <c r="C628" s="199" t="str">
        <f>B628&amp;LOOKUP(A628, Sheet2!$A$2:$A$11, Sheet2!$B$2:$B$11)</f>
        <v>7.5GY</v>
      </c>
      <c r="D628">
        <v>37.5</v>
      </c>
      <c r="E628">
        <v>4</v>
      </c>
      <c r="F628">
        <v>7</v>
      </c>
      <c r="G628">
        <v>0.61660000000000004</v>
      </c>
      <c r="H628">
        <v>0.72119999999999995</v>
      </c>
      <c r="I628">
        <v>0.53269999999999995</v>
      </c>
      <c r="J628" s="2" t="str">
        <f>HYPERLINK(SetRGB(J628,G628*255,H628*255,I628*255),"HOVER!")</f>
        <v>HOVER!</v>
      </c>
      <c r="K628">
        <f>E628/F628</f>
        <v>0.5714285714285714</v>
      </c>
    </row>
    <row r="629" spans="1:11" ht="15" x14ac:dyDescent="0.35">
      <c r="A629">
        <f t="shared" si="18"/>
        <v>3</v>
      </c>
      <c r="B629">
        <f t="shared" si="19"/>
        <v>7.5</v>
      </c>
      <c r="C629" s="199" t="str">
        <f>B629&amp;LOOKUP(A629, Sheet2!$A$2:$A$11, Sheet2!$B$2:$B$11)</f>
        <v>7.5GY</v>
      </c>
      <c r="D629">
        <v>37.5</v>
      </c>
      <c r="E629">
        <v>6</v>
      </c>
      <c r="F629">
        <v>7</v>
      </c>
      <c r="G629">
        <v>0.58379999999999999</v>
      </c>
      <c r="H629">
        <v>0.7339</v>
      </c>
      <c r="I629">
        <v>0.45750000000000002</v>
      </c>
      <c r="J629" s="2" t="str">
        <f>HYPERLINK(SetRGB(J629,G629*255,H629*255,I629*255),"HOVER!")</f>
        <v>HOVER!</v>
      </c>
      <c r="K629">
        <f>E629/F629</f>
        <v>0.8571428571428571</v>
      </c>
    </row>
    <row r="630" spans="1:11" ht="15" x14ac:dyDescent="0.35">
      <c r="A630">
        <f t="shared" si="18"/>
        <v>3</v>
      </c>
      <c r="B630">
        <f t="shared" si="19"/>
        <v>7.5</v>
      </c>
      <c r="C630" s="199" t="str">
        <f>B630&amp;LOOKUP(A630, Sheet2!$A$2:$A$11, Sheet2!$B$2:$B$11)</f>
        <v>7.5GY</v>
      </c>
      <c r="D630">
        <v>37.5</v>
      </c>
      <c r="E630">
        <v>8</v>
      </c>
      <c r="F630">
        <v>7</v>
      </c>
      <c r="G630">
        <v>0.54720000000000002</v>
      </c>
      <c r="H630">
        <v>0.74609999999999999</v>
      </c>
      <c r="I630">
        <v>0.37480000000000002</v>
      </c>
      <c r="J630" s="2" t="str">
        <f>HYPERLINK(SetRGB(J630,G630*255,H630*255,I630*255),"HOVER!")</f>
        <v>HOVER!</v>
      </c>
      <c r="K630">
        <f>E630/F630</f>
        <v>1.1428571428571428</v>
      </c>
    </row>
    <row r="631" spans="1:11" ht="15" x14ac:dyDescent="0.35">
      <c r="A631">
        <f t="shared" si="18"/>
        <v>3</v>
      </c>
      <c r="B631">
        <f t="shared" si="19"/>
        <v>7.5</v>
      </c>
      <c r="C631" s="199" t="str">
        <f>B631&amp;LOOKUP(A631, Sheet2!$A$2:$A$11, Sheet2!$B$2:$B$11)</f>
        <v>7.5GY</v>
      </c>
      <c r="D631">
        <v>37.5</v>
      </c>
      <c r="E631">
        <v>10</v>
      </c>
      <c r="F631">
        <v>7</v>
      </c>
      <c r="G631">
        <v>0.50619999999999998</v>
      </c>
      <c r="H631">
        <v>0.75770000000000004</v>
      </c>
      <c r="I631">
        <v>0.27610000000000001</v>
      </c>
      <c r="J631" s="2" t="str">
        <f>HYPERLINK(SetRGB(J631,G631*255,H631*255,I631*255),"HOVER!")</f>
        <v>HOVER!</v>
      </c>
      <c r="K631">
        <f>E631/F631</f>
        <v>1.4285714285714286</v>
      </c>
    </row>
    <row r="632" spans="1:11" ht="15" x14ac:dyDescent="0.35">
      <c r="A632">
        <f t="shared" si="18"/>
        <v>3</v>
      </c>
      <c r="B632">
        <f t="shared" si="19"/>
        <v>7.5</v>
      </c>
      <c r="C632" s="199" t="str">
        <f>B632&amp;LOOKUP(A632, Sheet2!$A$2:$A$11, Sheet2!$B$2:$B$11)</f>
        <v>7.5GY</v>
      </c>
      <c r="D632">
        <v>37.5</v>
      </c>
      <c r="E632">
        <v>12</v>
      </c>
      <c r="F632">
        <v>7</v>
      </c>
      <c r="G632">
        <v>0.46460000000000001</v>
      </c>
      <c r="H632">
        <v>0.76770000000000005</v>
      </c>
      <c r="I632">
        <v>0.1444</v>
      </c>
      <c r="J632" s="2" t="str">
        <f>HYPERLINK(SetRGB(J632,G632*255,H632*255,I632*255),"HOVER!")</f>
        <v>HOVER!</v>
      </c>
      <c r="K632">
        <f>E632/F632</f>
        <v>1.7142857142857142</v>
      </c>
    </row>
    <row r="633" spans="1:11" ht="15" x14ac:dyDescent="0.35">
      <c r="A633">
        <f t="shared" si="18"/>
        <v>3</v>
      </c>
      <c r="B633">
        <f t="shared" si="19"/>
        <v>7.5</v>
      </c>
      <c r="C633" s="199" t="str">
        <f>B633&amp;LOOKUP(A633, Sheet2!$A$2:$A$11, Sheet2!$B$2:$B$11)</f>
        <v>7.5GY</v>
      </c>
      <c r="D633">
        <v>37.5</v>
      </c>
      <c r="E633">
        <v>2</v>
      </c>
      <c r="F633">
        <v>8</v>
      </c>
      <c r="G633">
        <v>0.75409999999999999</v>
      </c>
      <c r="H633">
        <v>0.81240000000000001</v>
      </c>
      <c r="I633">
        <v>0.70189999999999997</v>
      </c>
      <c r="J633" s="2" t="str">
        <f>HYPERLINK(SetRGB(J633,G633*255,H633*255,I633*255),"HOVER!")</f>
        <v>HOVER!</v>
      </c>
      <c r="K633">
        <f>E633/F633</f>
        <v>0.25</v>
      </c>
    </row>
    <row r="634" spans="1:11" ht="15" x14ac:dyDescent="0.35">
      <c r="A634">
        <f t="shared" si="18"/>
        <v>3</v>
      </c>
      <c r="B634">
        <f t="shared" si="19"/>
        <v>7.5</v>
      </c>
      <c r="C634" s="199" t="str">
        <f>B634&amp;LOOKUP(A634, Sheet2!$A$2:$A$11, Sheet2!$B$2:$B$11)</f>
        <v>7.5GY</v>
      </c>
      <c r="D634">
        <v>37.5</v>
      </c>
      <c r="E634">
        <v>4</v>
      </c>
      <c r="F634">
        <v>8</v>
      </c>
      <c r="G634">
        <v>0.71879999999999999</v>
      </c>
      <c r="H634">
        <v>0.82809999999999995</v>
      </c>
      <c r="I634">
        <v>0.62439999999999996</v>
      </c>
      <c r="J634" s="2" t="str">
        <f>HYPERLINK(SetRGB(J634,G634*255,H634*255,I634*255),"HOVER!")</f>
        <v>HOVER!</v>
      </c>
      <c r="K634">
        <f>E634/F634</f>
        <v>0.5</v>
      </c>
    </row>
    <row r="635" spans="1:11" ht="15" x14ac:dyDescent="0.35">
      <c r="A635">
        <f t="shared" si="18"/>
        <v>3</v>
      </c>
      <c r="B635">
        <f t="shared" si="19"/>
        <v>7.5</v>
      </c>
      <c r="C635" s="199" t="str">
        <f>B635&amp;LOOKUP(A635, Sheet2!$A$2:$A$11, Sheet2!$B$2:$B$11)</f>
        <v>7.5GY</v>
      </c>
      <c r="D635">
        <v>37.5</v>
      </c>
      <c r="E635">
        <v>6</v>
      </c>
      <c r="F635">
        <v>8</v>
      </c>
      <c r="G635">
        <v>0.68479999999999996</v>
      </c>
      <c r="H635">
        <v>0.84179999999999999</v>
      </c>
      <c r="I635">
        <v>0.54400000000000004</v>
      </c>
      <c r="J635" s="2" t="str">
        <f>HYPERLINK(SetRGB(J635,G635*255,H635*255,I635*255),"HOVER!")</f>
        <v>HOVER!</v>
      </c>
      <c r="K635">
        <f>E635/F635</f>
        <v>0.75</v>
      </c>
    </row>
    <row r="636" spans="1:11" ht="15" x14ac:dyDescent="0.35">
      <c r="A636">
        <f t="shared" si="18"/>
        <v>3</v>
      </c>
      <c r="B636">
        <f t="shared" si="19"/>
        <v>7.5</v>
      </c>
      <c r="C636" s="199" t="str">
        <f>B636&amp;LOOKUP(A636, Sheet2!$A$2:$A$11, Sheet2!$B$2:$B$11)</f>
        <v>7.5GY</v>
      </c>
      <c r="D636">
        <v>37.5</v>
      </c>
      <c r="E636">
        <v>8</v>
      </c>
      <c r="F636">
        <v>8</v>
      </c>
      <c r="G636">
        <v>0.65190000000000003</v>
      </c>
      <c r="H636">
        <v>0.8538</v>
      </c>
      <c r="I636">
        <v>0.46039999999999998</v>
      </c>
      <c r="J636" s="2" t="str">
        <f>HYPERLINK(SetRGB(J636,G636*255,H636*255,I636*255),"HOVER!")</f>
        <v>HOVER!</v>
      </c>
      <c r="K636">
        <f>E636/F636</f>
        <v>1</v>
      </c>
    </row>
    <row r="637" spans="1:11" ht="15" x14ac:dyDescent="0.35">
      <c r="A637">
        <f t="shared" si="18"/>
        <v>3</v>
      </c>
      <c r="B637">
        <f t="shared" si="19"/>
        <v>7.5</v>
      </c>
      <c r="C637" s="199" t="str">
        <f>B637&amp;LOOKUP(A637, Sheet2!$A$2:$A$11, Sheet2!$B$2:$B$11)</f>
        <v>7.5GY</v>
      </c>
      <c r="D637">
        <v>37.5</v>
      </c>
      <c r="E637">
        <v>10</v>
      </c>
      <c r="F637">
        <v>8</v>
      </c>
      <c r="G637">
        <v>0.61339999999999995</v>
      </c>
      <c r="H637">
        <v>0.86560000000000004</v>
      </c>
      <c r="I637">
        <v>0.3669</v>
      </c>
      <c r="J637" s="2" t="str">
        <f>HYPERLINK(SetRGB(J637,G637*255,H637*255,I637*255),"HOVER!")</f>
        <v>HOVER!</v>
      </c>
      <c r="K637">
        <f>E637/F637</f>
        <v>1.25</v>
      </c>
    </row>
    <row r="638" spans="1:11" ht="15" x14ac:dyDescent="0.35">
      <c r="A638">
        <f t="shared" si="18"/>
        <v>3</v>
      </c>
      <c r="B638">
        <f t="shared" si="19"/>
        <v>7.5</v>
      </c>
      <c r="C638" s="199" t="str">
        <f>B638&amp;LOOKUP(A638, Sheet2!$A$2:$A$11, Sheet2!$B$2:$B$11)</f>
        <v>7.5GY</v>
      </c>
      <c r="D638">
        <v>37.5</v>
      </c>
      <c r="E638">
        <v>12</v>
      </c>
      <c r="F638">
        <v>8</v>
      </c>
      <c r="G638">
        <v>0.57230000000000003</v>
      </c>
      <c r="H638">
        <v>0.87660000000000005</v>
      </c>
      <c r="I638">
        <v>0.2482</v>
      </c>
      <c r="J638" s="2" t="str">
        <f>HYPERLINK(SetRGB(J638,G638*255,H638*255,I638*255),"HOVER!")</f>
        <v>HOVER!</v>
      </c>
      <c r="K638">
        <f>E638/F638</f>
        <v>1.5</v>
      </c>
    </row>
    <row r="639" spans="1:11" ht="15" x14ac:dyDescent="0.35">
      <c r="A639">
        <f t="shared" si="18"/>
        <v>3</v>
      </c>
      <c r="B639">
        <f t="shared" si="19"/>
        <v>7.5</v>
      </c>
      <c r="C639" s="199" t="str">
        <f>B639&amp;LOOKUP(A639, Sheet2!$A$2:$A$11, Sheet2!$B$2:$B$11)</f>
        <v>7.5GY</v>
      </c>
      <c r="D639">
        <v>37.5</v>
      </c>
      <c r="E639">
        <v>2</v>
      </c>
      <c r="F639">
        <v>9</v>
      </c>
      <c r="G639">
        <v>0.85870000000000002</v>
      </c>
      <c r="H639">
        <v>0.92159999999999997</v>
      </c>
      <c r="I639">
        <v>0.79769999999999996</v>
      </c>
      <c r="J639" s="2" t="str">
        <f>HYPERLINK(SetRGB(J639,G639*255,H639*255,I639*255),"HOVER!")</f>
        <v>HOVER!</v>
      </c>
      <c r="K639">
        <f>E639/F639</f>
        <v>0.22222222222222221</v>
      </c>
    </row>
    <row r="640" spans="1:11" ht="15" x14ac:dyDescent="0.35">
      <c r="A640">
        <f t="shared" si="18"/>
        <v>3</v>
      </c>
      <c r="B640">
        <f t="shared" si="19"/>
        <v>7.5</v>
      </c>
      <c r="C640" s="199" t="str">
        <f>B640&amp;LOOKUP(A640, Sheet2!$A$2:$A$11, Sheet2!$B$2:$B$11)</f>
        <v>7.5GY</v>
      </c>
      <c r="D640">
        <v>37.5</v>
      </c>
      <c r="E640">
        <v>4</v>
      </c>
      <c r="F640">
        <v>9</v>
      </c>
      <c r="G640">
        <v>0.82389999999999997</v>
      </c>
      <c r="H640">
        <v>0.93779999999999997</v>
      </c>
      <c r="I640">
        <v>0.71340000000000003</v>
      </c>
      <c r="J640" s="2" t="str">
        <f>HYPERLINK(SetRGB(J640,G640*255,H640*255,I640*255),"HOVER!")</f>
        <v>HOVER!</v>
      </c>
      <c r="K640">
        <f>E640/F640</f>
        <v>0.44444444444444442</v>
      </c>
    </row>
    <row r="641" spans="1:11" ht="15" x14ac:dyDescent="0.35">
      <c r="A641">
        <f t="shared" si="18"/>
        <v>3</v>
      </c>
      <c r="B641">
        <f t="shared" si="19"/>
        <v>7.5</v>
      </c>
      <c r="C641" s="199" t="str">
        <f>B641&amp;LOOKUP(A641, Sheet2!$A$2:$A$11, Sheet2!$B$2:$B$11)</f>
        <v>7.5GY</v>
      </c>
      <c r="D641">
        <v>37.5</v>
      </c>
      <c r="E641">
        <v>6</v>
      </c>
      <c r="F641">
        <v>9</v>
      </c>
      <c r="G641">
        <v>0.78749999999999998</v>
      </c>
      <c r="H641">
        <v>0.95299999999999996</v>
      </c>
      <c r="I641">
        <v>0.62260000000000004</v>
      </c>
      <c r="J641" s="2" t="str">
        <f>HYPERLINK(SetRGB(J641,G641*255,H641*255,I641*255),"HOVER!")</f>
        <v>HOVER!</v>
      </c>
      <c r="K641">
        <f>E641/F641</f>
        <v>0.66666666666666663</v>
      </c>
    </row>
    <row r="642" spans="1:11" ht="15" x14ac:dyDescent="0.35">
      <c r="A642">
        <f t="shared" si="18"/>
        <v>3</v>
      </c>
      <c r="B642">
        <f t="shared" si="19"/>
        <v>7.5</v>
      </c>
      <c r="C642" s="199" t="str">
        <f>B642&amp;LOOKUP(A642, Sheet2!$A$2:$A$11, Sheet2!$B$2:$B$11)</f>
        <v>7.5GY</v>
      </c>
      <c r="D642">
        <v>37.5</v>
      </c>
      <c r="E642">
        <v>8</v>
      </c>
      <c r="F642">
        <v>9</v>
      </c>
      <c r="G642">
        <v>0.75139999999999996</v>
      </c>
      <c r="H642">
        <v>0.96619999999999995</v>
      </c>
      <c r="I642">
        <v>0.53449999999999998</v>
      </c>
      <c r="J642" s="2" t="str">
        <f>HYPERLINK(SetRGB(J642,G642*255,H642*255,I642*255),"HOVER!")</f>
        <v>HOVER!</v>
      </c>
      <c r="K642">
        <f>E642/F642</f>
        <v>0.88888888888888884</v>
      </c>
    </row>
    <row r="643" spans="1:11" ht="15" x14ac:dyDescent="0.35">
      <c r="A643">
        <f t="shared" si="18"/>
        <v>3</v>
      </c>
      <c r="B643">
        <f t="shared" si="19"/>
        <v>7.5</v>
      </c>
      <c r="C643" s="199" t="str">
        <f>B643&amp;LOOKUP(A643, Sheet2!$A$2:$A$11, Sheet2!$B$2:$B$11)</f>
        <v>7.5GY</v>
      </c>
      <c r="D643">
        <v>37.5</v>
      </c>
      <c r="E643">
        <v>10</v>
      </c>
      <c r="F643">
        <v>9</v>
      </c>
      <c r="G643">
        <v>0.71230000000000004</v>
      </c>
      <c r="H643">
        <v>0.97870000000000001</v>
      </c>
      <c r="I643">
        <v>0.43540000000000001</v>
      </c>
      <c r="J643" s="2" t="str">
        <f>HYPERLINK(SetRGB(J643,G643*255,H643*255,I643*255),"HOVER!")</f>
        <v>HOVER!</v>
      </c>
      <c r="K643">
        <f>E643/F643</f>
        <v>1.1111111111111112</v>
      </c>
    </row>
    <row r="644" spans="1:11" ht="15" x14ac:dyDescent="0.35">
      <c r="A644">
        <f t="shared" si="18"/>
        <v>3</v>
      </c>
      <c r="B644">
        <f t="shared" si="19"/>
        <v>7.5</v>
      </c>
      <c r="C644" s="199" t="str">
        <f>B644&amp;LOOKUP(A644, Sheet2!$A$2:$A$11, Sheet2!$B$2:$B$11)</f>
        <v>7.5GY</v>
      </c>
      <c r="D644">
        <v>37.5</v>
      </c>
      <c r="E644">
        <v>12</v>
      </c>
      <c r="F644">
        <v>9</v>
      </c>
      <c r="G644">
        <v>0.67379999999999995</v>
      </c>
      <c r="H644">
        <v>0.98960000000000004</v>
      </c>
      <c r="I644">
        <v>0.32440000000000002</v>
      </c>
      <c r="J644" s="2" t="str">
        <f>HYPERLINK(SetRGB(J644,G644*255,H644*255,I644*255),"HOVER!")</f>
        <v>HOVER!</v>
      </c>
      <c r="K644">
        <f>E644/F644</f>
        <v>1.3333333333333333</v>
      </c>
    </row>
    <row r="645" spans="1:11" ht="15" x14ac:dyDescent="0.35">
      <c r="A645">
        <f t="shared" si="18"/>
        <v>3</v>
      </c>
      <c r="B645">
        <f t="shared" si="19"/>
        <v>7.5</v>
      </c>
      <c r="C645" s="199" t="str">
        <f>B645&amp;LOOKUP(A645, Sheet2!$A$2:$A$11, Sheet2!$B$2:$B$11)</f>
        <v>7.5GY</v>
      </c>
      <c r="D645">
        <v>37.5</v>
      </c>
      <c r="E645">
        <v>14</v>
      </c>
      <c r="F645">
        <v>9</v>
      </c>
      <c r="G645">
        <v>0.63300000000000001</v>
      </c>
      <c r="H645">
        <v>0.99970000000000003</v>
      </c>
      <c r="I645">
        <v>0.17150000000000001</v>
      </c>
      <c r="J645" s="2" t="str">
        <f>HYPERLINK(SetRGB(J645,G645*255,H645*255,I645*255),"HOVER!")</f>
        <v>HOVER!</v>
      </c>
      <c r="K645">
        <f>E645/F645</f>
        <v>1.5555555555555556</v>
      </c>
    </row>
    <row r="646" spans="1:11" ht="15" x14ac:dyDescent="0.35">
      <c r="A646">
        <f t="shared" si="18"/>
        <v>4</v>
      </c>
      <c r="B646">
        <f t="shared" si="19"/>
        <v>10</v>
      </c>
      <c r="C646" s="199" t="str">
        <f>B646&amp;LOOKUP(A646, Sheet2!$A$2:$A$11, Sheet2!$B$2:$B$11)</f>
        <v>10G</v>
      </c>
      <c r="D646">
        <v>40</v>
      </c>
      <c r="E646">
        <v>2</v>
      </c>
      <c r="F646">
        <v>1</v>
      </c>
      <c r="G646">
        <v>7.9399999999999998E-2</v>
      </c>
      <c r="H646">
        <v>0.1232</v>
      </c>
      <c r="I646">
        <v>8.9099999999999999E-2</v>
      </c>
      <c r="J646" s="48" t="str">
        <f>HYPERLINK(SetRGB(J646,G646*255,H646*255,I646*255),"HOVER!")</f>
        <v>HOVER!</v>
      </c>
      <c r="K646">
        <f>E646/F646</f>
        <v>2</v>
      </c>
    </row>
    <row r="647" spans="1:11" ht="15" x14ac:dyDescent="0.35">
      <c r="A647">
        <f t="shared" si="18"/>
        <v>4</v>
      </c>
      <c r="B647">
        <f t="shared" si="19"/>
        <v>10</v>
      </c>
      <c r="C647" s="199" t="str">
        <f>B647&amp;LOOKUP(A647, Sheet2!$A$2:$A$11, Sheet2!$B$2:$B$11)</f>
        <v>10G</v>
      </c>
      <c r="D647">
        <v>40</v>
      </c>
      <c r="E647">
        <v>2</v>
      </c>
      <c r="F647">
        <v>2</v>
      </c>
      <c r="G647">
        <v>0.16220000000000001</v>
      </c>
      <c r="H647">
        <v>0.20519999999999999</v>
      </c>
      <c r="I647">
        <v>0.1661</v>
      </c>
      <c r="J647" s="58" t="str">
        <f>HYPERLINK(SetRGB(J647,G647*255,H647*255,I647*255),"HOVER!")</f>
        <v>HOVER!</v>
      </c>
      <c r="K647">
        <f>E647/F647</f>
        <v>1</v>
      </c>
    </row>
    <row r="648" spans="1:11" ht="15" x14ac:dyDescent="0.35">
      <c r="A648">
        <f t="shared" si="18"/>
        <v>4</v>
      </c>
      <c r="B648">
        <f t="shared" si="19"/>
        <v>10</v>
      </c>
      <c r="C648" s="199" t="str">
        <f>B648&amp;LOOKUP(A648, Sheet2!$A$2:$A$11, Sheet2!$B$2:$B$11)</f>
        <v>10G</v>
      </c>
      <c r="D648">
        <v>40</v>
      </c>
      <c r="E648">
        <v>4</v>
      </c>
      <c r="F648">
        <v>2</v>
      </c>
      <c r="G648">
        <v>0.1081</v>
      </c>
      <c r="H648">
        <v>0.21829999999999999</v>
      </c>
      <c r="I648">
        <v>0.12659999999999999</v>
      </c>
      <c r="J648" s="57" t="str">
        <f>HYPERLINK(SetRGB(J648,G648*255,H648*255,I648*255),"HOVER!")</f>
        <v>HOVER!</v>
      </c>
      <c r="K648">
        <f>E648/F648</f>
        <v>2</v>
      </c>
    </row>
    <row r="649" spans="1:11" ht="15" x14ac:dyDescent="0.35">
      <c r="A649">
        <f t="shared" si="18"/>
        <v>4</v>
      </c>
      <c r="B649">
        <f t="shared" si="19"/>
        <v>10</v>
      </c>
      <c r="C649" s="199" t="str">
        <f>B649&amp;LOOKUP(A649, Sheet2!$A$2:$A$11, Sheet2!$B$2:$B$11)</f>
        <v>10G</v>
      </c>
      <c r="D649">
        <v>40</v>
      </c>
      <c r="E649">
        <v>6</v>
      </c>
      <c r="F649">
        <v>2</v>
      </c>
      <c r="G649">
        <v>1.34E-2</v>
      </c>
      <c r="H649">
        <v>0.22889999999999999</v>
      </c>
      <c r="I649">
        <v>8.48E-2</v>
      </c>
      <c r="J649" s="56" t="str">
        <f>HYPERLINK(SetRGB(J649,G649*255,H649*255,I649*255),"HOVER!")</f>
        <v>HOVER!</v>
      </c>
      <c r="K649">
        <f>E649/F649</f>
        <v>3</v>
      </c>
    </row>
    <row r="650" spans="1:11" ht="15" x14ac:dyDescent="0.35">
      <c r="A650">
        <f t="shared" si="18"/>
        <v>4</v>
      </c>
      <c r="B650">
        <f t="shared" si="19"/>
        <v>10</v>
      </c>
      <c r="C650" s="199" t="str">
        <f>B650&amp;LOOKUP(A650, Sheet2!$A$2:$A$11, Sheet2!$B$2:$B$11)</f>
        <v>10G</v>
      </c>
      <c r="D650">
        <v>40</v>
      </c>
      <c r="E650">
        <v>2</v>
      </c>
      <c r="F650">
        <v>3</v>
      </c>
      <c r="G650">
        <v>0.2442</v>
      </c>
      <c r="H650">
        <v>0.2984</v>
      </c>
      <c r="I650">
        <v>0.24540000000000001</v>
      </c>
      <c r="J650" s="1" t="str">
        <f>HYPERLINK(SetRGB(J650,G650*255,H650*255,I650*255),"HOVER!")</f>
        <v>HOVER!</v>
      </c>
      <c r="K650">
        <f>E650/F650</f>
        <v>0.66666666666666663</v>
      </c>
    </row>
    <row r="651" spans="1:11" ht="15" x14ac:dyDescent="0.35">
      <c r="A651">
        <f t="shared" si="18"/>
        <v>4</v>
      </c>
      <c r="B651">
        <f t="shared" si="19"/>
        <v>10</v>
      </c>
      <c r="C651" s="199" t="str">
        <f>B651&amp;LOOKUP(A651, Sheet2!$A$2:$A$11, Sheet2!$B$2:$B$11)</f>
        <v>10G</v>
      </c>
      <c r="D651">
        <v>40</v>
      </c>
      <c r="E651">
        <v>4</v>
      </c>
      <c r="F651">
        <v>3</v>
      </c>
      <c r="G651">
        <v>0.19139999999999999</v>
      </c>
      <c r="H651">
        <v>0.31269999999999998</v>
      </c>
      <c r="I651">
        <v>0.1991</v>
      </c>
      <c r="J651" s="1" t="str">
        <f>HYPERLINK(SetRGB(J651,G651*255,H651*255,I651*255),"HOVER!")</f>
        <v>HOVER!</v>
      </c>
      <c r="K651">
        <f>E651/F651</f>
        <v>1.3333333333333333</v>
      </c>
    </row>
    <row r="652" spans="1:11" ht="15" x14ac:dyDescent="0.35">
      <c r="A652">
        <f t="shared" si="18"/>
        <v>4</v>
      </c>
      <c r="B652">
        <f t="shared" si="19"/>
        <v>10</v>
      </c>
      <c r="C652" s="199" t="str">
        <f>B652&amp;LOOKUP(A652, Sheet2!$A$2:$A$11, Sheet2!$B$2:$B$11)</f>
        <v>10G</v>
      </c>
      <c r="D652">
        <v>40</v>
      </c>
      <c r="E652">
        <v>6</v>
      </c>
      <c r="F652">
        <v>3</v>
      </c>
      <c r="G652">
        <v>0.12479999999999999</v>
      </c>
      <c r="H652">
        <v>0.3246</v>
      </c>
      <c r="I652">
        <v>0.15040000000000001</v>
      </c>
      <c r="J652" s="1" t="str">
        <f>HYPERLINK(SetRGB(J652,G652*255,H652*255,I652*255),"HOVER!")</f>
        <v>HOVER!</v>
      </c>
      <c r="K652">
        <f>E652/F652</f>
        <v>2</v>
      </c>
    </row>
    <row r="653" spans="1:11" ht="15" x14ac:dyDescent="0.35">
      <c r="A653">
        <f t="shared" si="18"/>
        <v>4</v>
      </c>
      <c r="B653">
        <f t="shared" si="19"/>
        <v>10</v>
      </c>
      <c r="C653" s="199" t="str">
        <f>B653&amp;LOOKUP(A653, Sheet2!$A$2:$A$11, Sheet2!$B$2:$B$11)</f>
        <v>10G</v>
      </c>
      <c r="D653">
        <v>40</v>
      </c>
      <c r="E653">
        <v>2</v>
      </c>
      <c r="F653">
        <v>4</v>
      </c>
      <c r="G653">
        <v>0.33779999999999999</v>
      </c>
      <c r="H653">
        <v>0.39760000000000001</v>
      </c>
      <c r="I653">
        <v>0.33360000000000001</v>
      </c>
      <c r="J653" s="1" t="str">
        <f>HYPERLINK(SetRGB(J653,G653*255,H653*255,I653*255),"HOVER!")</f>
        <v>HOVER!</v>
      </c>
      <c r="K653">
        <f>E653/F653</f>
        <v>0.5</v>
      </c>
    </row>
    <row r="654" spans="1:11" ht="15" x14ac:dyDescent="0.35">
      <c r="A654">
        <f t="shared" ref="A654:A717" si="20">IF(FLOOR(D654/10,1)=0,10,FLOOR(D654/10,1))</f>
        <v>4</v>
      </c>
      <c r="B654">
        <f t="shared" ref="B654:B717" si="21">IF(MOD(D654,10)=0,10,MOD(D654,10))</f>
        <v>10</v>
      </c>
      <c r="C654" s="199" t="str">
        <f>B654&amp;LOOKUP(A654, Sheet2!$A$2:$A$11, Sheet2!$B$2:$B$11)</f>
        <v>10G</v>
      </c>
      <c r="D654">
        <v>40</v>
      </c>
      <c r="E654">
        <v>4</v>
      </c>
      <c r="F654">
        <v>4</v>
      </c>
      <c r="G654">
        <v>0.28489999999999999</v>
      </c>
      <c r="H654">
        <v>0.4133</v>
      </c>
      <c r="I654">
        <v>0.28079999999999999</v>
      </c>
      <c r="J654" s="1" t="str">
        <f>HYPERLINK(SetRGB(J654,G654*255,H654*255,I654*255),"HOVER!")</f>
        <v>HOVER!</v>
      </c>
      <c r="K654">
        <f>E654/F654</f>
        <v>1</v>
      </c>
    </row>
    <row r="655" spans="1:11" ht="15" x14ac:dyDescent="0.35">
      <c r="A655">
        <f t="shared" si="20"/>
        <v>4</v>
      </c>
      <c r="B655">
        <f t="shared" si="21"/>
        <v>10</v>
      </c>
      <c r="C655" s="199" t="str">
        <f>B655&amp;LOOKUP(A655, Sheet2!$A$2:$A$11, Sheet2!$B$2:$B$11)</f>
        <v>10G</v>
      </c>
      <c r="D655">
        <v>40</v>
      </c>
      <c r="E655">
        <v>6</v>
      </c>
      <c r="F655">
        <v>4</v>
      </c>
      <c r="G655">
        <v>0.21990000000000001</v>
      </c>
      <c r="H655">
        <v>0.4274</v>
      </c>
      <c r="I655">
        <v>0.22309999999999999</v>
      </c>
      <c r="J655" s="1" t="str">
        <f>HYPERLINK(SetRGB(J655,G655*255,H655*255,I655*255),"HOVER!")</f>
        <v>HOVER!</v>
      </c>
      <c r="K655">
        <f>E655/F655</f>
        <v>1.5</v>
      </c>
    </row>
    <row r="656" spans="1:11" ht="15" x14ac:dyDescent="0.35">
      <c r="A656">
        <f t="shared" si="20"/>
        <v>4</v>
      </c>
      <c r="B656">
        <f t="shared" si="21"/>
        <v>10</v>
      </c>
      <c r="C656" s="199" t="str">
        <f>B656&amp;LOOKUP(A656, Sheet2!$A$2:$A$11, Sheet2!$B$2:$B$11)</f>
        <v>10G</v>
      </c>
      <c r="D656">
        <v>40</v>
      </c>
      <c r="E656">
        <v>8</v>
      </c>
      <c r="F656">
        <v>4</v>
      </c>
      <c r="G656">
        <v>0.13239999999999999</v>
      </c>
      <c r="H656">
        <v>0.43930000000000002</v>
      </c>
      <c r="I656">
        <v>0.16220000000000001</v>
      </c>
      <c r="J656" s="1" t="str">
        <f>HYPERLINK(SetRGB(J656,G656*255,H656*255,I656*255),"HOVER!")</f>
        <v>HOVER!</v>
      </c>
      <c r="K656">
        <f>E656/F656</f>
        <v>2</v>
      </c>
    </row>
    <row r="657" spans="1:11" ht="15" x14ac:dyDescent="0.35">
      <c r="A657">
        <f t="shared" si="20"/>
        <v>4</v>
      </c>
      <c r="B657">
        <f t="shared" si="21"/>
        <v>10</v>
      </c>
      <c r="C657" s="199" t="str">
        <f>B657&amp;LOOKUP(A657, Sheet2!$A$2:$A$11, Sheet2!$B$2:$B$11)</f>
        <v>10G</v>
      </c>
      <c r="D657">
        <v>40</v>
      </c>
      <c r="E657">
        <v>2</v>
      </c>
      <c r="F657">
        <v>5</v>
      </c>
      <c r="G657">
        <v>0.43469999999999998</v>
      </c>
      <c r="H657">
        <v>0.50019999999999998</v>
      </c>
      <c r="I657">
        <v>0.42949999999999999</v>
      </c>
      <c r="J657" s="1" t="str">
        <f>HYPERLINK(SetRGB(J657,G657*255,H657*255,I657*255),"HOVER!")</f>
        <v>HOVER!</v>
      </c>
      <c r="K657">
        <f>E657/F657</f>
        <v>0.4</v>
      </c>
    </row>
    <row r="658" spans="1:11" ht="15" x14ac:dyDescent="0.35">
      <c r="A658">
        <f t="shared" si="20"/>
        <v>4</v>
      </c>
      <c r="B658">
        <f t="shared" si="21"/>
        <v>10</v>
      </c>
      <c r="C658" s="199" t="str">
        <f>B658&amp;LOOKUP(A658, Sheet2!$A$2:$A$11, Sheet2!$B$2:$B$11)</f>
        <v>10G</v>
      </c>
      <c r="D658">
        <v>40</v>
      </c>
      <c r="E658">
        <v>4</v>
      </c>
      <c r="F658">
        <v>5</v>
      </c>
      <c r="G658">
        <v>0.38469999999999999</v>
      </c>
      <c r="H658">
        <v>0.5161</v>
      </c>
      <c r="I658">
        <v>0.37659999999999999</v>
      </c>
      <c r="J658" s="1" t="str">
        <f>HYPERLINK(SetRGB(J658,G658*255,H658*255,I658*255),"HOVER!")</f>
        <v>HOVER!</v>
      </c>
      <c r="K658">
        <f>E658/F658</f>
        <v>0.8</v>
      </c>
    </row>
    <row r="659" spans="1:11" ht="15" x14ac:dyDescent="0.35">
      <c r="A659">
        <f t="shared" si="20"/>
        <v>4</v>
      </c>
      <c r="B659">
        <f t="shared" si="21"/>
        <v>10</v>
      </c>
      <c r="C659" s="199" t="str">
        <f>B659&amp;LOOKUP(A659, Sheet2!$A$2:$A$11, Sheet2!$B$2:$B$11)</f>
        <v>10G</v>
      </c>
      <c r="D659">
        <v>40</v>
      </c>
      <c r="E659">
        <v>6</v>
      </c>
      <c r="F659">
        <v>5</v>
      </c>
      <c r="G659">
        <v>0.32919999999999999</v>
      </c>
      <c r="H659">
        <v>0.53029999999999999</v>
      </c>
      <c r="I659">
        <v>0.31890000000000002</v>
      </c>
      <c r="J659" s="1" t="str">
        <f>HYPERLINK(SetRGB(J659,G659*255,H659*255,I659*255),"HOVER!")</f>
        <v>HOVER!</v>
      </c>
      <c r="K659">
        <f>E659/F659</f>
        <v>1.2</v>
      </c>
    </row>
    <row r="660" spans="1:11" ht="15" x14ac:dyDescent="0.35">
      <c r="A660">
        <f t="shared" si="20"/>
        <v>4</v>
      </c>
      <c r="B660">
        <f t="shared" si="21"/>
        <v>10</v>
      </c>
      <c r="C660" s="199" t="str">
        <f>B660&amp;LOOKUP(A660, Sheet2!$A$2:$A$11, Sheet2!$B$2:$B$11)</f>
        <v>10G</v>
      </c>
      <c r="D660">
        <v>40</v>
      </c>
      <c r="E660">
        <v>8</v>
      </c>
      <c r="F660">
        <v>5</v>
      </c>
      <c r="G660">
        <v>0.25900000000000001</v>
      </c>
      <c r="H660">
        <v>0.54359999999999997</v>
      </c>
      <c r="I660">
        <v>0.25640000000000002</v>
      </c>
      <c r="J660" s="1" t="str">
        <f>HYPERLINK(SetRGB(J660,G660*255,H660*255,I660*255),"HOVER!")</f>
        <v>HOVER!</v>
      </c>
      <c r="K660">
        <f>E660/F660</f>
        <v>1.6</v>
      </c>
    </row>
    <row r="661" spans="1:11" ht="15" x14ac:dyDescent="0.35">
      <c r="A661">
        <f t="shared" si="20"/>
        <v>4</v>
      </c>
      <c r="B661">
        <f t="shared" si="21"/>
        <v>10</v>
      </c>
      <c r="C661" s="199" t="str">
        <f>B661&amp;LOOKUP(A661, Sheet2!$A$2:$A$11, Sheet2!$B$2:$B$11)</f>
        <v>10G</v>
      </c>
      <c r="D661">
        <v>40</v>
      </c>
      <c r="E661">
        <v>10</v>
      </c>
      <c r="F661">
        <v>5</v>
      </c>
      <c r="G661">
        <v>0.16089999999999999</v>
      </c>
      <c r="H661">
        <v>0.55549999999999999</v>
      </c>
      <c r="I661">
        <v>0.1865</v>
      </c>
      <c r="J661" s="1" t="str">
        <f>HYPERLINK(SetRGB(J661,G661*255,H661*255,I661*255),"HOVER!")</f>
        <v>HOVER!</v>
      </c>
      <c r="K661">
        <f>E661/F661</f>
        <v>2</v>
      </c>
    </row>
    <row r="662" spans="1:11" ht="15" x14ac:dyDescent="0.35">
      <c r="A662">
        <f t="shared" si="20"/>
        <v>4</v>
      </c>
      <c r="B662">
        <f t="shared" si="21"/>
        <v>10</v>
      </c>
      <c r="C662" s="199" t="str">
        <f>B662&amp;LOOKUP(A662, Sheet2!$A$2:$A$11, Sheet2!$B$2:$B$11)</f>
        <v>10G</v>
      </c>
      <c r="D662">
        <v>40</v>
      </c>
      <c r="E662">
        <v>2</v>
      </c>
      <c r="F662">
        <v>6</v>
      </c>
      <c r="G662">
        <v>0.53069999999999995</v>
      </c>
      <c r="H662">
        <v>0.60519999999999996</v>
      </c>
      <c r="I662">
        <v>0.52370000000000005</v>
      </c>
      <c r="J662" s="2" t="str">
        <f>HYPERLINK(SetRGB(J662,G662*255,H662*255,I662*255),"HOVER!")</f>
        <v>HOVER!</v>
      </c>
      <c r="K662">
        <f>E662/F662</f>
        <v>0.33333333333333331</v>
      </c>
    </row>
    <row r="663" spans="1:11" ht="15" x14ac:dyDescent="0.35">
      <c r="A663">
        <f t="shared" si="20"/>
        <v>4</v>
      </c>
      <c r="B663">
        <f t="shared" si="21"/>
        <v>10</v>
      </c>
      <c r="C663" s="199" t="str">
        <f>B663&amp;LOOKUP(A663, Sheet2!$A$2:$A$11, Sheet2!$B$2:$B$11)</f>
        <v>10G</v>
      </c>
      <c r="D663">
        <v>40</v>
      </c>
      <c r="E663">
        <v>4</v>
      </c>
      <c r="F663">
        <v>6</v>
      </c>
      <c r="G663">
        <v>0.48220000000000002</v>
      </c>
      <c r="H663">
        <v>0.62139999999999995</v>
      </c>
      <c r="I663">
        <v>0.46760000000000002</v>
      </c>
      <c r="J663" s="2" t="str">
        <f>HYPERLINK(SetRGB(J663,G663*255,H663*255,I663*255),"HOVER!")</f>
        <v>HOVER!</v>
      </c>
      <c r="K663">
        <f>E663/F663</f>
        <v>0.66666666666666663</v>
      </c>
    </row>
    <row r="664" spans="1:11" ht="15" x14ac:dyDescent="0.35">
      <c r="A664">
        <f t="shared" si="20"/>
        <v>4</v>
      </c>
      <c r="B664">
        <f t="shared" si="21"/>
        <v>10</v>
      </c>
      <c r="C664" s="199" t="str">
        <f>B664&amp;LOOKUP(A664, Sheet2!$A$2:$A$11, Sheet2!$B$2:$B$11)</f>
        <v>10G</v>
      </c>
      <c r="D664">
        <v>40</v>
      </c>
      <c r="E664">
        <v>6</v>
      </c>
      <c r="F664">
        <v>6</v>
      </c>
      <c r="G664">
        <v>0.4289</v>
      </c>
      <c r="H664">
        <v>0.6361</v>
      </c>
      <c r="I664">
        <v>0.40899999999999997</v>
      </c>
      <c r="J664" s="2" t="str">
        <f>HYPERLINK(SetRGB(J664,G664*255,H664*255,I664*255),"HOVER!")</f>
        <v>HOVER!</v>
      </c>
      <c r="K664">
        <f>E664/F664</f>
        <v>1</v>
      </c>
    </row>
    <row r="665" spans="1:11" ht="15" x14ac:dyDescent="0.35">
      <c r="A665">
        <f t="shared" si="20"/>
        <v>4</v>
      </c>
      <c r="B665">
        <f t="shared" si="21"/>
        <v>10</v>
      </c>
      <c r="C665" s="199" t="str">
        <f>B665&amp;LOOKUP(A665, Sheet2!$A$2:$A$11, Sheet2!$B$2:$B$11)</f>
        <v>10G</v>
      </c>
      <c r="D665">
        <v>40</v>
      </c>
      <c r="E665">
        <v>8</v>
      </c>
      <c r="F665">
        <v>6</v>
      </c>
      <c r="G665">
        <v>0.36499999999999999</v>
      </c>
      <c r="H665">
        <v>0.65010000000000001</v>
      </c>
      <c r="I665">
        <v>0.34560000000000002</v>
      </c>
      <c r="J665" s="2" t="str">
        <f>HYPERLINK(SetRGB(J665,G665*255,H665*255,I665*255),"HOVER!")</f>
        <v>HOVER!</v>
      </c>
      <c r="K665">
        <f>E665/F665</f>
        <v>1.3333333333333333</v>
      </c>
    </row>
    <row r="666" spans="1:11" ht="15" x14ac:dyDescent="0.35">
      <c r="A666">
        <f t="shared" si="20"/>
        <v>4</v>
      </c>
      <c r="B666">
        <f t="shared" si="21"/>
        <v>10</v>
      </c>
      <c r="C666" s="199" t="str">
        <f>B666&amp;LOOKUP(A666, Sheet2!$A$2:$A$11, Sheet2!$B$2:$B$11)</f>
        <v>10G</v>
      </c>
      <c r="D666">
        <v>40</v>
      </c>
      <c r="E666">
        <v>10</v>
      </c>
      <c r="F666">
        <v>6</v>
      </c>
      <c r="G666">
        <v>0.2898</v>
      </c>
      <c r="H666">
        <v>0.66249999999999998</v>
      </c>
      <c r="I666">
        <v>0.28100000000000003</v>
      </c>
      <c r="J666" s="2" t="str">
        <f>HYPERLINK(SetRGB(J666,G666*255,H666*255,I666*255),"HOVER!")</f>
        <v>HOVER!</v>
      </c>
      <c r="K666">
        <f>E666/F666</f>
        <v>1.6666666666666667</v>
      </c>
    </row>
    <row r="667" spans="1:11" ht="15" x14ac:dyDescent="0.35">
      <c r="A667">
        <f t="shared" si="20"/>
        <v>4</v>
      </c>
      <c r="B667">
        <f t="shared" si="21"/>
        <v>10</v>
      </c>
      <c r="C667" s="199" t="str">
        <f>B667&amp;LOOKUP(A667, Sheet2!$A$2:$A$11, Sheet2!$B$2:$B$11)</f>
        <v>10G</v>
      </c>
      <c r="D667">
        <v>40</v>
      </c>
      <c r="E667">
        <v>12</v>
      </c>
      <c r="F667">
        <v>6</v>
      </c>
      <c r="G667">
        <v>0.18060000000000001</v>
      </c>
      <c r="H667">
        <v>0.67410000000000003</v>
      </c>
      <c r="I667">
        <v>0.2049</v>
      </c>
      <c r="J667" s="1" t="str">
        <f>HYPERLINK(SetRGB(J667,G667*255,H667*255,I667*255),"HOVER!")</f>
        <v>HOVER!</v>
      </c>
      <c r="K667">
        <f>E667/F667</f>
        <v>2</v>
      </c>
    </row>
    <row r="668" spans="1:11" ht="15" x14ac:dyDescent="0.35">
      <c r="A668">
        <f t="shared" si="20"/>
        <v>4</v>
      </c>
      <c r="B668">
        <f t="shared" si="21"/>
        <v>10</v>
      </c>
      <c r="C668" s="199" t="str">
        <f>B668&amp;LOOKUP(A668, Sheet2!$A$2:$A$11, Sheet2!$B$2:$B$11)</f>
        <v>10G</v>
      </c>
      <c r="D668">
        <v>40</v>
      </c>
      <c r="E668">
        <v>2</v>
      </c>
      <c r="F668">
        <v>7</v>
      </c>
      <c r="G668">
        <v>0.63249999999999995</v>
      </c>
      <c r="H668">
        <v>0.7097</v>
      </c>
      <c r="I668">
        <v>0.62229999999999996</v>
      </c>
      <c r="J668" s="2" t="str">
        <f>HYPERLINK(SetRGB(J668,G668*255,H668*255,I668*255),"HOVER!")</f>
        <v>HOVER!</v>
      </c>
      <c r="K668">
        <f>E668/F668</f>
        <v>0.2857142857142857</v>
      </c>
    </row>
    <row r="669" spans="1:11" ht="15" x14ac:dyDescent="0.35">
      <c r="A669">
        <f t="shared" si="20"/>
        <v>4</v>
      </c>
      <c r="B669">
        <f t="shared" si="21"/>
        <v>10</v>
      </c>
      <c r="C669" s="199" t="str">
        <f>B669&amp;LOOKUP(A669, Sheet2!$A$2:$A$11, Sheet2!$B$2:$B$11)</f>
        <v>10G</v>
      </c>
      <c r="D669">
        <v>40</v>
      </c>
      <c r="E669">
        <v>4</v>
      </c>
      <c r="F669">
        <v>7</v>
      </c>
      <c r="G669">
        <v>0.58309999999999995</v>
      </c>
      <c r="H669">
        <v>0.7268</v>
      </c>
      <c r="I669">
        <v>0.5625</v>
      </c>
      <c r="J669" s="2" t="str">
        <f>HYPERLINK(SetRGB(J669,G669*255,H669*255,I669*255),"HOVER!")</f>
        <v>HOVER!</v>
      </c>
      <c r="K669">
        <f>E669/F669</f>
        <v>0.5714285714285714</v>
      </c>
    </row>
    <row r="670" spans="1:11" ht="15" x14ac:dyDescent="0.35">
      <c r="A670">
        <f t="shared" si="20"/>
        <v>4</v>
      </c>
      <c r="B670">
        <f t="shared" si="21"/>
        <v>10</v>
      </c>
      <c r="C670" s="199" t="str">
        <f>B670&amp;LOOKUP(A670, Sheet2!$A$2:$A$11, Sheet2!$B$2:$B$11)</f>
        <v>10G</v>
      </c>
      <c r="D670">
        <v>40</v>
      </c>
      <c r="E670">
        <v>6</v>
      </c>
      <c r="F670">
        <v>7</v>
      </c>
      <c r="G670">
        <v>0.53359999999999996</v>
      </c>
      <c r="H670">
        <v>0.74150000000000005</v>
      </c>
      <c r="I670">
        <v>0.50490000000000002</v>
      </c>
      <c r="J670" s="2" t="str">
        <f>HYPERLINK(SetRGB(J670,G670*255,H670*255,I670*255),"HOVER!")</f>
        <v>HOVER!</v>
      </c>
      <c r="K670">
        <f>E670/F670</f>
        <v>0.8571428571428571</v>
      </c>
    </row>
    <row r="671" spans="1:11" ht="15" x14ac:dyDescent="0.35">
      <c r="A671">
        <f t="shared" si="20"/>
        <v>4</v>
      </c>
      <c r="B671">
        <f t="shared" si="21"/>
        <v>10</v>
      </c>
      <c r="C671" s="199" t="str">
        <f>B671&amp;LOOKUP(A671, Sheet2!$A$2:$A$11, Sheet2!$B$2:$B$11)</f>
        <v>10G</v>
      </c>
      <c r="D671">
        <v>40</v>
      </c>
      <c r="E671">
        <v>8</v>
      </c>
      <c r="F671">
        <v>7</v>
      </c>
      <c r="G671">
        <v>0.4748</v>
      </c>
      <c r="H671">
        <v>0.75600000000000001</v>
      </c>
      <c r="I671">
        <v>0.442</v>
      </c>
      <c r="J671" s="2" t="str">
        <f>HYPERLINK(SetRGB(J671,G671*255,H671*255,I671*255),"HOVER!")</f>
        <v>HOVER!</v>
      </c>
      <c r="K671">
        <f>E671/F671</f>
        <v>1.1428571428571428</v>
      </c>
    </row>
    <row r="672" spans="1:11" ht="15" x14ac:dyDescent="0.35">
      <c r="A672">
        <f t="shared" si="20"/>
        <v>4</v>
      </c>
      <c r="B672">
        <f t="shared" si="21"/>
        <v>10</v>
      </c>
      <c r="C672" s="199" t="str">
        <f>B672&amp;LOOKUP(A672, Sheet2!$A$2:$A$11, Sheet2!$B$2:$B$11)</f>
        <v>10G</v>
      </c>
      <c r="D672">
        <v>40</v>
      </c>
      <c r="E672">
        <v>10</v>
      </c>
      <c r="F672">
        <v>7</v>
      </c>
      <c r="G672">
        <v>0.40570000000000001</v>
      </c>
      <c r="H672">
        <v>0.76959999999999995</v>
      </c>
      <c r="I672">
        <v>0.37569999999999998</v>
      </c>
      <c r="J672" s="2" t="str">
        <f>HYPERLINK(SetRGB(J672,G672*255,H672*255,I672*255),"HOVER!")</f>
        <v>HOVER!</v>
      </c>
      <c r="K672">
        <f>E672/F672</f>
        <v>1.4285714285714286</v>
      </c>
    </row>
    <row r="673" spans="1:11" ht="15" x14ac:dyDescent="0.35">
      <c r="A673">
        <f t="shared" si="20"/>
        <v>4</v>
      </c>
      <c r="B673">
        <f t="shared" si="21"/>
        <v>10</v>
      </c>
      <c r="C673" s="199" t="str">
        <f>B673&amp;LOOKUP(A673, Sheet2!$A$2:$A$11, Sheet2!$B$2:$B$11)</f>
        <v>10G</v>
      </c>
      <c r="D673">
        <v>40</v>
      </c>
      <c r="E673">
        <v>12</v>
      </c>
      <c r="F673">
        <v>7</v>
      </c>
      <c r="G673">
        <v>0.31950000000000001</v>
      </c>
      <c r="H673">
        <v>0.78239999999999998</v>
      </c>
      <c r="I673">
        <v>0.30209999999999998</v>
      </c>
      <c r="J673" s="2" t="str">
        <f>HYPERLINK(SetRGB(J673,G673*255,H673*255,I673*255),"HOVER!")</f>
        <v>HOVER!</v>
      </c>
      <c r="K673">
        <f>E673/F673</f>
        <v>1.7142857142857142</v>
      </c>
    </row>
    <row r="674" spans="1:11" ht="15" x14ac:dyDescent="0.35">
      <c r="A674">
        <f t="shared" si="20"/>
        <v>4</v>
      </c>
      <c r="B674">
        <f t="shared" si="21"/>
        <v>10</v>
      </c>
      <c r="C674" s="199" t="str">
        <f>B674&amp;LOOKUP(A674, Sheet2!$A$2:$A$11, Sheet2!$B$2:$B$11)</f>
        <v>10G</v>
      </c>
      <c r="D674">
        <v>40</v>
      </c>
      <c r="E674">
        <v>14</v>
      </c>
      <c r="F674">
        <v>7</v>
      </c>
      <c r="G674">
        <v>0.19869999999999999</v>
      </c>
      <c r="H674">
        <v>0.79390000000000005</v>
      </c>
      <c r="I674">
        <v>0.21709999999999999</v>
      </c>
      <c r="J674" s="2" t="str">
        <f>HYPERLINK(SetRGB(J674,G674*255,H674*255,I674*255),"HOVER!")</f>
        <v>HOVER!</v>
      </c>
      <c r="K674">
        <f>E674/F674</f>
        <v>2</v>
      </c>
    </row>
    <row r="675" spans="1:11" ht="15" x14ac:dyDescent="0.35">
      <c r="A675">
        <f t="shared" si="20"/>
        <v>4</v>
      </c>
      <c r="B675">
        <f t="shared" si="21"/>
        <v>10</v>
      </c>
      <c r="C675" s="199" t="str">
        <f>B675&amp;LOOKUP(A675, Sheet2!$A$2:$A$11, Sheet2!$B$2:$B$11)</f>
        <v>10G</v>
      </c>
      <c r="D675">
        <v>40</v>
      </c>
      <c r="E675">
        <v>2</v>
      </c>
      <c r="F675">
        <v>8</v>
      </c>
      <c r="G675">
        <v>0.73329999999999995</v>
      </c>
      <c r="H675">
        <v>0.81640000000000001</v>
      </c>
      <c r="I675">
        <v>0.71960000000000002</v>
      </c>
      <c r="J675" s="2" t="str">
        <f>HYPERLINK(SetRGB(J675,G675*255,H675*255,I675*255),"HOVER!")</f>
        <v>HOVER!</v>
      </c>
      <c r="K675">
        <f>E675/F675</f>
        <v>0.25</v>
      </c>
    </row>
    <row r="676" spans="1:11" ht="15" x14ac:dyDescent="0.35">
      <c r="A676">
        <f t="shared" si="20"/>
        <v>4</v>
      </c>
      <c r="B676">
        <f t="shared" si="21"/>
        <v>10</v>
      </c>
      <c r="C676" s="199" t="str">
        <f>B676&amp;LOOKUP(A676, Sheet2!$A$2:$A$11, Sheet2!$B$2:$B$11)</f>
        <v>10G</v>
      </c>
      <c r="D676">
        <v>40</v>
      </c>
      <c r="E676">
        <v>4</v>
      </c>
      <c r="F676">
        <v>8</v>
      </c>
      <c r="G676">
        <v>0.68379999999999996</v>
      </c>
      <c r="H676">
        <v>0.83399999999999996</v>
      </c>
      <c r="I676">
        <v>0.65700000000000003</v>
      </c>
      <c r="J676" s="2" t="str">
        <f>HYPERLINK(SetRGB(J676,G676*255,H676*255,I676*255),"HOVER!")</f>
        <v>HOVER!</v>
      </c>
      <c r="K676">
        <f>E676/F676</f>
        <v>0.5</v>
      </c>
    </row>
    <row r="677" spans="1:11" ht="15" x14ac:dyDescent="0.35">
      <c r="A677">
        <f t="shared" si="20"/>
        <v>4</v>
      </c>
      <c r="B677">
        <f t="shared" si="21"/>
        <v>10</v>
      </c>
      <c r="C677" s="199" t="str">
        <f>B677&amp;LOOKUP(A677, Sheet2!$A$2:$A$11, Sheet2!$B$2:$B$11)</f>
        <v>10G</v>
      </c>
      <c r="D677">
        <v>40</v>
      </c>
      <c r="E677">
        <v>6</v>
      </c>
      <c r="F677">
        <v>8</v>
      </c>
      <c r="G677">
        <v>0.62909999999999999</v>
      </c>
      <c r="H677">
        <v>0.85070000000000001</v>
      </c>
      <c r="I677">
        <v>0.59260000000000002</v>
      </c>
      <c r="J677" s="2" t="str">
        <f>HYPERLINK(SetRGB(J677,G677*255,H677*255,I677*255),"HOVER!")</f>
        <v>HOVER!</v>
      </c>
      <c r="K677">
        <f>E677/F677</f>
        <v>0.75</v>
      </c>
    </row>
    <row r="678" spans="1:11" ht="15" x14ac:dyDescent="0.35">
      <c r="A678">
        <f t="shared" si="20"/>
        <v>4</v>
      </c>
      <c r="B678">
        <f t="shared" si="21"/>
        <v>10</v>
      </c>
      <c r="C678" s="199" t="str">
        <f>B678&amp;LOOKUP(A678, Sheet2!$A$2:$A$11, Sheet2!$B$2:$B$11)</f>
        <v>10G</v>
      </c>
      <c r="D678">
        <v>40</v>
      </c>
      <c r="E678">
        <v>8</v>
      </c>
      <c r="F678">
        <v>8</v>
      </c>
      <c r="G678">
        <v>0.57440000000000002</v>
      </c>
      <c r="H678">
        <v>0.8649</v>
      </c>
      <c r="I678">
        <v>0.53359999999999996</v>
      </c>
      <c r="J678" s="2" t="str">
        <f>HYPERLINK(SetRGB(J678,G678*255,H678*255,I678*255),"HOVER!")</f>
        <v>HOVER!</v>
      </c>
      <c r="K678">
        <f>E678/F678</f>
        <v>1</v>
      </c>
    </row>
    <row r="679" spans="1:11" ht="15" x14ac:dyDescent="0.35">
      <c r="A679">
        <f t="shared" si="20"/>
        <v>4</v>
      </c>
      <c r="B679">
        <f t="shared" si="21"/>
        <v>10</v>
      </c>
      <c r="C679" s="199" t="str">
        <f>B679&amp;LOOKUP(A679, Sheet2!$A$2:$A$11, Sheet2!$B$2:$B$11)</f>
        <v>10G</v>
      </c>
      <c r="D679">
        <v>40</v>
      </c>
      <c r="E679">
        <v>10</v>
      </c>
      <c r="F679">
        <v>8</v>
      </c>
      <c r="G679">
        <v>0.50639999999999996</v>
      </c>
      <c r="H679">
        <v>0.87960000000000005</v>
      </c>
      <c r="I679">
        <v>0.46410000000000001</v>
      </c>
      <c r="J679" s="2" t="str">
        <f>HYPERLINK(SetRGB(J679,G679*255,H679*255,I679*255),"HOVER!")</f>
        <v>HOVER!</v>
      </c>
      <c r="K679">
        <f>E679/F679</f>
        <v>1.25</v>
      </c>
    </row>
    <row r="680" spans="1:11" ht="15" x14ac:dyDescent="0.35">
      <c r="A680">
        <f t="shared" si="20"/>
        <v>4</v>
      </c>
      <c r="B680">
        <f t="shared" si="21"/>
        <v>10</v>
      </c>
      <c r="C680" s="199" t="str">
        <f>B680&amp;LOOKUP(A680, Sheet2!$A$2:$A$11, Sheet2!$B$2:$B$11)</f>
        <v>10G</v>
      </c>
      <c r="D680">
        <v>40</v>
      </c>
      <c r="E680">
        <v>12</v>
      </c>
      <c r="F680">
        <v>8</v>
      </c>
      <c r="G680">
        <v>0.43030000000000002</v>
      </c>
      <c r="H680">
        <v>0.89290000000000003</v>
      </c>
      <c r="I680">
        <v>0.38990000000000002</v>
      </c>
      <c r="J680" s="2" t="str">
        <f>HYPERLINK(SetRGB(J680,G680*255,H680*255,I680*255),"HOVER!")</f>
        <v>HOVER!</v>
      </c>
      <c r="K680">
        <f>E680/F680</f>
        <v>1.5</v>
      </c>
    </row>
    <row r="681" spans="1:11" ht="15" x14ac:dyDescent="0.35">
      <c r="A681">
        <f t="shared" si="20"/>
        <v>4</v>
      </c>
      <c r="B681">
        <f t="shared" si="21"/>
        <v>10</v>
      </c>
      <c r="C681" s="199" t="str">
        <f>B681&amp;LOOKUP(A681, Sheet2!$A$2:$A$11, Sheet2!$B$2:$B$11)</f>
        <v>10G</v>
      </c>
      <c r="D681">
        <v>40</v>
      </c>
      <c r="E681">
        <v>14</v>
      </c>
      <c r="F681">
        <v>8</v>
      </c>
      <c r="G681">
        <v>0.3347</v>
      </c>
      <c r="H681">
        <v>0.9052</v>
      </c>
      <c r="I681">
        <v>0.311</v>
      </c>
      <c r="J681" s="2" t="str">
        <f>HYPERLINK(SetRGB(J681,G681*255,H681*255,I681*255),"HOVER!")</f>
        <v>HOVER!</v>
      </c>
      <c r="K681">
        <f>E681/F681</f>
        <v>1.75</v>
      </c>
    </row>
    <row r="682" spans="1:11" ht="15" x14ac:dyDescent="0.35">
      <c r="A682">
        <f t="shared" si="20"/>
        <v>4</v>
      </c>
      <c r="B682">
        <f t="shared" si="21"/>
        <v>10</v>
      </c>
      <c r="C682" s="199" t="str">
        <f>B682&amp;LOOKUP(A682, Sheet2!$A$2:$A$11, Sheet2!$B$2:$B$11)</f>
        <v>10G</v>
      </c>
      <c r="D682">
        <v>40</v>
      </c>
      <c r="E682">
        <v>16</v>
      </c>
      <c r="F682">
        <v>8</v>
      </c>
      <c r="G682">
        <v>0.18360000000000001</v>
      </c>
      <c r="H682">
        <v>0.91690000000000005</v>
      </c>
      <c r="I682">
        <v>0.21299999999999999</v>
      </c>
      <c r="J682" s="2" t="str">
        <f>HYPERLINK(SetRGB(J682,G682*255,H682*255,I682*255),"HOVER!")</f>
        <v>HOVER!</v>
      </c>
      <c r="K682">
        <f>E682/F682</f>
        <v>2</v>
      </c>
    </row>
    <row r="683" spans="1:11" ht="15" x14ac:dyDescent="0.35">
      <c r="A683">
        <f t="shared" si="20"/>
        <v>4</v>
      </c>
      <c r="B683">
        <f t="shared" si="21"/>
        <v>10</v>
      </c>
      <c r="C683" s="199" t="str">
        <f>B683&amp;LOOKUP(A683, Sheet2!$A$2:$A$11, Sheet2!$B$2:$B$11)</f>
        <v>10G</v>
      </c>
      <c r="D683">
        <v>40</v>
      </c>
      <c r="E683">
        <v>2</v>
      </c>
      <c r="F683">
        <v>9</v>
      </c>
      <c r="G683">
        <v>0.8357</v>
      </c>
      <c r="H683">
        <v>0.92579999999999996</v>
      </c>
      <c r="I683">
        <v>0.81859999999999999</v>
      </c>
      <c r="J683" s="2" t="str">
        <f>HYPERLINK(SetRGB(J683,G683*255,H683*255,I683*255),"HOVER!")</f>
        <v>HOVER!</v>
      </c>
      <c r="K683">
        <f>E683/F683</f>
        <v>0.22222222222222221</v>
      </c>
    </row>
    <row r="684" spans="1:11" ht="15" x14ac:dyDescent="0.35">
      <c r="A684">
        <f t="shared" si="20"/>
        <v>4</v>
      </c>
      <c r="B684">
        <f t="shared" si="21"/>
        <v>10</v>
      </c>
      <c r="C684" s="199" t="str">
        <f>B684&amp;LOOKUP(A684, Sheet2!$A$2:$A$11, Sheet2!$B$2:$B$11)</f>
        <v>10G</v>
      </c>
      <c r="D684">
        <v>40</v>
      </c>
      <c r="E684">
        <v>4</v>
      </c>
      <c r="F684">
        <v>9</v>
      </c>
      <c r="G684">
        <v>0.78300000000000003</v>
      </c>
      <c r="H684">
        <v>0.94489999999999996</v>
      </c>
      <c r="I684">
        <v>0.75060000000000004</v>
      </c>
      <c r="J684" s="2" t="str">
        <f>HYPERLINK(SetRGB(J684,G684*255,H684*255,I684*255),"HOVER!")</f>
        <v>HOVER!</v>
      </c>
      <c r="K684">
        <f>E684/F684</f>
        <v>0.44444444444444442</v>
      </c>
    </row>
    <row r="685" spans="1:11" ht="15" x14ac:dyDescent="0.35">
      <c r="A685">
        <f t="shared" si="20"/>
        <v>4</v>
      </c>
      <c r="B685">
        <f t="shared" si="21"/>
        <v>10</v>
      </c>
      <c r="C685" s="199" t="str">
        <f>B685&amp;LOOKUP(A685, Sheet2!$A$2:$A$11, Sheet2!$B$2:$B$11)</f>
        <v>10G</v>
      </c>
      <c r="D685">
        <v>40</v>
      </c>
      <c r="E685">
        <v>6</v>
      </c>
      <c r="F685">
        <v>9</v>
      </c>
      <c r="G685">
        <v>0.71850000000000003</v>
      </c>
      <c r="H685">
        <v>0.96460000000000001</v>
      </c>
      <c r="I685">
        <v>0.67559999999999998</v>
      </c>
      <c r="J685" s="2" t="str">
        <f>HYPERLINK(SetRGB(J685,G685*255,H685*255,I685*255),"HOVER!")</f>
        <v>HOVER!</v>
      </c>
      <c r="K685">
        <f>E685/F685</f>
        <v>0.66666666666666663</v>
      </c>
    </row>
    <row r="686" spans="1:11" ht="15" x14ac:dyDescent="0.35">
      <c r="A686">
        <f t="shared" si="20"/>
        <v>4</v>
      </c>
      <c r="B686">
        <f t="shared" si="21"/>
        <v>10</v>
      </c>
      <c r="C686" s="199" t="str">
        <f>B686&amp;LOOKUP(A686, Sheet2!$A$2:$A$11, Sheet2!$B$2:$B$11)</f>
        <v>10G</v>
      </c>
      <c r="D686">
        <v>40</v>
      </c>
      <c r="E686">
        <v>8</v>
      </c>
      <c r="F686">
        <v>9</v>
      </c>
      <c r="G686">
        <v>0.66379999999999995</v>
      </c>
      <c r="H686">
        <v>0.97919999999999996</v>
      </c>
      <c r="I686">
        <v>0.61309999999999998</v>
      </c>
      <c r="J686" s="2" t="str">
        <f>HYPERLINK(SetRGB(J686,G686*255,H686*255,I686*255),"HOVER!")</f>
        <v>HOVER!</v>
      </c>
      <c r="K686">
        <f>E686/F686</f>
        <v>0.88888888888888884</v>
      </c>
    </row>
    <row r="687" spans="1:11" ht="15" x14ac:dyDescent="0.35">
      <c r="A687">
        <f t="shared" si="20"/>
        <v>4</v>
      </c>
      <c r="B687">
        <f t="shared" si="21"/>
        <v>10</v>
      </c>
      <c r="C687" s="199" t="str">
        <f>B687&amp;LOOKUP(A687, Sheet2!$A$2:$A$11, Sheet2!$B$2:$B$11)</f>
        <v>10G</v>
      </c>
      <c r="D687">
        <v>40</v>
      </c>
      <c r="E687">
        <v>10</v>
      </c>
      <c r="F687">
        <v>9</v>
      </c>
      <c r="G687">
        <v>0.59570000000000001</v>
      </c>
      <c r="H687">
        <v>0.99470000000000003</v>
      </c>
      <c r="I687">
        <v>0.53849999999999998</v>
      </c>
      <c r="J687" s="2" t="str">
        <f>HYPERLINK(SetRGB(J687,G687*255,H687*255,I687*255),"HOVER!")</f>
        <v>HOVER!</v>
      </c>
      <c r="K687">
        <f>E687/F687</f>
        <v>1.1111111111111112</v>
      </c>
    </row>
    <row r="688" spans="1:11" ht="15" x14ac:dyDescent="0.35">
      <c r="A688">
        <f t="shared" si="20"/>
        <v>4</v>
      </c>
      <c r="B688">
        <f t="shared" si="21"/>
        <v>10</v>
      </c>
      <c r="C688" s="199" t="str">
        <f>B688&amp;LOOKUP(A688, Sheet2!$A$2:$A$11, Sheet2!$B$2:$B$11)</f>
        <v>10G</v>
      </c>
      <c r="D688">
        <v>40</v>
      </c>
      <c r="E688">
        <v>12</v>
      </c>
      <c r="F688">
        <v>9</v>
      </c>
      <c r="G688">
        <v>0.52429999999999999</v>
      </c>
      <c r="H688">
        <v>1</v>
      </c>
      <c r="I688">
        <v>0.47010000000000002</v>
      </c>
      <c r="J688" s="2" t="str">
        <f>HYPERLINK(SetRGB(J688,G688*255,H688*255,I688*255),"HOVER!")</f>
        <v>HOVER!</v>
      </c>
      <c r="K688">
        <f>E688/F688</f>
        <v>1.3333333333333333</v>
      </c>
    </row>
    <row r="689" spans="1:11" ht="15" x14ac:dyDescent="0.35">
      <c r="A689">
        <f t="shared" si="20"/>
        <v>4</v>
      </c>
      <c r="B689">
        <f t="shared" si="21"/>
        <v>10</v>
      </c>
      <c r="C689" s="199" t="str">
        <f>B689&amp;LOOKUP(A689, Sheet2!$A$2:$A$11, Sheet2!$B$2:$B$11)</f>
        <v>10G</v>
      </c>
      <c r="D689">
        <v>40</v>
      </c>
      <c r="E689">
        <v>14</v>
      </c>
      <c r="F689">
        <v>9</v>
      </c>
      <c r="G689">
        <v>0.43480000000000002</v>
      </c>
      <c r="H689">
        <v>1</v>
      </c>
      <c r="I689">
        <v>0.3891</v>
      </c>
      <c r="J689" s="2" t="str">
        <f>HYPERLINK(SetRGB(J689,G689*255,H689*255,I689*255),"HOVER!")</f>
        <v>HOVER!</v>
      </c>
      <c r="K689">
        <f>E689/F689</f>
        <v>1.5555555555555556</v>
      </c>
    </row>
    <row r="690" spans="1:11" ht="15" x14ac:dyDescent="0.35">
      <c r="A690">
        <f t="shared" si="20"/>
        <v>4</v>
      </c>
      <c r="B690">
        <f t="shared" si="21"/>
        <v>10</v>
      </c>
      <c r="C690" s="199" t="str">
        <f>B690&amp;LOOKUP(A690, Sheet2!$A$2:$A$11, Sheet2!$B$2:$B$11)</f>
        <v>10G</v>
      </c>
      <c r="D690">
        <v>40</v>
      </c>
      <c r="E690">
        <v>16</v>
      </c>
      <c r="F690">
        <v>9</v>
      </c>
      <c r="G690">
        <v>0.31359999999999999</v>
      </c>
      <c r="H690">
        <v>1</v>
      </c>
      <c r="I690">
        <v>0.2928</v>
      </c>
      <c r="J690" s="2" t="str">
        <f>HYPERLINK(SetRGB(J690,G690*255,H690*255,I690*255),"HOVER!")</f>
        <v>HOVER!</v>
      </c>
      <c r="K690">
        <f>E690/F690</f>
        <v>1.7777777777777777</v>
      </c>
    </row>
    <row r="691" spans="1:11" ht="15" x14ac:dyDescent="0.35">
      <c r="A691">
        <f t="shared" si="20"/>
        <v>4</v>
      </c>
      <c r="B691">
        <f t="shared" si="21"/>
        <v>10</v>
      </c>
      <c r="C691" s="199" t="str">
        <f>B691&amp;LOOKUP(A691, Sheet2!$A$2:$A$11, Sheet2!$B$2:$B$11)</f>
        <v>10G</v>
      </c>
      <c r="D691">
        <v>40</v>
      </c>
      <c r="E691">
        <v>18</v>
      </c>
      <c r="F691">
        <v>9</v>
      </c>
      <c r="G691">
        <v>6.1199999999999997E-2</v>
      </c>
      <c r="H691">
        <v>1</v>
      </c>
      <c r="I691">
        <v>0.16009999999999999</v>
      </c>
      <c r="J691" s="2" t="str">
        <f>HYPERLINK(SetRGB(J691,G691*255,H691*255,I691*255),"HOVER!")</f>
        <v>HOVER!</v>
      </c>
      <c r="K691">
        <f>E691/F691</f>
        <v>2</v>
      </c>
    </row>
    <row r="692" spans="1:11" ht="15" x14ac:dyDescent="0.35">
      <c r="A692">
        <f t="shared" si="20"/>
        <v>4</v>
      </c>
      <c r="B692">
        <f t="shared" si="21"/>
        <v>2.5</v>
      </c>
      <c r="C692" s="199" t="str">
        <f>B692&amp;LOOKUP(A692, Sheet2!$A$2:$A$11, Sheet2!$B$2:$B$11)</f>
        <v>2.5G</v>
      </c>
      <c r="D692">
        <v>42.5</v>
      </c>
      <c r="E692">
        <v>2</v>
      </c>
      <c r="F692">
        <v>1</v>
      </c>
      <c r="G692">
        <v>7.3599999999999999E-2</v>
      </c>
      <c r="H692">
        <v>0.12379999999999999</v>
      </c>
      <c r="I692">
        <v>9.4799999999999995E-2</v>
      </c>
      <c r="J692" s="49" t="str">
        <f>HYPERLINK(SetRGB(J692,G692*255,H692*255,I692*255),"HOVER!")</f>
        <v>HOVER!</v>
      </c>
      <c r="K692">
        <f>E692/F692</f>
        <v>2</v>
      </c>
    </row>
    <row r="693" spans="1:11" ht="15" x14ac:dyDescent="0.35">
      <c r="A693">
        <f t="shared" si="20"/>
        <v>4</v>
      </c>
      <c r="B693">
        <f t="shared" si="21"/>
        <v>2.5</v>
      </c>
      <c r="C693" s="199" t="str">
        <f>B693&amp;LOOKUP(A693, Sheet2!$A$2:$A$11, Sheet2!$B$2:$B$11)</f>
        <v>2.5G</v>
      </c>
      <c r="D693">
        <v>42.5</v>
      </c>
      <c r="E693">
        <v>2</v>
      </c>
      <c r="F693">
        <v>2</v>
      </c>
      <c r="G693">
        <v>0.15459999999999999</v>
      </c>
      <c r="H693">
        <v>0.20619999999999999</v>
      </c>
      <c r="I693">
        <v>0.17380000000000001</v>
      </c>
      <c r="J693" s="55" t="str">
        <f>HYPERLINK(SetRGB(J693,G693*255,H693*255,I693*255),"HOVER!")</f>
        <v>HOVER!</v>
      </c>
      <c r="K693">
        <f>E693/F693</f>
        <v>1</v>
      </c>
    </row>
    <row r="694" spans="1:11" ht="15" x14ac:dyDescent="0.35">
      <c r="A694">
        <f t="shared" si="20"/>
        <v>4</v>
      </c>
      <c r="B694">
        <f t="shared" si="21"/>
        <v>2.5</v>
      </c>
      <c r="C694" s="199" t="str">
        <f>B694&amp;LOOKUP(A694, Sheet2!$A$2:$A$11, Sheet2!$B$2:$B$11)</f>
        <v>2.5G</v>
      </c>
      <c r="D694">
        <v>42.5</v>
      </c>
      <c r="E694">
        <v>4</v>
      </c>
      <c r="F694">
        <v>2</v>
      </c>
      <c r="G694">
        <v>8.3099999999999993E-2</v>
      </c>
      <c r="H694">
        <v>0.22</v>
      </c>
      <c r="I694">
        <v>0.14899999999999999</v>
      </c>
      <c r="J694" s="54" t="str">
        <f>HYPERLINK(SetRGB(J694,G694*255,H694*255,I694*255),"HOVER!")</f>
        <v>HOVER!</v>
      </c>
      <c r="K694">
        <f>E694/F694</f>
        <v>2</v>
      </c>
    </row>
    <row r="695" spans="1:11" ht="15" x14ac:dyDescent="0.35">
      <c r="A695">
        <f t="shared" si="20"/>
        <v>4</v>
      </c>
      <c r="B695">
        <f t="shared" si="21"/>
        <v>2.5</v>
      </c>
      <c r="C695" s="199" t="str">
        <f>B695&amp;LOOKUP(A695, Sheet2!$A$2:$A$11, Sheet2!$B$2:$B$11)</f>
        <v>2.5G</v>
      </c>
      <c r="D695">
        <v>42.5</v>
      </c>
      <c r="E695">
        <v>2</v>
      </c>
      <c r="F695">
        <v>3</v>
      </c>
      <c r="G695">
        <v>0.23499999999999999</v>
      </c>
      <c r="H695">
        <v>0.29959999999999998</v>
      </c>
      <c r="I695">
        <v>0.25629999999999997</v>
      </c>
      <c r="J695" s="1" t="str">
        <f>HYPERLINK(SetRGB(J695,G695*255,H695*255,I695*255),"HOVER!")</f>
        <v>HOVER!</v>
      </c>
      <c r="K695">
        <f>E695/F695</f>
        <v>0.66666666666666663</v>
      </c>
    </row>
    <row r="696" spans="1:11" ht="15" x14ac:dyDescent="0.35">
      <c r="A696">
        <f t="shared" si="20"/>
        <v>4</v>
      </c>
      <c r="B696">
        <f t="shared" si="21"/>
        <v>2.5</v>
      </c>
      <c r="C696" s="199" t="str">
        <f>B696&amp;LOOKUP(A696, Sheet2!$A$2:$A$11, Sheet2!$B$2:$B$11)</f>
        <v>2.5G</v>
      </c>
      <c r="D696">
        <v>42.5</v>
      </c>
      <c r="E696">
        <v>4</v>
      </c>
      <c r="F696">
        <v>3</v>
      </c>
      <c r="G696">
        <v>0.16159999999999999</v>
      </c>
      <c r="H696">
        <v>0.3155</v>
      </c>
      <c r="I696">
        <v>0.22670000000000001</v>
      </c>
      <c r="J696" s="1" t="str">
        <f>HYPERLINK(SetRGB(J696,G696*255,H696*255,I696*255),"HOVER!")</f>
        <v>HOVER!</v>
      </c>
      <c r="K696">
        <f>E696/F696</f>
        <v>1.3333333333333333</v>
      </c>
    </row>
    <row r="697" spans="1:11" ht="15" x14ac:dyDescent="0.35">
      <c r="A697">
        <f t="shared" si="20"/>
        <v>4</v>
      </c>
      <c r="B697">
        <f t="shared" si="21"/>
        <v>2.5</v>
      </c>
      <c r="C697" s="199" t="str">
        <f>B697&amp;LOOKUP(A697, Sheet2!$A$2:$A$11, Sheet2!$B$2:$B$11)</f>
        <v>2.5G</v>
      </c>
      <c r="D697">
        <v>42.5</v>
      </c>
      <c r="E697">
        <v>6</v>
      </c>
      <c r="F697">
        <v>3</v>
      </c>
      <c r="G697">
        <v>2.52E-2</v>
      </c>
      <c r="H697">
        <v>0.32869999999999999</v>
      </c>
      <c r="I697">
        <v>0.19950000000000001</v>
      </c>
      <c r="J697" s="1" t="str">
        <f>HYPERLINK(SetRGB(J697,G697*255,H697*255,I697*255),"HOVER!")</f>
        <v>HOVER!</v>
      </c>
      <c r="K697">
        <f>E697/F697</f>
        <v>2</v>
      </c>
    </row>
    <row r="698" spans="1:11" ht="15" x14ac:dyDescent="0.35">
      <c r="A698">
        <f t="shared" si="20"/>
        <v>4</v>
      </c>
      <c r="B698">
        <f t="shared" si="21"/>
        <v>2.5</v>
      </c>
      <c r="C698" s="199" t="str">
        <f>B698&amp;LOOKUP(A698, Sheet2!$A$2:$A$11, Sheet2!$B$2:$B$11)</f>
        <v>2.5G</v>
      </c>
      <c r="D698">
        <v>42.5</v>
      </c>
      <c r="E698">
        <v>2</v>
      </c>
      <c r="F698">
        <v>4</v>
      </c>
      <c r="G698">
        <v>0.32469999999999999</v>
      </c>
      <c r="H698">
        <v>0.39939999999999998</v>
      </c>
      <c r="I698">
        <v>0.3483</v>
      </c>
      <c r="J698" s="1" t="str">
        <f>HYPERLINK(SetRGB(J698,G698*255,H698*255,I698*255),"HOVER!")</f>
        <v>HOVER!</v>
      </c>
      <c r="K698">
        <f>E698/F698</f>
        <v>0.5</v>
      </c>
    </row>
    <row r="699" spans="1:11" ht="15" x14ac:dyDescent="0.35">
      <c r="A699">
        <f t="shared" si="20"/>
        <v>4</v>
      </c>
      <c r="B699">
        <f t="shared" si="21"/>
        <v>2.5</v>
      </c>
      <c r="C699" s="199" t="str">
        <f>B699&amp;LOOKUP(A699, Sheet2!$A$2:$A$11, Sheet2!$B$2:$B$11)</f>
        <v>2.5G</v>
      </c>
      <c r="D699">
        <v>42.5</v>
      </c>
      <c r="E699">
        <v>4</v>
      </c>
      <c r="F699">
        <v>4</v>
      </c>
      <c r="G699">
        <v>0.252</v>
      </c>
      <c r="H699">
        <v>0.41670000000000001</v>
      </c>
      <c r="I699">
        <v>0.31469999999999998</v>
      </c>
      <c r="J699" s="1" t="str">
        <f>HYPERLINK(SetRGB(J699,G699*255,H699*255,I699*255),"HOVER!")</f>
        <v>HOVER!</v>
      </c>
      <c r="K699">
        <f>E699/F699</f>
        <v>1</v>
      </c>
    </row>
    <row r="700" spans="1:11" ht="15" x14ac:dyDescent="0.35">
      <c r="A700">
        <f t="shared" si="20"/>
        <v>4</v>
      </c>
      <c r="B700">
        <f t="shared" si="21"/>
        <v>2.5</v>
      </c>
      <c r="C700" s="199" t="str">
        <f>B700&amp;LOOKUP(A700, Sheet2!$A$2:$A$11, Sheet2!$B$2:$B$11)</f>
        <v>2.5G</v>
      </c>
      <c r="D700">
        <v>42.5</v>
      </c>
      <c r="E700">
        <v>6</v>
      </c>
      <c r="F700">
        <v>4</v>
      </c>
      <c r="G700">
        <v>0.1419</v>
      </c>
      <c r="H700">
        <v>0.43269999999999997</v>
      </c>
      <c r="I700">
        <v>0.28060000000000002</v>
      </c>
      <c r="J700" s="1" t="str">
        <f>HYPERLINK(SetRGB(J700,G700*255,H700*255,I700*255),"HOVER!")</f>
        <v>HOVER!</v>
      </c>
      <c r="K700">
        <f>E700/F700</f>
        <v>1.5</v>
      </c>
    </row>
    <row r="701" spans="1:11" ht="15" x14ac:dyDescent="0.35">
      <c r="A701">
        <f t="shared" si="20"/>
        <v>4</v>
      </c>
      <c r="B701">
        <f t="shared" si="21"/>
        <v>2.5</v>
      </c>
      <c r="C701" s="199" t="str">
        <f>B701&amp;LOOKUP(A701, Sheet2!$A$2:$A$11, Sheet2!$B$2:$B$11)</f>
        <v>2.5G</v>
      </c>
      <c r="D701">
        <v>42.5</v>
      </c>
      <c r="E701">
        <v>2</v>
      </c>
      <c r="F701">
        <v>5</v>
      </c>
      <c r="G701">
        <v>0.42130000000000001</v>
      </c>
      <c r="H701">
        <v>0.50219999999999998</v>
      </c>
      <c r="I701">
        <v>0.44390000000000002</v>
      </c>
      <c r="J701" s="1" t="str">
        <f>HYPERLINK(SetRGB(J701,G701*255,H701*255,I701*255),"HOVER!")</f>
        <v>HOVER!</v>
      </c>
      <c r="K701">
        <f>E701/F701</f>
        <v>0.4</v>
      </c>
    </row>
    <row r="702" spans="1:11" ht="15" x14ac:dyDescent="0.35">
      <c r="A702">
        <f t="shared" si="20"/>
        <v>4</v>
      </c>
      <c r="B702">
        <f t="shared" si="21"/>
        <v>2.5</v>
      </c>
      <c r="C702" s="199" t="str">
        <f>B702&amp;LOOKUP(A702, Sheet2!$A$2:$A$11, Sheet2!$B$2:$B$11)</f>
        <v>2.5G</v>
      </c>
      <c r="D702">
        <v>42.5</v>
      </c>
      <c r="E702">
        <v>4</v>
      </c>
      <c r="F702">
        <v>5</v>
      </c>
      <c r="G702">
        <v>0.3533</v>
      </c>
      <c r="H702">
        <v>0.51980000000000004</v>
      </c>
      <c r="I702">
        <v>0.40860000000000002</v>
      </c>
      <c r="J702" s="1" t="str">
        <f>HYPERLINK(SetRGB(J702,G702*255,H702*255,I702*255),"HOVER!")</f>
        <v>HOVER!</v>
      </c>
      <c r="K702">
        <f>E702/F702</f>
        <v>0.8</v>
      </c>
    </row>
    <row r="703" spans="1:11" ht="15" x14ac:dyDescent="0.35">
      <c r="A703">
        <f t="shared" si="20"/>
        <v>4</v>
      </c>
      <c r="B703">
        <f t="shared" si="21"/>
        <v>2.5</v>
      </c>
      <c r="C703" s="199" t="str">
        <f>B703&amp;LOOKUP(A703, Sheet2!$A$2:$A$11, Sheet2!$B$2:$B$11)</f>
        <v>2.5G</v>
      </c>
      <c r="D703">
        <v>42.5</v>
      </c>
      <c r="E703">
        <v>6</v>
      </c>
      <c r="F703">
        <v>5</v>
      </c>
      <c r="G703">
        <v>0.26979999999999998</v>
      </c>
      <c r="H703">
        <v>0.53559999999999997</v>
      </c>
      <c r="I703">
        <v>0.37330000000000002</v>
      </c>
      <c r="J703" s="1" t="str">
        <f>HYPERLINK(SetRGB(J703,G703*255,H703*255,I703*255),"HOVER!")</f>
        <v>HOVER!</v>
      </c>
      <c r="K703">
        <f>E703/F703</f>
        <v>1.2</v>
      </c>
    </row>
    <row r="704" spans="1:11" ht="15" x14ac:dyDescent="0.35">
      <c r="A704">
        <f t="shared" si="20"/>
        <v>4</v>
      </c>
      <c r="B704">
        <f t="shared" si="21"/>
        <v>2.5</v>
      </c>
      <c r="C704" s="199" t="str">
        <f>B704&amp;LOOKUP(A704, Sheet2!$A$2:$A$11, Sheet2!$B$2:$B$11)</f>
        <v>2.5G</v>
      </c>
      <c r="D704">
        <v>42.5</v>
      </c>
      <c r="E704">
        <v>8</v>
      </c>
      <c r="F704">
        <v>5</v>
      </c>
      <c r="G704">
        <v>0.1321</v>
      </c>
      <c r="H704">
        <v>0.55059999999999998</v>
      </c>
      <c r="I704">
        <v>0.33829999999999999</v>
      </c>
      <c r="J704" s="1" t="str">
        <f>HYPERLINK(SetRGB(J704,G704*255,H704*255,I704*255),"HOVER!")</f>
        <v>HOVER!</v>
      </c>
      <c r="K704">
        <f>E704/F704</f>
        <v>1.6</v>
      </c>
    </row>
    <row r="705" spans="1:11" ht="15" x14ac:dyDescent="0.35">
      <c r="A705">
        <f t="shared" si="20"/>
        <v>4</v>
      </c>
      <c r="B705">
        <f t="shared" si="21"/>
        <v>2.5</v>
      </c>
      <c r="C705" s="199" t="str">
        <f>B705&amp;LOOKUP(A705, Sheet2!$A$2:$A$11, Sheet2!$B$2:$B$11)</f>
        <v>2.5G</v>
      </c>
      <c r="D705">
        <v>42.5</v>
      </c>
      <c r="E705">
        <v>2</v>
      </c>
      <c r="F705">
        <v>6</v>
      </c>
      <c r="G705">
        <v>0.51639999999999997</v>
      </c>
      <c r="H705">
        <v>0.60729999999999995</v>
      </c>
      <c r="I705">
        <v>0.53969999999999996</v>
      </c>
      <c r="J705" s="2" t="str">
        <f>HYPERLINK(SetRGB(J705,G705*255,H705*255,I705*255),"HOVER!")</f>
        <v>HOVER!</v>
      </c>
      <c r="K705">
        <f>E705/F705</f>
        <v>0.33333333333333331</v>
      </c>
    </row>
    <row r="706" spans="1:11" ht="15" x14ac:dyDescent="0.35">
      <c r="A706">
        <f t="shared" si="20"/>
        <v>4</v>
      </c>
      <c r="B706">
        <f t="shared" si="21"/>
        <v>2.5</v>
      </c>
      <c r="C706" s="199" t="str">
        <f>B706&amp;LOOKUP(A706, Sheet2!$A$2:$A$11, Sheet2!$B$2:$B$11)</f>
        <v>2.5G</v>
      </c>
      <c r="D706">
        <v>42.5</v>
      </c>
      <c r="E706">
        <v>4</v>
      </c>
      <c r="F706">
        <v>6</v>
      </c>
      <c r="G706">
        <v>0.44719999999999999</v>
      </c>
      <c r="H706">
        <v>0.62590000000000001</v>
      </c>
      <c r="I706">
        <v>0.50160000000000005</v>
      </c>
      <c r="J706" s="2" t="str">
        <f>HYPERLINK(SetRGB(J706,G706*255,H706*255,I706*255),"HOVER!")</f>
        <v>HOVER!</v>
      </c>
      <c r="K706">
        <f>E706/F706</f>
        <v>0.66666666666666663</v>
      </c>
    </row>
    <row r="707" spans="1:11" ht="15" x14ac:dyDescent="0.35">
      <c r="A707">
        <f t="shared" si="20"/>
        <v>4</v>
      </c>
      <c r="B707">
        <f t="shared" si="21"/>
        <v>2.5</v>
      </c>
      <c r="C707" s="199" t="str">
        <f>B707&amp;LOOKUP(A707, Sheet2!$A$2:$A$11, Sheet2!$B$2:$B$11)</f>
        <v>2.5G</v>
      </c>
      <c r="D707">
        <v>42.5</v>
      </c>
      <c r="E707">
        <v>6</v>
      </c>
      <c r="F707">
        <v>6</v>
      </c>
      <c r="G707">
        <v>0.37059999999999998</v>
      </c>
      <c r="H707">
        <v>0.6421</v>
      </c>
      <c r="I707">
        <v>0.46389999999999998</v>
      </c>
      <c r="J707" s="2" t="str">
        <f>HYPERLINK(SetRGB(J707,G707*255,H707*255,I707*255),"HOVER!")</f>
        <v>HOVER!</v>
      </c>
      <c r="K707">
        <f>E707/F707</f>
        <v>1</v>
      </c>
    </row>
    <row r="708" spans="1:11" ht="15" x14ac:dyDescent="0.35">
      <c r="A708">
        <f t="shared" si="20"/>
        <v>4</v>
      </c>
      <c r="B708">
        <f t="shared" si="21"/>
        <v>2.5</v>
      </c>
      <c r="C708" s="199" t="str">
        <f>B708&amp;LOOKUP(A708, Sheet2!$A$2:$A$11, Sheet2!$B$2:$B$11)</f>
        <v>2.5G</v>
      </c>
      <c r="D708">
        <v>42.5</v>
      </c>
      <c r="E708">
        <v>8</v>
      </c>
      <c r="F708">
        <v>6</v>
      </c>
      <c r="G708">
        <v>0.27039999999999997</v>
      </c>
      <c r="H708">
        <v>0.65710000000000002</v>
      </c>
      <c r="I708">
        <v>0.42780000000000001</v>
      </c>
      <c r="J708" s="2" t="str">
        <f>HYPERLINK(SetRGB(J708,G708*255,H708*255,I708*255),"HOVER!")</f>
        <v>HOVER!</v>
      </c>
      <c r="K708">
        <f>E708/F708</f>
        <v>1.3333333333333333</v>
      </c>
    </row>
    <row r="709" spans="1:11" ht="15" x14ac:dyDescent="0.35">
      <c r="A709">
        <f t="shared" si="20"/>
        <v>4</v>
      </c>
      <c r="B709">
        <f t="shared" si="21"/>
        <v>2.5</v>
      </c>
      <c r="C709" s="199" t="str">
        <f>B709&amp;LOOKUP(A709, Sheet2!$A$2:$A$11, Sheet2!$B$2:$B$11)</f>
        <v>2.5G</v>
      </c>
      <c r="D709">
        <v>42.5</v>
      </c>
      <c r="E709">
        <v>10</v>
      </c>
      <c r="F709">
        <v>6</v>
      </c>
      <c r="G709">
        <v>7.9600000000000004E-2</v>
      </c>
      <c r="H709">
        <v>0.67110000000000003</v>
      </c>
      <c r="I709">
        <v>0.39169999999999999</v>
      </c>
      <c r="J709" s="1" t="str">
        <f>HYPERLINK(SetRGB(J709,G709*255,H709*255,I709*255),"HOVER!")</f>
        <v>HOVER!</v>
      </c>
      <c r="K709">
        <f>E709/F709</f>
        <v>1.6666666666666667</v>
      </c>
    </row>
    <row r="710" spans="1:11" ht="15" x14ac:dyDescent="0.35">
      <c r="A710">
        <f t="shared" si="20"/>
        <v>4</v>
      </c>
      <c r="B710">
        <f t="shared" si="21"/>
        <v>2.5</v>
      </c>
      <c r="C710" s="199" t="str">
        <f>B710&amp;LOOKUP(A710, Sheet2!$A$2:$A$11, Sheet2!$B$2:$B$11)</f>
        <v>2.5G</v>
      </c>
      <c r="D710">
        <v>42.5</v>
      </c>
      <c r="E710">
        <v>2</v>
      </c>
      <c r="F710">
        <v>7</v>
      </c>
      <c r="G710">
        <v>0.61670000000000003</v>
      </c>
      <c r="H710">
        <v>0.71199999999999997</v>
      </c>
      <c r="I710">
        <v>0.64</v>
      </c>
      <c r="J710" s="2" t="str">
        <f>HYPERLINK(SetRGB(J710,G710*255,H710*255,I710*255),"HOVER!")</f>
        <v>HOVER!</v>
      </c>
      <c r="K710">
        <f>E710/F710</f>
        <v>0.2857142857142857</v>
      </c>
    </row>
    <row r="711" spans="1:11" ht="15" x14ac:dyDescent="0.35">
      <c r="A711">
        <f t="shared" si="20"/>
        <v>4</v>
      </c>
      <c r="B711">
        <f t="shared" si="21"/>
        <v>2.5</v>
      </c>
      <c r="C711" s="199" t="str">
        <f>B711&amp;LOOKUP(A711, Sheet2!$A$2:$A$11, Sheet2!$B$2:$B$11)</f>
        <v>2.5G</v>
      </c>
      <c r="D711">
        <v>42.5</v>
      </c>
      <c r="E711">
        <v>4</v>
      </c>
      <c r="F711">
        <v>7</v>
      </c>
      <c r="G711">
        <v>0.54910000000000003</v>
      </c>
      <c r="H711">
        <v>0.73119999999999996</v>
      </c>
      <c r="I711">
        <v>0.59919999999999995</v>
      </c>
      <c r="J711" s="2" t="str">
        <f>HYPERLINK(SetRGB(J711,G711*255,H711*255,I711*255),"HOVER!")</f>
        <v>HOVER!</v>
      </c>
      <c r="K711">
        <f>E711/F711</f>
        <v>0.5714285714285714</v>
      </c>
    </row>
    <row r="712" spans="1:11" ht="15" x14ac:dyDescent="0.35">
      <c r="A712">
        <f t="shared" si="20"/>
        <v>4</v>
      </c>
      <c r="B712">
        <f t="shared" si="21"/>
        <v>2.5</v>
      </c>
      <c r="C712" s="199" t="str">
        <f>B712&amp;LOOKUP(A712, Sheet2!$A$2:$A$11, Sheet2!$B$2:$B$11)</f>
        <v>2.5G</v>
      </c>
      <c r="D712">
        <v>42.5</v>
      </c>
      <c r="E712">
        <v>6</v>
      </c>
      <c r="F712">
        <v>7</v>
      </c>
      <c r="G712">
        <v>0.4778</v>
      </c>
      <c r="H712">
        <v>0.74770000000000003</v>
      </c>
      <c r="I712">
        <v>0.56079999999999997</v>
      </c>
      <c r="J712" s="2" t="str">
        <f>HYPERLINK(SetRGB(J712,G712*255,H712*255,I712*255),"HOVER!")</f>
        <v>HOVER!</v>
      </c>
      <c r="K712">
        <f>E712/F712</f>
        <v>0.8571428571428571</v>
      </c>
    </row>
    <row r="713" spans="1:11" ht="15" x14ac:dyDescent="0.35">
      <c r="A713">
        <f t="shared" si="20"/>
        <v>4</v>
      </c>
      <c r="B713">
        <f t="shared" si="21"/>
        <v>2.5</v>
      </c>
      <c r="C713" s="199" t="str">
        <f>B713&amp;LOOKUP(A713, Sheet2!$A$2:$A$11, Sheet2!$B$2:$B$11)</f>
        <v>2.5G</v>
      </c>
      <c r="D713">
        <v>42.5</v>
      </c>
      <c r="E713">
        <v>8</v>
      </c>
      <c r="F713">
        <v>7</v>
      </c>
      <c r="G713">
        <v>0.3876</v>
      </c>
      <c r="H713">
        <v>0.76400000000000001</v>
      </c>
      <c r="I713">
        <v>0.52</v>
      </c>
      <c r="J713" s="2" t="str">
        <f>HYPERLINK(SetRGB(J713,G713*255,H713*255,I713*255),"HOVER!")</f>
        <v>HOVER!</v>
      </c>
      <c r="K713">
        <f>E713/F713</f>
        <v>1.1428571428571428</v>
      </c>
    </row>
    <row r="714" spans="1:11" ht="15" x14ac:dyDescent="0.35">
      <c r="A714">
        <f t="shared" si="20"/>
        <v>4</v>
      </c>
      <c r="B714">
        <f t="shared" si="21"/>
        <v>2.5</v>
      </c>
      <c r="C714" s="199" t="str">
        <f>B714&amp;LOOKUP(A714, Sheet2!$A$2:$A$11, Sheet2!$B$2:$B$11)</f>
        <v>2.5G</v>
      </c>
      <c r="D714">
        <v>42.5</v>
      </c>
      <c r="E714">
        <v>10</v>
      </c>
      <c r="F714">
        <v>7</v>
      </c>
      <c r="G714">
        <v>0.26329999999999998</v>
      </c>
      <c r="H714">
        <v>0.7792</v>
      </c>
      <c r="I714">
        <v>0.47970000000000002</v>
      </c>
      <c r="J714" s="2" t="str">
        <f>HYPERLINK(SetRGB(J714,G714*255,H714*255,I714*255),"HOVER!")</f>
        <v>HOVER!</v>
      </c>
      <c r="K714">
        <f>E714/F714</f>
        <v>1.4285714285714286</v>
      </c>
    </row>
    <row r="715" spans="1:11" ht="15" x14ac:dyDescent="0.35">
      <c r="A715">
        <f t="shared" si="20"/>
        <v>4</v>
      </c>
      <c r="B715">
        <f t="shared" si="21"/>
        <v>2.5</v>
      </c>
      <c r="C715" s="199" t="str">
        <f>B715&amp;LOOKUP(A715, Sheet2!$A$2:$A$11, Sheet2!$B$2:$B$11)</f>
        <v>2.5G</v>
      </c>
      <c r="D715">
        <v>42.5</v>
      </c>
      <c r="E715">
        <v>2</v>
      </c>
      <c r="F715">
        <v>8</v>
      </c>
      <c r="G715">
        <v>0.71619999999999995</v>
      </c>
      <c r="H715">
        <v>0.81889999999999996</v>
      </c>
      <c r="I715">
        <v>0.73950000000000005</v>
      </c>
      <c r="J715" s="2" t="str">
        <f>HYPERLINK(SetRGB(J715,G715*255,H715*255,I715*255),"HOVER!")</f>
        <v>HOVER!</v>
      </c>
      <c r="K715">
        <f>E715/F715</f>
        <v>0.25</v>
      </c>
    </row>
    <row r="716" spans="1:11" ht="15" x14ac:dyDescent="0.35">
      <c r="A716">
        <f t="shared" si="20"/>
        <v>4</v>
      </c>
      <c r="B716">
        <f t="shared" si="21"/>
        <v>2.5</v>
      </c>
      <c r="C716" s="199" t="str">
        <f>B716&amp;LOOKUP(A716, Sheet2!$A$2:$A$11, Sheet2!$B$2:$B$11)</f>
        <v>2.5G</v>
      </c>
      <c r="D716">
        <v>42.5</v>
      </c>
      <c r="E716">
        <v>4</v>
      </c>
      <c r="F716">
        <v>8</v>
      </c>
      <c r="G716">
        <v>0.64910000000000001</v>
      </c>
      <c r="H716">
        <v>0.83850000000000002</v>
      </c>
      <c r="I716">
        <v>0.69640000000000002</v>
      </c>
      <c r="J716" s="2" t="str">
        <f>HYPERLINK(SetRGB(J716,G716*255,H716*255,I716*255),"HOVER!")</f>
        <v>HOVER!</v>
      </c>
      <c r="K716">
        <f>E716/F716</f>
        <v>0.5</v>
      </c>
    </row>
    <row r="717" spans="1:11" ht="15" x14ac:dyDescent="0.35">
      <c r="A717">
        <f t="shared" si="20"/>
        <v>4</v>
      </c>
      <c r="B717">
        <f t="shared" si="21"/>
        <v>2.5</v>
      </c>
      <c r="C717" s="199" t="str">
        <f>B717&amp;LOOKUP(A717, Sheet2!$A$2:$A$11, Sheet2!$B$2:$B$11)</f>
        <v>2.5G</v>
      </c>
      <c r="D717">
        <v>42.5</v>
      </c>
      <c r="E717">
        <v>6</v>
      </c>
      <c r="F717">
        <v>8</v>
      </c>
      <c r="G717">
        <v>0.56810000000000005</v>
      </c>
      <c r="H717">
        <v>0.85809999999999997</v>
      </c>
      <c r="I717">
        <v>0.65039999999999998</v>
      </c>
      <c r="J717" s="2" t="str">
        <f>HYPERLINK(SetRGB(J717,G717*255,H717*255,I717*255),"HOVER!")</f>
        <v>HOVER!</v>
      </c>
      <c r="K717">
        <f>E717/F717</f>
        <v>0.75</v>
      </c>
    </row>
    <row r="718" spans="1:11" ht="15" x14ac:dyDescent="0.35">
      <c r="A718">
        <f t="shared" ref="A718:A781" si="22">IF(FLOOR(D718/10,1)=0,10,FLOOR(D718/10,1))</f>
        <v>4</v>
      </c>
      <c r="B718">
        <f t="shared" ref="B718:B781" si="23">IF(MOD(D718,10)=0,10,MOD(D718,10))</f>
        <v>2.5</v>
      </c>
      <c r="C718" s="199" t="str">
        <f>B718&amp;LOOKUP(A718, Sheet2!$A$2:$A$11, Sheet2!$B$2:$B$11)</f>
        <v>2.5G</v>
      </c>
      <c r="D718">
        <v>42.5</v>
      </c>
      <c r="E718">
        <v>8</v>
      </c>
      <c r="F718">
        <v>8</v>
      </c>
      <c r="G718">
        <v>0.48759999999999998</v>
      </c>
      <c r="H718">
        <v>0.87380000000000002</v>
      </c>
      <c r="I718">
        <v>0.61070000000000002</v>
      </c>
      <c r="J718" s="2" t="str">
        <f>HYPERLINK(SetRGB(J718,G718*255,H718*255,I718*255),"HOVER!")</f>
        <v>HOVER!</v>
      </c>
      <c r="K718">
        <f>E718/F718</f>
        <v>1</v>
      </c>
    </row>
    <row r="719" spans="1:11" ht="15" x14ac:dyDescent="0.35">
      <c r="A719">
        <f t="shared" si="22"/>
        <v>4</v>
      </c>
      <c r="B719">
        <f t="shared" si="23"/>
        <v>2.5</v>
      </c>
      <c r="C719" s="199" t="str">
        <f>B719&amp;LOOKUP(A719, Sheet2!$A$2:$A$11, Sheet2!$B$2:$B$11)</f>
        <v>2.5G</v>
      </c>
      <c r="D719">
        <v>42.5</v>
      </c>
      <c r="E719">
        <v>10</v>
      </c>
      <c r="F719">
        <v>8</v>
      </c>
      <c r="G719">
        <v>0.38290000000000002</v>
      </c>
      <c r="H719">
        <v>0.88929999999999998</v>
      </c>
      <c r="I719">
        <v>0.56850000000000001</v>
      </c>
      <c r="J719" s="2" t="str">
        <f>HYPERLINK(SetRGB(J719,G719*255,H719*255,I719*255),"HOVER!")</f>
        <v>HOVER!</v>
      </c>
      <c r="K719">
        <f>E719/F719</f>
        <v>1.25</v>
      </c>
    </row>
    <row r="720" spans="1:11" ht="15" x14ac:dyDescent="0.35">
      <c r="A720">
        <f t="shared" si="22"/>
        <v>4</v>
      </c>
      <c r="B720">
        <f t="shared" si="23"/>
        <v>2.5</v>
      </c>
      <c r="C720" s="199" t="str">
        <f>B720&amp;LOOKUP(A720, Sheet2!$A$2:$A$11, Sheet2!$B$2:$B$11)</f>
        <v>2.5G</v>
      </c>
      <c r="D720">
        <v>42.5</v>
      </c>
      <c r="E720">
        <v>12</v>
      </c>
      <c r="F720">
        <v>8</v>
      </c>
      <c r="G720">
        <v>0.20979999999999999</v>
      </c>
      <c r="H720">
        <v>0.90469999999999995</v>
      </c>
      <c r="I720">
        <v>0.52580000000000005</v>
      </c>
      <c r="J720" s="2" t="str">
        <f>HYPERLINK(SetRGB(J720,G720*255,H720*255,I720*255),"HOVER!")</f>
        <v>HOVER!</v>
      </c>
      <c r="K720">
        <f>E720/F720</f>
        <v>1.5</v>
      </c>
    </row>
    <row r="721" spans="1:11" ht="15" x14ac:dyDescent="0.35">
      <c r="A721">
        <f t="shared" si="22"/>
        <v>4</v>
      </c>
      <c r="B721">
        <f t="shared" si="23"/>
        <v>2.5</v>
      </c>
      <c r="C721" s="199" t="str">
        <f>B721&amp;LOOKUP(A721, Sheet2!$A$2:$A$11, Sheet2!$B$2:$B$11)</f>
        <v>2.5G</v>
      </c>
      <c r="D721">
        <v>42.5</v>
      </c>
      <c r="E721">
        <v>2</v>
      </c>
      <c r="F721">
        <v>9</v>
      </c>
      <c r="G721">
        <v>0.81720000000000004</v>
      </c>
      <c r="H721">
        <v>0.92849999999999999</v>
      </c>
      <c r="I721">
        <v>0.84050000000000002</v>
      </c>
      <c r="J721" s="2" t="str">
        <f>HYPERLINK(SetRGB(J721,G721*255,H721*255,I721*255),"HOVER!")</f>
        <v>HOVER!</v>
      </c>
      <c r="K721">
        <f>E721/F721</f>
        <v>0.22222222222222221</v>
      </c>
    </row>
    <row r="722" spans="1:11" ht="15" x14ac:dyDescent="0.35">
      <c r="A722">
        <f t="shared" si="22"/>
        <v>4</v>
      </c>
      <c r="B722">
        <f t="shared" si="23"/>
        <v>2.5</v>
      </c>
      <c r="C722" s="199" t="str">
        <f>B722&amp;LOOKUP(A722, Sheet2!$A$2:$A$11, Sheet2!$B$2:$B$11)</f>
        <v>2.5G</v>
      </c>
      <c r="D722">
        <v>42.5</v>
      </c>
      <c r="E722">
        <v>4</v>
      </c>
      <c r="F722">
        <v>9</v>
      </c>
      <c r="G722">
        <v>0.745</v>
      </c>
      <c r="H722">
        <v>0.95</v>
      </c>
      <c r="I722">
        <v>0.79239999999999999</v>
      </c>
      <c r="J722" s="2" t="str">
        <f>HYPERLINK(SetRGB(J722,G722*255,H722*255,I722*255),"HOVER!")</f>
        <v>HOVER!</v>
      </c>
      <c r="K722">
        <f>E722/F722</f>
        <v>0.44444444444444442</v>
      </c>
    </row>
    <row r="723" spans="1:11" ht="15" x14ac:dyDescent="0.35">
      <c r="A723">
        <f t="shared" si="22"/>
        <v>4</v>
      </c>
      <c r="B723">
        <f t="shared" si="23"/>
        <v>2.5</v>
      </c>
      <c r="C723" s="199" t="str">
        <f>B723&amp;LOOKUP(A723, Sheet2!$A$2:$A$11, Sheet2!$B$2:$B$11)</f>
        <v>2.5G</v>
      </c>
      <c r="D723">
        <v>42.5</v>
      </c>
      <c r="E723">
        <v>6</v>
      </c>
      <c r="F723">
        <v>9</v>
      </c>
      <c r="G723">
        <v>0.65639999999999998</v>
      </c>
      <c r="H723">
        <v>0.97199999999999998</v>
      </c>
      <c r="I723">
        <v>0.73909999999999998</v>
      </c>
      <c r="J723" s="2" t="str">
        <f>HYPERLINK(SetRGB(J723,G723*255,H723*255,I723*255),"HOVER!")</f>
        <v>HOVER!</v>
      </c>
      <c r="K723">
        <f>E723/F723</f>
        <v>0.66666666666666663</v>
      </c>
    </row>
    <row r="724" spans="1:11" ht="15" x14ac:dyDescent="0.35">
      <c r="A724">
        <f t="shared" si="22"/>
        <v>4</v>
      </c>
      <c r="B724">
        <f t="shared" si="23"/>
        <v>2.5</v>
      </c>
      <c r="C724" s="199" t="str">
        <f>B724&amp;LOOKUP(A724, Sheet2!$A$2:$A$11, Sheet2!$B$2:$B$11)</f>
        <v>2.5G</v>
      </c>
      <c r="D724">
        <v>42.5</v>
      </c>
      <c r="E724">
        <v>8</v>
      </c>
      <c r="F724">
        <v>9</v>
      </c>
      <c r="G724">
        <v>0.56989999999999996</v>
      </c>
      <c r="H724">
        <v>0.98919999999999997</v>
      </c>
      <c r="I724">
        <v>0.69550000000000001</v>
      </c>
      <c r="J724" s="2" t="str">
        <f>HYPERLINK(SetRGB(J724,G724*255,H724*255,I724*255),"HOVER!")</f>
        <v>HOVER!</v>
      </c>
      <c r="K724">
        <f>E724/F724</f>
        <v>0.88888888888888884</v>
      </c>
    </row>
    <row r="725" spans="1:11" ht="15" x14ac:dyDescent="0.35">
      <c r="A725">
        <f t="shared" si="22"/>
        <v>4</v>
      </c>
      <c r="B725">
        <f t="shared" si="23"/>
        <v>2.5</v>
      </c>
      <c r="C725" s="199" t="str">
        <f>B725&amp;LOOKUP(A725, Sheet2!$A$2:$A$11, Sheet2!$B$2:$B$11)</f>
        <v>2.5G</v>
      </c>
      <c r="D725">
        <v>42.5</v>
      </c>
      <c r="E725">
        <v>10</v>
      </c>
      <c r="F725">
        <v>9</v>
      </c>
      <c r="G725">
        <v>0.46460000000000001</v>
      </c>
      <c r="H725">
        <v>1</v>
      </c>
      <c r="I725">
        <v>0.65069999999999995</v>
      </c>
      <c r="J725" s="2" t="str">
        <f>HYPERLINK(SetRGB(J725,G725*255,H725*255,I725*255),"HOVER!")</f>
        <v>HOVER!</v>
      </c>
      <c r="K725">
        <f>E725/F725</f>
        <v>1.1111111111111112</v>
      </c>
    </row>
    <row r="726" spans="1:11" ht="15" x14ac:dyDescent="0.35">
      <c r="A726">
        <f t="shared" si="22"/>
        <v>4</v>
      </c>
      <c r="B726">
        <f t="shared" si="23"/>
        <v>2.5</v>
      </c>
      <c r="C726" s="199" t="str">
        <f>B726&amp;LOOKUP(A726, Sheet2!$A$2:$A$11, Sheet2!$B$2:$B$11)</f>
        <v>2.5G</v>
      </c>
      <c r="D726">
        <v>42.5</v>
      </c>
      <c r="E726">
        <v>12</v>
      </c>
      <c r="F726">
        <v>9</v>
      </c>
      <c r="G726">
        <v>0.33069999999999999</v>
      </c>
      <c r="H726">
        <v>1</v>
      </c>
      <c r="I726">
        <v>0.60829999999999995</v>
      </c>
      <c r="J726" s="2" t="str">
        <f>HYPERLINK(SetRGB(J726,G726*255,H726*255,I726*255),"HOVER!")</f>
        <v>HOVER!</v>
      </c>
      <c r="K726">
        <f>E726/F726</f>
        <v>1.3333333333333333</v>
      </c>
    </row>
    <row r="727" spans="1:11" ht="15" x14ac:dyDescent="0.35">
      <c r="A727">
        <f t="shared" si="22"/>
        <v>4</v>
      </c>
      <c r="B727">
        <f t="shared" si="23"/>
        <v>5</v>
      </c>
      <c r="C727" s="199" t="str">
        <f>B727&amp;LOOKUP(A727, Sheet2!$A$2:$A$11, Sheet2!$B$2:$B$11)</f>
        <v>5G</v>
      </c>
      <c r="D727">
        <v>45</v>
      </c>
      <c r="E727">
        <v>2</v>
      </c>
      <c r="F727">
        <v>1</v>
      </c>
      <c r="G727">
        <v>6.8599999999999994E-2</v>
      </c>
      <c r="H727">
        <v>0.1244</v>
      </c>
      <c r="I727">
        <v>9.9500000000000005E-2</v>
      </c>
      <c r="J727" s="50" t="str">
        <f>HYPERLINK(SetRGB(J727,G727*255,H727*255,I727*255),"HOVER!")</f>
        <v>HOVER!</v>
      </c>
      <c r="K727">
        <f>E727/F727</f>
        <v>2</v>
      </c>
    </row>
    <row r="728" spans="1:11" ht="15" x14ac:dyDescent="0.35">
      <c r="A728">
        <f t="shared" si="22"/>
        <v>4</v>
      </c>
      <c r="B728">
        <f t="shared" si="23"/>
        <v>5</v>
      </c>
      <c r="C728" s="199" t="str">
        <f>B728&amp;LOOKUP(A728, Sheet2!$A$2:$A$11, Sheet2!$B$2:$B$11)</f>
        <v>5G</v>
      </c>
      <c r="D728">
        <v>45</v>
      </c>
      <c r="E728">
        <v>2</v>
      </c>
      <c r="F728">
        <v>2</v>
      </c>
      <c r="G728">
        <v>0.14979999999999999</v>
      </c>
      <c r="H728">
        <v>0.20669999999999999</v>
      </c>
      <c r="I728">
        <v>0.1794</v>
      </c>
      <c r="J728" s="1" t="str">
        <f>HYPERLINK(SetRGB(J728,G728*255,H728*255,I728*255),"HOVER!")</f>
        <v>HOVER!</v>
      </c>
      <c r="K728">
        <f>E728/F728</f>
        <v>1</v>
      </c>
    </row>
    <row r="729" spans="1:11" ht="15" x14ac:dyDescent="0.35">
      <c r="A729">
        <f t="shared" si="22"/>
        <v>4</v>
      </c>
      <c r="B729">
        <f t="shared" si="23"/>
        <v>5</v>
      </c>
      <c r="C729" s="199" t="str">
        <f>B729&amp;LOOKUP(A729, Sheet2!$A$2:$A$11, Sheet2!$B$2:$B$11)</f>
        <v>5G</v>
      </c>
      <c r="D729">
        <v>45</v>
      </c>
      <c r="E729">
        <v>4</v>
      </c>
      <c r="F729">
        <v>2</v>
      </c>
      <c r="G729">
        <v>6.6000000000000003E-2</v>
      </c>
      <c r="H729">
        <v>0.2208</v>
      </c>
      <c r="I729">
        <v>0.1623</v>
      </c>
      <c r="J729" s="1" t="str">
        <f>HYPERLINK(SetRGB(J729,G729*255,H729*255,I729*255),"HOVER!")</f>
        <v>HOVER!</v>
      </c>
      <c r="K729">
        <f>E729/F729</f>
        <v>2</v>
      </c>
    </row>
    <row r="730" spans="1:11" ht="15" x14ac:dyDescent="0.35">
      <c r="A730">
        <f t="shared" si="22"/>
        <v>4</v>
      </c>
      <c r="B730">
        <f t="shared" si="23"/>
        <v>5</v>
      </c>
      <c r="C730" s="199" t="str">
        <f>B730&amp;LOOKUP(A730, Sheet2!$A$2:$A$11, Sheet2!$B$2:$B$11)</f>
        <v>5G</v>
      </c>
      <c r="D730">
        <v>45</v>
      </c>
      <c r="E730">
        <v>2</v>
      </c>
      <c r="F730">
        <v>3</v>
      </c>
      <c r="G730">
        <v>0.22819999999999999</v>
      </c>
      <c r="H730">
        <v>0.3004</v>
      </c>
      <c r="I730">
        <v>0.26450000000000001</v>
      </c>
      <c r="J730" s="1" t="str">
        <f>HYPERLINK(SetRGB(J730,G730*255,H730*255,I730*255),"HOVER!")</f>
        <v>HOVER!</v>
      </c>
      <c r="K730">
        <f>E730/F730</f>
        <v>0.66666666666666663</v>
      </c>
    </row>
    <row r="731" spans="1:11" ht="15" x14ac:dyDescent="0.35">
      <c r="A731">
        <f t="shared" si="22"/>
        <v>4</v>
      </c>
      <c r="B731">
        <f t="shared" si="23"/>
        <v>5</v>
      </c>
      <c r="C731" s="199" t="str">
        <f>B731&amp;LOOKUP(A731, Sheet2!$A$2:$A$11, Sheet2!$B$2:$B$11)</f>
        <v>5G</v>
      </c>
      <c r="D731">
        <v>45</v>
      </c>
      <c r="E731">
        <v>4</v>
      </c>
      <c r="F731">
        <v>3</v>
      </c>
      <c r="G731">
        <v>0.14119999999999999</v>
      </c>
      <c r="H731">
        <v>0.31690000000000002</v>
      </c>
      <c r="I731">
        <v>0.24340000000000001</v>
      </c>
      <c r="J731" s="1" t="str">
        <f>HYPERLINK(SetRGB(J731,G731*255,H731*255,I731*255),"HOVER!")</f>
        <v>HOVER!</v>
      </c>
      <c r="K731">
        <f>E731/F731</f>
        <v>1.3333333333333333</v>
      </c>
    </row>
    <row r="732" spans="1:11" ht="15" x14ac:dyDescent="0.35">
      <c r="A732">
        <f t="shared" si="22"/>
        <v>4</v>
      </c>
      <c r="B732">
        <f t="shared" si="23"/>
        <v>5</v>
      </c>
      <c r="C732" s="199" t="str">
        <f>B732&amp;LOOKUP(A732, Sheet2!$A$2:$A$11, Sheet2!$B$2:$B$11)</f>
        <v>5G</v>
      </c>
      <c r="D732">
        <v>45</v>
      </c>
      <c r="E732">
        <v>2</v>
      </c>
      <c r="F732">
        <v>4</v>
      </c>
      <c r="G732">
        <v>0.318</v>
      </c>
      <c r="H732">
        <v>0.40010000000000001</v>
      </c>
      <c r="I732">
        <v>0.35730000000000001</v>
      </c>
      <c r="J732" s="1" t="str">
        <f>HYPERLINK(SetRGB(J732,G732*255,H732*255,I732*255),"HOVER!")</f>
        <v>HOVER!</v>
      </c>
      <c r="K732">
        <f>E732/F732</f>
        <v>0.5</v>
      </c>
    </row>
    <row r="733" spans="1:11" ht="15" x14ac:dyDescent="0.35">
      <c r="A733">
        <f t="shared" si="22"/>
        <v>4</v>
      </c>
      <c r="B733">
        <f t="shared" si="23"/>
        <v>5</v>
      </c>
      <c r="C733" s="199" t="str">
        <f>B733&amp;LOOKUP(A733, Sheet2!$A$2:$A$11, Sheet2!$B$2:$B$11)</f>
        <v>5G</v>
      </c>
      <c r="D733">
        <v>45</v>
      </c>
      <c r="E733">
        <v>4</v>
      </c>
      <c r="F733">
        <v>4</v>
      </c>
      <c r="G733">
        <v>0.2326</v>
      </c>
      <c r="H733">
        <v>0.41820000000000002</v>
      </c>
      <c r="I733">
        <v>0.3337</v>
      </c>
      <c r="J733" s="1" t="str">
        <f>HYPERLINK(SetRGB(J733,G733*255,H733*255,I733*255),"HOVER!")</f>
        <v>HOVER!</v>
      </c>
      <c r="K733">
        <f>E733/F733</f>
        <v>1</v>
      </c>
    </row>
    <row r="734" spans="1:11" ht="15" x14ac:dyDescent="0.35">
      <c r="A734">
        <f t="shared" si="22"/>
        <v>4</v>
      </c>
      <c r="B734">
        <f t="shared" si="23"/>
        <v>5</v>
      </c>
      <c r="C734" s="199" t="str">
        <f>B734&amp;LOOKUP(A734, Sheet2!$A$2:$A$11, Sheet2!$B$2:$B$11)</f>
        <v>5G</v>
      </c>
      <c r="D734">
        <v>45</v>
      </c>
      <c r="E734">
        <v>6</v>
      </c>
      <c r="F734">
        <v>4</v>
      </c>
      <c r="G734">
        <v>9.2600000000000002E-2</v>
      </c>
      <c r="H734">
        <v>0.43390000000000001</v>
      </c>
      <c r="I734">
        <v>0.31280000000000002</v>
      </c>
      <c r="J734" s="1" t="str">
        <f>HYPERLINK(SetRGB(J734,G734*255,H734*255,I734*255),"HOVER!")</f>
        <v>HOVER!</v>
      </c>
      <c r="K734">
        <f>E734/F734</f>
        <v>1.5</v>
      </c>
    </row>
    <row r="735" spans="1:11" ht="15" x14ac:dyDescent="0.35">
      <c r="A735">
        <f t="shared" si="22"/>
        <v>4</v>
      </c>
      <c r="B735">
        <f t="shared" si="23"/>
        <v>5</v>
      </c>
      <c r="C735" s="199" t="str">
        <f>B735&amp;LOOKUP(A735, Sheet2!$A$2:$A$11, Sheet2!$B$2:$B$11)</f>
        <v>5G</v>
      </c>
      <c r="D735">
        <v>45</v>
      </c>
      <c r="E735">
        <v>2</v>
      </c>
      <c r="F735">
        <v>5</v>
      </c>
      <c r="G735">
        <v>0.41370000000000001</v>
      </c>
      <c r="H735">
        <v>0.503</v>
      </c>
      <c r="I735">
        <v>0.4551</v>
      </c>
      <c r="J735" s="1" t="str">
        <f>HYPERLINK(SetRGB(J735,G735*255,H735*255,I735*255),"HOVER!")</f>
        <v>HOVER!</v>
      </c>
      <c r="K735">
        <f>E735/F735</f>
        <v>0.4</v>
      </c>
    </row>
    <row r="736" spans="1:11" ht="15" x14ac:dyDescent="0.35">
      <c r="A736">
        <f t="shared" si="22"/>
        <v>4</v>
      </c>
      <c r="B736">
        <f t="shared" si="23"/>
        <v>5</v>
      </c>
      <c r="C736" s="199" t="str">
        <f>B736&amp;LOOKUP(A736, Sheet2!$A$2:$A$11, Sheet2!$B$2:$B$11)</f>
        <v>5G</v>
      </c>
      <c r="D736">
        <v>45</v>
      </c>
      <c r="E736">
        <v>4</v>
      </c>
      <c r="F736">
        <v>5</v>
      </c>
      <c r="G736">
        <v>0.33389999999999997</v>
      </c>
      <c r="H736">
        <v>0.52149999999999996</v>
      </c>
      <c r="I736">
        <v>0.43020000000000003</v>
      </c>
      <c r="J736" s="1" t="str">
        <f>HYPERLINK(SetRGB(J736,G736*255,H736*255,I736*255),"HOVER!")</f>
        <v>HOVER!</v>
      </c>
      <c r="K736">
        <f>E736/F736</f>
        <v>0.8</v>
      </c>
    </row>
    <row r="737" spans="1:11" ht="15" x14ac:dyDescent="0.35">
      <c r="A737">
        <f t="shared" si="22"/>
        <v>4</v>
      </c>
      <c r="B737">
        <f t="shared" si="23"/>
        <v>5</v>
      </c>
      <c r="C737" s="199" t="str">
        <f>B737&amp;LOOKUP(A737, Sheet2!$A$2:$A$11, Sheet2!$B$2:$B$11)</f>
        <v>5G</v>
      </c>
      <c r="D737">
        <v>45</v>
      </c>
      <c r="E737">
        <v>6</v>
      </c>
      <c r="F737">
        <v>5</v>
      </c>
      <c r="G737">
        <v>0.23089999999999999</v>
      </c>
      <c r="H737">
        <v>0.53769999999999996</v>
      </c>
      <c r="I737">
        <v>0.4083</v>
      </c>
      <c r="J737" s="1" t="str">
        <f>HYPERLINK(SetRGB(J737,G737*255,H737*255,I737*255),"HOVER!")</f>
        <v>HOVER!</v>
      </c>
      <c r="K737">
        <f>E737/F737</f>
        <v>1.2</v>
      </c>
    </row>
    <row r="738" spans="1:11" ht="15" x14ac:dyDescent="0.35">
      <c r="A738">
        <f t="shared" si="22"/>
        <v>4</v>
      </c>
      <c r="B738">
        <f t="shared" si="23"/>
        <v>5</v>
      </c>
      <c r="C738" s="199" t="str">
        <f>B738&amp;LOOKUP(A738, Sheet2!$A$2:$A$11, Sheet2!$B$2:$B$11)</f>
        <v>5G</v>
      </c>
      <c r="D738">
        <v>45</v>
      </c>
      <c r="E738">
        <v>2</v>
      </c>
      <c r="F738">
        <v>6</v>
      </c>
      <c r="G738">
        <v>0.50829999999999997</v>
      </c>
      <c r="H738">
        <v>0.60799999999999998</v>
      </c>
      <c r="I738">
        <v>0.55330000000000001</v>
      </c>
      <c r="J738" s="2" t="str">
        <f>HYPERLINK(SetRGB(J738,G738*255,H738*255,I738*255),"HOVER!")</f>
        <v>HOVER!</v>
      </c>
      <c r="K738">
        <f>E738/F738</f>
        <v>0.33333333333333331</v>
      </c>
    </row>
    <row r="739" spans="1:11" ht="15" x14ac:dyDescent="0.35">
      <c r="A739">
        <f t="shared" si="22"/>
        <v>4</v>
      </c>
      <c r="B739">
        <f t="shared" si="23"/>
        <v>5</v>
      </c>
      <c r="C739" s="199" t="str">
        <f>B739&amp;LOOKUP(A739, Sheet2!$A$2:$A$11, Sheet2!$B$2:$B$11)</f>
        <v>5G</v>
      </c>
      <c r="D739">
        <v>45</v>
      </c>
      <c r="E739">
        <v>4</v>
      </c>
      <c r="F739">
        <v>6</v>
      </c>
      <c r="G739">
        <v>0.4254</v>
      </c>
      <c r="H739">
        <v>0.628</v>
      </c>
      <c r="I739">
        <v>0.52610000000000001</v>
      </c>
      <c r="J739" s="2" t="str">
        <f>HYPERLINK(SetRGB(J739,G739*255,H739*255,I739*255),"HOVER!")</f>
        <v>HOVER!</v>
      </c>
      <c r="K739">
        <f>E739/F739</f>
        <v>0.66666666666666663</v>
      </c>
    </row>
    <row r="740" spans="1:11" ht="15" x14ac:dyDescent="0.35">
      <c r="A740">
        <f t="shared" si="22"/>
        <v>4</v>
      </c>
      <c r="B740">
        <f t="shared" si="23"/>
        <v>5</v>
      </c>
      <c r="C740" s="199" t="str">
        <f>B740&amp;LOOKUP(A740, Sheet2!$A$2:$A$11, Sheet2!$B$2:$B$11)</f>
        <v>5G</v>
      </c>
      <c r="D740">
        <v>45</v>
      </c>
      <c r="E740">
        <v>6</v>
      </c>
      <c r="F740">
        <v>6</v>
      </c>
      <c r="G740">
        <v>0.33229999999999998</v>
      </c>
      <c r="H740">
        <v>0.64459999999999995</v>
      </c>
      <c r="I740">
        <v>0.50260000000000005</v>
      </c>
      <c r="J740" s="2" t="str">
        <f>HYPERLINK(SetRGB(J740,G740*255,H740*255,I740*255),"HOVER!")</f>
        <v>HOVER!</v>
      </c>
      <c r="K740">
        <f>E740/F740</f>
        <v>1</v>
      </c>
    </row>
    <row r="741" spans="1:11" ht="15" x14ac:dyDescent="0.35">
      <c r="A741">
        <f t="shared" si="22"/>
        <v>4</v>
      </c>
      <c r="B741">
        <f t="shared" si="23"/>
        <v>5</v>
      </c>
      <c r="C741" s="199" t="str">
        <f>B741&amp;LOOKUP(A741, Sheet2!$A$2:$A$11, Sheet2!$B$2:$B$11)</f>
        <v>5G</v>
      </c>
      <c r="D741">
        <v>45</v>
      </c>
      <c r="E741">
        <v>8</v>
      </c>
      <c r="F741">
        <v>6</v>
      </c>
      <c r="G741">
        <v>0.19389999999999999</v>
      </c>
      <c r="H741">
        <v>0.65980000000000005</v>
      </c>
      <c r="I741">
        <v>0.48209999999999997</v>
      </c>
      <c r="J741" s="1" t="str">
        <f>HYPERLINK(SetRGB(J741,G741*255,H741*255,I741*255),"HOVER!")</f>
        <v>HOVER!</v>
      </c>
      <c r="K741">
        <f>E741/F741</f>
        <v>1.3333333333333333</v>
      </c>
    </row>
    <row r="742" spans="1:11" ht="15" x14ac:dyDescent="0.35">
      <c r="A742">
        <f t="shared" si="22"/>
        <v>4</v>
      </c>
      <c r="B742">
        <f t="shared" si="23"/>
        <v>5</v>
      </c>
      <c r="C742" s="199" t="str">
        <f>B742&amp;LOOKUP(A742, Sheet2!$A$2:$A$11, Sheet2!$B$2:$B$11)</f>
        <v>5G</v>
      </c>
      <c r="D742">
        <v>45</v>
      </c>
      <c r="E742">
        <v>2</v>
      </c>
      <c r="F742">
        <v>7</v>
      </c>
      <c r="G742">
        <v>0.6079</v>
      </c>
      <c r="H742">
        <v>0.71289999999999998</v>
      </c>
      <c r="I742">
        <v>0.65369999999999995</v>
      </c>
      <c r="J742" s="2" t="str">
        <f>HYPERLINK(SetRGB(J742,G742*255,H742*255,I742*255),"HOVER!")</f>
        <v>HOVER!</v>
      </c>
      <c r="K742">
        <f>E742/F742</f>
        <v>0.2857142857142857</v>
      </c>
    </row>
    <row r="743" spans="1:11" ht="15" x14ac:dyDescent="0.35">
      <c r="A743">
        <f t="shared" si="22"/>
        <v>4</v>
      </c>
      <c r="B743">
        <f t="shared" si="23"/>
        <v>5</v>
      </c>
      <c r="C743" s="199" t="str">
        <f>B743&amp;LOOKUP(A743, Sheet2!$A$2:$A$11, Sheet2!$B$2:$B$11)</f>
        <v>5G</v>
      </c>
      <c r="D743">
        <v>45</v>
      </c>
      <c r="E743">
        <v>4</v>
      </c>
      <c r="F743">
        <v>7</v>
      </c>
      <c r="G743">
        <v>0.52869999999999995</v>
      </c>
      <c r="H743">
        <v>0.73299999999999998</v>
      </c>
      <c r="I743">
        <v>0.62619999999999998</v>
      </c>
      <c r="J743" s="2" t="str">
        <f>HYPERLINK(SetRGB(J743,G743*255,H743*255,I743*255),"HOVER!")</f>
        <v>HOVER!</v>
      </c>
      <c r="K743">
        <f>E743/F743</f>
        <v>0.5714285714285714</v>
      </c>
    </row>
    <row r="744" spans="1:11" ht="15" x14ac:dyDescent="0.35">
      <c r="A744">
        <f t="shared" si="22"/>
        <v>4</v>
      </c>
      <c r="B744">
        <f t="shared" si="23"/>
        <v>5</v>
      </c>
      <c r="C744" s="199" t="str">
        <f>B744&amp;LOOKUP(A744, Sheet2!$A$2:$A$11, Sheet2!$B$2:$B$11)</f>
        <v>5G</v>
      </c>
      <c r="D744">
        <v>45</v>
      </c>
      <c r="E744">
        <v>6</v>
      </c>
      <c r="F744">
        <v>7</v>
      </c>
      <c r="G744">
        <v>0.44219999999999998</v>
      </c>
      <c r="H744">
        <v>0.75019999999999998</v>
      </c>
      <c r="I744">
        <v>0.60189999999999999</v>
      </c>
      <c r="J744" s="2" t="str">
        <f>HYPERLINK(SetRGB(J744,G744*255,H744*255,I744*255),"HOVER!")</f>
        <v>HOVER!</v>
      </c>
      <c r="K744">
        <f>E744/F744</f>
        <v>0.8571428571428571</v>
      </c>
    </row>
    <row r="745" spans="1:11" ht="15" x14ac:dyDescent="0.35">
      <c r="A745">
        <f t="shared" si="22"/>
        <v>4</v>
      </c>
      <c r="B745">
        <f t="shared" si="23"/>
        <v>5</v>
      </c>
      <c r="C745" s="199" t="str">
        <f>B745&amp;LOOKUP(A745, Sheet2!$A$2:$A$11, Sheet2!$B$2:$B$11)</f>
        <v>5G</v>
      </c>
      <c r="D745">
        <v>45</v>
      </c>
      <c r="E745">
        <v>8</v>
      </c>
      <c r="F745">
        <v>7</v>
      </c>
      <c r="G745">
        <v>0.3276</v>
      </c>
      <c r="H745">
        <v>0.76670000000000005</v>
      </c>
      <c r="I745">
        <v>0.57850000000000001</v>
      </c>
      <c r="J745" s="2" t="str">
        <f>HYPERLINK(SetRGB(J745,G745*255,H745*255,I745*255),"HOVER!")</f>
        <v>HOVER!</v>
      </c>
      <c r="K745">
        <f>E745/F745</f>
        <v>1.1428571428571428</v>
      </c>
    </row>
    <row r="746" spans="1:11" ht="15" x14ac:dyDescent="0.35">
      <c r="A746">
        <f t="shared" si="22"/>
        <v>4</v>
      </c>
      <c r="B746">
        <f t="shared" si="23"/>
        <v>5</v>
      </c>
      <c r="C746" s="199" t="str">
        <f>B746&amp;LOOKUP(A746, Sheet2!$A$2:$A$11, Sheet2!$B$2:$B$11)</f>
        <v>5G</v>
      </c>
      <c r="D746">
        <v>45</v>
      </c>
      <c r="E746">
        <v>10</v>
      </c>
      <c r="F746">
        <v>7</v>
      </c>
      <c r="G746">
        <v>9.64E-2</v>
      </c>
      <c r="H746">
        <v>0.78280000000000005</v>
      </c>
      <c r="I746">
        <v>0.55669999999999997</v>
      </c>
      <c r="J746" s="2" t="str">
        <f>HYPERLINK(SetRGB(J746,G746*255,H746*255,I746*255),"HOVER!")</f>
        <v>HOVER!</v>
      </c>
      <c r="K746">
        <f>E746/F746</f>
        <v>1.4285714285714286</v>
      </c>
    </row>
    <row r="747" spans="1:11" ht="15" x14ac:dyDescent="0.35">
      <c r="A747">
        <f t="shared" si="22"/>
        <v>4</v>
      </c>
      <c r="B747">
        <f t="shared" si="23"/>
        <v>5</v>
      </c>
      <c r="C747" s="199" t="str">
        <f>B747&amp;LOOKUP(A747, Sheet2!$A$2:$A$11, Sheet2!$B$2:$B$11)</f>
        <v>5G</v>
      </c>
      <c r="D747">
        <v>45</v>
      </c>
      <c r="E747">
        <v>2</v>
      </c>
      <c r="F747">
        <v>8</v>
      </c>
      <c r="G747">
        <v>0.70660000000000001</v>
      </c>
      <c r="H747">
        <v>0.81979999999999997</v>
      </c>
      <c r="I747">
        <v>0.75449999999999995</v>
      </c>
      <c r="J747" s="2" t="str">
        <f>HYPERLINK(SetRGB(J747,G747*255,H747*255,I747*255),"HOVER!")</f>
        <v>HOVER!</v>
      </c>
      <c r="K747">
        <f>E747/F747</f>
        <v>0.25</v>
      </c>
    </row>
    <row r="748" spans="1:11" ht="15" x14ac:dyDescent="0.35">
      <c r="A748">
        <f t="shared" si="22"/>
        <v>4</v>
      </c>
      <c r="B748">
        <f t="shared" si="23"/>
        <v>5</v>
      </c>
      <c r="C748" s="199" t="str">
        <f>B748&amp;LOOKUP(A748, Sheet2!$A$2:$A$11, Sheet2!$B$2:$B$11)</f>
        <v>5G</v>
      </c>
      <c r="D748">
        <v>45</v>
      </c>
      <c r="E748">
        <v>4</v>
      </c>
      <c r="F748">
        <v>8</v>
      </c>
      <c r="G748">
        <v>0.62809999999999999</v>
      </c>
      <c r="H748">
        <v>0.84030000000000005</v>
      </c>
      <c r="I748">
        <v>0.72570000000000001</v>
      </c>
      <c r="J748" s="2" t="str">
        <f>HYPERLINK(SetRGB(J748,G748*255,H748*255,I748*255),"HOVER!")</f>
        <v>HOVER!</v>
      </c>
      <c r="K748">
        <f>E748/F748</f>
        <v>0.5</v>
      </c>
    </row>
    <row r="749" spans="1:11" ht="15" x14ac:dyDescent="0.35">
      <c r="A749">
        <f t="shared" si="22"/>
        <v>4</v>
      </c>
      <c r="B749">
        <f t="shared" si="23"/>
        <v>5</v>
      </c>
      <c r="C749" s="199" t="str">
        <f>B749&amp;LOOKUP(A749, Sheet2!$A$2:$A$11, Sheet2!$B$2:$B$11)</f>
        <v>5G</v>
      </c>
      <c r="D749">
        <v>45</v>
      </c>
      <c r="E749">
        <v>6</v>
      </c>
      <c r="F749">
        <v>8</v>
      </c>
      <c r="G749">
        <v>0.52980000000000005</v>
      </c>
      <c r="H749">
        <v>0.8609</v>
      </c>
      <c r="I749">
        <v>0.69650000000000001</v>
      </c>
      <c r="J749" s="2" t="str">
        <f>HYPERLINK(SetRGB(J749,G749*255,H749*255,I749*255),"HOVER!")</f>
        <v>HOVER!</v>
      </c>
      <c r="K749">
        <f>E749/F749</f>
        <v>0.75</v>
      </c>
    </row>
    <row r="750" spans="1:11" ht="15" x14ac:dyDescent="0.35">
      <c r="A750">
        <f t="shared" si="22"/>
        <v>4</v>
      </c>
      <c r="B750">
        <f t="shared" si="23"/>
        <v>5</v>
      </c>
      <c r="C750" s="199" t="str">
        <f>B750&amp;LOOKUP(A750, Sheet2!$A$2:$A$11, Sheet2!$B$2:$B$11)</f>
        <v>5G</v>
      </c>
      <c r="D750">
        <v>45</v>
      </c>
      <c r="E750">
        <v>8</v>
      </c>
      <c r="F750">
        <v>8</v>
      </c>
      <c r="G750">
        <v>0.42109999999999997</v>
      </c>
      <c r="H750">
        <v>0.87790000000000001</v>
      </c>
      <c r="I750">
        <v>0.67169999999999996</v>
      </c>
      <c r="J750" s="2" t="str">
        <f>HYPERLINK(SetRGB(J750,G750*255,H750*255,I750*255),"HOVER!")</f>
        <v>HOVER!</v>
      </c>
      <c r="K750">
        <f>E750/F750</f>
        <v>1</v>
      </c>
    </row>
    <row r="751" spans="1:11" ht="15" x14ac:dyDescent="0.35">
      <c r="A751">
        <f t="shared" si="22"/>
        <v>4</v>
      </c>
      <c r="B751">
        <f t="shared" si="23"/>
        <v>5</v>
      </c>
      <c r="C751" s="199" t="str">
        <f>B751&amp;LOOKUP(A751, Sheet2!$A$2:$A$11, Sheet2!$B$2:$B$11)</f>
        <v>5G</v>
      </c>
      <c r="D751">
        <v>45</v>
      </c>
      <c r="E751">
        <v>10</v>
      </c>
      <c r="F751">
        <v>8</v>
      </c>
      <c r="G751">
        <v>0.26140000000000002</v>
      </c>
      <c r="H751">
        <v>0.89400000000000002</v>
      </c>
      <c r="I751">
        <v>0.64939999999999998</v>
      </c>
      <c r="J751" s="2" t="str">
        <f>HYPERLINK(SetRGB(J751,G751*255,H751*255,I751*255),"HOVER!")</f>
        <v>HOVER!</v>
      </c>
      <c r="K751">
        <f>E751/F751</f>
        <v>1.25</v>
      </c>
    </row>
    <row r="752" spans="1:11" ht="15" x14ac:dyDescent="0.35">
      <c r="A752">
        <f t="shared" si="22"/>
        <v>4</v>
      </c>
      <c r="B752">
        <f t="shared" si="23"/>
        <v>5</v>
      </c>
      <c r="C752" s="199" t="str">
        <f>B752&amp;LOOKUP(A752, Sheet2!$A$2:$A$11, Sheet2!$B$2:$B$11)</f>
        <v>5G</v>
      </c>
      <c r="D752">
        <v>45</v>
      </c>
      <c r="E752">
        <v>2</v>
      </c>
      <c r="F752">
        <v>9</v>
      </c>
      <c r="G752">
        <v>0.80759999999999998</v>
      </c>
      <c r="H752">
        <v>0.9294</v>
      </c>
      <c r="I752">
        <v>0.85650000000000004</v>
      </c>
      <c r="J752" s="2" t="str">
        <f>HYPERLINK(SetRGB(J752,G752*255,H752*255,I752*255),"HOVER!")</f>
        <v>HOVER!</v>
      </c>
      <c r="K752">
        <f>E752/F752</f>
        <v>0.22222222222222221</v>
      </c>
    </row>
    <row r="753" spans="1:11" ht="15" x14ac:dyDescent="0.35">
      <c r="A753">
        <f t="shared" si="22"/>
        <v>4</v>
      </c>
      <c r="B753">
        <f t="shared" si="23"/>
        <v>5</v>
      </c>
      <c r="C753" s="199" t="str">
        <f>B753&amp;LOOKUP(A753, Sheet2!$A$2:$A$11, Sheet2!$B$2:$B$11)</f>
        <v>5G</v>
      </c>
      <c r="D753">
        <v>45</v>
      </c>
      <c r="E753">
        <v>4</v>
      </c>
      <c r="F753">
        <v>9</v>
      </c>
      <c r="G753">
        <v>0.72070000000000001</v>
      </c>
      <c r="H753">
        <v>0.95230000000000004</v>
      </c>
      <c r="I753">
        <v>0.82440000000000002</v>
      </c>
      <c r="J753" s="2" t="str">
        <f>HYPERLINK(SetRGB(J753,G753*255,H753*255,I753*255),"HOVER!")</f>
        <v>HOVER!</v>
      </c>
      <c r="K753">
        <f>E753/F753</f>
        <v>0.44444444444444442</v>
      </c>
    </row>
    <row r="754" spans="1:11" ht="15" x14ac:dyDescent="0.35">
      <c r="A754">
        <f t="shared" si="22"/>
        <v>4</v>
      </c>
      <c r="B754">
        <f t="shared" si="23"/>
        <v>5</v>
      </c>
      <c r="C754" s="199" t="str">
        <f>B754&amp;LOOKUP(A754, Sheet2!$A$2:$A$11, Sheet2!$B$2:$B$11)</f>
        <v>5G</v>
      </c>
      <c r="D754">
        <v>45</v>
      </c>
      <c r="E754">
        <v>6</v>
      </c>
      <c r="F754">
        <v>9</v>
      </c>
      <c r="G754">
        <v>0.61180000000000001</v>
      </c>
      <c r="H754">
        <v>0.97540000000000004</v>
      </c>
      <c r="I754">
        <v>0.79169999999999996</v>
      </c>
      <c r="J754" s="2" t="str">
        <f>HYPERLINK(SetRGB(J754,G754*255,H754*255,I754*255),"HOVER!")</f>
        <v>HOVER!</v>
      </c>
      <c r="K754">
        <f>E754/F754</f>
        <v>0.66666666666666663</v>
      </c>
    </row>
    <row r="755" spans="1:11" ht="15" x14ac:dyDescent="0.35">
      <c r="A755">
        <f t="shared" si="22"/>
        <v>4</v>
      </c>
      <c r="B755">
        <f t="shared" si="23"/>
        <v>5</v>
      </c>
      <c r="C755" s="199" t="str">
        <f>B755&amp;LOOKUP(A755, Sheet2!$A$2:$A$11, Sheet2!$B$2:$B$11)</f>
        <v>5G</v>
      </c>
      <c r="D755">
        <v>45</v>
      </c>
      <c r="E755">
        <v>8</v>
      </c>
      <c r="F755">
        <v>9</v>
      </c>
      <c r="G755">
        <v>0.49490000000000001</v>
      </c>
      <c r="H755">
        <v>0.99419999999999997</v>
      </c>
      <c r="I755">
        <v>0.76490000000000002</v>
      </c>
      <c r="J755" s="2" t="str">
        <f>HYPERLINK(SetRGB(J755,G755*255,H755*255,I755*255),"HOVER!")</f>
        <v>HOVER!</v>
      </c>
      <c r="K755">
        <f>E755/F755</f>
        <v>0.88888888888888884</v>
      </c>
    </row>
    <row r="756" spans="1:11" ht="15" x14ac:dyDescent="0.35">
      <c r="A756">
        <f t="shared" si="22"/>
        <v>4</v>
      </c>
      <c r="B756">
        <f t="shared" si="23"/>
        <v>5</v>
      </c>
      <c r="C756" s="199" t="str">
        <f>B756&amp;LOOKUP(A756, Sheet2!$A$2:$A$11, Sheet2!$B$2:$B$11)</f>
        <v>5G</v>
      </c>
      <c r="D756">
        <v>45</v>
      </c>
      <c r="E756">
        <v>10</v>
      </c>
      <c r="F756">
        <v>9</v>
      </c>
      <c r="G756">
        <v>0.34749999999999998</v>
      </c>
      <c r="H756">
        <v>1</v>
      </c>
      <c r="I756">
        <v>0.74129999999999996</v>
      </c>
      <c r="J756" s="2" t="str">
        <f>HYPERLINK(SetRGB(J756,G756*255,H756*255,I756*255),"HOVER!")</f>
        <v>HOVER!</v>
      </c>
      <c r="K756">
        <f>E756/F756</f>
        <v>1.1111111111111112</v>
      </c>
    </row>
    <row r="757" spans="1:11" ht="15" x14ac:dyDescent="0.35">
      <c r="A757">
        <f t="shared" si="22"/>
        <v>4</v>
      </c>
      <c r="B757">
        <f t="shared" si="23"/>
        <v>7.5</v>
      </c>
      <c r="C757" s="199" t="str">
        <f>B757&amp;LOOKUP(A757, Sheet2!$A$2:$A$11, Sheet2!$B$2:$B$11)</f>
        <v>7.5G</v>
      </c>
      <c r="D757">
        <v>47.5</v>
      </c>
      <c r="E757">
        <v>2</v>
      </c>
      <c r="F757">
        <v>1</v>
      </c>
      <c r="G757">
        <v>6.3700000000000007E-2</v>
      </c>
      <c r="H757">
        <v>0.12470000000000001</v>
      </c>
      <c r="I757">
        <v>0.1045</v>
      </c>
      <c r="J757" s="1" t="str">
        <f>HYPERLINK(SetRGB(J757,G757*255,H757*255,I757*255),"HOVER!")</f>
        <v>HOVER!</v>
      </c>
      <c r="K757">
        <f>E757/F757</f>
        <v>2</v>
      </c>
    </row>
    <row r="758" spans="1:11" ht="15" x14ac:dyDescent="0.35">
      <c r="A758">
        <f t="shared" si="22"/>
        <v>4</v>
      </c>
      <c r="B758">
        <f t="shared" si="23"/>
        <v>7.5</v>
      </c>
      <c r="C758" s="199" t="str">
        <f>B758&amp;LOOKUP(A758, Sheet2!$A$2:$A$11, Sheet2!$B$2:$B$11)</f>
        <v>7.5G</v>
      </c>
      <c r="D758">
        <v>47.5</v>
      </c>
      <c r="E758">
        <v>2</v>
      </c>
      <c r="F758">
        <v>2</v>
      </c>
      <c r="G758">
        <v>0.1459</v>
      </c>
      <c r="H758">
        <v>0.20710000000000001</v>
      </c>
      <c r="I758">
        <v>0.1842</v>
      </c>
      <c r="J758" s="1" t="str">
        <f>HYPERLINK(SetRGB(J758,G758*255,H758*255,I758*255),"HOVER!")</f>
        <v>HOVER!</v>
      </c>
      <c r="K758">
        <f>E758/F758</f>
        <v>1</v>
      </c>
    </row>
    <row r="759" spans="1:11" ht="15" x14ac:dyDescent="0.35">
      <c r="A759">
        <f t="shared" si="22"/>
        <v>4</v>
      </c>
      <c r="B759">
        <f t="shared" si="23"/>
        <v>7.5</v>
      </c>
      <c r="C759" s="199" t="str">
        <f>B759&amp;LOOKUP(A759, Sheet2!$A$2:$A$11, Sheet2!$B$2:$B$11)</f>
        <v>7.5G</v>
      </c>
      <c r="D759">
        <v>47.5</v>
      </c>
      <c r="E759">
        <v>4</v>
      </c>
      <c r="F759">
        <v>2</v>
      </c>
      <c r="G759">
        <v>4.9500000000000002E-2</v>
      </c>
      <c r="H759">
        <v>0.2213</v>
      </c>
      <c r="I759">
        <v>0.17399999999999999</v>
      </c>
      <c r="J759" s="1" t="str">
        <f>HYPERLINK(SetRGB(J759,G759*255,H759*255,I759*255),"HOVER!")</f>
        <v>HOVER!</v>
      </c>
      <c r="K759">
        <f>E759/F759</f>
        <v>2</v>
      </c>
    </row>
    <row r="760" spans="1:11" ht="15" x14ac:dyDescent="0.35">
      <c r="A760">
        <f t="shared" si="22"/>
        <v>4</v>
      </c>
      <c r="B760">
        <f t="shared" si="23"/>
        <v>7.5</v>
      </c>
      <c r="C760" s="199" t="str">
        <f>B760&amp;LOOKUP(A760, Sheet2!$A$2:$A$11, Sheet2!$B$2:$B$11)</f>
        <v>7.5G</v>
      </c>
      <c r="D760">
        <v>47.5</v>
      </c>
      <c r="E760">
        <v>2</v>
      </c>
      <c r="F760">
        <v>3</v>
      </c>
      <c r="G760">
        <v>0.22370000000000001</v>
      </c>
      <c r="H760">
        <v>0.30070000000000002</v>
      </c>
      <c r="I760">
        <v>0.2707</v>
      </c>
      <c r="J760" s="1" t="str">
        <f>HYPERLINK(SetRGB(J760,G760*255,H760*255,I760*255),"HOVER!")</f>
        <v>HOVER!</v>
      </c>
      <c r="K760">
        <f>E760/F760</f>
        <v>0.66666666666666663</v>
      </c>
    </row>
    <row r="761" spans="1:11" ht="15" x14ac:dyDescent="0.35">
      <c r="A761">
        <f t="shared" si="22"/>
        <v>4</v>
      </c>
      <c r="B761">
        <f t="shared" si="23"/>
        <v>7.5</v>
      </c>
      <c r="C761" s="199" t="str">
        <f>B761&amp;LOOKUP(A761, Sheet2!$A$2:$A$11, Sheet2!$B$2:$B$11)</f>
        <v>7.5G</v>
      </c>
      <c r="D761">
        <v>47.5</v>
      </c>
      <c r="E761">
        <v>4</v>
      </c>
      <c r="F761">
        <v>3</v>
      </c>
      <c r="G761">
        <v>0.12429999999999999</v>
      </c>
      <c r="H761">
        <v>0.31769999999999998</v>
      </c>
      <c r="I761">
        <v>0.25690000000000002</v>
      </c>
      <c r="J761" s="1" t="str">
        <f>HYPERLINK(SetRGB(J761,G761*255,H761*255,I761*255),"HOVER!")</f>
        <v>HOVER!</v>
      </c>
      <c r="K761">
        <f>E761/F761</f>
        <v>1.3333333333333333</v>
      </c>
    </row>
    <row r="762" spans="1:11" ht="15" x14ac:dyDescent="0.35">
      <c r="A762">
        <f t="shared" si="22"/>
        <v>4</v>
      </c>
      <c r="B762">
        <f t="shared" si="23"/>
        <v>7.5</v>
      </c>
      <c r="C762" s="199" t="str">
        <f>B762&amp;LOOKUP(A762, Sheet2!$A$2:$A$11, Sheet2!$B$2:$B$11)</f>
        <v>7.5G</v>
      </c>
      <c r="D762">
        <v>47.5</v>
      </c>
      <c r="E762">
        <v>2</v>
      </c>
      <c r="F762">
        <v>4</v>
      </c>
      <c r="G762">
        <v>0.3135</v>
      </c>
      <c r="H762">
        <v>0.40039999999999998</v>
      </c>
      <c r="I762">
        <v>0.3649</v>
      </c>
      <c r="J762" s="1" t="str">
        <f>HYPERLINK(SetRGB(J762,G762*255,H762*255,I762*255),"HOVER!")</f>
        <v>HOVER!</v>
      </c>
      <c r="K762">
        <f>E762/F762</f>
        <v>0.5</v>
      </c>
    </row>
    <row r="763" spans="1:11" ht="15" x14ac:dyDescent="0.35">
      <c r="A763">
        <f t="shared" si="22"/>
        <v>4</v>
      </c>
      <c r="B763">
        <f t="shared" si="23"/>
        <v>7.5</v>
      </c>
      <c r="C763" s="199" t="str">
        <f>B763&amp;LOOKUP(A763, Sheet2!$A$2:$A$11, Sheet2!$B$2:$B$11)</f>
        <v>7.5G</v>
      </c>
      <c r="D763">
        <v>47.5</v>
      </c>
      <c r="E763">
        <v>4</v>
      </c>
      <c r="F763">
        <v>4</v>
      </c>
      <c r="G763">
        <v>0.21909999999999999</v>
      </c>
      <c r="H763">
        <v>0.41889999999999999</v>
      </c>
      <c r="I763">
        <v>0.3493</v>
      </c>
      <c r="J763" s="1" t="str">
        <f>HYPERLINK(SetRGB(J763,G763*255,H763*255,I763*255),"HOVER!")</f>
        <v>HOVER!</v>
      </c>
      <c r="K763">
        <f>E763/F763</f>
        <v>1</v>
      </c>
    </row>
    <row r="764" spans="1:11" ht="15" x14ac:dyDescent="0.35">
      <c r="A764">
        <f t="shared" si="22"/>
        <v>4</v>
      </c>
      <c r="B764">
        <f t="shared" si="23"/>
        <v>7.5</v>
      </c>
      <c r="C764" s="199" t="str">
        <f>B764&amp;LOOKUP(A764, Sheet2!$A$2:$A$11, Sheet2!$B$2:$B$11)</f>
        <v>7.5G</v>
      </c>
      <c r="D764">
        <v>47.5</v>
      </c>
      <c r="E764">
        <v>6</v>
      </c>
      <c r="F764">
        <v>4</v>
      </c>
      <c r="G764">
        <v>2.1299999999999999E-2</v>
      </c>
      <c r="H764">
        <v>0.43480000000000002</v>
      </c>
      <c r="I764">
        <v>0.33700000000000002</v>
      </c>
      <c r="J764" s="1" t="str">
        <f>HYPERLINK(SetRGB(J764,G764*255,H764*255,I764*255),"HOVER!")</f>
        <v>HOVER!</v>
      </c>
      <c r="K764">
        <f>E764/F764</f>
        <v>1.5</v>
      </c>
    </row>
    <row r="765" spans="1:11" ht="15" x14ac:dyDescent="0.35">
      <c r="A765">
        <f t="shared" si="22"/>
        <v>4</v>
      </c>
      <c r="B765">
        <f t="shared" si="23"/>
        <v>7.5</v>
      </c>
      <c r="C765" s="199" t="str">
        <f>B765&amp;LOOKUP(A765, Sheet2!$A$2:$A$11, Sheet2!$B$2:$B$11)</f>
        <v>7.5G</v>
      </c>
      <c r="D765">
        <v>47.5</v>
      </c>
      <c r="E765">
        <v>2</v>
      </c>
      <c r="F765">
        <v>5</v>
      </c>
      <c r="G765">
        <v>0.40910000000000002</v>
      </c>
      <c r="H765">
        <v>0.50329999999999997</v>
      </c>
      <c r="I765">
        <v>0.4627</v>
      </c>
      <c r="J765" s="1" t="str">
        <f>HYPERLINK(SetRGB(J765,G765*255,H765*255,I765*255),"HOVER!")</f>
        <v>HOVER!</v>
      </c>
      <c r="K765">
        <f>E765/F765</f>
        <v>0.4</v>
      </c>
    </row>
    <row r="766" spans="1:11" ht="15" x14ac:dyDescent="0.35">
      <c r="A766">
        <f t="shared" si="22"/>
        <v>4</v>
      </c>
      <c r="B766">
        <f t="shared" si="23"/>
        <v>7.5</v>
      </c>
      <c r="C766" s="199" t="str">
        <f>B766&amp;LOOKUP(A766, Sheet2!$A$2:$A$11, Sheet2!$B$2:$B$11)</f>
        <v>7.5G</v>
      </c>
      <c r="D766">
        <v>47.5</v>
      </c>
      <c r="E766">
        <v>4</v>
      </c>
      <c r="F766">
        <v>5</v>
      </c>
      <c r="G766">
        <v>0.3221</v>
      </c>
      <c r="H766">
        <v>0.52210000000000001</v>
      </c>
      <c r="I766">
        <v>0.44619999999999999</v>
      </c>
      <c r="J766" s="1" t="str">
        <f>HYPERLINK(SetRGB(J766,G766*255,H766*255,I766*255),"HOVER!")</f>
        <v>HOVER!</v>
      </c>
      <c r="K766">
        <f>E766/F766</f>
        <v>0.8</v>
      </c>
    </row>
    <row r="767" spans="1:11" ht="15" x14ac:dyDescent="0.35">
      <c r="A767">
        <f t="shared" si="22"/>
        <v>4</v>
      </c>
      <c r="B767">
        <f t="shared" si="23"/>
        <v>7.5</v>
      </c>
      <c r="C767" s="199" t="str">
        <f>B767&amp;LOOKUP(A767, Sheet2!$A$2:$A$11, Sheet2!$B$2:$B$11)</f>
        <v>7.5G</v>
      </c>
      <c r="D767">
        <v>47.5</v>
      </c>
      <c r="E767">
        <v>6</v>
      </c>
      <c r="F767">
        <v>5</v>
      </c>
      <c r="G767">
        <v>0.2056</v>
      </c>
      <c r="H767">
        <v>0.5383</v>
      </c>
      <c r="I767">
        <v>0.43259999999999998</v>
      </c>
      <c r="J767" s="1" t="str">
        <f>HYPERLINK(SetRGB(J767,G767*255,H767*255,I767*255),"HOVER!")</f>
        <v>HOVER!</v>
      </c>
      <c r="K767">
        <f>E767/F767</f>
        <v>1.2</v>
      </c>
    </row>
    <row r="768" spans="1:11" ht="15" x14ac:dyDescent="0.35">
      <c r="A768">
        <f t="shared" si="22"/>
        <v>4</v>
      </c>
      <c r="B768">
        <f t="shared" si="23"/>
        <v>7.5</v>
      </c>
      <c r="C768" s="199" t="str">
        <f>B768&amp;LOOKUP(A768, Sheet2!$A$2:$A$11, Sheet2!$B$2:$B$11)</f>
        <v>7.5G</v>
      </c>
      <c r="D768">
        <v>47.5</v>
      </c>
      <c r="E768">
        <v>2</v>
      </c>
      <c r="F768">
        <v>6</v>
      </c>
      <c r="G768">
        <v>0.50429999999999997</v>
      </c>
      <c r="H768">
        <v>0.60799999999999998</v>
      </c>
      <c r="I768">
        <v>0.56230000000000002</v>
      </c>
      <c r="J768" s="2" t="str">
        <f>HYPERLINK(SetRGB(J768,G768*255,H768*255,I768*255),"HOVER!")</f>
        <v>HOVER!</v>
      </c>
      <c r="K768">
        <f>E768/F768</f>
        <v>0.33333333333333331</v>
      </c>
    </row>
    <row r="769" spans="1:11" ht="15" x14ac:dyDescent="0.35">
      <c r="A769">
        <f t="shared" si="22"/>
        <v>4</v>
      </c>
      <c r="B769">
        <f t="shared" si="23"/>
        <v>7.5</v>
      </c>
      <c r="C769" s="199" t="str">
        <f>B769&amp;LOOKUP(A769, Sheet2!$A$2:$A$11, Sheet2!$B$2:$B$11)</f>
        <v>7.5G</v>
      </c>
      <c r="D769">
        <v>47.5</v>
      </c>
      <c r="E769">
        <v>4</v>
      </c>
      <c r="F769">
        <v>6</v>
      </c>
      <c r="G769">
        <v>0.41270000000000001</v>
      </c>
      <c r="H769">
        <v>0.62870000000000004</v>
      </c>
      <c r="I769">
        <v>0.54310000000000003</v>
      </c>
      <c r="J769" s="2" t="str">
        <f>HYPERLINK(SetRGB(J769,G769*255,H769*255,I769*255),"HOVER!")</f>
        <v>HOVER!</v>
      </c>
      <c r="K769">
        <f>E769/F769</f>
        <v>0.66666666666666663</v>
      </c>
    </row>
    <row r="770" spans="1:11" ht="15" x14ac:dyDescent="0.35">
      <c r="A770">
        <f t="shared" si="22"/>
        <v>4</v>
      </c>
      <c r="B770">
        <f t="shared" si="23"/>
        <v>7.5</v>
      </c>
      <c r="C770" s="199" t="str">
        <f>B770&amp;LOOKUP(A770, Sheet2!$A$2:$A$11, Sheet2!$B$2:$B$11)</f>
        <v>7.5G</v>
      </c>
      <c r="D770">
        <v>47.5</v>
      </c>
      <c r="E770">
        <v>6</v>
      </c>
      <c r="F770">
        <v>6</v>
      </c>
      <c r="G770">
        <v>0.30959999999999999</v>
      </c>
      <c r="H770">
        <v>0.6452</v>
      </c>
      <c r="I770">
        <v>0.5292</v>
      </c>
      <c r="J770" s="2" t="str">
        <f>HYPERLINK(SetRGB(J770,G770*255,H770*255,I770*255),"HOVER!")</f>
        <v>HOVER!</v>
      </c>
      <c r="K770">
        <f>E770/F770</f>
        <v>1</v>
      </c>
    </row>
    <row r="771" spans="1:11" ht="15" x14ac:dyDescent="0.35">
      <c r="A771">
        <f t="shared" si="22"/>
        <v>4</v>
      </c>
      <c r="B771">
        <f t="shared" si="23"/>
        <v>7.5</v>
      </c>
      <c r="C771" s="199" t="str">
        <f>B771&amp;LOOKUP(A771, Sheet2!$A$2:$A$11, Sheet2!$B$2:$B$11)</f>
        <v>7.5G</v>
      </c>
      <c r="D771">
        <v>47.5</v>
      </c>
      <c r="E771">
        <v>8</v>
      </c>
      <c r="F771">
        <v>6</v>
      </c>
      <c r="G771">
        <v>0.13619999999999999</v>
      </c>
      <c r="H771">
        <v>0.66059999999999997</v>
      </c>
      <c r="I771">
        <v>0.51529999999999998</v>
      </c>
      <c r="J771" s="1" t="str">
        <f>HYPERLINK(SetRGB(J771,G771*255,H771*255,I771*255),"HOVER!")</f>
        <v>HOVER!</v>
      </c>
      <c r="K771">
        <f>E771/F771</f>
        <v>1.3333333333333333</v>
      </c>
    </row>
    <row r="772" spans="1:11" ht="15" x14ac:dyDescent="0.35">
      <c r="A772">
        <f t="shared" si="22"/>
        <v>4</v>
      </c>
      <c r="B772">
        <f t="shared" si="23"/>
        <v>7.5</v>
      </c>
      <c r="C772" s="199" t="str">
        <f>B772&amp;LOOKUP(A772, Sheet2!$A$2:$A$11, Sheet2!$B$2:$B$11)</f>
        <v>7.5G</v>
      </c>
      <c r="D772">
        <v>47.5</v>
      </c>
      <c r="E772">
        <v>2</v>
      </c>
      <c r="F772">
        <v>7</v>
      </c>
      <c r="G772">
        <v>0.60270000000000001</v>
      </c>
      <c r="H772">
        <v>0.71319999999999995</v>
      </c>
      <c r="I772">
        <v>0.66310000000000002</v>
      </c>
      <c r="J772" s="2" t="str">
        <f>HYPERLINK(SetRGB(J772,G772*255,H772*255,I772*255),"HOVER!")</f>
        <v>HOVER!</v>
      </c>
      <c r="K772">
        <f>E772/F772</f>
        <v>0.2857142857142857</v>
      </c>
    </row>
    <row r="773" spans="1:11" ht="15" x14ac:dyDescent="0.35">
      <c r="A773">
        <f t="shared" si="22"/>
        <v>4</v>
      </c>
      <c r="B773">
        <f t="shared" si="23"/>
        <v>7.5</v>
      </c>
      <c r="C773" s="199" t="str">
        <f>B773&amp;LOOKUP(A773, Sheet2!$A$2:$A$11, Sheet2!$B$2:$B$11)</f>
        <v>7.5G</v>
      </c>
      <c r="D773">
        <v>47.5</v>
      </c>
      <c r="E773">
        <v>4</v>
      </c>
      <c r="F773">
        <v>7</v>
      </c>
      <c r="G773">
        <v>0.51800000000000002</v>
      </c>
      <c r="H773">
        <v>0.73340000000000005</v>
      </c>
      <c r="I773">
        <v>0.64390000000000003</v>
      </c>
      <c r="J773" s="2" t="str">
        <f>HYPERLINK(SetRGB(J773,G773*255,H773*255,I773*255),"HOVER!")</f>
        <v>HOVER!</v>
      </c>
      <c r="K773">
        <f>E773/F773</f>
        <v>0.5714285714285714</v>
      </c>
    </row>
    <row r="774" spans="1:11" ht="15" x14ac:dyDescent="0.35">
      <c r="A774">
        <f t="shared" si="22"/>
        <v>4</v>
      </c>
      <c r="B774">
        <f t="shared" si="23"/>
        <v>7.5</v>
      </c>
      <c r="C774" s="199" t="str">
        <f>B774&amp;LOOKUP(A774, Sheet2!$A$2:$A$11, Sheet2!$B$2:$B$11)</f>
        <v>7.5G</v>
      </c>
      <c r="D774">
        <v>47.5</v>
      </c>
      <c r="E774">
        <v>6</v>
      </c>
      <c r="F774">
        <v>7</v>
      </c>
      <c r="G774">
        <v>0.42280000000000001</v>
      </c>
      <c r="H774">
        <v>0.75090000000000001</v>
      </c>
      <c r="I774">
        <v>0.62739999999999996</v>
      </c>
      <c r="J774" s="2" t="str">
        <f>HYPERLINK(SetRGB(J774,G774*255,H774*255,I774*255),"HOVER!")</f>
        <v>HOVER!</v>
      </c>
      <c r="K774">
        <f>E774/F774</f>
        <v>0.8571428571428571</v>
      </c>
    </row>
    <row r="775" spans="1:11" ht="15" x14ac:dyDescent="0.35">
      <c r="A775">
        <f t="shared" si="22"/>
        <v>4</v>
      </c>
      <c r="B775">
        <f t="shared" si="23"/>
        <v>7.5</v>
      </c>
      <c r="C775" s="199" t="str">
        <f>B775&amp;LOOKUP(A775, Sheet2!$A$2:$A$11, Sheet2!$B$2:$B$11)</f>
        <v>7.5G</v>
      </c>
      <c r="D775">
        <v>47.5</v>
      </c>
      <c r="E775">
        <v>8</v>
      </c>
      <c r="F775">
        <v>7</v>
      </c>
      <c r="G775">
        <v>0.29089999999999999</v>
      </c>
      <c r="H775">
        <v>0.76749999999999996</v>
      </c>
      <c r="I775">
        <v>0.61219999999999997</v>
      </c>
      <c r="J775" s="2" t="str">
        <f>HYPERLINK(SetRGB(J775,G775*255,H775*255,I775*255),"HOVER!")</f>
        <v>HOVER!</v>
      </c>
      <c r="K775">
        <f>E775/F775</f>
        <v>1.1428571428571428</v>
      </c>
    </row>
    <row r="776" spans="1:11" ht="15" x14ac:dyDescent="0.35">
      <c r="A776">
        <f t="shared" si="22"/>
        <v>4</v>
      </c>
      <c r="B776">
        <f t="shared" si="23"/>
        <v>7.5</v>
      </c>
      <c r="C776" s="199" t="str">
        <f>B776&amp;LOOKUP(A776, Sheet2!$A$2:$A$11, Sheet2!$B$2:$B$11)</f>
        <v>7.5G</v>
      </c>
      <c r="D776">
        <v>47.5</v>
      </c>
      <c r="E776">
        <v>2</v>
      </c>
      <c r="F776">
        <v>8</v>
      </c>
      <c r="G776">
        <v>0.70130000000000003</v>
      </c>
      <c r="H776">
        <v>0.82010000000000005</v>
      </c>
      <c r="I776">
        <v>0.7651</v>
      </c>
      <c r="J776" s="2" t="str">
        <f>HYPERLINK(SetRGB(J776,G776*255,H776*255,I776*255),"HOVER!")</f>
        <v>HOVER!</v>
      </c>
      <c r="K776">
        <f>E776/F776</f>
        <v>0.25</v>
      </c>
    </row>
    <row r="777" spans="1:11" ht="15" x14ac:dyDescent="0.35">
      <c r="A777">
        <f t="shared" si="22"/>
        <v>4</v>
      </c>
      <c r="B777">
        <f t="shared" si="23"/>
        <v>7.5</v>
      </c>
      <c r="C777" s="199" t="str">
        <f>B777&amp;LOOKUP(A777, Sheet2!$A$2:$A$11, Sheet2!$B$2:$B$11)</f>
        <v>7.5G</v>
      </c>
      <c r="D777">
        <v>47.5</v>
      </c>
      <c r="E777">
        <v>4</v>
      </c>
      <c r="F777">
        <v>8</v>
      </c>
      <c r="G777">
        <v>0.61599999999999999</v>
      </c>
      <c r="H777">
        <v>0.84109999999999996</v>
      </c>
      <c r="I777">
        <v>0.74409999999999998</v>
      </c>
      <c r="J777" s="2" t="str">
        <f>HYPERLINK(SetRGB(J777,G777*255,H777*255,I777*255),"HOVER!")</f>
        <v>HOVER!</v>
      </c>
      <c r="K777">
        <f>E777/F777</f>
        <v>0.5</v>
      </c>
    </row>
    <row r="778" spans="1:11" ht="15" x14ac:dyDescent="0.35">
      <c r="A778">
        <f t="shared" si="22"/>
        <v>4</v>
      </c>
      <c r="B778">
        <f t="shared" si="23"/>
        <v>7.5</v>
      </c>
      <c r="C778" s="199" t="str">
        <f>B778&amp;LOOKUP(A778, Sheet2!$A$2:$A$11, Sheet2!$B$2:$B$11)</f>
        <v>7.5G</v>
      </c>
      <c r="D778">
        <v>47.5</v>
      </c>
      <c r="E778">
        <v>6</v>
      </c>
      <c r="F778">
        <v>8</v>
      </c>
      <c r="G778">
        <v>0.51100000000000001</v>
      </c>
      <c r="H778">
        <v>0.86140000000000005</v>
      </c>
      <c r="I778">
        <v>0.72409999999999997</v>
      </c>
      <c r="J778" s="2" t="str">
        <f>HYPERLINK(SetRGB(J778,G778*255,H778*255,I778*255),"HOVER!")</f>
        <v>HOVER!</v>
      </c>
      <c r="K778">
        <f>E778/F778</f>
        <v>0.75</v>
      </c>
    </row>
    <row r="779" spans="1:11" ht="15" x14ac:dyDescent="0.35">
      <c r="A779">
        <f t="shared" si="22"/>
        <v>4</v>
      </c>
      <c r="B779">
        <f t="shared" si="23"/>
        <v>7.5</v>
      </c>
      <c r="C779" s="199" t="str">
        <f>B779&amp;LOOKUP(A779, Sheet2!$A$2:$A$11, Sheet2!$B$2:$B$11)</f>
        <v>7.5G</v>
      </c>
      <c r="D779">
        <v>47.5</v>
      </c>
      <c r="E779">
        <v>8</v>
      </c>
      <c r="F779">
        <v>8</v>
      </c>
      <c r="G779">
        <v>0.39119999999999999</v>
      </c>
      <c r="H779">
        <v>0.87829999999999997</v>
      </c>
      <c r="I779">
        <v>0.70850000000000002</v>
      </c>
      <c r="J779" s="2" t="str">
        <f>HYPERLINK(SetRGB(J779,G779*255,H779*255,I779*255),"HOVER!")</f>
        <v>HOVER!</v>
      </c>
      <c r="K779">
        <f>E779/F779</f>
        <v>1</v>
      </c>
    </row>
    <row r="780" spans="1:11" ht="15" x14ac:dyDescent="0.35">
      <c r="A780">
        <f t="shared" si="22"/>
        <v>4</v>
      </c>
      <c r="B780">
        <f t="shared" si="23"/>
        <v>7.5</v>
      </c>
      <c r="C780" s="199" t="str">
        <f>B780&amp;LOOKUP(A780, Sheet2!$A$2:$A$11, Sheet2!$B$2:$B$11)</f>
        <v>7.5G</v>
      </c>
      <c r="D780">
        <v>47.5</v>
      </c>
      <c r="E780">
        <v>10</v>
      </c>
      <c r="F780">
        <v>8</v>
      </c>
      <c r="G780">
        <v>0.18540000000000001</v>
      </c>
      <c r="H780">
        <v>0.89480000000000004</v>
      </c>
      <c r="I780">
        <v>0.6925</v>
      </c>
      <c r="J780" s="2" t="str">
        <f>HYPERLINK(SetRGB(J780,G780*255,H780*255,I780*255),"HOVER!")</f>
        <v>HOVER!</v>
      </c>
      <c r="K780">
        <f>E780/F780</f>
        <v>1.25</v>
      </c>
    </row>
    <row r="781" spans="1:11" ht="15" x14ac:dyDescent="0.35">
      <c r="A781">
        <f t="shared" si="22"/>
        <v>4</v>
      </c>
      <c r="B781">
        <f t="shared" si="23"/>
        <v>7.5</v>
      </c>
      <c r="C781" s="199" t="str">
        <f>B781&amp;LOOKUP(A781, Sheet2!$A$2:$A$11, Sheet2!$B$2:$B$11)</f>
        <v>7.5G</v>
      </c>
      <c r="D781">
        <v>47.5</v>
      </c>
      <c r="E781">
        <v>2</v>
      </c>
      <c r="F781">
        <v>9</v>
      </c>
      <c r="G781">
        <v>0.80100000000000005</v>
      </c>
      <c r="H781">
        <v>0.92979999999999996</v>
      </c>
      <c r="I781">
        <v>0.86890000000000001</v>
      </c>
      <c r="J781" s="2" t="str">
        <f>HYPERLINK(SetRGB(J781,G781*255,H781*255,I781*255),"HOVER!")</f>
        <v>HOVER!</v>
      </c>
      <c r="K781">
        <f>E781/F781</f>
        <v>0.22222222222222221</v>
      </c>
    </row>
    <row r="782" spans="1:11" ht="15" x14ac:dyDescent="0.35">
      <c r="A782">
        <f t="shared" ref="A782:A845" si="24">IF(FLOOR(D782/10,1)=0,10,FLOOR(D782/10,1))</f>
        <v>4</v>
      </c>
      <c r="B782">
        <f t="shared" ref="B782:B845" si="25">IF(MOD(D782,10)=0,10,MOD(D782,10))</f>
        <v>7.5</v>
      </c>
      <c r="C782" s="199" t="str">
        <f>B782&amp;LOOKUP(A782, Sheet2!$A$2:$A$11, Sheet2!$B$2:$B$11)</f>
        <v>7.5G</v>
      </c>
      <c r="D782">
        <v>47.5</v>
      </c>
      <c r="E782">
        <v>4</v>
      </c>
      <c r="F782">
        <v>9</v>
      </c>
      <c r="G782">
        <v>0.70640000000000003</v>
      </c>
      <c r="H782">
        <v>0.95340000000000003</v>
      </c>
      <c r="I782">
        <v>0.84509999999999996</v>
      </c>
      <c r="J782" s="2" t="str">
        <f>HYPERLINK(SetRGB(J782,G782*255,H782*255,I782*255),"HOVER!")</f>
        <v>HOVER!</v>
      </c>
      <c r="K782">
        <f>E782/F782</f>
        <v>0.44444444444444442</v>
      </c>
    </row>
    <row r="783" spans="1:11" ht="15" x14ac:dyDescent="0.35">
      <c r="A783">
        <f t="shared" si="24"/>
        <v>4</v>
      </c>
      <c r="B783">
        <f t="shared" si="25"/>
        <v>7.5</v>
      </c>
      <c r="C783" s="199" t="str">
        <f>B783&amp;LOOKUP(A783, Sheet2!$A$2:$A$11, Sheet2!$B$2:$B$11)</f>
        <v>7.5G</v>
      </c>
      <c r="D783">
        <v>47.5</v>
      </c>
      <c r="E783">
        <v>6</v>
      </c>
      <c r="F783">
        <v>9</v>
      </c>
      <c r="G783">
        <v>0.58940000000000003</v>
      </c>
      <c r="H783">
        <v>0.97640000000000005</v>
      </c>
      <c r="I783">
        <v>0.82189999999999996</v>
      </c>
      <c r="J783" s="2" t="str">
        <f>HYPERLINK(SetRGB(J783,G783*255,H783*255,I783*255),"HOVER!")</f>
        <v>HOVER!</v>
      </c>
      <c r="K783">
        <f>E783/F783</f>
        <v>0.66666666666666663</v>
      </c>
    </row>
    <row r="784" spans="1:11" ht="15" x14ac:dyDescent="0.35">
      <c r="A784">
        <f t="shared" si="24"/>
        <v>4</v>
      </c>
      <c r="B784">
        <f t="shared" si="25"/>
        <v>7.5</v>
      </c>
      <c r="C784" s="199" t="str">
        <f>B784&amp;LOOKUP(A784, Sheet2!$A$2:$A$11, Sheet2!$B$2:$B$11)</f>
        <v>7.5G</v>
      </c>
      <c r="D784">
        <v>47.5</v>
      </c>
      <c r="E784">
        <v>8</v>
      </c>
      <c r="F784">
        <v>9</v>
      </c>
      <c r="G784">
        <v>0.45839999999999997</v>
      </c>
      <c r="H784">
        <v>0.99539999999999995</v>
      </c>
      <c r="I784">
        <v>0.8024</v>
      </c>
      <c r="J784" s="2" t="str">
        <f>HYPERLINK(SetRGB(J784,G784*255,H784*255,I784*255),"HOVER!")</f>
        <v>HOVER!</v>
      </c>
      <c r="K784">
        <f>E784/F784</f>
        <v>0.88888888888888884</v>
      </c>
    </row>
    <row r="785" spans="1:11" ht="15" x14ac:dyDescent="0.35">
      <c r="A785">
        <f t="shared" si="24"/>
        <v>4</v>
      </c>
      <c r="B785">
        <f t="shared" si="25"/>
        <v>7.5</v>
      </c>
      <c r="C785" s="199" t="str">
        <f>B785&amp;LOOKUP(A785, Sheet2!$A$2:$A$11, Sheet2!$B$2:$B$11)</f>
        <v>7.5G</v>
      </c>
      <c r="D785">
        <v>47.5</v>
      </c>
      <c r="E785">
        <v>10</v>
      </c>
      <c r="F785">
        <v>9</v>
      </c>
      <c r="G785">
        <v>0.28060000000000002</v>
      </c>
      <c r="H785">
        <v>1</v>
      </c>
      <c r="I785">
        <v>0.78649999999999998</v>
      </c>
      <c r="J785" s="2" t="str">
        <f>HYPERLINK(SetRGB(J785,G785*255,H785*255,I785*255),"HOVER!")</f>
        <v>HOVER!</v>
      </c>
      <c r="K785">
        <f>E785/F785</f>
        <v>1.1111111111111112</v>
      </c>
    </row>
    <row r="786" spans="1:11" ht="15" x14ac:dyDescent="0.35">
      <c r="A786">
        <f t="shared" si="24"/>
        <v>5</v>
      </c>
      <c r="B786">
        <f t="shared" si="25"/>
        <v>10</v>
      </c>
      <c r="C786" s="199" t="str">
        <f>B786&amp;LOOKUP(A786, Sheet2!$A$2:$A$11, Sheet2!$B$2:$B$11)</f>
        <v>10BG</v>
      </c>
      <c r="D786">
        <v>50</v>
      </c>
      <c r="E786">
        <v>2</v>
      </c>
      <c r="F786">
        <v>1</v>
      </c>
      <c r="G786">
        <v>5.8999999999999997E-2</v>
      </c>
      <c r="H786">
        <v>0.12509999999999999</v>
      </c>
      <c r="I786">
        <v>0.10929999999999999</v>
      </c>
      <c r="J786" s="1" t="str">
        <f>HYPERLINK(SetRGB(J786,G786*255,H786*255,I786*255),"HOVER!")</f>
        <v>HOVER!</v>
      </c>
      <c r="K786">
        <f>E786/F786</f>
        <v>2</v>
      </c>
    </row>
    <row r="787" spans="1:11" ht="15" x14ac:dyDescent="0.35">
      <c r="A787">
        <f t="shared" si="24"/>
        <v>5</v>
      </c>
      <c r="B787">
        <f t="shared" si="25"/>
        <v>10</v>
      </c>
      <c r="C787" s="199" t="str">
        <f>B787&amp;LOOKUP(A787, Sheet2!$A$2:$A$11, Sheet2!$B$2:$B$11)</f>
        <v>10BG</v>
      </c>
      <c r="D787">
        <v>50</v>
      </c>
      <c r="E787">
        <v>2</v>
      </c>
      <c r="F787">
        <v>2</v>
      </c>
      <c r="G787">
        <v>0.1424</v>
      </c>
      <c r="H787">
        <v>0.20730000000000001</v>
      </c>
      <c r="I787">
        <v>0.18970000000000001</v>
      </c>
      <c r="J787" s="1" t="str">
        <f>HYPERLINK(SetRGB(J787,G787*255,H787*255,I787*255),"HOVER!")</f>
        <v>HOVER!</v>
      </c>
      <c r="K787">
        <f>E787/F787</f>
        <v>1</v>
      </c>
    </row>
    <row r="788" spans="1:11" ht="15" x14ac:dyDescent="0.35">
      <c r="A788">
        <f t="shared" si="24"/>
        <v>5</v>
      </c>
      <c r="B788">
        <f t="shared" si="25"/>
        <v>10</v>
      </c>
      <c r="C788" s="199" t="str">
        <f>B788&amp;LOOKUP(A788, Sheet2!$A$2:$A$11, Sheet2!$B$2:$B$11)</f>
        <v>10BG</v>
      </c>
      <c r="D788">
        <v>50</v>
      </c>
      <c r="E788">
        <v>4</v>
      </c>
      <c r="F788">
        <v>2</v>
      </c>
      <c r="G788">
        <v>2.8199999999999999E-2</v>
      </c>
      <c r="H788">
        <v>0.22159999999999999</v>
      </c>
      <c r="I788">
        <v>0.18609999999999999</v>
      </c>
      <c r="J788" s="1" t="str">
        <f>HYPERLINK(SetRGB(J788,G788*255,H788*255,I788*255),"HOVER!")</f>
        <v>HOVER!</v>
      </c>
      <c r="K788">
        <f>E788/F788</f>
        <v>2</v>
      </c>
    </row>
    <row r="789" spans="1:11" ht="15" x14ac:dyDescent="0.35">
      <c r="A789">
        <f t="shared" si="24"/>
        <v>5</v>
      </c>
      <c r="B789">
        <f t="shared" si="25"/>
        <v>10</v>
      </c>
      <c r="C789" s="199" t="str">
        <f>B789&amp;LOOKUP(A789, Sheet2!$A$2:$A$11, Sheet2!$B$2:$B$11)</f>
        <v>10BG</v>
      </c>
      <c r="D789">
        <v>50</v>
      </c>
      <c r="E789">
        <v>2</v>
      </c>
      <c r="F789">
        <v>3</v>
      </c>
      <c r="G789">
        <v>0.21929999999999999</v>
      </c>
      <c r="H789">
        <v>0.30099999999999999</v>
      </c>
      <c r="I789">
        <v>0.27750000000000002</v>
      </c>
      <c r="J789" s="1" t="str">
        <f>HYPERLINK(SetRGB(J789,G789*255,H789*255,I789*255),"HOVER!")</f>
        <v>HOVER!</v>
      </c>
      <c r="K789">
        <f>E789/F789</f>
        <v>0.66666666666666663</v>
      </c>
    </row>
    <row r="790" spans="1:11" ht="15" x14ac:dyDescent="0.35">
      <c r="A790">
        <f t="shared" si="24"/>
        <v>5</v>
      </c>
      <c r="B790">
        <f t="shared" si="25"/>
        <v>10</v>
      </c>
      <c r="C790" s="199" t="str">
        <f>B790&amp;LOOKUP(A790, Sheet2!$A$2:$A$11, Sheet2!$B$2:$B$11)</f>
        <v>10BG</v>
      </c>
      <c r="D790">
        <v>50</v>
      </c>
      <c r="E790">
        <v>4</v>
      </c>
      <c r="F790">
        <v>3</v>
      </c>
      <c r="G790">
        <v>0.10589999999999999</v>
      </c>
      <c r="H790">
        <v>0.31819999999999998</v>
      </c>
      <c r="I790">
        <v>0.27189999999999998</v>
      </c>
      <c r="J790" s="1" t="str">
        <f>HYPERLINK(SetRGB(J790,G790*255,H790*255,I790*255),"HOVER!")</f>
        <v>HOVER!</v>
      </c>
      <c r="K790">
        <f>E790/F790</f>
        <v>1.3333333333333333</v>
      </c>
    </row>
    <row r="791" spans="1:11" ht="15" x14ac:dyDescent="0.35">
      <c r="A791">
        <f t="shared" si="24"/>
        <v>5</v>
      </c>
      <c r="B791">
        <f t="shared" si="25"/>
        <v>10</v>
      </c>
      <c r="C791" s="199" t="str">
        <f>B791&amp;LOOKUP(A791, Sheet2!$A$2:$A$11, Sheet2!$B$2:$B$11)</f>
        <v>10BG</v>
      </c>
      <c r="D791">
        <v>50</v>
      </c>
      <c r="E791">
        <v>2</v>
      </c>
      <c r="F791">
        <v>4</v>
      </c>
      <c r="G791">
        <v>0.30880000000000002</v>
      </c>
      <c r="H791">
        <v>0.4007</v>
      </c>
      <c r="I791">
        <v>0.37219999999999998</v>
      </c>
      <c r="J791" s="1" t="str">
        <f>HYPERLINK(SetRGB(J791,G791*255,H791*255,I791*255),"HOVER!")</f>
        <v>HOVER!</v>
      </c>
      <c r="K791">
        <f>E791/F791</f>
        <v>0.5</v>
      </c>
    </row>
    <row r="792" spans="1:11" ht="15" x14ac:dyDescent="0.35">
      <c r="A792">
        <f t="shared" si="24"/>
        <v>5</v>
      </c>
      <c r="B792">
        <f t="shared" si="25"/>
        <v>10</v>
      </c>
      <c r="C792" s="199" t="str">
        <f>B792&amp;LOOKUP(A792, Sheet2!$A$2:$A$11, Sheet2!$B$2:$B$11)</f>
        <v>10BG</v>
      </c>
      <c r="D792">
        <v>50</v>
      </c>
      <c r="E792">
        <v>4</v>
      </c>
      <c r="F792">
        <v>4</v>
      </c>
      <c r="G792">
        <v>0.20599999999999999</v>
      </c>
      <c r="H792">
        <v>0.41920000000000002</v>
      </c>
      <c r="I792">
        <v>0.3649</v>
      </c>
      <c r="J792" s="1" t="str">
        <f>HYPERLINK(SetRGB(J792,G792*255,H792*255,I792*255),"HOVER!")</f>
        <v>HOVER!</v>
      </c>
      <c r="K792">
        <f>E792/F792</f>
        <v>1</v>
      </c>
    </row>
    <row r="793" spans="1:11" ht="15" x14ac:dyDescent="0.35">
      <c r="A793">
        <f t="shared" si="24"/>
        <v>5</v>
      </c>
      <c r="B793">
        <f t="shared" si="25"/>
        <v>10</v>
      </c>
      <c r="C793" s="199" t="str">
        <f>B793&amp;LOOKUP(A793, Sheet2!$A$2:$A$11, Sheet2!$B$2:$B$11)</f>
        <v>10BG</v>
      </c>
      <c r="D793">
        <v>50</v>
      </c>
      <c r="E793">
        <v>2</v>
      </c>
      <c r="F793">
        <v>5</v>
      </c>
      <c r="G793">
        <v>0.40500000000000003</v>
      </c>
      <c r="H793">
        <v>0.50329999999999997</v>
      </c>
      <c r="I793">
        <v>0.47160000000000002</v>
      </c>
      <c r="J793" s="1" t="str">
        <f>HYPERLINK(SetRGB(J793,G793*255,H793*255,I793*255),"HOVER!")</f>
        <v>HOVER!</v>
      </c>
      <c r="K793">
        <f>E793/F793</f>
        <v>0.4</v>
      </c>
    </row>
    <row r="794" spans="1:11" ht="15" x14ac:dyDescent="0.35">
      <c r="A794">
        <f t="shared" si="24"/>
        <v>5</v>
      </c>
      <c r="B794">
        <f t="shared" si="25"/>
        <v>10</v>
      </c>
      <c r="C794" s="199" t="str">
        <f>B794&amp;LOOKUP(A794, Sheet2!$A$2:$A$11, Sheet2!$B$2:$B$11)</f>
        <v>10BG</v>
      </c>
      <c r="D794">
        <v>50</v>
      </c>
      <c r="E794">
        <v>4</v>
      </c>
      <c r="F794">
        <v>5</v>
      </c>
      <c r="G794">
        <v>0.31109999999999999</v>
      </c>
      <c r="H794">
        <v>0.52229999999999999</v>
      </c>
      <c r="I794">
        <v>0.46300000000000002</v>
      </c>
      <c r="J794" s="1" t="str">
        <f>HYPERLINK(SetRGB(J794,G794*255,H794*255,I794*255),"HOVER!")</f>
        <v>HOVER!</v>
      </c>
      <c r="K794">
        <f>E794/F794</f>
        <v>0.8</v>
      </c>
    </row>
    <row r="795" spans="1:11" ht="15" x14ac:dyDescent="0.35">
      <c r="A795">
        <f t="shared" si="24"/>
        <v>5</v>
      </c>
      <c r="B795">
        <f t="shared" si="25"/>
        <v>10</v>
      </c>
      <c r="C795" s="199" t="str">
        <f>B795&amp;LOOKUP(A795, Sheet2!$A$2:$A$11, Sheet2!$B$2:$B$11)</f>
        <v>10BG</v>
      </c>
      <c r="D795">
        <v>50</v>
      </c>
      <c r="E795">
        <v>6</v>
      </c>
      <c r="F795">
        <v>5</v>
      </c>
      <c r="G795">
        <v>0.18390000000000001</v>
      </c>
      <c r="H795">
        <v>0.53820000000000001</v>
      </c>
      <c r="I795">
        <v>0.45629999999999998</v>
      </c>
      <c r="J795" s="1" t="str">
        <f>HYPERLINK(SetRGB(J795,G795*255,H795*255,I795*255),"HOVER!")</f>
        <v>HOVER!</v>
      </c>
      <c r="K795">
        <f>E795/F795</f>
        <v>1.2</v>
      </c>
    </row>
    <row r="796" spans="1:11" ht="15" x14ac:dyDescent="0.35">
      <c r="A796">
        <f t="shared" si="24"/>
        <v>5</v>
      </c>
      <c r="B796">
        <f t="shared" si="25"/>
        <v>10</v>
      </c>
      <c r="C796" s="199" t="str">
        <f>B796&amp;LOOKUP(A796, Sheet2!$A$2:$A$11, Sheet2!$B$2:$B$11)</f>
        <v>10BG</v>
      </c>
      <c r="D796">
        <v>50</v>
      </c>
      <c r="E796">
        <v>2</v>
      </c>
      <c r="F796">
        <v>6</v>
      </c>
      <c r="G796">
        <v>0.501</v>
      </c>
      <c r="H796">
        <v>0.6079</v>
      </c>
      <c r="I796">
        <v>0.57169999999999999</v>
      </c>
      <c r="J796" s="2" t="str">
        <f>HYPERLINK(SetRGB(J796,G796*255,H796*255,I796*255),"HOVER!")</f>
        <v>HOVER!</v>
      </c>
      <c r="K796">
        <f>E796/F796</f>
        <v>0.33333333333333331</v>
      </c>
    </row>
    <row r="797" spans="1:11" ht="15" x14ac:dyDescent="0.35">
      <c r="A797">
        <f t="shared" si="24"/>
        <v>5</v>
      </c>
      <c r="B797">
        <f t="shared" si="25"/>
        <v>10</v>
      </c>
      <c r="C797" s="199" t="str">
        <f>B797&amp;LOOKUP(A797, Sheet2!$A$2:$A$11, Sheet2!$B$2:$B$11)</f>
        <v>10BG</v>
      </c>
      <c r="D797">
        <v>50</v>
      </c>
      <c r="E797">
        <v>4</v>
      </c>
      <c r="F797">
        <v>6</v>
      </c>
      <c r="G797">
        <v>0.40139999999999998</v>
      </c>
      <c r="H797">
        <v>0.629</v>
      </c>
      <c r="I797">
        <v>0.56089999999999995</v>
      </c>
      <c r="J797" s="2" t="str">
        <f>HYPERLINK(SetRGB(J797,G797*255,H797*255,I797*255),"HOVER!")</f>
        <v>HOVER!</v>
      </c>
      <c r="K797">
        <f>E797/F797</f>
        <v>0.66666666666666663</v>
      </c>
    </row>
    <row r="798" spans="1:11" ht="15" x14ac:dyDescent="0.35">
      <c r="A798">
        <f t="shared" si="24"/>
        <v>5</v>
      </c>
      <c r="B798">
        <f t="shared" si="25"/>
        <v>10</v>
      </c>
      <c r="C798" s="199" t="str">
        <f>B798&amp;LOOKUP(A798, Sheet2!$A$2:$A$11, Sheet2!$B$2:$B$11)</f>
        <v>10BG</v>
      </c>
      <c r="D798">
        <v>50</v>
      </c>
      <c r="E798">
        <v>6</v>
      </c>
      <c r="F798">
        <v>6</v>
      </c>
      <c r="G798">
        <v>0.29099999999999998</v>
      </c>
      <c r="H798">
        <v>0.64529999999999998</v>
      </c>
      <c r="I798">
        <v>0.55330000000000001</v>
      </c>
      <c r="J798" s="2" t="str">
        <f>HYPERLINK(SetRGB(J798,G798*255,H798*255,I798*255),"HOVER!")</f>
        <v>HOVER!</v>
      </c>
      <c r="K798">
        <f>E798/F798</f>
        <v>1</v>
      </c>
    </row>
    <row r="799" spans="1:11" ht="15" x14ac:dyDescent="0.35">
      <c r="A799">
        <f t="shared" si="24"/>
        <v>5</v>
      </c>
      <c r="B799">
        <f t="shared" si="25"/>
        <v>10</v>
      </c>
      <c r="C799" s="199" t="str">
        <f>B799&amp;LOOKUP(A799, Sheet2!$A$2:$A$11, Sheet2!$B$2:$B$11)</f>
        <v>10BG</v>
      </c>
      <c r="D799">
        <v>50</v>
      </c>
      <c r="E799">
        <v>8</v>
      </c>
      <c r="F799">
        <v>6</v>
      </c>
      <c r="G799">
        <v>4.3099999999999999E-2</v>
      </c>
      <c r="H799">
        <v>0.66110000000000002</v>
      </c>
      <c r="I799">
        <v>0.54590000000000005</v>
      </c>
      <c r="J799" s="1" t="str">
        <f>HYPERLINK(SetRGB(J799,G799*255,H799*255,I799*255),"HOVER!")</f>
        <v>HOVER!</v>
      </c>
      <c r="K799">
        <f>E799/F799</f>
        <v>1.3333333333333333</v>
      </c>
    </row>
    <row r="800" spans="1:11" ht="15" x14ac:dyDescent="0.35">
      <c r="A800">
        <f t="shared" si="24"/>
        <v>5</v>
      </c>
      <c r="B800">
        <f t="shared" si="25"/>
        <v>10</v>
      </c>
      <c r="C800" s="199" t="str">
        <f>B800&amp;LOOKUP(A800, Sheet2!$A$2:$A$11, Sheet2!$B$2:$B$11)</f>
        <v>10BG</v>
      </c>
      <c r="D800">
        <v>50</v>
      </c>
      <c r="E800">
        <v>2</v>
      </c>
      <c r="F800">
        <v>7</v>
      </c>
      <c r="G800">
        <v>0.59889999999999999</v>
      </c>
      <c r="H800">
        <v>0.71309999999999996</v>
      </c>
      <c r="I800">
        <v>0.67290000000000005</v>
      </c>
      <c r="J800" s="2" t="str">
        <f>HYPERLINK(SetRGB(J800,G800*255,H800*255,I800*255),"HOVER!")</f>
        <v>HOVER!</v>
      </c>
      <c r="K800">
        <f>E800/F800</f>
        <v>0.2857142857142857</v>
      </c>
    </row>
    <row r="801" spans="1:11" ht="15" x14ac:dyDescent="0.35">
      <c r="A801">
        <f t="shared" si="24"/>
        <v>5</v>
      </c>
      <c r="B801">
        <f t="shared" si="25"/>
        <v>10</v>
      </c>
      <c r="C801" s="199" t="str">
        <f>B801&amp;LOOKUP(A801, Sheet2!$A$2:$A$11, Sheet2!$B$2:$B$11)</f>
        <v>10BG</v>
      </c>
      <c r="D801">
        <v>50</v>
      </c>
      <c r="E801">
        <v>4</v>
      </c>
      <c r="F801">
        <v>7</v>
      </c>
      <c r="G801">
        <v>0.50939999999999996</v>
      </c>
      <c r="H801">
        <v>0.73340000000000005</v>
      </c>
      <c r="I801">
        <v>0.66139999999999999</v>
      </c>
      <c r="J801" s="2" t="str">
        <f>HYPERLINK(SetRGB(J801,G801*255,H801*255,I801*255),"HOVER!")</f>
        <v>HOVER!</v>
      </c>
      <c r="K801">
        <f>E801/F801</f>
        <v>0.5714285714285714</v>
      </c>
    </row>
    <row r="802" spans="1:11" ht="15" x14ac:dyDescent="0.35">
      <c r="A802">
        <f t="shared" si="24"/>
        <v>5</v>
      </c>
      <c r="B802">
        <f t="shared" si="25"/>
        <v>10</v>
      </c>
      <c r="C802" s="199" t="str">
        <f>B802&amp;LOOKUP(A802, Sheet2!$A$2:$A$11, Sheet2!$B$2:$B$11)</f>
        <v>10BG</v>
      </c>
      <c r="D802">
        <v>50</v>
      </c>
      <c r="E802">
        <v>6</v>
      </c>
      <c r="F802">
        <v>7</v>
      </c>
      <c r="G802">
        <v>0.40489999999999998</v>
      </c>
      <c r="H802">
        <v>0.75129999999999997</v>
      </c>
      <c r="I802">
        <v>0.65169999999999995</v>
      </c>
      <c r="J802" s="2" t="str">
        <f>HYPERLINK(SetRGB(J802,G802*255,H802*255,I802*255),"HOVER!")</f>
        <v>HOVER!</v>
      </c>
      <c r="K802">
        <f>E802/F802</f>
        <v>0.8571428571428571</v>
      </c>
    </row>
    <row r="803" spans="1:11" ht="15" x14ac:dyDescent="0.35">
      <c r="A803">
        <f t="shared" si="24"/>
        <v>5</v>
      </c>
      <c r="B803">
        <f t="shared" si="25"/>
        <v>10</v>
      </c>
      <c r="C803" s="199" t="str">
        <f>B803&amp;LOOKUP(A803, Sheet2!$A$2:$A$11, Sheet2!$B$2:$B$11)</f>
        <v>10BG</v>
      </c>
      <c r="D803">
        <v>50</v>
      </c>
      <c r="E803">
        <v>8</v>
      </c>
      <c r="F803">
        <v>7</v>
      </c>
      <c r="G803">
        <v>0.2525</v>
      </c>
      <c r="H803">
        <v>0.7681</v>
      </c>
      <c r="I803">
        <v>0.64349999999999996</v>
      </c>
      <c r="J803" s="2" t="str">
        <f>HYPERLINK(SetRGB(J803,G803*255,H803*255,I803*255),"HOVER!")</f>
        <v>HOVER!</v>
      </c>
      <c r="K803">
        <f>E803/F803</f>
        <v>1.1428571428571428</v>
      </c>
    </row>
    <row r="804" spans="1:11" ht="15" x14ac:dyDescent="0.35">
      <c r="A804">
        <f t="shared" si="24"/>
        <v>5</v>
      </c>
      <c r="B804">
        <f t="shared" si="25"/>
        <v>10</v>
      </c>
      <c r="C804" s="199" t="str">
        <f>B804&amp;LOOKUP(A804, Sheet2!$A$2:$A$11, Sheet2!$B$2:$B$11)</f>
        <v>10BG</v>
      </c>
      <c r="D804">
        <v>50</v>
      </c>
      <c r="E804">
        <v>2</v>
      </c>
      <c r="F804">
        <v>8</v>
      </c>
      <c r="G804">
        <v>0.69779999999999998</v>
      </c>
      <c r="H804">
        <v>0.81989999999999996</v>
      </c>
      <c r="I804">
        <v>0.77529999999999999</v>
      </c>
      <c r="J804" s="2" t="str">
        <f>HYPERLINK(SetRGB(J804,G804*255,H804*255,I804*255),"HOVER!")</f>
        <v>HOVER!</v>
      </c>
      <c r="K804">
        <f>E804/F804</f>
        <v>0.25</v>
      </c>
    </row>
    <row r="805" spans="1:11" ht="15" x14ac:dyDescent="0.35">
      <c r="A805">
        <f t="shared" si="24"/>
        <v>5</v>
      </c>
      <c r="B805">
        <f t="shared" si="25"/>
        <v>10</v>
      </c>
      <c r="C805" s="199" t="str">
        <f>B805&amp;LOOKUP(A805, Sheet2!$A$2:$A$11, Sheet2!$B$2:$B$11)</f>
        <v>10BG</v>
      </c>
      <c r="D805">
        <v>50</v>
      </c>
      <c r="E805">
        <v>4</v>
      </c>
      <c r="F805">
        <v>8</v>
      </c>
      <c r="G805">
        <v>0.60589999999999999</v>
      </c>
      <c r="H805">
        <v>0.84130000000000005</v>
      </c>
      <c r="I805">
        <v>0.76270000000000004</v>
      </c>
      <c r="J805" s="2" t="str">
        <f>HYPERLINK(SetRGB(J805,G805*255,H805*255,I805*255),"HOVER!")</f>
        <v>HOVER!</v>
      </c>
      <c r="K805">
        <f>E805/F805</f>
        <v>0.5</v>
      </c>
    </row>
    <row r="806" spans="1:11" ht="15" x14ac:dyDescent="0.35">
      <c r="A806">
        <f t="shared" si="24"/>
        <v>5</v>
      </c>
      <c r="B806">
        <f t="shared" si="25"/>
        <v>10</v>
      </c>
      <c r="C806" s="199" t="str">
        <f>B806&amp;LOOKUP(A806, Sheet2!$A$2:$A$11, Sheet2!$B$2:$B$11)</f>
        <v>10BG</v>
      </c>
      <c r="D806">
        <v>50</v>
      </c>
      <c r="E806">
        <v>6</v>
      </c>
      <c r="F806">
        <v>8</v>
      </c>
      <c r="G806">
        <v>0.49559999999999998</v>
      </c>
      <c r="H806">
        <v>0.86129999999999995</v>
      </c>
      <c r="I806">
        <v>0.75149999999999995</v>
      </c>
      <c r="J806" s="2" t="str">
        <f>HYPERLINK(SetRGB(J806,G806*255,H806*255,I806*255),"HOVER!")</f>
        <v>HOVER!</v>
      </c>
      <c r="K806">
        <f>E806/F806</f>
        <v>0.75</v>
      </c>
    </row>
    <row r="807" spans="1:11" ht="15" x14ac:dyDescent="0.35">
      <c r="A807">
        <f t="shared" si="24"/>
        <v>5</v>
      </c>
      <c r="B807">
        <f t="shared" si="25"/>
        <v>10</v>
      </c>
      <c r="C807" s="199" t="str">
        <f>B807&amp;LOOKUP(A807, Sheet2!$A$2:$A$11, Sheet2!$B$2:$B$11)</f>
        <v>10BG</v>
      </c>
      <c r="D807">
        <v>50</v>
      </c>
      <c r="E807">
        <v>8</v>
      </c>
      <c r="F807">
        <v>8</v>
      </c>
      <c r="G807">
        <v>0.36109999999999998</v>
      </c>
      <c r="H807">
        <v>0.87849999999999995</v>
      </c>
      <c r="I807">
        <v>0.74229999999999996</v>
      </c>
      <c r="J807" s="2" t="str">
        <f>HYPERLINK(SetRGB(J807,G807*255,H807*255,I807*255),"HOVER!")</f>
        <v>HOVER!</v>
      </c>
      <c r="K807">
        <f>E807/F807</f>
        <v>1</v>
      </c>
    </row>
    <row r="808" spans="1:11" ht="15" x14ac:dyDescent="0.35">
      <c r="A808">
        <f t="shared" si="24"/>
        <v>5</v>
      </c>
      <c r="B808">
        <f t="shared" si="25"/>
        <v>10</v>
      </c>
      <c r="C808" s="199" t="str">
        <f>B808&amp;LOOKUP(A808, Sheet2!$A$2:$A$11, Sheet2!$B$2:$B$11)</f>
        <v>10BG</v>
      </c>
      <c r="D808">
        <v>50</v>
      </c>
      <c r="E808">
        <v>10</v>
      </c>
      <c r="F808">
        <v>8</v>
      </c>
      <c r="G808">
        <v>7.8600000000000003E-2</v>
      </c>
      <c r="H808">
        <v>0.89480000000000004</v>
      </c>
      <c r="I808">
        <v>0.73399999999999999</v>
      </c>
      <c r="J808" s="2" t="str">
        <f>HYPERLINK(SetRGB(J808,G808*255,H808*255,I808*255),"HOVER!")</f>
        <v>HOVER!</v>
      </c>
      <c r="K808">
        <f>E808/F808</f>
        <v>1.25</v>
      </c>
    </row>
    <row r="809" spans="1:11" ht="15" x14ac:dyDescent="0.35">
      <c r="A809">
        <f t="shared" si="24"/>
        <v>5</v>
      </c>
      <c r="B809">
        <f t="shared" si="25"/>
        <v>10</v>
      </c>
      <c r="C809" s="199" t="str">
        <f>B809&amp;LOOKUP(A809, Sheet2!$A$2:$A$11, Sheet2!$B$2:$B$11)</f>
        <v>10BG</v>
      </c>
      <c r="D809">
        <v>50</v>
      </c>
      <c r="E809">
        <v>2</v>
      </c>
      <c r="F809">
        <v>9</v>
      </c>
      <c r="G809">
        <v>0.79730000000000001</v>
      </c>
      <c r="H809">
        <v>0.92959999999999998</v>
      </c>
      <c r="I809">
        <v>0.87939999999999996</v>
      </c>
      <c r="J809" s="2" t="str">
        <f>HYPERLINK(SetRGB(J809,G809*255,H809*255,I809*255),"HOVER!")</f>
        <v>HOVER!</v>
      </c>
      <c r="K809">
        <f>E809/F809</f>
        <v>0.22222222222222221</v>
      </c>
    </row>
    <row r="810" spans="1:11" ht="15" x14ac:dyDescent="0.35">
      <c r="A810">
        <f t="shared" si="24"/>
        <v>5</v>
      </c>
      <c r="B810">
        <f t="shared" si="25"/>
        <v>10</v>
      </c>
      <c r="C810" s="199" t="str">
        <f>B810&amp;LOOKUP(A810, Sheet2!$A$2:$A$11, Sheet2!$B$2:$B$11)</f>
        <v>10BG</v>
      </c>
      <c r="D810">
        <v>50</v>
      </c>
      <c r="E810">
        <v>4</v>
      </c>
      <c r="F810">
        <v>9</v>
      </c>
      <c r="G810">
        <v>0.69710000000000005</v>
      </c>
      <c r="H810">
        <v>0.95330000000000004</v>
      </c>
      <c r="I810">
        <v>0.86499999999999999</v>
      </c>
      <c r="J810" s="2" t="str">
        <f>HYPERLINK(SetRGB(J810,G810*255,H810*255,I810*255),"HOVER!")</f>
        <v>HOVER!</v>
      </c>
      <c r="K810">
        <f>E810/F810</f>
        <v>0.44444444444444442</v>
      </c>
    </row>
    <row r="811" spans="1:11" ht="15" x14ac:dyDescent="0.35">
      <c r="A811">
        <f t="shared" si="24"/>
        <v>5</v>
      </c>
      <c r="B811">
        <f t="shared" si="25"/>
        <v>10</v>
      </c>
      <c r="C811" s="199" t="str">
        <f>B811&amp;LOOKUP(A811, Sheet2!$A$2:$A$11, Sheet2!$B$2:$B$11)</f>
        <v>10BG</v>
      </c>
      <c r="D811">
        <v>50</v>
      </c>
      <c r="E811">
        <v>6</v>
      </c>
      <c r="F811">
        <v>9</v>
      </c>
      <c r="G811">
        <v>0.5726</v>
      </c>
      <c r="H811">
        <v>0.97629999999999995</v>
      </c>
      <c r="I811">
        <v>0.85209999999999997</v>
      </c>
      <c r="J811" s="2" t="str">
        <f>HYPERLINK(SetRGB(J811,G811*255,H811*255,I811*255),"HOVER!")</f>
        <v>HOVER!</v>
      </c>
      <c r="K811">
        <f>E811/F811</f>
        <v>0.66666666666666663</v>
      </c>
    </row>
    <row r="812" spans="1:11" ht="15" x14ac:dyDescent="0.35">
      <c r="A812">
        <f t="shared" si="24"/>
        <v>5</v>
      </c>
      <c r="B812">
        <f t="shared" si="25"/>
        <v>10</v>
      </c>
      <c r="C812" s="199" t="str">
        <f>B812&amp;LOOKUP(A812, Sheet2!$A$2:$A$11, Sheet2!$B$2:$B$11)</f>
        <v>10BG</v>
      </c>
      <c r="D812">
        <v>50</v>
      </c>
      <c r="E812">
        <v>8</v>
      </c>
      <c r="F812">
        <v>9</v>
      </c>
      <c r="G812">
        <v>0.42209999999999998</v>
      </c>
      <c r="H812">
        <v>0.996</v>
      </c>
      <c r="I812">
        <v>0.84030000000000005</v>
      </c>
      <c r="J812" s="2" t="str">
        <f>HYPERLINK(SetRGB(J812,G812*255,H812*255,I812*255),"HOVER!")</f>
        <v>HOVER!</v>
      </c>
      <c r="K812">
        <f>E812/F812</f>
        <v>0.88888888888888884</v>
      </c>
    </row>
    <row r="813" spans="1:11" ht="15" x14ac:dyDescent="0.35">
      <c r="A813">
        <f t="shared" si="24"/>
        <v>5</v>
      </c>
      <c r="B813">
        <f t="shared" si="25"/>
        <v>10</v>
      </c>
      <c r="C813" s="199" t="str">
        <f>B813&amp;LOOKUP(A813, Sheet2!$A$2:$A$11, Sheet2!$B$2:$B$11)</f>
        <v>10BG</v>
      </c>
      <c r="D813">
        <v>50</v>
      </c>
      <c r="E813">
        <v>10</v>
      </c>
      <c r="F813">
        <v>9</v>
      </c>
      <c r="G813">
        <v>0.19869999999999999</v>
      </c>
      <c r="H813">
        <v>1</v>
      </c>
      <c r="I813">
        <v>0.83279999999999998</v>
      </c>
      <c r="J813" s="2" t="str">
        <f>HYPERLINK(SetRGB(J813,G813*255,H813*255,I813*255),"HOVER!")</f>
        <v>HOVER!</v>
      </c>
      <c r="K813">
        <f>E813/F813</f>
        <v>1.1111111111111112</v>
      </c>
    </row>
    <row r="814" spans="1:11" ht="15" x14ac:dyDescent="0.35">
      <c r="A814">
        <f t="shared" si="24"/>
        <v>5</v>
      </c>
      <c r="B814">
        <f t="shared" si="25"/>
        <v>2.5</v>
      </c>
      <c r="C814" s="199" t="str">
        <f>B814&amp;LOOKUP(A814, Sheet2!$A$2:$A$11, Sheet2!$B$2:$B$11)</f>
        <v>2.5BG</v>
      </c>
      <c r="D814">
        <v>52.5</v>
      </c>
      <c r="E814">
        <v>2</v>
      </c>
      <c r="F814">
        <v>1</v>
      </c>
      <c r="G814">
        <v>5.3100000000000001E-2</v>
      </c>
      <c r="H814">
        <v>0.12529999999999999</v>
      </c>
      <c r="I814">
        <v>0.1164</v>
      </c>
      <c r="J814" s="1" t="str">
        <f>HYPERLINK(SetRGB(J814,G814*255,H814*255,I814*255),"HOVER!")</f>
        <v>HOVER!</v>
      </c>
      <c r="K814">
        <f>E814/F814</f>
        <v>2</v>
      </c>
    </row>
    <row r="815" spans="1:11" ht="15" x14ac:dyDescent="0.35">
      <c r="A815">
        <f t="shared" si="24"/>
        <v>5</v>
      </c>
      <c r="B815">
        <f t="shared" si="25"/>
        <v>2.5</v>
      </c>
      <c r="C815" s="199" t="str">
        <f>B815&amp;LOOKUP(A815, Sheet2!$A$2:$A$11, Sheet2!$B$2:$B$11)</f>
        <v>2.5BG</v>
      </c>
      <c r="D815">
        <v>52.5</v>
      </c>
      <c r="E815">
        <v>2</v>
      </c>
      <c r="F815">
        <v>2</v>
      </c>
      <c r="G815">
        <v>0.1384</v>
      </c>
      <c r="H815">
        <v>0.2074</v>
      </c>
      <c r="I815">
        <v>0.1961</v>
      </c>
      <c r="J815" s="1" t="str">
        <f>HYPERLINK(SetRGB(J815,G815*255,H815*255,I815*255),"HOVER!")</f>
        <v>HOVER!</v>
      </c>
      <c r="K815">
        <f>E815/F815</f>
        <v>1</v>
      </c>
    </row>
    <row r="816" spans="1:11" ht="15" x14ac:dyDescent="0.35">
      <c r="A816">
        <f t="shared" si="24"/>
        <v>5</v>
      </c>
      <c r="B816">
        <f t="shared" si="25"/>
        <v>2.5</v>
      </c>
      <c r="C816" s="199" t="str">
        <f>B816&amp;LOOKUP(A816, Sheet2!$A$2:$A$11, Sheet2!$B$2:$B$11)</f>
        <v>2.5BG</v>
      </c>
      <c r="D816">
        <v>52.5</v>
      </c>
      <c r="E816">
        <v>4</v>
      </c>
      <c r="F816">
        <v>2</v>
      </c>
      <c r="G816">
        <v>-8.9999999999999998E-4</v>
      </c>
      <c r="H816">
        <v>0.2215</v>
      </c>
      <c r="I816">
        <v>0.2006</v>
      </c>
      <c r="J816" s="1" t="str">
        <f>HYPERLINK(SetRGB(J816,G816*255,H816*255,I816*255),"HOVER!")</f>
        <v>HOVER!</v>
      </c>
      <c r="K816">
        <f>E816/F816</f>
        <v>2</v>
      </c>
    </row>
    <row r="817" spans="1:11" ht="15" x14ac:dyDescent="0.35">
      <c r="A817">
        <f t="shared" si="24"/>
        <v>5</v>
      </c>
      <c r="B817">
        <f t="shared" si="25"/>
        <v>2.5</v>
      </c>
      <c r="C817" s="199" t="str">
        <f>B817&amp;LOOKUP(A817, Sheet2!$A$2:$A$11, Sheet2!$B$2:$B$11)</f>
        <v>2.5BG</v>
      </c>
      <c r="D817">
        <v>52.5</v>
      </c>
      <c r="E817">
        <v>2</v>
      </c>
      <c r="F817">
        <v>3</v>
      </c>
      <c r="G817">
        <v>0.216</v>
      </c>
      <c r="H817">
        <v>0.3009</v>
      </c>
      <c r="I817">
        <v>0.28549999999999998</v>
      </c>
      <c r="J817" s="1" t="str">
        <f>HYPERLINK(SetRGB(J817,G817*255,H817*255,I817*255),"HOVER!")</f>
        <v>HOVER!</v>
      </c>
      <c r="K817">
        <f>E817/F817</f>
        <v>0.66666666666666663</v>
      </c>
    </row>
    <row r="818" spans="1:11" ht="15" x14ac:dyDescent="0.35">
      <c r="A818">
        <f t="shared" si="24"/>
        <v>5</v>
      </c>
      <c r="B818">
        <f t="shared" si="25"/>
        <v>2.5</v>
      </c>
      <c r="C818" s="199" t="str">
        <f>B818&amp;LOOKUP(A818, Sheet2!$A$2:$A$11, Sheet2!$B$2:$B$11)</f>
        <v>2.5BG</v>
      </c>
      <c r="D818">
        <v>52.5</v>
      </c>
      <c r="E818">
        <v>4</v>
      </c>
      <c r="F818">
        <v>3</v>
      </c>
      <c r="G818">
        <v>8.8400000000000006E-2</v>
      </c>
      <c r="H818">
        <v>0.31809999999999999</v>
      </c>
      <c r="I818">
        <v>0.2888</v>
      </c>
      <c r="J818" s="1" t="str">
        <f>HYPERLINK(SetRGB(J818,G818*255,H818*255,I818*255),"HOVER!")</f>
        <v>HOVER!</v>
      </c>
      <c r="K818">
        <f>E818/F818</f>
        <v>1.3333333333333333</v>
      </c>
    </row>
    <row r="819" spans="1:11" ht="15" x14ac:dyDescent="0.35">
      <c r="A819">
        <f t="shared" si="24"/>
        <v>5</v>
      </c>
      <c r="B819">
        <f t="shared" si="25"/>
        <v>2.5</v>
      </c>
      <c r="C819" s="199" t="str">
        <f>B819&amp;LOOKUP(A819, Sheet2!$A$2:$A$11, Sheet2!$B$2:$B$11)</f>
        <v>2.5BG</v>
      </c>
      <c r="D819">
        <v>52.5</v>
      </c>
      <c r="E819">
        <v>2</v>
      </c>
      <c r="F819">
        <v>4</v>
      </c>
      <c r="G819">
        <v>0.30520000000000003</v>
      </c>
      <c r="H819">
        <v>0.40060000000000001</v>
      </c>
      <c r="I819">
        <v>0.38109999999999999</v>
      </c>
      <c r="J819" s="1" t="str">
        <f>HYPERLINK(SetRGB(J819,G819*255,H819*255,I819*255),"HOVER!")</f>
        <v>HOVER!</v>
      </c>
      <c r="K819">
        <f>E819/F819</f>
        <v>0.5</v>
      </c>
    </row>
    <row r="820" spans="1:11" ht="15" x14ac:dyDescent="0.35">
      <c r="A820">
        <f t="shared" si="24"/>
        <v>5</v>
      </c>
      <c r="B820">
        <f t="shared" si="25"/>
        <v>2.5</v>
      </c>
      <c r="C820" s="199" t="str">
        <f>B820&amp;LOOKUP(A820, Sheet2!$A$2:$A$11, Sheet2!$B$2:$B$11)</f>
        <v>2.5BG</v>
      </c>
      <c r="D820">
        <v>52.5</v>
      </c>
      <c r="E820">
        <v>4</v>
      </c>
      <c r="F820">
        <v>4</v>
      </c>
      <c r="G820">
        <v>0.19309999999999999</v>
      </c>
      <c r="H820">
        <v>0.41909999999999997</v>
      </c>
      <c r="I820">
        <v>0.38300000000000001</v>
      </c>
      <c r="J820" s="1" t="str">
        <f>HYPERLINK(SetRGB(J820,G820*255,H820*255,I820*255),"HOVER!")</f>
        <v>HOVER!</v>
      </c>
      <c r="K820">
        <f>E820/F820</f>
        <v>1</v>
      </c>
    </row>
    <row r="821" spans="1:11" ht="15" x14ac:dyDescent="0.35">
      <c r="A821">
        <f t="shared" si="24"/>
        <v>5</v>
      </c>
      <c r="B821">
        <f t="shared" si="25"/>
        <v>2.5</v>
      </c>
      <c r="C821" s="199" t="str">
        <f>B821&amp;LOOKUP(A821, Sheet2!$A$2:$A$11, Sheet2!$B$2:$B$11)</f>
        <v>2.5BG</v>
      </c>
      <c r="D821">
        <v>52.5</v>
      </c>
      <c r="E821">
        <v>2</v>
      </c>
      <c r="F821">
        <v>5</v>
      </c>
      <c r="G821">
        <v>0.40160000000000001</v>
      </c>
      <c r="H821">
        <v>0.50329999999999997</v>
      </c>
      <c r="I821">
        <v>0.47939999999999999</v>
      </c>
      <c r="J821" s="1" t="str">
        <f>HYPERLINK(SetRGB(J821,G821*255,H821*255,I821*255),"HOVER!")</f>
        <v>HOVER!</v>
      </c>
      <c r="K821">
        <f>E821/F821</f>
        <v>0.4</v>
      </c>
    </row>
    <row r="822" spans="1:11" ht="15" x14ac:dyDescent="0.35">
      <c r="A822">
        <f t="shared" si="24"/>
        <v>5</v>
      </c>
      <c r="B822">
        <f t="shared" si="25"/>
        <v>2.5</v>
      </c>
      <c r="C822" s="199" t="str">
        <f>B822&amp;LOOKUP(A822, Sheet2!$A$2:$A$11, Sheet2!$B$2:$B$11)</f>
        <v>2.5BG</v>
      </c>
      <c r="D822">
        <v>52.5</v>
      </c>
      <c r="E822">
        <v>4</v>
      </c>
      <c r="F822">
        <v>5</v>
      </c>
      <c r="G822">
        <v>0.30370000000000003</v>
      </c>
      <c r="H822">
        <v>0.52200000000000002</v>
      </c>
      <c r="I822">
        <v>0.47860000000000003</v>
      </c>
      <c r="J822" s="1" t="str">
        <f>HYPERLINK(SetRGB(J822,G822*255,H822*255,I822*255),"HOVER!")</f>
        <v>HOVER!</v>
      </c>
      <c r="K822">
        <f>E822/F822</f>
        <v>0.8</v>
      </c>
    </row>
    <row r="823" spans="1:11" ht="15" x14ac:dyDescent="0.35">
      <c r="A823">
        <f t="shared" si="24"/>
        <v>5</v>
      </c>
      <c r="B823">
        <f t="shared" si="25"/>
        <v>2.5</v>
      </c>
      <c r="C823" s="199" t="str">
        <f>B823&amp;LOOKUP(A823, Sheet2!$A$2:$A$11, Sheet2!$B$2:$B$11)</f>
        <v>2.5BG</v>
      </c>
      <c r="D823">
        <v>52.5</v>
      </c>
      <c r="E823">
        <v>6</v>
      </c>
      <c r="F823">
        <v>5</v>
      </c>
      <c r="G823">
        <v>0.16320000000000001</v>
      </c>
      <c r="H823">
        <v>0.53769999999999996</v>
      </c>
      <c r="I823">
        <v>0.47949999999999998</v>
      </c>
      <c r="J823" s="1" t="str">
        <f>HYPERLINK(SetRGB(J823,G823*255,H823*255,I823*255),"HOVER!")</f>
        <v>HOVER!</v>
      </c>
      <c r="K823">
        <f>E823/F823</f>
        <v>1.2</v>
      </c>
    </row>
    <row r="824" spans="1:11" ht="15" x14ac:dyDescent="0.35">
      <c r="A824">
        <f t="shared" si="24"/>
        <v>5</v>
      </c>
      <c r="B824">
        <f t="shared" si="25"/>
        <v>2.5</v>
      </c>
      <c r="C824" s="199" t="str">
        <f>B824&amp;LOOKUP(A824, Sheet2!$A$2:$A$11, Sheet2!$B$2:$B$11)</f>
        <v>2.5BG</v>
      </c>
      <c r="D824">
        <v>52.5</v>
      </c>
      <c r="E824">
        <v>2</v>
      </c>
      <c r="F824">
        <v>6</v>
      </c>
      <c r="G824">
        <v>0.49730000000000002</v>
      </c>
      <c r="H824">
        <v>0.6079</v>
      </c>
      <c r="I824">
        <v>0.57999999999999996</v>
      </c>
      <c r="J824" s="22" t="str">
        <f>HYPERLINK(SetRGB(J824,G824*255,H824*255,I824*255),"HOVER!")</f>
        <v>HOVER!</v>
      </c>
      <c r="K824">
        <f>E824/F824</f>
        <v>0.33333333333333331</v>
      </c>
    </row>
    <row r="825" spans="1:11" ht="15" x14ac:dyDescent="0.35">
      <c r="A825">
        <f t="shared" si="24"/>
        <v>5</v>
      </c>
      <c r="B825">
        <f t="shared" si="25"/>
        <v>2.5</v>
      </c>
      <c r="C825" s="199" t="str">
        <f>B825&amp;LOOKUP(A825, Sheet2!$A$2:$A$11, Sheet2!$B$2:$B$11)</f>
        <v>2.5BG</v>
      </c>
      <c r="D825">
        <v>52.5</v>
      </c>
      <c r="E825">
        <v>4</v>
      </c>
      <c r="F825">
        <v>6</v>
      </c>
      <c r="G825">
        <v>0.39360000000000001</v>
      </c>
      <c r="H825">
        <v>0.62880000000000003</v>
      </c>
      <c r="I825">
        <v>0.57709999999999995</v>
      </c>
      <c r="J825" s="21" t="str">
        <f>HYPERLINK(SetRGB(J825,G825*255,H825*255,I825*255),"HOVER!")</f>
        <v>HOVER!</v>
      </c>
      <c r="K825">
        <f>E825/F825</f>
        <v>0.66666666666666663</v>
      </c>
    </row>
    <row r="826" spans="1:11" ht="15" x14ac:dyDescent="0.35">
      <c r="A826">
        <f t="shared" si="24"/>
        <v>5</v>
      </c>
      <c r="B826">
        <f t="shared" si="25"/>
        <v>2.5</v>
      </c>
      <c r="C826" s="199" t="str">
        <f>B826&amp;LOOKUP(A826, Sheet2!$A$2:$A$11, Sheet2!$B$2:$B$11)</f>
        <v>2.5BG</v>
      </c>
      <c r="D826">
        <v>52.5</v>
      </c>
      <c r="E826">
        <v>6</v>
      </c>
      <c r="F826">
        <v>6</v>
      </c>
      <c r="G826">
        <v>0.27279999999999999</v>
      </c>
      <c r="H826">
        <v>0.64510000000000001</v>
      </c>
      <c r="I826">
        <v>0.57640000000000002</v>
      </c>
      <c r="J826" s="20" t="str">
        <f>HYPERLINK(SetRGB(J826,G826*255,H826*255,I826*255),"HOVER!")</f>
        <v>HOVER!</v>
      </c>
      <c r="K826">
        <f>E826/F826</f>
        <v>1</v>
      </c>
    </row>
    <row r="827" spans="1:11" ht="15" x14ac:dyDescent="0.35">
      <c r="A827">
        <f t="shared" si="24"/>
        <v>5</v>
      </c>
      <c r="B827">
        <f t="shared" si="25"/>
        <v>2.5</v>
      </c>
      <c r="C827" s="199" t="str">
        <f>B827&amp;LOOKUP(A827, Sheet2!$A$2:$A$11, Sheet2!$B$2:$B$11)</f>
        <v>2.5BG</v>
      </c>
      <c r="D827">
        <v>52.5</v>
      </c>
      <c r="E827">
        <v>2</v>
      </c>
      <c r="F827">
        <v>7</v>
      </c>
      <c r="G827">
        <v>0.59709999999999996</v>
      </c>
      <c r="H827">
        <v>0.71279999999999999</v>
      </c>
      <c r="I827">
        <v>0.68030000000000002</v>
      </c>
      <c r="J827" s="2" t="str">
        <f>HYPERLINK(SetRGB(J827,G827*255,H827*255,I827*255),"HOVER!")</f>
        <v>HOVER!</v>
      </c>
      <c r="K827">
        <f>E827/F827</f>
        <v>0.2857142857142857</v>
      </c>
    </row>
    <row r="828" spans="1:11" ht="15" x14ac:dyDescent="0.35">
      <c r="A828">
        <f t="shared" si="24"/>
        <v>5</v>
      </c>
      <c r="B828">
        <f t="shared" si="25"/>
        <v>2.5</v>
      </c>
      <c r="C828" s="199" t="str">
        <f>B828&amp;LOOKUP(A828, Sheet2!$A$2:$A$11, Sheet2!$B$2:$B$11)</f>
        <v>2.5BG</v>
      </c>
      <c r="D828">
        <v>52.5</v>
      </c>
      <c r="E828">
        <v>4</v>
      </c>
      <c r="F828">
        <v>7</v>
      </c>
      <c r="G828">
        <v>0.503</v>
      </c>
      <c r="H828">
        <v>0.73309999999999997</v>
      </c>
      <c r="I828">
        <v>0.67710000000000004</v>
      </c>
      <c r="J828" s="2" t="str">
        <f>HYPERLINK(SetRGB(J828,G828*255,H828*255,I828*255),"HOVER!")</f>
        <v>HOVER!</v>
      </c>
      <c r="K828">
        <f>E828/F828</f>
        <v>0.5714285714285714</v>
      </c>
    </row>
    <row r="829" spans="1:11" ht="15" x14ac:dyDescent="0.35">
      <c r="A829">
        <f t="shared" si="24"/>
        <v>5</v>
      </c>
      <c r="B829">
        <f t="shared" si="25"/>
        <v>2.5</v>
      </c>
      <c r="C829" s="199" t="str">
        <f>B829&amp;LOOKUP(A829, Sheet2!$A$2:$A$11, Sheet2!$B$2:$B$11)</f>
        <v>2.5BG</v>
      </c>
      <c r="D829">
        <v>52.5</v>
      </c>
      <c r="E829">
        <v>6</v>
      </c>
      <c r="F829">
        <v>7</v>
      </c>
      <c r="G829">
        <v>0.39319999999999999</v>
      </c>
      <c r="H829">
        <v>0.75070000000000003</v>
      </c>
      <c r="I829">
        <v>0.67520000000000002</v>
      </c>
      <c r="J829" s="2" t="str">
        <f>HYPERLINK(SetRGB(J829,G829*255,H829*255,I829*255),"HOVER!")</f>
        <v>HOVER!</v>
      </c>
      <c r="K829">
        <f>E829/F829</f>
        <v>0.8571428571428571</v>
      </c>
    </row>
    <row r="830" spans="1:11" ht="15" x14ac:dyDescent="0.35">
      <c r="A830">
        <f t="shared" si="24"/>
        <v>5</v>
      </c>
      <c r="B830">
        <f t="shared" si="25"/>
        <v>2.5</v>
      </c>
      <c r="C830" s="199" t="str">
        <f>B830&amp;LOOKUP(A830, Sheet2!$A$2:$A$11, Sheet2!$B$2:$B$11)</f>
        <v>2.5BG</v>
      </c>
      <c r="D830">
        <v>52.5</v>
      </c>
      <c r="E830">
        <v>8</v>
      </c>
      <c r="F830">
        <v>7</v>
      </c>
      <c r="G830">
        <v>0.2122</v>
      </c>
      <c r="H830">
        <v>0.7681</v>
      </c>
      <c r="I830">
        <v>0.67410000000000003</v>
      </c>
      <c r="J830" s="2" t="str">
        <f>HYPERLINK(SetRGB(J830,G830*255,H830*255,I830*255),"HOVER!")</f>
        <v>HOVER!</v>
      </c>
      <c r="K830">
        <f>E830/F830</f>
        <v>1.1428571428571428</v>
      </c>
    </row>
    <row r="831" spans="1:11" ht="15" x14ac:dyDescent="0.35">
      <c r="A831">
        <f t="shared" si="24"/>
        <v>5</v>
      </c>
      <c r="B831">
        <f t="shared" si="25"/>
        <v>2.5</v>
      </c>
      <c r="C831" s="199" t="str">
        <f>B831&amp;LOOKUP(A831, Sheet2!$A$2:$A$11, Sheet2!$B$2:$B$11)</f>
        <v>2.5BG</v>
      </c>
      <c r="D831">
        <v>52.5</v>
      </c>
      <c r="E831">
        <v>2</v>
      </c>
      <c r="F831">
        <v>8</v>
      </c>
      <c r="G831">
        <v>0.6956</v>
      </c>
      <c r="H831">
        <v>0.8196</v>
      </c>
      <c r="I831">
        <v>0.78290000000000004</v>
      </c>
      <c r="J831" s="2" t="str">
        <f>HYPERLINK(SetRGB(J831,G831*255,H831*255,I831*255),"HOVER!")</f>
        <v>HOVER!</v>
      </c>
      <c r="K831">
        <f>E831/F831</f>
        <v>0.25</v>
      </c>
    </row>
    <row r="832" spans="1:11" ht="15" x14ac:dyDescent="0.35">
      <c r="A832">
        <f t="shared" si="24"/>
        <v>5</v>
      </c>
      <c r="B832">
        <f t="shared" si="25"/>
        <v>2.5</v>
      </c>
      <c r="C832" s="199" t="str">
        <f>B832&amp;LOOKUP(A832, Sheet2!$A$2:$A$11, Sheet2!$B$2:$B$11)</f>
        <v>2.5BG</v>
      </c>
      <c r="D832">
        <v>52.5</v>
      </c>
      <c r="E832">
        <v>4</v>
      </c>
      <c r="F832">
        <v>8</v>
      </c>
      <c r="G832">
        <v>0.59799999999999998</v>
      </c>
      <c r="H832">
        <v>0.84130000000000005</v>
      </c>
      <c r="I832">
        <v>0.77829999999999999</v>
      </c>
      <c r="J832" s="2" t="str">
        <f>HYPERLINK(SetRGB(J832,G832*255,H832*255,I832*255),"HOVER!")</f>
        <v>HOVER!</v>
      </c>
      <c r="K832">
        <f>E832/F832</f>
        <v>0.5</v>
      </c>
    </row>
    <row r="833" spans="1:11" ht="15" x14ac:dyDescent="0.35">
      <c r="A833">
        <f t="shared" si="24"/>
        <v>5</v>
      </c>
      <c r="B833">
        <f t="shared" si="25"/>
        <v>2.5</v>
      </c>
      <c r="C833" s="199" t="str">
        <f>B833&amp;LOOKUP(A833, Sheet2!$A$2:$A$11, Sheet2!$B$2:$B$11)</f>
        <v>2.5BG</v>
      </c>
      <c r="D833">
        <v>52.5</v>
      </c>
      <c r="E833">
        <v>6</v>
      </c>
      <c r="F833">
        <v>8</v>
      </c>
      <c r="G833">
        <v>0.4859</v>
      </c>
      <c r="H833">
        <v>0.86050000000000004</v>
      </c>
      <c r="I833">
        <v>0.77459999999999996</v>
      </c>
      <c r="J833" s="2" t="str">
        <f>HYPERLINK(SetRGB(J833,G833*255,H833*255,I833*255),"HOVER!")</f>
        <v>HOVER!</v>
      </c>
      <c r="K833">
        <f>E833/F833</f>
        <v>0.75</v>
      </c>
    </row>
    <row r="834" spans="1:11" ht="15" x14ac:dyDescent="0.35">
      <c r="A834">
        <f t="shared" si="24"/>
        <v>5</v>
      </c>
      <c r="B834">
        <f t="shared" si="25"/>
        <v>2.5</v>
      </c>
      <c r="C834" s="199" t="str">
        <f>B834&amp;LOOKUP(A834, Sheet2!$A$2:$A$11, Sheet2!$B$2:$B$11)</f>
        <v>2.5BG</v>
      </c>
      <c r="D834">
        <v>52.5</v>
      </c>
      <c r="E834">
        <v>8</v>
      </c>
      <c r="F834">
        <v>8</v>
      </c>
      <c r="G834">
        <v>0.33360000000000001</v>
      </c>
      <c r="H834">
        <v>0.87829999999999997</v>
      </c>
      <c r="I834">
        <v>0.77290000000000003</v>
      </c>
      <c r="J834" s="2" t="str">
        <f>HYPERLINK(SetRGB(J834,G834*255,H834*255,I834*255),"HOVER!")</f>
        <v>HOVER!</v>
      </c>
      <c r="K834">
        <f>E834/F834</f>
        <v>1</v>
      </c>
    </row>
    <row r="835" spans="1:11" ht="15" x14ac:dyDescent="0.35">
      <c r="A835">
        <f t="shared" si="24"/>
        <v>5</v>
      </c>
      <c r="B835">
        <f t="shared" si="25"/>
        <v>2.5</v>
      </c>
      <c r="C835" s="199" t="str">
        <f>B835&amp;LOOKUP(A835, Sheet2!$A$2:$A$11, Sheet2!$B$2:$B$11)</f>
        <v>2.5BG</v>
      </c>
      <c r="D835">
        <v>52.5</v>
      </c>
      <c r="E835">
        <v>2</v>
      </c>
      <c r="F835">
        <v>9</v>
      </c>
      <c r="G835">
        <v>0.79459999999999997</v>
      </c>
      <c r="H835">
        <v>0.9294</v>
      </c>
      <c r="I835">
        <v>0.88839999999999997</v>
      </c>
      <c r="J835" s="2" t="str">
        <f>HYPERLINK(SetRGB(J835,G835*255,H835*255,I835*255),"HOVER!")</f>
        <v>HOVER!</v>
      </c>
      <c r="K835">
        <f>E835/F835</f>
        <v>0.22222222222222221</v>
      </c>
    </row>
    <row r="836" spans="1:11" ht="15" x14ac:dyDescent="0.35">
      <c r="A836">
        <f t="shared" si="24"/>
        <v>5</v>
      </c>
      <c r="B836">
        <f t="shared" si="25"/>
        <v>2.5</v>
      </c>
      <c r="C836" s="199" t="str">
        <f>B836&amp;LOOKUP(A836, Sheet2!$A$2:$A$11, Sheet2!$B$2:$B$11)</f>
        <v>2.5BG</v>
      </c>
      <c r="D836">
        <v>52.5</v>
      </c>
      <c r="E836">
        <v>4</v>
      </c>
      <c r="F836">
        <v>9</v>
      </c>
      <c r="G836">
        <v>0.69010000000000005</v>
      </c>
      <c r="H836">
        <v>0.95299999999999996</v>
      </c>
      <c r="I836">
        <v>0.88270000000000004</v>
      </c>
      <c r="J836" s="2" t="str">
        <f>HYPERLINK(SetRGB(J836,G836*255,H836*255,I836*255),"HOVER!")</f>
        <v>HOVER!</v>
      </c>
      <c r="K836">
        <f>E836/F836</f>
        <v>0.44444444444444442</v>
      </c>
    </row>
    <row r="837" spans="1:11" ht="15" x14ac:dyDescent="0.35">
      <c r="A837">
        <f t="shared" si="24"/>
        <v>5</v>
      </c>
      <c r="B837">
        <f t="shared" si="25"/>
        <v>2.5</v>
      </c>
      <c r="C837" s="199" t="str">
        <f>B837&amp;LOOKUP(A837, Sheet2!$A$2:$A$11, Sheet2!$B$2:$B$11)</f>
        <v>2.5BG</v>
      </c>
      <c r="D837">
        <v>52.5</v>
      </c>
      <c r="E837">
        <v>6</v>
      </c>
      <c r="F837">
        <v>9</v>
      </c>
      <c r="G837">
        <v>0.55720000000000003</v>
      </c>
      <c r="H837">
        <v>0.97609999999999997</v>
      </c>
      <c r="I837">
        <v>0.878</v>
      </c>
      <c r="J837" s="2" t="str">
        <f>HYPERLINK(SetRGB(J837,G837*255,H837*255,I837*255),"HOVER!")</f>
        <v>HOVER!</v>
      </c>
      <c r="K837">
        <f>E837/F837</f>
        <v>0.66666666666666663</v>
      </c>
    </row>
    <row r="838" spans="1:11" ht="15" x14ac:dyDescent="0.35">
      <c r="A838">
        <f t="shared" si="24"/>
        <v>5</v>
      </c>
      <c r="B838">
        <f t="shared" si="25"/>
        <v>2.5</v>
      </c>
      <c r="C838" s="199" t="str">
        <f>B838&amp;LOOKUP(A838, Sheet2!$A$2:$A$11, Sheet2!$B$2:$B$11)</f>
        <v>2.5BG</v>
      </c>
      <c r="D838">
        <v>52.5</v>
      </c>
      <c r="E838">
        <v>8</v>
      </c>
      <c r="F838">
        <v>9</v>
      </c>
      <c r="G838">
        <v>0.39100000000000001</v>
      </c>
      <c r="H838">
        <v>0.99580000000000002</v>
      </c>
      <c r="I838">
        <v>0.87490000000000001</v>
      </c>
      <c r="J838" s="2" t="str">
        <f>HYPERLINK(SetRGB(J838,G838*255,H838*255,I838*255),"HOVER!")</f>
        <v>HOVER!</v>
      </c>
      <c r="K838">
        <f>E838/F838</f>
        <v>0.88888888888888884</v>
      </c>
    </row>
    <row r="839" spans="1:11" ht="15" x14ac:dyDescent="0.35">
      <c r="A839">
        <f t="shared" si="24"/>
        <v>5</v>
      </c>
      <c r="B839">
        <f t="shared" si="25"/>
        <v>2.5</v>
      </c>
      <c r="C839" s="199" t="str">
        <f>B839&amp;LOOKUP(A839, Sheet2!$A$2:$A$11, Sheet2!$B$2:$B$11)</f>
        <v>2.5BG</v>
      </c>
      <c r="D839">
        <v>52.5</v>
      </c>
      <c r="E839">
        <v>10</v>
      </c>
      <c r="F839">
        <v>9</v>
      </c>
      <c r="G839">
        <v>5.9200000000000003E-2</v>
      </c>
      <c r="H839">
        <v>1</v>
      </c>
      <c r="I839">
        <v>0.87339999999999995</v>
      </c>
      <c r="J839" s="2" t="str">
        <f>HYPERLINK(SetRGB(J839,G839*255,H839*255,I839*255),"HOVER!")</f>
        <v>HOVER!</v>
      </c>
      <c r="K839">
        <f>E839/F839</f>
        <v>1.1111111111111112</v>
      </c>
    </row>
    <row r="840" spans="1:11" ht="15" x14ac:dyDescent="0.35">
      <c r="A840">
        <f t="shared" si="24"/>
        <v>5</v>
      </c>
      <c r="B840">
        <f t="shared" si="25"/>
        <v>5</v>
      </c>
      <c r="C840" s="199" t="str">
        <f>B840&amp;LOOKUP(A840, Sheet2!$A$2:$A$11, Sheet2!$B$2:$B$11)</f>
        <v>5BG</v>
      </c>
      <c r="D840">
        <v>55</v>
      </c>
      <c r="E840">
        <v>2</v>
      </c>
      <c r="F840">
        <v>1</v>
      </c>
      <c r="G840">
        <v>4.6300000000000001E-2</v>
      </c>
      <c r="H840">
        <v>0.12529999999999999</v>
      </c>
      <c r="I840">
        <v>0.12520000000000001</v>
      </c>
      <c r="J840" s="1" t="str">
        <f>HYPERLINK(SetRGB(J840,G840*255,H840*255,I840*255),"HOVER!")</f>
        <v>HOVER!</v>
      </c>
      <c r="K840">
        <f>E840/F840</f>
        <v>2</v>
      </c>
    </row>
    <row r="841" spans="1:11" ht="15" x14ac:dyDescent="0.35">
      <c r="A841">
        <f t="shared" si="24"/>
        <v>5</v>
      </c>
      <c r="B841">
        <f t="shared" si="25"/>
        <v>5</v>
      </c>
      <c r="C841" s="199" t="str">
        <f>B841&amp;LOOKUP(A841, Sheet2!$A$2:$A$11, Sheet2!$B$2:$B$11)</f>
        <v>5BG</v>
      </c>
      <c r="D841">
        <v>55</v>
      </c>
      <c r="E841">
        <v>2</v>
      </c>
      <c r="F841">
        <v>2</v>
      </c>
      <c r="G841">
        <v>0.13389999999999999</v>
      </c>
      <c r="H841">
        <v>0.2074</v>
      </c>
      <c r="I841">
        <v>0.20469999999999999</v>
      </c>
      <c r="J841" s="1" t="str">
        <f>HYPERLINK(SetRGB(J841,G841*255,H841*255,I841*255),"HOVER!")</f>
        <v>HOVER!</v>
      </c>
      <c r="K841">
        <f>E841/F841</f>
        <v>1</v>
      </c>
    </row>
    <row r="842" spans="1:11" ht="15" x14ac:dyDescent="0.35">
      <c r="A842">
        <f t="shared" si="24"/>
        <v>5</v>
      </c>
      <c r="B842">
        <f t="shared" si="25"/>
        <v>5</v>
      </c>
      <c r="C842" s="199" t="str">
        <f>B842&amp;LOOKUP(A842, Sheet2!$A$2:$A$11, Sheet2!$B$2:$B$11)</f>
        <v>5BG</v>
      </c>
      <c r="D842">
        <v>55</v>
      </c>
      <c r="E842">
        <v>2</v>
      </c>
      <c r="F842">
        <v>3</v>
      </c>
      <c r="G842">
        <v>0.21110000000000001</v>
      </c>
      <c r="H842">
        <v>0.30080000000000001</v>
      </c>
      <c r="I842">
        <v>0.29520000000000002</v>
      </c>
      <c r="J842" s="1" t="str">
        <f>HYPERLINK(SetRGB(J842,G842*255,H842*255,I842*255),"HOVER!")</f>
        <v>HOVER!</v>
      </c>
      <c r="K842">
        <f>E842/F842</f>
        <v>0.66666666666666663</v>
      </c>
    </row>
    <row r="843" spans="1:11" ht="15" x14ac:dyDescent="0.35">
      <c r="A843">
        <f t="shared" si="24"/>
        <v>5</v>
      </c>
      <c r="B843">
        <f t="shared" si="25"/>
        <v>5</v>
      </c>
      <c r="C843" s="199" t="str">
        <f>B843&amp;LOOKUP(A843, Sheet2!$A$2:$A$11, Sheet2!$B$2:$B$11)</f>
        <v>5BG</v>
      </c>
      <c r="D843">
        <v>55</v>
      </c>
      <c r="E843">
        <v>4</v>
      </c>
      <c r="F843">
        <v>3</v>
      </c>
      <c r="G843">
        <v>6.8599999999999994E-2</v>
      </c>
      <c r="H843">
        <v>0.31740000000000002</v>
      </c>
      <c r="I843">
        <v>0.3095</v>
      </c>
      <c r="J843" s="1" t="str">
        <f>HYPERLINK(SetRGB(J843,G843*255,H843*255,I843*255),"HOVER!")</f>
        <v>HOVER!</v>
      </c>
      <c r="K843">
        <f>E843/F843</f>
        <v>1.3333333333333333</v>
      </c>
    </row>
    <row r="844" spans="1:11" ht="15" x14ac:dyDescent="0.35">
      <c r="A844">
        <f t="shared" si="24"/>
        <v>5</v>
      </c>
      <c r="B844">
        <f t="shared" si="25"/>
        <v>5</v>
      </c>
      <c r="C844" s="199" t="str">
        <f>B844&amp;LOOKUP(A844, Sheet2!$A$2:$A$11, Sheet2!$B$2:$B$11)</f>
        <v>5BG</v>
      </c>
      <c r="D844">
        <v>55</v>
      </c>
      <c r="E844">
        <v>2</v>
      </c>
      <c r="F844">
        <v>4</v>
      </c>
      <c r="G844">
        <v>0.30180000000000001</v>
      </c>
      <c r="H844">
        <v>0.40029999999999999</v>
      </c>
      <c r="I844">
        <v>0.39079999999999998</v>
      </c>
      <c r="J844" s="1" t="str">
        <f>HYPERLINK(SetRGB(J844,G844*255,H844*255,I844*255),"HOVER!")</f>
        <v>HOVER!</v>
      </c>
      <c r="K844">
        <f>E844/F844</f>
        <v>0.5</v>
      </c>
    </row>
    <row r="845" spans="1:11" ht="15" x14ac:dyDescent="0.35">
      <c r="A845">
        <f t="shared" si="24"/>
        <v>5</v>
      </c>
      <c r="B845">
        <f t="shared" si="25"/>
        <v>5</v>
      </c>
      <c r="C845" s="199" t="str">
        <f>B845&amp;LOOKUP(A845, Sheet2!$A$2:$A$11, Sheet2!$B$2:$B$11)</f>
        <v>5BG</v>
      </c>
      <c r="D845">
        <v>55</v>
      </c>
      <c r="E845">
        <v>4</v>
      </c>
      <c r="F845">
        <v>4</v>
      </c>
      <c r="G845">
        <v>0.1837</v>
      </c>
      <c r="H845">
        <v>0.41810000000000003</v>
      </c>
      <c r="I845">
        <v>0.40350000000000003</v>
      </c>
      <c r="J845" s="1" t="str">
        <f>HYPERLINK(SetRGB(J845,G845*255,H845*255,I845*255),"HOVER!")</f>
        <v>HOVER!</v>
      </c>
      <c r="K845">
        <f>E845/F845</f>
        <v>1</v>
      </c>
    </row>
    <row r="846" spans="1:11" ht="15" x14ac:dyDescent="0.35">
      <c r="A846">
        <f t="shared" ref="A846:A909" si="26">IF(FLOOR(D846/10,1)=0,10,FLOOR(D846/10,1))</f>
        <v>5</v>
      </c>
      <c r="B846">
        <f t="shared" ref="B846:B909" si="27">IF(MOD(D846,10)=0,10,MOD(D846,10))</f>
        <v>5</v>
      </c>
      <c r="C846" s="199" t="str">
        <f>B846&amp;LOOKUP(A846, Sheet2!$A$2:$A$11, Sheet2!$B$2:$B$11)</f>
        <v>5BG</v>
      </c>
      <c r="D846">
        <v>55</v>
      </c>
      <c r="E846">
        <v>2</v>
      </c>
      <c r="F846">
        <v>5</v>
      </c>
      <c r="G846">
        <v>0.3982</v>
      </c>
      <c r="H846">
        <v>0.50290000000000001</v>
      </c>
      <c r="I846">
        <v>0.4909</v>
      </c>
      <c r="J846" s="1" t="str">
        <f>HYPERLINK(SetRGB(J846,G846*255,H846*255,I846*255),"HOVER!")</f>
        <v>HOVER!</v>
      </c>
      <c r="K846">
        <f>E846/F846</f>
        <v>0.4</v>
      </c>
    </row>
    <row r="847" spans="1:11" ht="15" x14ac:dyDescent="0.35">
      <c r="A847">
        <f t="shared" si="26"/>
        <v>5</v>
      </c>
      <c r="B847">
        <f t="shared" si="27"/>
        <v>5</v>
      </c>
      <c r="C847" s="199" t="str">
        <f>B847&amp;LOOKUP(A847, Sheet2!$A$2:$A$11, Sheet2!$B$2:$B$11)</f>
        <v>5BG</v>
      </c>
      <c r="D847">
        <v>55</v>
      </c>
      <c r="E847">
        <v>4</v>
      </c>
      <c r="F847">
        <v>5</v>
      </c>
      <c r="G847">
        <v>0.2949</v>
      </c>
      <c r="H847">
        <v>0.52110000000000001</v>
      </c>
      <c r="I847">
        <v>0.50080000000000002</v>
      </c>
      <c r="J847" s="1" t="str">
        <f>HYPERLINK(SetRGB(J847,G847*255,H847*255,I847*255),"HOVER!")</f>
        <v>HOVER!</v>
      </c>
      <c r="K847">
        <f>E847/F847</f>
        <v>0.8</v>
      </c>
    </row>
    <row r="848" spans="1:11" ht="15" x14ac:dyDescent="0.35">
      <c r="A848">
        <f t="shared" si="26"/>
        <v>5</v>
      </c>
      <c r="B848">
        <f t="shared" si="27"/>
        <v>5</v>
      </c>
      <c r="C848" s="199" t="str">
        <f>B848&amp;LOOKUP(A848, Sheet2!$A$2:$A$11, Sheet2!$B$2:$B$11)</f>
        <v>5BG</v>
      </c>
      <c r="D848">
        <v>55</v>
      </c>
      <c r="E848">
        <v>6</v>
      </c>
      <c r="F848">
        <v>5</v>
      </c>
      <c r="G848">
        <v>0.13489999999999999</v>
      </c>
      <c r="H848">
        <v>0.53649999999999998</v>
      </c>
      <c r="I848">
        <v>0.51100000000000001</v>
      </c>
      <c r="J848" s="1" t="str">
        <f>HYPERLINK(SetRGB(J848,G848*255,H848*255,I848*255),"HOVER!")</f>
        <v>HOVER!</v>
      </c>
      <c r="K848">
        <f>E848/F848</f>
        <v>1.2</v>
      </c>
    </row>
    <row r="849" spans="1:11" ht="15" x14ac:dyDescent="0.35">
      <c r="A849">
        <f t="shared" si="26"/>
        <v>5</v>
      </c>
      <c r="B849">
        <f t="shared" si="27"/>
        <v>5</v>
      </c>
      <c r="C849" s="199" t="str">
        <f>B849&amp;LOOKUP(A849, Sheet2!$A$2:$A$11, Sheet2!$B$2:$B$11)</f>
        <v>5BG</v>
      </c>
      <c r="D849">
        <v>55</v>
      </c>
      <c r="E849">
        <v>2</v>
      </c>
      <c r="F849">
        <v>6</v>
      </c>
      <c r="G849">
        <v>0.49490000000000001</v>
      </c>
      <c r="H849">
        <v>0.60729999999999995</v>
      </c>
      <c r="I849">
        <v>0.59099999999999997</v>
      </c>
      <c r="J849" s="19" t="str">
        <f>HYPERLINK(SetRGB(J849,G849*255,H849*255,I849*255),"HOVER!")</f>
        <v>HOVER!</v>
      </c>
      <c r="K849">
        <f>E849/F849</f>
        <v>0.33333333333333331</v>
      </c>
    </row>
    <row r="850" spans="1:11" ht="15" x14ac:dyDescent="0.35">
      <c r="A850">
        <f t="shared" si="26"/>
        <v>5</v>
      </c>
      <c r="B850">
        <f t="shared" si="27"/>
        <v>5</v>
      </c>
      <c r="C850" s="199" t="str">
        <f>B850&amp;LOOKUP(A850, Sheet2!$A$2:$A$11, Sheet2!$B$2:$B$11)</f>
        <v>5BG</v>
      </c>
      <c r="D850">
        <v>55</v>
      </c>
      <c r="E850">
        <v>4</v>
      </c>
      <c r="F850">
        <v>6</v>
      </c>
      <c r="G850">
        <v>0.38850000000000001</v>
      </c>
      <c r="H850">
        <v>0.62729999999999997</v>
      </c>
      <c r="I850">
        <v>0.5998</v>
      </c>
      <c r="J850" s="18" t="str">
        <f>HYPERLINK(SetRGB(J850,G850*255,H850*255,I850*255),"HOVER!")</f>
        <v>HOVER!</v>
      </c>
      <c r="K850">
        <f>E850/F850</f>
        <v>0.66666666666666663</v>
      </c>
    </row>
    <row r="851" spans="1:11" ht="15" x14ac:dyDescent="0.35">
      <c r="A851">
        <f t="shared" si="26"/>
        <v>5</v>
      </c>
      <c r="B851">
        <f t="shared" si="27"/>
        <v>5</v>
      </c>
      <c r="C851" s="199" t="str">
        <f>B851&amp;LOOKUP(A851, Sheet2!$A$2:$A$11, Sheet2!$B$2:$B$11)</f>
        <v>5BG</v>
      </c>
      <c r="D851">
        <v>55</v>
      </c>
      <c r="E851">
        <v>6</v>
      </c>
      <c r="F851">
        <v>6</v>
      </c>
      <c r="G851">
        <v>0.24859999999999999</v>
      </c>
      <c r="H851">
        <v>0.64419999999999999</v>
      </c>
      <c r="I851">
        <v>0.60970000000000002</v>
      </c>
      <c r="J851" s="17" t="str">
        <f>HYPERLINK(SetRGB(J851,G851*255,H851*255,I851*255),"HOVER!")</f>
        <v>HOVER!</v>
      </c>
      <c r="K851">
        <f>E851/F851</f>
        <v>1</v>
      </c>
    </row>
    <row r="852" spans="1:11" ht="15" x14ac:dyDescent="0.35">
      <c r="A852">
        <f t="shared" si="26"/>
        <v>5</v>
      </c>
      <c r="B852">
        <f t="shared" si="27"/>
        <v>5</v>
      </c>
      <c r="C852" s="199" t="str">
        <f>B852&amp;LOOKUP(A852, Sheet2!$A$2:$A$11, Sheet2!$B$2:$B$11)</f>
        <v>5BG</v>
      </c>
      <c r="D852">
        <v>55</v>
      </c>
      <c r="E852">
        <v>2</v>
      </c>
      <c r="F852">
        <v>7</v>
      </c>
      <c r="G852">
        <v>0.59399999999999997</v>
      </c>
      <c r="H852">
        <v>0.71240000000000003</v>
      </c>
      <c r="I852">
        <v>0.69199999999999995</v>
      </c>
      <c r="J852" s="2" t="str">
        <f>HYPERLINK(SetRGB(J852,G852*255,H852*255,I852*255),"HOVER!")</f>
        <v>HOVER!</v>
      </c>
      <c r="K852">
        <f>E852/F852</f>
        <v>0.2857142857142857</v>
      </c>
    </row>
    <row r="853" spans="1:11" ht="15" x14ac:dyDescent="0.35">
      <c r="A853">
        <f t="shared" si="26"/>
        <v>5</v>
      </c>
      <c r="B853">
        <f t="shared" si="27"/>
        <v>5</v>
      </c>
      <c r="C853" s="199" t="str">
        <f>B853&amp;LOOKUP(A853, Sheet2!$A$2:$A$11, Sheet2!$B$2:$B$11)</f>
        <v>5BG</v>
      </c>
      <c r="D853">
        <v>55</v>
      </c>
      <c r="E853">
        <v>4</v>
      </c>
      <c r="F853">
        <v>7</v>
      </c>
      <c r="G853">
        <v>0.49480000000000002</v>
      </c>
      <c r="H853">
        <v>0.73240000000000005</v>
      </c>
      <c r="I853">
        <v>0.69889999999999997</v>
      </c>
      <c r="J853" s="2" t="str">
        <f>HYPERLINK(SetRGB(J853,G853*255,H853*255,I853*255),"HOVER!")</f>
        <v>HOVER!</v>
      </c>
      <c r="K853">
        <f>E853/F853</f>
        <v>0.5714285714285714</v>
      </c>
    </row>
    <row r="854" spans="1:11" ht="15" x14ac:dyDescent="0.35">
      <c r="A854">
        <f t="shared" si="26"/>
        <v>5</v>
      </c>
      <c r="B854">
        <f t="shared" si="27"/>
        <v>5</v>
      </c>
      <c r="C854" s="199" t="str">
        <f>B854&amp;LOOKUP(A854, Sheet2!$A$2:$A$11, Sheet2!$B$2:$B$11)</f>
        <v>5BG</v>
      </c>
      <c r="D854">
        <v>55</v>
      </c>
      <c r="E854">
        <v>6</v>
      </c>
      <c r="F854">
        <v>7</v>
      </c>
      <c r="G854">
        <v>0.38090000000000002</v>
      </c>
      <c r="H854">
        <v>0.74919999999999998</v>
      </c>
      <c r="I854">
        <v>0.70630000000000004</v>
      </c>
      <c r="J854" s="2" t="str">
        <f>HYPERLINK(SetRGB(J854,G854*255,H854*255,I854*255),"HOVER!")</f>
        <v>HOVER!</v>
      </c>
      <c r="K854">
        <f>E854/F854</f>
        <v>0.8571428571428571</v>
      </c>
    </row>
    <row r="855" spans="1:11" ht="15" x14ac:dyDescent="0.35">
      <c r="A855">
        <f t="shared" si="26"/>
        <v>5</v>
      </c>
      <c r="B855">
        <f t="shared" si="27"/>
        <v>5</v>
      </c>
      <c r="C855" s="199" t="str">
        <f>B855&amp;LOOKUP(A855, Sheet2!$A$2:$A$11, Sheet2!$B$2:$B$11)</f>
        <v>5BG</v>
      </c>
      <c r="D855">
        <v>55</v>
      </c>
      <c r="E855">
        <v>8</v>
      </c>
      <c r="F855">
        <v>7</v>
      </c>
      <c r="G855">
        <v>0.16270000000000001</v>
      </c>
      <c r="H855">
        <v>0.76680000000000004</v>
      </c>
      <c r="I855">
        <v>0.71509999999999996</v>
      </c>
      <c r="J855" s="2" t="str">
        <f>HYPERLINK(SetRGB(J855,G855*255,H855*255,I855*255),"HOVER!")</f>
        <v>HOVER!</v>
      </c>
      <c r="K855">
        <f>E855/F855</f>
        <v>1.1428571428571428</v>
      </c>
    </row>
    <row r="856" spans="1:11" ht="15" x14ac:dyDescent="0.35">
      <c r="A856">
        <f t="shared" si="26"/>
        <v>5</v>
      </c>
      <c r="B856">
        <f t="shared" si="27"/>
        <v>5</v>
      </c>
      <c r="C856" s="199" t="str">
        <f>B856&amp;LOOKUP(A856, Sheet2!$A$2:$A$11, Sheet2!$B$2:$B$11)</f>
        <v>5BG</v>
      </c>
      <c r="D856">
        <v>55</v>
      </c>
      <c r="E856">
        <v>2</v>
      </c>
      <c r="F856">
        <v>8</v>
      </c>
      <c r="G856">
        <v>0.69510000000000005</v>
      </c>
      <c r="H856">
        <v>0.81859999999999999</v>
      </c>
      <c r="I856">
        <v>0.79449999999999998</v>
      </c>
      <c r="J856" s="2" t="str">
        <f>HYPERLINK(SetRGB(J856,G856*255,H856*255,I856*255),"HOVER!")</f>
        <v>HOVER!</v>
      </c>
      <c r="K856">
        <f>E856/F856</f>
        <v>0.25</v>
      </c>
    </row>
    <row r="857" spans="1:11" ht="15" x14ac:dyDescent="0.35">
      <c r="A857">
        <f t="shared" si="26"/>
        <v>5</v>
      </c>
      <c r="B857">
        <f t="shared" si="27"/>
        <v>5</v>
      </c>
      <c r="C857" s="199" t="str">
        <f>B857&amp;LOOKUP(A857, Sheet2!$A$2:$A$11, Sheet2!$B$2:$B$11)</f>
        <v>5BG</v>
      </c>
      <c r="D857">
        <v>55</v>
      </c>
      <c r="E857">
        <v>4</v>
      </c>
      <c r="F857">
        <v>8</v>
      </c>
      <c r="G857">
        <v>0.59399999999999997</v>
      </c>
      <c r="H857">
        <v>0.84</v>
      </c>
      <c r="I857">
        <v>0.79920000000000002</v>
      </c>
      <c r="J857" s="2" t="str">
        <f>HYPERLINK(SetRGB(J857,G857*255,H857*255,I857*255),"HOVER!")</f>
        <v>HOVER!</v>
      </c>
      <c r="K857">
        <f>E857/F857</f>
        <v>0.5</v>
      </c>
    </row>
    <row r="858" spans="1:11" ht="15" x14ac:dyDescent="0.35">
      <c r="A858">
        <f t="shared" si="26"/>
        <v>5</v>
      </c>
      <c r="B858">
        <f t="shared" si="27"/>
        <v>5</v>
      </c>
      <c r="C858" s="199" t="str">
        <f>B858&amp;LOOKUP(A858, Sheet2!$A$2:$A$11, Sheet2!$B$2:$B$11)</f>
        <v>5BG</v>
      </c>
      <c r="D858">
        <v>55</v>
      </c>
      <c r="E858">
        <v>6</v>
      </c>
      <c r="F858">
        <v>8</v>
      </c>
      <c r="G858">
        <v>0.4738</v>
      </c>
      <c r="H858">
        <v>0.85919999999999996</v>
      </c>
      <c r="I858">
        <v>0.80569999999999997</v>
      </c>
      <c r="J858" s="2" t="str">
        <f>HYPERLINK(SetRGB(J858,G858*255,H858*255,I858*255),"HOVER!")</f>
        <v>HOVER!</v>
      </c>
      <c r="K858">
        <f>E858/F858</f>
        <v>0.75</v>
      </c>
    </row>
    <row r="859" spans="1:11" ht="15" x14ac:dyDescent="0.35">
      <c r="A859">
        <f t="shared" si="26"/>
        <v>5</v>
      </c>
      <c r="B859">
        <f t="shared" si="27"/>
        <v>5</v>
      </c>
      <c r="C859" s="199" t="str">
        <f>B859&amp;LOOKUP(A859, Sheet2!$A$2:$A$11, Sheet2!$B$2:$B$11)</f>
        <v>5BG</v>
      </c>
      <c r="D859">
        <v>55</v>
      </c>
      <c r="E859">
        <v>8</v>
      </c>
      <c r="F859">
        <v>8</v>
      </c>
      <c r="G859">
        <v>0.2944</v>
      </c>
      <c r="H859">
        <v>0.87749999999999995</v>
      </c>
      <c r="I859">
        <v>0.81379999999999997</v>
      </c>
      <c r="J859" s="2" t="str">
        <f>HYPERLINK(SetRGB(J859,G859*255,H859*255,I859*255),"HOVER!")</f>
        <v>HOVER!</v>
      </c>
      <c r="K859">
        <f>E859/F859</f>
        <v>1</v>
      </c>
    </row>
    <row r="860" spans="1:11" ht="15" x14ac:dyDescent="0.35">
      <c r="A860">
        <f t="shared" si="26"/>
        <v>5</v>
      </c>
      <c r="B860">
        <f t="shared" si="27"/>
        <v>5</v>
      </c>
      <c r="C860" s="199" t="str">
        <f>B860&amp;LOOKUP(A860, Sheet2!$A$2:$A$11, Sheet2!$B$2:$B$11)</f>
        <v>5BG</v>
      </c>
      <c r="D860">
        <v>55</v>
      </c>
      <c r="E860">
        <v>2</v>
      </c>
      <c r="F860">
        <v>9</v>
      </c>
      <c r="G860">
        <v>0.79490000000000005</v>
      </c>
      <c r="H860">
        <v>0.92810000000000004</v>
      </c>
      <c r="I860">
        <v>0.89970000000000006</v>
      </c>
      <c r="J860" s="2" t="str">
        <f>HYPERLINK(SetRGB(J860,G860*255,H860*255,I860*255),"HOVER!")</f>
        <v>HOVER!</v>
      </c>
      <c r="K860">
        <f>E860/F860</f>
        <v>0.22222222222222221</v>
      </c>
    </row>
    <row r="861" spans="1:11" ht="15" x14ac:dyDescent="0.35">
      <c r="A861">
        <f t="shared" si="26"/>
        <v>5</v>
      </c>
      <c r="B861">
        <f t="shared" si="27"/>
        <v>5</v>
      </c>
      <c r="C861" s="199" t="str">
        <f>B861&amp;LOOKUP(A861, Sheet2!$A$2:$A$11, Sheet2!$B$2:$B$11)</f>
        <v>5BG</v>
      </c>
      <c r="D861">
        <v>55</v>
      </c>
      <c r="E861">
        <v>4</v>
      </c>
      <c r="F861">
        <v>9</v>
      </c>
      <c r="G861">
        <v>0.68400000000000005</v>
      </c>
      <c r="H861">
        <v>0.95209999999999995</v>
      </c>
      <c r="I861">
        <v>0.90310000000000001</v>
      </c>
      <c r="J861" s="2" t="str">
        <f>HYPERLINK(SetRGB(J861,G861*255,H861*255,I861*255),"HOVER!")</f>
        <v>HOVER!</v>
      </c>
      <c r="K861">
        <f>E861/F861</f>
        <v>0.44444444444444442</v>
      </c>
    </row>
    <row r="862" spans="1:11" ht="15" x14ac:dyDescent="0.35">
      <c r="A862">
        <f t="shared" si="26"/>
        <v>5</v>
      </c>
      <c r="B862">
        <f t="shared" si="27"/>
        <v>5</v>
      </c>
      <c r="C862" s="199" t="str">
        <f>B862&amp;LOOKUP(A862, Sheet2!$A$2:$A$11, Sheet2!$B$2:$B$11)</f>
        <v>5BG</v>
      </c>
      <c r="D862">
        <v>55</v>
      </c>
      <c r="E862">
        <v>6</v>
      </c>
      <c r="F862">
        <v>9</v>
      </c>
      <c r="G862">
        <v>0.54359999999999997</v>
      </c>
      <c r="H862">
        <v>0.97509999999999997</v>
      </c>
      <c r="I862">
        <v>0.90820000000000001</v>
      </c>
      <c r="J862" s="2" t="str">
        <f>HYPERLINK(SetRGB(J862,G862*255,H862*255,I862*255),"HOVER!")</f>
        <v>HOVER!</v>
      </c>
      <c r="K862">
        <f>E862/F862</f>
        <v>0.66666666666666663</v>
      </c>
    </row>
    <row r="863" spans="1:11" ht="15" x14ac:dyDescent="0.35">
      <c r="A863">
        <f t="shared" si="26"/>
        <v>5</v>
      </c>
      <c r="B863">
        <f t="shared" si="27"/>
        <v>5</v>
      </c>
      <c r="C863" s="199" t="str">
        <f>B863&amp;LOOKUP(A863, Sheet2!$A$2:$A$11, Sheet2!$B$2:$B$11)</f>
        <v>5BG</v>
      </c>
      <c r="D863">
        <v>55</v>
      </c>
      <c r="E863">
        <v>8</v>
      </c>
      <c r="F863">
        <v>9</v>
      </c>
      <c r="G863">
        <v>0.35270000000000001</v>
      </c>
      <c r="H863">
        <v>0.99529999999999996</v>
      </c>
      <c r="I863">
        <v>0.91520000000000001</v>
      </c>
      <c r="J863" s="2" t="str">
        <f>HYPERLINK(SetRGB(J863,G863*255,H863*255,I863*255),"HOVER!")</f>
        <v>HOVER!</v>
      </c>
      <c r="K863">
        <f>E863/F863</f>
        <v>0.88888888888888884</v>
      </c>
    </row>
    <row r="864" spans="1:11" ht="15" x14ac:dyDescent="0.35">
      <c r="A864">
        <f t="shared" si="26"/>
        <v>5</v>
      </c>
      <c r="B864">
        <f t="shared" si="27"/>
        <v>7.5</v>
      </c>
      <c r="C864" s="199" t="str">
        <f>B864&amp;LOOKUP(A864, Sheet2!$A$2:$A$11, Sheet2!$B$2:$B$11)</f>
        <v>7.5BG</v>
      </c>
      <c r="D864">
        <v>57.5</v>
      </c>
      <c r="E864">
        <v>2</v>
      </c>
      <c r="F864">
        <v>1</v>
      </c>
      <c r="G864">
        <v>4.1599999999999998E-2</v>
      </c>
      <c r="H864">
        <v>0.12509999999999999</v>
      </c>
      <c r="I864">
        <v>0.13220000000000001</v>
      </c>
      <c r="J864" s="1" t="str">
        <f>HYPERLINK(SetRGB(J864,G864*255,H864*255,I864*255),"HOVER!")</f>
        <v>HOVER!</v>
      </c>
      <c r="K864">
        <f>E864/F864</f>
        <v>2</v>
      </c>
    </row>
    <row r="865" spans="1:11" ht="15" x14ac:dyDescent="0.35">
      <c r="A865">
        <f t="shared" si="26"/>
        <v>5</v>
      </c>
      <c r="B865">
        <f t="shared" si="27"/>
        <v>7.5</v>
      </c>
      <c r="C865" s="199" t="str">
        <f>B865&amp;LOOKUP(A865, Sheet2!$A$2:$A$11, Sheet2!$B$2:$B$11)</f>
        <v>7.5BG</v>
      </c>
      <c r="D865">
        <v>57.5</v>
      </c>
      <c r="E865">
        <v>2</v>
      </c>
      <c r="F865">
        <v>2</v>
      </c>
      <c r="G865">
        <v>0.13159999999999999</v>
      </c>
      <c r="H865">
        <v>0.20710000000000001</v>
      </c>
      <c r="I865">
        <v>0.21149999999999999</v>
      </c>
      <c r="J865" s="1" t="str">
        <f>HYPERLINK(SetRGB(J865,G865*255,H865*255,I865*255),"HOVER!")</f>
        <v>HOVER!</v>
      </c>
      <c r="K865">
        <f>E865/F865</f>
        <v>1</v>
      </c>
    </row>
    <row r="866" spans="1:11" ht="15" x14ac:dyDescent="0.35">
      <c r="A866">
        <f t="shared" si="26"/>
        <v>5</v>
      </c>
      <c r="B866">
        <f t="shared" si="27"/>
        <v>7.5</v>
      </c>
      <c r="C866" s="199" t="str">
        <f>B866&amp;LOOKUP(A866, Sheet2!$A$2:$A$11, Sheet2!$B$2:$B$11)</f>
        <v>7.5BG</v>
      </c>
      <c r="D866">
        <v>57.5</v>
      </c>
      <c r="E866">
        <v>2</v>
      </c>
      <c r="F866">
        <v>3</v>
      </c>
      <c r="G866">
        <v>0.20849999999999999</v>
      </c>
      <c r="H866">
        <v>0.3004</v>
      </c>
      <c r="I866">
        <v>0.30380000000000001</v>
      </c>
      <c r="J866" s="1" t="str">
        <f>HYPERLINK(SetRGB(J866,G866*255,H866*255,I866*255),"HOVER!")</f>
        <v>HOVER!</v>
      </c>
      <c r="K866">
        <f>E866/F866</f>
        <v>0.66666666666666663</v>
      </c>
    </row>
    <row r="867" spans="1:11" ht="15" x14ac:dyDescent="0.35">
      <c r="A867">
        <f t="shared" si="26"/>
        <v>5</v>
      </c>
      <c r="B867">
        <f t="shared" si="27"/>
        <v>7.5</v>
      </c>
      <c r="C867" s="199" t="str">
        <f>B867&amp;LOOKUP(A867, Sheet2!$A$2:$A$11, Sheet2!$B$2:$B$11)</f>
        <v>7.5BG</v>
      </c>
      <c r="D867">
        <v>57.5</v>
      </c>
      <c r="E867">
        <v>4</v>
      </c>
      <c r="F867">
        <v>3</v>
      </c>
      <c r="G867">
        <v>5.28E-2</v>
      </c>
      <c r="H867">
        <v>0.31640000000000001</v>
      </c>
      <c r="I867">
        <v>0.32740000000000002</v>
      </c>
      <c r="J867" s="1" t="str">
        <f>HYPERLINK(SetRGB(J867,G867*255,H867*255,I867*255),"HOVER!")</f>
        <v>HOVER!</v>
      </c>
      <c r="K867">
        <f>E867/F867</f>
        <v>1.3333333333333333</v>
      </c>
    </row>
    <row r="868" spans="1:11" ht="15" x14ac:dyDescent="0.35">
      <c r="A868">
        <f t="shared" si="26"/>
        <v>5</v>
      </c>
      <c r="B868">
        <f t="shared" si="27"/>
        <v>7.5</v>
      </c>
      <c r="C868" s="199" t="str">
        <f>B868&amp;LOOKUP(A868, Sheet2!$A$2:$A$11, Sheet2!$B$2:$B$11)</f>
        <v>7.5BG</v>
      </c>
      <c r="D868">
        <v>57.5</v>
      </c>
      <c r="E868">
        <v>2</v>
      </c>
      <c r="F868">
        <v>4</v>
      </c>
      <c r="G868">
        <v>0.29970000000000002</v>
      </c>
      <c r="H868">
        <v>0.39979999999999999</v>
      </c>
      <c r="I868">
        <v>0.39989999999999998</v>
      </c>
      <c r="J868" s="1" t="str">
        <f>HYPERLINK(SetRGB(J868,G868*255,H868*255,I868*255),"HOVER!")</f>
        <v>HOVER!</v>
      </c>
      <c r="K868">
        <f>E868/F868</f>
        <v>0.5</v>
      </c>
    </row>
    <row r="869" spans="1:11" ht="15" x14ac:dyDescent="0.35">
      <c r="A869">
        <f t="shared" si="26"/>
        <v>5</v>
      </c>
      <c r="B869">
        <f t="shared" si="27"/>
        <v>7.5</v>
      </c>
      <c r="C869" s="199" t="str">
        <f>B869&amp;LOOKUP(A869, Sheet2!$A$2:$A$11, Sheet2!$B$2:$B$11)</f>
        <v>7.5BG</v>
      </c>
      <c r="D869">
        <v>57.5</v>
      </c>
      <c r="E869">
        <v>4</v>
      </c>
      <c r="F869">
        <v>4</v>
      </c>
      <c r="G869">
        <v>0.1804</v>
      </c>
      <c r="H869">
        <v>0.41660000000000003</v>
      </c>
      <c r="I869">
        <v>0.42120000000000002</v>
      </c>
      <c r="J869" s="1" t="str">
        <f>HYPERLINK(SetRGB(J869,G869*255,H869*255,I869*255),"HOVER!")</f>
        <v>HOVER!</v>
      </c>
      <c r="K869">
        <f>E869/F869</f>
        <v>1</v>
      </c>
    </row>
    <row r="870" spans="1:11" ht="15" x14ac:dyDescent="0.35">
      <c r="A870">
        <f t="shared" si="26"/>
        <v>5</v>
      </c>
      <c r="B870">
        <f t="shared" si="27"/>
        <v>7.5</v>
      </c>
      <c r="C870" s="199" t="str">
        <f>B870&amp;LOOKUP(A870, Sheet2!$A$2:$A$11, Sheet2!$B$2:$B$11)</f>
        <v>7.5BG</v>
      </c>
      <c r="D870">
        <v>57.5</v>
      </c>
      <c r="E870">
        <v>2</v>
      </c>
      <c r="F870">
        <v>5</v>
      </c>
      <c r="G870">
        <v>0.3962</v>
      </c>
      <c r="H870">
        <v>0.50229999999999997</v>
      </c>
      <c r="I870">
        <v>0.50019999999999998</v>
      </c>
      <c r="J870" s="1" t="str">
        <f>HYPERLINK(SetRGB(J870,G870*255,H870*255,I870*255),"HOVER!")</f>
        <v>HOVER!</v>
      </c>
      <c r="K870">
        <f>E870/F870</f>
        <v>0.4</v>
      </c>
    </row>
    <row r="871" spans="1:11" ht="15" x14ac:dyDescent="0.35">
      <c r="A871">
        <f t="shared" si="26"/>
        <v>5</v>
      </c>
      <c r="B871">
        <f t="shared" si="27"/>
        <v>7.5</v>
      </c>
      <c r="C871" s="199" t="str">
        <f>B871&amp;LOOKUP(A871, Sheet2!$A$2:$A$11, Sheet2!$B$2:$B$11)</f>
        <v>7.5BG</v>
      </c>
      <c r="D871">
        <v>57.5</v>
      </c>
      <c r="E871">
        <v>4</v>
      </c>
      <c r="F871">
        <v>5</v>
      </c>
      <c r="G871">
        <v>0.29320000000000002</v>
      </c>
      <c r="H871">
        <v>0.51949999999999996</v>
      </c>
      <c r="I871">
        <v>0.51780000000000004</v>
      </c>
      <c r="J871" s="1" t="str">
        <f>HYPERLINK(SetRGB(J871,G871*255,H871*255,I871*255),"HOVER!")</f>
        <v>HOVER!</v>
      </c>
      <c r="K871">
        <f>E871/F871</f>
        <v>0.8</v>
      </c>
    </row>
    <row r="872" spans="1:11" ht="15" x14ac:dyDescent="0.35">
      <c r="A872">
        <f t="shared" si="26"/>
        <v>5</v>
      </c>
      <c r="B872">
        <f t="shared" si="27"/>
        <v>7.5</v>
      </c>
      <c r="C872" s="199" t="str">
        <f>B872&amp;LOOKUP(A872, Sheet2!$A$2:$A$11, Sheet2!$B$2:$B$11)</f>
        <v>7.5BG</v>
      </c>
      <c r="D872">
        <v>57.5</v>
      </c>
      <c r="E872">
        <v>6</v>
      </c>
      <c r="F872">
        <v>5</v>
      </c>
      <c r="G872">
        <v>0.1071</v>
      </c>
      <c r="H872">
        <v>0.5353</v>
      </c>
      <c r="I872">
        <v>0.53659999999999997</v>
      </c>
      <c r="J872" s="1" t="str">
        <f>HYPERLINK(SetRGB(J872,G872*255,H872*255,I872*255),"HOVER!")</f>
        <v>HOVER!</v>
      </c>
      <c r="K872">
        <f>E872/F872</f>
        <v>1.2</v>
      </c>
    </row>
    <row r="873" spans="1:11" ht="15" x14ac:dyDescent="0.35">
      <c r="A873">
        <f t="shared" si="26"/>
        <v>5</v>
      </c>
      <c r="B873">
        <f t="shared" si="27"/>
        <v>7.5</v>
      </c>
      <c r="C873" s="199" t="str">
        <f>B873&amp;LOOKUP(A873, Sheet2!$A$2:$A$11, Sheet2!$B$2:$B$11)</f>
        <v>7.5BG</v>
      </c>
      <c r="D873">
        <v>57.5</v>
      </c>
      <c r="E873">
        <v>2</v>
      </c>
      <c r="F873">
        <v>6</v>
      </c>
      <c r="G873">
        <v>0.49480000000000002</v>
      </c>
      <c r="H873">
        <v>0.60619999999999996</v>
      </c>
      <c r="I873">
        <v>0.60129999999999995</v>
      </c>
      <c r="J873" s="3" t="str">
        <f>HYPERLINK(SetRGB(J873,G873*255,H873*255,I873*255),"HOVER!")</f>
        <v>HOVER!</v>
      </c>
      <c r="K873">
        <f>E873/F873</f>
        <v>0.33333333333333331</v>
      </c>
    </row>
    <row r="874" spans="1:11" ht="15" x14ac:dyDescent="0.35">
      <c r="A874">
        <f t="shared" si="26"/>
        <v>5</v>
      </c>
      <c r="B874">
        <f t="shared" si="27"/>
        <v>7.5</v>
      </c>
      <c r="C874" s="199" t="str">
        <f>B874&amp;LOOKUP(A874, Sheet2!$A$2:$A$11, Sheet2!$B$2:$B$11)</f>
        <v>7.5BG</v>
      </c>
      <c r="D874">
        <v>57.5</v>
      </c>
      <c r="E874">
        <v>4</v>
      </c>
      <c r="F874">
        <v>6</v>
      </c>
      <c r="G874">
        <v>0.38529999999999998</v>
      </c>
      <c r="H874">
        <v>0.62580000000000002</v>
      </c>
      <c r="I874">
        <v>0.61960000000000004</v>
      </c>
      <c r="J874" s="4" t="str">
        <f>HYPERLINK(SetRGB(J874,G874*255,H874*255,I874*255),"HOVER!")</f>
        <v>HOVER!</v>
      </c>
      <c r="K874">
        <f>E874/F874</f>
        <v>0.66666666666666663</v>
      </c>
    </row>
    <row r="875" spans="1:11" ht="15" x14ac:dyDescent="0.35">
      <c r="A875">
        <f t="shared" si="26"/>
        <v>5</v>
      </c>
      <c r="B875">
        <f t="shared" si="27"/>
        <v>7.5</v>
      </c>
      <c r="C875" s="199" t="str">
        <f>B875&amp;LOOKUP(A875, Sheet2!$A$2:$A$11, Sheet2!$B$2:$B$11)</f>
        <v>7.5BG</v>
      </c>
      <c r="D875">
        <v>57.5</v>
      </c>
      <c r="E875">
        <v>6</v>
      </c>
      <c r="F875">
        <v>6</v>
      </c>
      <c r="G875">
        <v>0.23860000000000001</v>
      </c>
      <c r="H875">
        <v>0.64219999999999999</v>
      </c>
      <c r="I875">
        <v>0.63759999999999994</v>
      </c>
      <c r="J875" s="5" t="str">
        <f>HYPERLINK(SetRGB(J875,G875*255,H875*255,I875*255),"HOVER!")</f>
        <v>HOVER!</v>
      </c>
      <c r="K875">
        <f>E875/F875</f>
        <v>1</v>
      </c>
    </row>
    <row r="876" spans="1:11" ht="15" x14ac:dyDescent="0.35">
      <c r="A876">
        <f t="shared" si="26"/>
        <v>5</v>
      </c>
      <c r="B876">
        <f t="shared" si="27"/>
        <v>7.5</v>
      </c>
      <c r="C876" s="199" t="str">
        <f>B876&amp;LOOKUP(A876, Sheet2!$A$2:$A$11, Sheet2!$B$2:$B$11)</f>
        <v>7.5BG</v>
      </c>
      <c r="D876">
        <v>57.5</v>
      </c>
      <c r="E876">
        <v>2</v>
      </c>
      <c r="F876">
        <v>7</v>
      </c>
      <c r="G876">
        <v>0.59440000000000004</v>
      </c>
      <c r="H876">
        <v>0.71109999999999995</v>
      </c>
      <c r="I876">
        <v>0.70269999999999999</v>
      </c>
      <c r="J876" s="2" t="str">
        <f>HYPERLINK(SetRGB(J876,G876*255,H876*255,I876*255),"HOVER!")</f>
        <v>HOVER!</v>
      </c>
      <c r="K876">
        <f>E876/F876</f>
        <v>0.2857142857142857</v>
      </c>
    </row>
    <row r="877" spans="1:11" ht="15" x14ac:dyDescent="0.35">
      <c r="A877">
        <f t="shared" si="26"/>
        <v>5</v>
      </c>
      <c r="B877">
        <f t="shared" si="27"/>
        <v>7.5</v>
      </c>
      <c r="C877" s="199" t="str">
        <f>B877&amp;LOOKUP(A877, Sheet2!$A$2:$A$11, Sheet2!$B$2:$B$11)</f>
        <v>7.5BG</v>
      </c>
      <c r="D877">
        <v>57.5</v>
      </c>
      <c r="E877">
        <v>4</v>
      </c>
      <c r="F877">
        <v>7</v>
      </c>
      <c r="G877">
        <v>0.4909</v>
      </c>
      <c r="H877">
        <v>0.73099999999999998</v>
      </c>
      <c r="I877">
        <v>0.71889999999999998</v>
      </c>
      <c r="J877" s="2" t="str">
        <f>HYPERLINK(SetRGB(J877,G877*255,H877*255,I877*255),"HOVER!")</f>
        <v>HOVER!</v>
      </c>
      <c r="K877">
        <f>E877/F877</f>
        <v>0.5714285714285714</v>
      </c>
    </row>
    <row r="878" spans="1:11" ht="15" x14ac:dyDescent="0.35">
      <c r="A878">
        <f t="shared" si="26"/>
        <v>5</v>
      </c>
      <c r="B878">
        <f t="shared" si="27"/>
        <v>7.5</v>
      </c>
      <c r="C878" s="199" t="str">
        <f>B878&amp;LOOKUP(A878, Sheet2!$A$2:$A$11, Sheet2!$B$2:$B$11)</f>
        <v>7.5BG</v>
      </c>
      <c r="D878">
        <v>57.5</v>
      </c>
      <c r="E878">
        <v>6</v>
      </c>
      <c r="F878">
        <v>7</v>
      </c>
      <c r="G878">
        <v>0.37319999999999998</v>
      </c>
      <c r="H878">
        <v>0.74719999999999998</v>
      </c>
      <c r="I878">
        <v>0.73460000000000003</v>
      </c>
      <c r="J878" s="2" t="str">
        <f>HYPERLINK(SetRGB(J878,G878*255,H878*255,I878*255),"HOVER!")</f>
        <v>HOVER!</v>
      </c>
      <c r="K878">
        <f>E878/F878</f>
        <v>0.8571428571428571</v>
      </c>
    </row>
    <row r="879" spans="1:11" ht="15" x14ac:dyDescent="0.35">
      <c r="A879">
        <f t="shared" si="26"/>
        <v>5</v>
      </c>
      <c r="B879">
        <f t="shared" si="27"/>
        <v>7.5</v>
      </c>
      <c r="C879" s="199" t="str">
        <f>B879&amp;LOOKUP(A879, Sheet2!$A$2:$A$11, Sheet2!$B$2:$B$11)</f>
        <v>7.5BG</v>
      </c>
      <c r="D879">
        <v>57.5</v>
      </c>
      <c r="E879">
        <v>8</v>
      </c>
      <c r="F879">
        <v>7</v>
      </c>
      <c r="G879">
        <v>0.13300000000000001</v>
      </c>
      <c r="H879">
        <v>0.76419999999999999</v>
      </c>
      <c r="I879">
        <v>0.75219999999999998</v>
      </c>
      <c r="J879" s="2" t="str">
        <f>HYPERLINK(SetRGB(J879,G879*255,H879*255,I879*255),"HOVER!")</f>
        <v>HOVER!</v>
      </c>
      <c r="K879">
        <f>E879/F879</f>
        <v>1.1428571428571428</v>
      </c>
    </row>
    <row r="880" spans="1:11" ht="15" x14ac:dyDescent="0.35">
      <c r="A880">
        <f t="shared" si="26"/>
        <v>5</v>
      </c>
      <c r="B880">
        <f t="shared" si="27"/>
        <v>7.5</v>
      </c>
      <c r="C880" s="199" t="str">
        <f>B880&amp;LOOKUP(A880, Sheet2!$A$2:$A$11, Sheet2!$B$2:$B$11)</f>
        <v>7.5BG</v>
      </c>
      <c r="D880">
        <v>57.5</v>
      </c>
      <c r="E880">
        <v>2</v>
      </c>
      <c r="F880">
        <v>8</v>
      </c>
      <c r="G880">
        <v>0.69669999999999999</v>
      </c>
      <c r="H880">
        <v>0.81679999999999997</v>
      </c>
      <c r="I880">
        <v>0.80720000000000003</v>
      </c>
      <c r="J880" s="2" t="str">
        <f>HYPERLINK(SetRGB(J880,G880*255,H880*255,I880*255),"HOVER!")</f>
        <v>HOVER!</v>
      </c>
      <c r="K880">
        <f>E880/F880</f>
        <v>0.25</v>
      </c>
    </row>
    <row r="881" spans="1:11" ht="15" x14ac:dyDescent="0.35">
      <c r="A881">
        <f t="shared" si="26"/>
        <v>5</v>
      </c>
      <c r="B881">
        <f t="shared" si="27"/>
        <v>7.5</v>
      </c>
      <c r="C881" s="199" t="str">
        <f>B881&amp;LOOKUP(A881, Sheet2!$A$2:$A$11, Sheet2!$B$2:$B$11)</f>
        <v>7.5BG</v>
      </c>
      <c r="D881">
        <v>57.5</v>
      </c>
      <c r="E881">
        <v>4</v>
      </c>
      <c r="F881">
        <v>8</v>
      </c>
      <c r="G881">
        <v>0.59409999999999996</v>
      </c>
      <c r="H881">
        <v>0.8377</v>
      </c>
      <c r="I881">
        <v>0.82089999999999996</v>
      </c>
      <c r="J881" s="2" t="str">
        <f>HYPERLINK(SetRGB(J881,G881*255,H881*255,I881*255),"HOVER!")</f>
        <v>HOVER!</v>
      </c>
      <c r="K881">
        <f>E881/F881</f>
        <v>0.5</v>
      </c>
    </row>
    <row r="882" spans="1:11" ht="15" x14ac:dyDescent="0.35">
      <c r="A882">
        <f t="shared" si="26"/>
        <v>5</v>
      </c>
      <c r="B882">
        <f t="shared" si="27"/>
        <v>7.5</v>
      </c>
      <c r="C882" s="199" t="str">
        <f>B882&amp;LOOKUP(A882, Sheet2!$A$2:$A$11, Sheet2!$B$2:$B$11)</f>
        <v>7.5BG</v>
      </c>
      <c r="D882">
        <v>57.5</v>
      </c>
      <c r="E882">
        <v>6</v>
      </c>
      <c r="F882">
        <v>8</v>
      </c>
      <c r="G882">
        <v>0.45989999999999998</v>
      </c>
      <c r="H882">
        <v>0.85760000000000003</v>
      </c>
      <c r="I882">
        <v>0.83979999999999999</v>
      </c>
      <c r="J882" s="2" t="str">
        <f>HYPERLINK(SetRGB(J882,G882*255,H882*255,I882*255),"HOVER!")</f>
        <v>HOVER!</v>
      </c>
      <c r="K882">
        <f>E882/F882</f>
        <v>0.75</v>
      </c>
    </row>
    <row r="883" spans="1:11" ht="15" x14ac:dyDescent="0.35">
      <c r="A883">
        <f t="shared" si="26"/>
        <v>5</v>
      </c>
      <c r="B883">
        <f t="shared" si="27"/>
        <v>7.5</v>
      </c>
      <c r="C883" s="199" t="str">
        <f>B883&amp;LOOKUP(A883, Sheet2!$A$2:$A$11, Sheet2!$B$2:$B$11)</f>
        <v>7.5BG</v>
      </c>
      <c r="D883">
        <v>57.5</v>
      </c>
      <c r="E883">
        <v>8</v>
      </c>
      <c r="F883">
        <v>8</v>
      </c>
      <c r="G883">
        <v>0.2697</v>
      </c>
      <c r="H883">
        <v>0.875</v>
      </c>
      <c r="I883">
        <v>0.85580000000000001</v>
      </c>
      <c r="J883" s="2" t="str">
        <f>HYPERLINK(SetRGB(J883,G883*255,H883*255,I883*255),"HOVER!")</f>
        <v>HOVER!</v>
      </c>
      <c r="K883">
        <f>E883/F883</f>
        <v>1</v>
      </c>
    </row>
    <row r="884" spans="1:11" ht="15" x14ac:dyDescent="0.35">
      <c r="A884">
        <f t="shared" si="26"/>
        <v>5</v>
      </c>
      <c r="B884">
        <f t="shared" si="27"/>
        <v>7.5</v>
      </c>
      <c r="C884" s="199" t="str">
        <f>B884&amp;LOOKUP(A884, Sheet2!$A$2:$A$11, Sheet2!$B$2:$B$11)</f>
        <v>7.5BG</v>
      </c>
      <c r="D884">
        <v>57.5</v>
      </c>
      <c r="E884">
        <v>2</v>
      </c>
      <c r="F884">
        <v>9</v>
      </c>
      <c r="G884">
        <v>0.79649999999999999</v>
      </c>
      <c r="H884">
        <v>0.92620000000000002</v>
      </c>
      <c r="I884">
        <v>0.91369999999999996</v>
      </c>
      <c r="J884" s="2" t="str">
        <f>HYPERLINK(SetRGB(J884,G884*255,H884*255,I884*255),"HOVER!")</f>
        <v>HOVER!</v>
      </c>
      <c r="K884">
        <f>E884/F884</f>
        <v>0.22222222222222221</v>
      </c>
    </row>
    <row r="885" spans="1:11" ht="15" x14ac:dyDescent="0.35">
      <c r="A885">
        <f t="shared" si="26"/>
        <v>5</v>
      </c>
      <c r="B885">
        <f t="shared" si="27"/>
        <v>7.5</v>
      </c>
      <c r="C885" s="199" t="str">
        <f>B885&amp;LOOKUP(A885, Sheet2!$A$2:$A$11, Sheet2!$B$2:$B$11)</f>
        <v>7.5BG</v>
      </c>
      <c r="D885">
        <v>57.5</v>
      </c>
      <c r="E885">
        <v>4</v>
      </c>
      <c r="F885">
        <v>9</v>
      </c>
      <c r="G885">
        <v>0.68049999999999999</v>
      </c>
      <c r="H885">
        <v>0.95009999999999994</v>
      </c>
      <c r="I885">
        <v>0.92849999999999999</v>
      </c>
      <c r="J885" s="2" t="str">
        <f>HYPERLINK(SetRGB(J885,G885*255,H885*255,I885*255),"HOVER!")</f>
        <v>HOVER!</v>
      </c>
      <c r="K885">
        <f>E885/F885</f>
        <v>0.44444444444444442</v>
      </c>
    </row>
    <row r="886" spans="1:11" ht="15" x14ac:dyDescent="0.35">
      <c r="A886">
        <f t="shared" si="26"/>
        <v>5</v>
      </c>
      <c r="B886">
        <f t="shared" si="27"/>
        <v>7.5</v>
      </c>
      <c r="C886" s="199" t="str">
        <f>B886&amp;LOOKUP(A886, Sheet2!$A$2:$A$11, Sheet2!$B$2:$B$11)</f>
        <v>7.5BG</v>
      </c>
      <c r="D886">
        <v>57.5</v>
      </c>
      <c r="E886">
        <v>6</v>
      </c>
      <c r="F886">
        <v>9</v>
      </c>
      <c r="G886">
        <v>0.53390000000000004</v>
      </c>
      <c r="H886">
        <v>0.97260000000000002</v>
      </c>
      <c r="I886">
        <v>0.94520000000000004</v>
      </c>
      <c r="J886" s="2" t="str">
        <f>HYPERLINK(SetRGB(J886,G886*255,H886*255,I886*255),"HOVER!")</f>
        <v>HOVER!</v>
      </c>
      <c r="K886">
        <f>E886/F886</f>
        <v>0.66666666666666663</v>
      </c>
    </row>
    <row r="887" spans="1:11" ht="15" x14ac:dyDescent="0.35">
      <c r="A887">
        <f t="shared" si="26"/>
        <v>5</v>
      </c>
      <c r="B887">
        <f t="shared" si="27"/>
        <v>7.5</v>
      </c>
      <c r="C887" s="199" t="str">
        <f>B887&amp;LOOKUP(A887, Sheet2!$A$2:$A$11, Sheet2!$B$2:$B$11)</f>
        <v>7.5BG</v>
      </c>
      <c r="D887">
        <v>57.5</v>
      </c>
      <c r="E887">
        <v>8</v>
      </c>
      <c r="F887">
        <v>9</v>
      </c>
      <c r="G887">
        <v>0.31130000000000002</v>
      </c>
      <c r="H887">
        <v>0.99350000000000005</v>
      </c>
      <c r="I887">
        <v>0.96289999999999998</v>
      </c>
      <c r="J887" s="2" t="str">
        <f>HYPERLINK(SetRGB(J887,G887*255,H887*255,I887*255),"HOVER!")</f>
        <v>HOVER!</v>
      </c>
      <c r="K887">
        <f>E887/F887</f>
        <v>0.88888888888888884</v>
      </c>
    </row>
    <row r="888" spans="1:11" ht="15" x14ac:dyDescent="0.35">
      <c r="A888">
        <f t="shared" si="26"/>
        <v>6</v>
      </c>
      <c r="B888">
        <f t="shared" si="27"/>
        <v>10</v>
      </c>
      <c r="C888" s="199" t="str">
        <f>B888&amp;LOOKUP(A888, Sheet2!$A$2:$A$11, Sheet2!$B$2:$B$11)</f>
        <v>10B</v>
      </c>
      <c r="D888">
        <v>60</v>
      </c>
      <c r="E888">
        <v>2</v>
      </c>
      <c r="F888">
        <v>1</v>
      </c>
      <c r="G888">
        <v>3.8399999999999997E-2</v>
      </c>
      <c r="H888">
        <v>0.1245</v>
      </c>
      <c r="I888">
        <v>0.14050000000000001</v>
      </c>
      <c r="J888" s="1" t="str">
        <f>HYPERLINK(SetRGB(J888,G888*255,H888*255,I888*255),"HOVER!")</f>
        <v>HOVER!</v>
      </c>
      <c r="K888">
        <f>E888/F888</f>
        <v>2</v>
      </c>
    </row>
    <row r="889" spans="1:11" ht="15" x14ac:dyDescent="0.35">
      <c r="A889">
        <f t="shared" si="26"/>
        <v>6</v>
      </c>
      <c r="B889">
        <f t="shared" si="27"/>
        <v>10</v>
      </c>
      <c r="C889" s="199" t="str">
        <f>B889&amp;LOOKUP(A889, Sheet2!$A$2:$A$11, Sheet2!$B$2:$B$11)</f>
        <v>10B</v>
      </c>
      <c r="D889">
        <v>60</v>
      </c>
      <c r="E889">
        <v>2</v>
      </c>
      <c r="F889">
        <v>2</v>
      </c>
      <c r="G889">
        <v>0.13020000000000001</v>
      </c>
      <c r="H889">
        <v>0.20649999999999999</v>
      </c>
      <c r="I889">
        <v>0.21909999999999999</v>
      </c>
      <c r="J889" s="1" t="str">
        <f>HYPERLINK(SetRGB(J889,G889*255,H889*255,I889*255),"HOVER!")</f>
        <v>HOVER!</v>
      </c>
      <c r="K889">
        <f>E889/F889</f>
        <v>1</v>
      </c>
    </row>
    <row r="890" spans="1:11" ht="15" x14ac:dyDescent="0.35">
      <c r="A890">
        <f t="shared" si="26"/>
        <v>6</v>
      </c>
      <c r="B890">
        <f t="shared" si="27"/>
        <v>10</v>
      </c>
      <c r="C890" s="199" t="str">
        <f>B890&amp;LOOKUP(A890, Sheet2!$A$2:$A$11, Sheet2!$B$2:$B$11)</f>
        <v>10B</v>
      </c>
      <c r="D890">
        <v>60</v>
      </c>
      <c r="E890">
        <v>2</v>
      </c>
      <c r="F890">
        <v>3</v>
      </c>
      <c r="G890">
        <v>0.20649999999999999</v>
      </c>
      <c r="H890">
        <v>0.2999</v>
      </c>
      <c r="I890">
        <v>0.31219999999999998</v>
      </c>
      <c r="J890" s="1" t="str">
        <f>HYPERLINK(SetRGB(J890,G890*255,H890*255,I890*255),"HOVER!")</f>
        <v>HOVER!</v>
      </c>
      <c r="K890">
        <f>E890/F890</f>
        <v>0.66666666666666663</v>
      </c>
    </row>
    <row r="891" spans="1:11" ht="15" x14ac:dyDescent="0.35">
      <c r="A891">
        <f t="shared" si="26"/>
        <v>6</v>
      </c>
      <c r="B891">
        <f t="shared" si="27"/>
        <v>10</v>
      </c>
      <c r="C891" s="199" t="str">
        <f>B891&amp;LOOKUP(A891, Sheet2!$A$2:$A$11, Sheet2!$B$2:$B$11)</f>
        <v>10B</v>
      </c>
      <c r="D891">
        <v>60</v>
      </c>
      <c r="E891">
        <v>4</v>
      </c>
      <c r="F891">
        <v>3</v>
      </c>
      <c r="G891">
        <v>5.0599999999999999E-2</v>
      </c>
      <c r="H891">
        <v>0.31440000000000001</v>
      </c>
      <c r="I891">
        <v>0.34489999999999998</v>
      </c>
      <c r="J891" s="1" t="str">
        <f>HYPERLINK(SetRGB(J891,G891*255,H891*255,I891*255),"HOVER!")</f>
        <v>HOVER!</v>
      </c>
      <c r="K891">
        <f>E891/F891</f>
        <v>1.3333333333333333</v>
      </c>
    </row>
    <row r="892" spans="1:11" ht="15" x14ac:dyDescent="0.35">
      <c r="A892">
        <f t="shared" si="26"/>
        <v>6</v>
      </c>
      <c r="B892">
        <f t="shared" si="27"/>
        <v>10</v>
      </c>
      <c r="C892" s="199" t="str">
        <f>B892&amp;LOOKUP(A892, Sheet2!$A$2:$A$11, Sheet2!$B$2:$B$11)</f>
        <v>10B</v>
      </c>
      <c r="D892">
        <v>60</v>
      </c>
      <c r="E892">
        <v>2</v>
      </c>
      <c r="F892">
        <v>4</v>
      </c>
      <c r="G892">
        <v>0.30030000000000001</v>
      </c>
      <c r="H892">
        <v>0.3987</v>
      </c>
      <c r="I892">
        <v>0.4083</v>
      </c>
      <c r="J892" s="1" t="str">
        <f>HYPERLINK(SetRGB(J892,G892*255,H892*255,I892*255),"HOVER!")</f>
        <v>HOVER!</v>
      </c>
      <c r="K892">
        <f>E892/F892</f>
        <v>0.5</v>
      </c>
    </row>
    <row r="893" spans="1:11" ht="15" x14ac:dyDescent="0.35">
      <c r="A893">
        <f t="shared" si="26"/>
        <v>6</v>
      </c>
      <c r="B893">
        <f t="shared" si="27"/>
        <v>10</v>
      </c>
      <c r="C893" s="199" t="str">
        <f>B893&amp;LOOKUP(A893, Sheet2!$A$2:$A$11, Sheet2!$B$2:$B$11)</f>
        <v>10B</v>
      </c>
      <c r="D893">
        <v>60</v>
      </c>
      <c r="E893">
        <v>4</v>
      </c>
      <c r="F893">
        <v>4</v>
      </c>
      <c r="G893">
        <v>0.18010000000000001</v>
      </c>
      <c r="H893">
        <v>0.41460000000000002</v>
      </c>
      <c r="I893">
        <v>0.43909999999999999</v>
      </c>
      <c r="J893" s="1" t="str">
        <f>HYPERLINK(SetRGB(J893,G893*255,H893*255,I893*255),"HOVER!")</f>
        <v>HOVER!</v>
      </c>
      <c r="K893">
        <f>E893/F893</f>
        <v>1</v>
      </c>
    </row>
    <row r="894" spans="1:11" ht="15" x14ac:dyDescent="0.35">
      <c r="A894">
        <f t="shared" si="26"/>
        <v>6</v>
      </c>
      <c r="B894">
        <f t="shared" si="27"/>
        <v>10</v>
      </c>
      <c r="C894" s="199" t="str">
        <f>B894&amp;LOOKUP(A894, Sheet2!$A$2:$A$11, Sheet2!$B$2:$B$11)</f>
        <v>10B</v>
      </c>
      <c r="D894">
        <v>60</v>
      </c>
      <c r="E894">
        <v>2</v>
      </c>
      <c r="F894">
        <v>5</v>
      </c>
      <c r="G894">
        <v>0.39879999999999999</v>
      </c>
      <c r="H894">
        <v>0.50080000000000002</v>
      </c>
      <c r="I894">
        <v>0.50890000000000002</v>
      </c>
      <c r="J894" s="1" t="str">
        <f>HYPERLINK(SetRGB(J894,G894*255,H894*255,I894*255),"HOVER!")</f>
        <v>HOVER!</v>
      </c>
      <c r="K894">
        <f>E894/F894</f>
        <v>0.4</v>
      </c>
    </row>
    <row r="895" spans="1:11" ht="15" x14ac:dyDescent="0.35">
      <c r="A895">
        <f t="shared" si="26"/>
        <v>6</v>
      </c>
      <c r="B895">
        <f t="shared" si="27"/>
        <v>10</v>
      </c>
      <c r="C895" s="199" t="str">
        <f>B895&amp;LOOKUP(A895, Sheet2!$A$2:$A$11, Sheet2!$B$2:$B$11)</f>
        <v>10B</v>
      </c>
      <c r="D895">
        <v>60</v>
      </c>
      <c r="E895">
        <v>4</v>
      </c>
      <c r="F895">
        <v>5</v>
      </c>
      <c r="G895">
        <v>0.29570000000000002</v>
      </c>
      <c r="H895">
        <v>0.51690000000000003</v>
      </c>
      <c r="I895">
        <v>0.53700000000000003</v>
      </c>
      <c r="J895" s="1" t="str">
        <f>HYPERLINK(SetRGB(J895,G895*255,H895*255,I895*255),"HOVER!")</f>
        <v>HOVER!</v>
      </c>
      <c r="K895">
        <f>E895/F895</f>
        <v>0.8</v>
      </c>
    </row>
    <row r="896" spans="1:11" ht="15" x14ac:dyDescent="0.35">
      <c r="A896">
        <f t="shared" si="26"/>
        <v>6</v>
      </c>
      <c r="B896">
        <f t="shared" si="27"/>
        <v>10</v>
      </c>
      <c r="C896" s="199" t="str">
        <f>B896&amp;LOOKUP(A896, Sheet2!$A$2:$A$11, Sheet2!$B$2:$B$11)</f>
        <v>10B</v>
      </c>
      <c r="D896">
        <v>60</v>
      </c>
      <c r="E896">
        <v>6</v>
      </c>
      <c r="F896">
        <v>5</v>
      </c>
      <c r="G896">
        <v>0.10059999999999999</v>
      </c>
      <c r="H896">
        <v>0.53210000000000002</v>
      </c>
      <c r="I896">
        <v>0.56710000000000005</v>
      </c>
      <c r="J896" s="1" t="str">
        <f>HYPERLINK(SetRGB(J896,G896*255,H896*255,I896*255),"HOVER!")</f>
        <v>HOVER!</v>
      </c>
      <c r="K896">
        <f>E896/F896</f>
        <v>1.2</v>
      </c>
    </row>
    <row r="897" spans="1:11" ht="15" x14ac:dyDescent="0.35">
      <c r="A897">
        <f t="shared" si="26"/>
        <v>6</v>
      </c>
      <c r="B897">
        <f t="shared" si="27"/>
        <v>10</v>
      </c>
      <c r="C897" s="199" t="str">
        <f>B897&amp;LOOKUP(A897, Sheet2!$A$2:$A$11, Sheet2!$B$2:$B$11)</f>
        <v>10B</v>
      </c>
      <c r="D897">
        <v>60</v>
      </c>
      <c r="E897">
        <v>2</v>
      </c>
      <c r="F897">
        <v>6</v>
      </c>
      <c r="G897">
        <v>0.49759999999999999</v>
      </c>
      <c r="H897">
        <v>0.60460000000000003</v>
      </c>
      <c r="I897">
        <v>0.60950000000000004</v>
      </c>
      <c r="J897" s="6" t="str">
        <f>HYPERLINK(SetRGB(J897,G897*255,H897*255,I897*255),"HOVER!")</f>
        <v>HOVER!</v>
      </c>
      <c r="K897">
        <f>E897/F897</f>
        <v>0.33333333333333331</v>
      </c>
    </row>
    <row r="898" spans="1:11" ht="15" x14ac:dyDescent="0.35">
      <c r="A898">
        <f t="shared" si="26"/>
        <v>6</v>
      </c>
      <c r="B898">
        <f t="shared" si="27"/>
        <v>10</v>
      </c>
      <c r="C898" s="199" t="str">
        <f>B898&amp;LOOKUP(A898, Sheet2!$A$2:$A$11, Sheet2!$B$2:$B$11)</f>
        <v>10B</v>
      </c>
      <c r="D898">
        <v>60</v>
      </c>
      <c r="E898">
        <v>4</v>
      </c>
      <c r="F898">
        <v>6</v>
      </c>
      <c r="G898">
        <v>0.39119999999999999</v>
      </c>
      <c r="H898">
        <v>0.62270000000000003</v>
      </c>
      <c r="I898">
        <v>0.63819999999999999</v>
      </c>
      <c r="J898" s="7" t="str">
        <f>HYPERLINK(SetRGB(J898,G898*255,H898*255,I898*255),"HOVER!")</f>
        <v>HOVER!</v>
      </c>
      <c r="K898">
        <f>E898/F898</f>
        <v>0.66666666666666663</v>
      </c>
    </row>
    <row r="899" spans="1:11" ht="15" x14ac:dyDescent="0.35">
      <c r="A899">
        <f t="shared" si="26"/>
        <v>6</v>
      </c>
      <c r="B899">
        <f t="shared" si="27"/>
        <v>10</v>
      </c>
      <c r="C899" s="199" t="str">
        <f>B899&amp;LOOKUP(A899, Sheet2!$A$2:$A$11, Sheet2!$B$2:$B$11)</f>
        <v>10B</v>
      </c>
      <c r="D899">
        <v>60</v>
      </c>
      <c r="E899">
        <v>6</v>
      </c>
      <c r="F899">
        <v>6</v>
      </c>
      <c r="G899">
        <v>0.2369</v>
      </c>
      <c r="H899">
        <v>0.63900000000000001</v>
      </c>
      <c r="I899">
        <v>0.66679999999999995</v>
      </c>
      <c r="J899" s="8" t="str">
        <f>HYPERLINK(SetRGB(J899,G899*255,H899*255,I899*255),"HOVER!")</f>
        <v>HOVER!</v>
      </c>
      <c r="K899">
        <f>E899/F899</f>
        <v>1</v>
      </c>
    </row>
    <row r="900" spans="1:11" ht="15" x14ac:dyDescent="0.35">
      <c r="A900">
        <f t="shared" si="26"/>
        <v>6</v>
      </c>
      <c r="B900">
        <f t="shared" si="27"/>
        <v>10</v>
      </c>
      <c r="C900" s="199" t="str">
        <f>B900&amp;LOOKUP(A900, Sheet2!$A$2:$A$11, Sheet2!$B$2:$B$11)</f>
        <v>10B</v>
      </c>
      <c r="D900">
        <v>60</v>
      </c>
      <c r="E900">
        <v>2</v>
      </c>
      <c r="F900">
        <v>7</v>
      </c>
      <c r="G900">
        <v>0.59889999999999999</v>
      </c>
      <c r="H900">
        <v>0.70899999999999996</v>
      </c>
      <c r="I900">
        <v>0.71179999999999999</v>
      </c>
      <c r="J900" s="2" t="str">
        <f>HYPERLINK(SetRGB(J900,G900*255,H900*255,I900*255),"HOVER!")</f>
        <v>HOVER!</v>
      </c>
      <c r="K900">
        <f>E900/F900</f>
        <v>0.2857142857142857</v>
      </c>
    </row>
    <row r="901" spans="1:11" ht="15" x14ac:dyDescent="0.35">
      <c r="A901">
        <f t="shared" si="26"/>
        <v>6</v>
      </c>
      <c r="B901">
        <f t="shared" si="27"/>
        <v>10</v>
      </c>
      <c r="C901" s="199" t="str">
        <f>B901&amp;LOOKUP(A901, Sheet2!$A$2:$A$11, Sheet2!$B$2:$B$11)</f>
        <v>10B</v>
      </c>
      <c r="D901">
        <v>60</v>
      </c>
      <c r="E901">
        <v>4</v>
      </c>
      <c r="F901">
        <v>7</v>
      </c>
      <c r="G901">
        <v>0.49370000000000003</v>
      </c>
      <c r="H901">
        <v>0.72829999999999995</v>
      </c>
      <c r="I901">
        <v>0.73829999999999996</v>
      </c>
      <c r="J901" s="2" t="str">
        <f>HYPERLINK(SetRGB(J901,G901*255,H901*255,I901*255),"HOVER!")</f>
        <v>HOVER!</v>
      </c>
      <c r="K901">
        <f>E901/F901</f>
        <v>0.5714285714285714</v>
      </c>
    </row>
    <row r="902" spans="1:11" ht="15" x14ac:dyDescent="0.35">
      <c r="A902">
        <f t="shared" si="26"/>
        <v>6</v>
      </c>
      <c r="B902">
        <f t="shared" si="27"/>
        <v>10</v>
      </c>
      <c r="C902" s="199" t="str">
        <f>B902&amp;LOOKUP(A902, Sheet2!$A$2:$A$11, Sheet2!$B$2:$B$11)</f>
        <v>10B</v>
      </c>
      <c r="D902">
        <v>60</v>
      </c>
      <c r="E902">
        <v>6</v>
      </c>
      <c r="F902">
        <v>7</v>
      </c>
      <c r="G902">
        <v>0.374</v>
      </c>
      <c r="H902">
        <v>0.74399999999999999</v>
      </c>
      <c r="I902">
        <v>0.76280000000000003</v>
      </c>
      <c r="J902" s="2" t="str">
        <f>HYPERLINK(SetRGB(J902,G902*255,H902*255,I902*255),"HOVER!")</f>
        <v>HOVER!</v>
      </c>
      <c r="K902">
        <f>E902/F902</f>
        <v>0.8571428571428571</v>
      </c>
    </row>
    <row r="903" spans="1:11" ht="15" x14ac:dyDescent="0.35">
      <c r="A903">
        <f t="shared" si="26"/>
        <v>6</v>
      </c>
      <c r="B903">
        <f t="shared" si="27"/>
        <v>10</v>
      </c>
      <c r="C903" s="199" t="str">
        <f>B903&amp;LOOKUP(A903, Sheet2!$A$2:$A$11, Sheet2!$B$2:$B$11)</f>
        <v>10B</v>
      </c>
      <c r="D903">
        <v>60</v>
      </c>
      <c r="E903">
        <v>8</v>
      </c>
      <c r="F903">
        <v>7</v>
      </c>
      <c r="G903">
        <v>0.1138</v>
      </c>
      <c r="H903">
        <v>0.76049999999999995</v>
      </c>
      <c r="I903">
        <v>0.79159999999999997</v>
      </c>
      <c r="J903" s="2" t="str">
        <f>HYPERLINK(SetRGB(J903,G903*255,H903*255,I903*255),"HOVER!")</f>
        <v>HOVER!</v>
      </c>
      <c r="K903">
        <f>E903/F903</f>
        <v>1.1428571428571428</v>
      </c>
    </row>
    <row r="904" spans="1:11" ht="15" x14ac:dyDescent="0.35">
      <c r="A904">
        <f t="shared" si="26"/>
        <v>6</v>
      </c>
      <c r="B904">
        <f t="shared" si="27"/>
        <v>10</v>
      </c>
      <c r="C904" s="199" t="str">
        <f>B904&amp;LOOKUP(A904, Sheet2!$A$2:$A$11, Sheet2!$B$2:$B$11)</f>
        <v>10B</v>
      </c>
      <c r="D904">
        <v>60</v>
      </c>
      <c r="E904">
        <v>2</v>
      </c>
      <c r="F904">
        <v>8</v>
      </c>
      <c r="G904">
        <v>0.70130000000000003</v>
      </c>
      <c r="H904">
        <v>0.81479999999999997</v>
      </c>
      <c r="I904">
        <v>0.81530000000000002</v>
      </c>
      <c r="J904" s="2" t="str">
        <f>HYPERLINK(SetRGB(J904,G904*255,H904*255,I904*255),"HOVER!")</f>
        <v>HOVER!</v>
      </c>
      <c r="K904">
        <f>E904/F904</f>
        <v>0.25</v>
      </c>
    </row>
    <row r="905" spans="1:11" ht="15" x14ac:dyDescent="0.35">
      <c r="A905">
        <f t="shared" si="26"/>
        <v>6</v>
      </c>
      <c r="B905">
        <f t="shared" si="27"/>
        <v>10</v>
      </c>
      <c r="C905" s="199" t="str">
        <f>B905&amp;LOOKUP(A905, Sheet2!$A$2:$A$11, Sheet2!$B$2:$B$11)</f>
        <v>10B</v>
      </c>
      <c r="D905">
        <v>60</v>
      </c>
      <c r="E905">
        <v>4</v>
      </c>
      <c r="F905">
        <v>8</v>
      </c>
      <c r="G905">
        <v>0.59319999999999995</v>
      </c>
      <c r="H905">
        <v>0.8357</v>
      </c>
      <c r="I905">
        <v>0.84089999999999998</v>
      </c>
      <c r="J905" s="2" t="str">
        <f>HYPERLINK(SetRGB(J905,G905*255,H905*255,I905*255),"HOVER!")</f>
        <v>HOVER!</v>
      </c>
      <c r="K905">
        <f>E905/F905</f>
        <v>0.5</v>
      </c>
    </row>
    <row r="906" spans="1:11" ht="15" x14ac:dyDescent="0.35">
      <c r="A906">
        <f t="shared" si="26"/>
        <v>6</v>
      </c>
      <c r="B906">
        <f t="shared" si="27"/>
        <v>10</v>
      </c>
      <c r="C906" s="199" t="str">
        <f>B906&amp;LOOKUP(A906, Sheet2!$A$2:$A$11, Sheet2!$B$2:$B$11)</f>
        <v>10B</v>
      </c>
      <c r="D906">
        <v>60</v>
      </c>
      <c r="E906">
        <v>6</v>
      </c>
      <c r="F906">
        <v>8</v>
      </c>
      <c r="G906">
        <v>0.46100000000000002</v>
      </c>
      <c r="H906">
        <v>0.85440000000000005</v>
      </c>
      <c r="I906">
        <v>0.86699999999999999</v>
      </c>
      <c r="J906" s="2" t="str">
        <f>HYPERLINK(SetRGB(J906,G906*255,H906*255,I906*255),"HOVER!")</f>
        <v>HOVER!</v>
      </c>
      <c r="K906">
        <f>E906/F906</f>
        <v>0.75</v>
      </c>
    </row>
    <row r="907" spans="1:11" ht="15" x14ac:dyDescent="0.35">
      <c r="A907">
        <f t="shared" si="26"/>
        <v>6</v>
      </c>
      <c r="B907">
        <f t="shared" si="27"/>
        <v>10</v>
      </c>
      <c r="C907" s="199" t="str">
        <f>B907&amp;LOOKUP(A907, Sheet2!$A$2:$A$11, Sheet2!$B$2:$B$11)</f>
        <v>10B</v>
      </c>
      <c r="D907">
        <v>60</v>
      </c>
      <c r="E907">
        <v>8</v>
      </c>
      <c r="F907">
        <v>8</v>
      </c>
      <c r="G907">
        <v>0.25890000000000002</v>
      </c>
      <c r="H907">
        <v>0.87160000000000004</v>
      </c>
      <c r="I907">
        <v>0.89290000000000003</v>
      </c>
      <c r="J907" s="2" t="str">
        <f>HYPERLINK(SetRGB(J907,G907*255,H907*255,I907*255),"HOVER!")</f>
        <v>HOVER!</v>
      </c>
      <c r="K907">
        <f>E907/F907</f>
        <v>1</v>
      </c>
    </row>
    <row r="908" spans="1:11" ht="15" x14ac:dyDescent="0.35">
      <c r="A908">
        <f t="shared" si="26"/>
        <v>6</v>
      </c>
      <c r="B908">
        <f t="shared" si="27"/>
        <v>10</v>
      </c>
      <c r="C908" s="199" t="str">
        <f>B908&amp;LOOKUP(A908, Sheet2!$A$2:$A$11, Sheet2!$B$2:$B$11)</f>
        <v>10B</v>
      </c>
      <c r="D908">
        <v>60</v>
      </c>
      <c r="E908">
        <v>2</v>
      </c>
      <c r="F908">
        <v>9</v>
      </c>
      <c r="G908">
        <v>0.80220000000000002</v>
      </c>
      <c r="H908">
        <v>0.92390000000000005</v>
      </c>
      <c r="I908">
        <v>0.92200000000000004</v>
      </c>
      <c r="J908" s="2" t="str">
        <f>HYPERLINK(SetRGB(J908,G908*255,H908*255,I908*255),"HOVER!")</f>
        <v>HOVER!</v>
      </c>
      <c r="K908">
        <f>E908/F908</f>
        <v>0.22222222222222221</v>
      </c>
    </row>
    <row r="909" spans="1:11" ht="15" x14ac:dyDescent="0.35">
      <c r="A909">
        <f t="shared" si="26"/>
        <v>6</v>
      </c>
      <c r="B909">
        <f t="shared" si="27"/>
        <v>10</v>
      </c>
      <c r="C909" s="199" t="str">
        <f>B909&amp;LOOKUP(A909, Sheet2!$A$2:$A$11, Sheet2!$B$2:$B$11)</f>
        <v>10B</v>
      </c>
      <c r="D909">
        <v>60</v>
      </c>
      <c r="E909">
        <v>4</v>
      </c>
      <c r="F909">
        <v>9</v>
      </c>
      <c r="G909">
        <v>0.68179999999999996</v>
      </c>
      <c r="H909">
        <v>0.9476</v>
      </c>
      <c r="I909">
        <v>0.95</v>
      </c>
      <c r="J909" s="2" t="str">
        <f>HYPERLINK(SetRGB(J909,G909*255,H909*255,I909*255),"HOVER!")</f>
        <v>HOVER!</v>
      </c>
      <c r="K909">
        <f>E909/F909</f>
        <v>0.44444444444444442</v>
      </c>
    </row>
    <row r="910" spans="1:11" ht="15" x14ac:dyDescent="0.35">
      <c r="A910">
        <f t="shared" ref="A910:A973" si="28">IF(FLOOR(D910/10,1)=0,10,FLOOR(D910/10,1))</f>
        <v>6</v>
      </c>
      <c r="B910">
        <f t="shared" ref="B910:B973" si="29">IF(MOD(D910,10)=0,10,MOD(D910,10))</f>
        <v>10</v>
      </c>
      <c r="C910" s="199" t="str">
        <f>B910&amp;LOOKUP(A910, Sheet2!$A$2:$A$11, Sheet2!$B$2:$B$11)</f>
        <v>10B</v>
      </c>
      <c r="D910">
        <v>60</v>
      </c>
      <c r="E910">
        <v>6</v>
      </c>
      <c r="F910">
        <v>9</v>
      </c>
      <c r="G910">
        <v>0.53090000000000004</v>
      </c>
      <c r="H910">
        <v>0.96960000000000002</v>
      </c>
      <c r="I910">
        <v>0.97719999999999996</v>
      </c>
      <c r="J910" s="2" t="str">
        <f>HYPERLINK(SetRGB(J910,G910*255,H910*255,I910*255),"HOVER!")</f>
        <v>HOVER!</v>
      </c>
      <c r="K910">
        <f>E910/F910</f>
        <v>0.66666666666666663</v>
      </c>
    </row>
    <row r="911" spans="1:11" ht="15" x14ac:dyDescent="0.35">
      <c r="A911">
        <f t="shared" si="28"/>
        <v>6</v>
      </c>
      <c r="B911">
        <f t="shared" si="29"/>
        <v>2.5</v>
      </c>
      <c r="C911" s="199" t="str">
        <f>B911&amp;LOOKUP(A911, Sheet2!$A$2:$A$11, Sheet2!$B$2:$B$11)</f>
        <v>2.5B</v>
      </c>
      <c r="D911">
        <v>62.5</v>
      </c>
      <c r="E911">
        <v>2</v>
      </c>
      <c r="F911">
        <v>1</v>
      </c>
      <c r="G911">
        <v>3.7699999999999997E-2</v>
      </c>
      <c r="H911">
        <v>0.12379999999999999</v>
      </c>
      <c r="I911">
        <v>0.14649999999999999</v>
      </c>
      <c r="J911" s="1" t="str">
        <f>HYPERLINK(SetRGB(J911,G911*255,H911*255,I911*255),"HOVER!")</f>
        <v>HOVER!</v>
      </c>
      <c r="K911">
        <f>E911/F911</f>
        <v>2</v>
      </c>
    </row>
    <row r="912" spans="1:11" ht="15" x14ac:dyDescent="0.35">
      <c r="A912">
        <f t="shared" si="28"/>
        <v>6</v>
      </c>
      <c r="B912">
        <f t="shared" si="29"/>
        <v>2.5</v>
      </c>
      <c r="C912" s="199" t="str">
        <f>B912&amp;LOOKUP(A912, Sheet2!$A$2:$A$11, Sheet2!$B$2:$B$11)</f>
        <v>2.5B</v>
      </c>
      <c r="D912">
        <v>62.5</v>
      </c>
      <c r="E912">
        <v>2</v>
      </c>
      <c r="F912">
        <v>2</v>
      </c>
      <c r="G912">
        <v>0.13059999999999999</v>
      </c>
      <c r="H912">
        <v>0.20569999999999999</v>
      </c>
      <c r="I912">
        <v>0.22509999999999999</v>
      </c>
      <c r="J912" s="1" t="str">
        <f>HYPERLINK(SetRGB(J912,G912*255,H912*255,I912*255),"HOVER!")</f>
        <v>HOVER!</v>
      </c>
      <c r="K912">
        <f>E912/F912</f>
        <v>1</v>
      </c>
    </row>
    <row r="913" spans="1:11" ht="15" x14ac:dyDescent="0.35">
      <c r="A913">
        <f t="shared" si="28"/>
        <v>6</v>
      </c>
      <c r="B913">
        <f t="shared" si="29"/>
        <v>2.5</v>
      </c>
      <c r="C913" s="199" t="str">
        <f>B913&amp;LOOKUP(A913, Sheet2!$A$2:$A$11, Sheet2!$B$2:$B$11)</f>
        <v>2.5B</v>
      </c>
      <c r="D913">
        <v>62.5</v>
      </c>
      <c r="E913">
        <v>2</v>
      </c>
      <c r="F913">
        <v>3</v>
      </c>
      <c r="G913">
        <v>0.2079</v>
      </c>
      <c r="H913">
        <v>0.29870000000000002</v>
      </c>
      <c r="I913">
        <v>0.31979999999999997</v>
      </c>
      <c r="J913" s="1" t="str">
        <f>HYPERLINK(SetRGB(J913,G913*255,H913*255,I913*255),"HOVER!")</f>
        <v>HOVER!</v>
      </c>
      <c r="K913">
        <f>E913/F913</f>
        <v>0.66666666666666663</v>
      </c>
    </row>
    <row r="914" spans="1:11" ht="15" x14ac:dyDescent="0.35">
      <c r="A914">
        <f t="shared" si="28"/>
        <v>6</v>
      </c>
      <c r="B914">
        <f t="shared" si="29"/>
        <v>2.5</v>
      </c>
      <c r="C914" s="199" t="str">
        <f>B914&amp;LOOKUP(A914, Sheet2!$A$2:$A$11, Sheet2!$B$2:$B$11)</f>
        <v>2.5B</v>
      </c>
      <c r="D914">
        <v>62.5</v>
      </c>
      <c r="E914">
        <v>4</v>
      </c>
      <c r="F914">
        <v>3</v>
      </c>
      <c r="G914">
        <v>5.5500000000000001E-2</v>
      </c>
      <c r="H914">
        <v>0.31209999999999999</v>
      </c>
      <c r="I914">
        <v>0.3609</v>
      </c>
      <c r="J914" s="1" t="str">
        <f>HYPERLINK(SetRGB(J914,G914*255,H914*255,I914*255),"HOVER!")</f>
        <v>HOVER!</v>
      </c>
      <c r="K914">
        <f>E914/F914</f>
        <v>1.3333333333333333</v>
      </c>
    </row>
    <row r="915" spans="1:11" ht="15" x14ac:dyDescent="0.35">
      <c r="A915">
        <f t="shared" si="28"/>
        <v>6</v>
      </c>
      <c r="B915">
        <f t="shared" si="29"/>
        <v>2.5</v>
      </c>
      <c r="C915" s="199" t="str">
        <f>B915&amp;LOOKUP(A915, Sheet2!$A$2:$A$11, Sheet2!$B$2:$B$11)</f>
        <v>2.5B</v>
      </c>
      <c r="D915">
        <v>62.5</v>
      </c>
      <c r="E915">
        <v>2</v>
      </c>
      <c r="F915">
        <v>4</v>
      </c>
      <c r="G915">
        <v>0.30370000000000003</v>
      </c>
      <c r="H915">
        <v>0.39710000000000001</v>
      </c>
      <c r="I915">
        <v>0.41570000000000001</v>
      </c>
      <c r="J915" s="1" t="str">
        <f>HYPERLINK(SetRGB(J915,G915*255,H915*255,I915*255),"HOVER!")</f>
        <v>HOVER!</v>
      </c>
      <c r="K915">
        <f>E915/F915</f>
        <v>0.5</v>
      </c>
    </row>
    <row r="916" spans="1:11" ht="15" x14ac:dyDescent="0.35">
      <c r="A916">
        <f t="shared" si="28"/>
        <v>6</v>
      </c>
      <c r="B916">
        <f t="shared" si="29"/>
        <v>2.5</v>
      </c>
      <c r="C916" s="199" t="str">
        <f>B916&amp;LOOKUP(A916, Sheet2!$A$2:$A$11, Sheet2!$B$2:$B$11)</f>
        <v>2.5B</v>
      </c>
      <c r="D916">
        <v>62.5</v>
      </c>
      <c r="E916">
        <v>4</v>
      </c>
      <c r="F916">
        <v>4</v>
      </c>
      <c r="G916">
        <v>0.1888</v>
      </c>
      <c r="H916">
        <v>0.41160000000000002</v>
      </c>
      <c r="I916">
        <v>0.45500000000000002</v>
      </c>
      <c r="J916" s="1" t="str">
        <f>HYPERLINK(SetRGB(J916,G916*255,H916*255,I916*255),"HOVER!")</f>
        <v>HOVER!</v>
      </c>
      <c r="K916">
        <f>E916/F916</f>
        <v>1</v>
      </c>
    </row>
    <row r="917" spans="1:11" ht="15" x14ac:dyDescent="0.35">
      <c r="A917">
        <f t="shared" si="28"/>
        <v>6</v>
      </c>
      <c r="B917">
        <f t="shared" si="29"/>
        <v>2.5</v>
      </c>
      <c r="C917" s="199" t="str">
        <f>B917&amp;LOOKUP(A917, Sheet2!$A$2:$A$11, Sheet2!$B$2:$B$11)</f>
        <v>2.5B</v>
      </c>
      <c r="D917">
        <v>62.5</v>
      </c>
      <c r="E917">
        <v>2</v>
      </c>
      <c r="F917">
        <v>5</v>
      </c>
      <c r="G917">
        <v>0.40360000000000001</v>
      </c>
      <c r="H917">
        <v>0.49890000000000001</v>
      </c>
      <c r="I917">
        <v>0.51539999999999997</v>
      </c>
      <c r="J917" s="1" t="str">
        <f>HYPERLINK(SetRGB(J917,G917*255,H917*255,I917*255),"HOVER!")</f>
        <v>HOVER!</v>
      </c>
      <c r="K917">
        <f>E917/F917</f>
        <v>0.4</v>
      </c>
    </row>
    <row r="918" spans="1:11" ht="15" x14ac:dyDescent="0.35">
      <c r="A918">
        <f t="shared" si="28"/>
        <v>6</v>
      </c>
      <c r="B918">
        <f t="shared" si="29"/>
        <v>2.5</v>
      </c>
      <c r="C918" s="199" t="str">
        <f>B918&amp;LOOKUP(A918, Sheet2!$A$2:$A$11, Sheet2!$B$2:$B$11)</f>
        <v>2.5B</v>
      </c>
      <c r="D918">
        <v>62.5</v>
      </c>
      <c r="E918">
        <v>4</v>
      </c>
      <c r="F918">
        <v>5</v>
      </c>
      <c r="G918">
        <v>0.30270000000000002</v>
      </c>
      <c r="H918">
        <v>0.5141</v>
      </c>
      <c r="I918">
        <v>0.55189999999999995</v>
      </c>
      <c r="J918" s="1" t="str">
        <f>HYPERLINK(SetRGB(J918,G918*255,H918*255,I918*255),"HOVER!")</f>
        <v>HOVER!</v>
      </c>
      <c r="K918">
        <f>E918/F918</f>
        <v>0.8</v>
      </c>
    </row>
    <row r="919" spans="1:11" ht="15" x14ac:dyDescent="0.35">
      <c r="A919">
        <f t="shared" si="28"/>
        <v>6</v>
      </c>
      <c r="B919">
        <f t="shared" si="29"/>
        <v>2.5</v>
      </c>
      <c r="C919" s="199" t="str">
        <f>B919&amp;LOOKUP(A919, Sheet2!$A$2:$A$11, Sheet2!$B$2:$B$11)</f>
        <v>2.5B</v>
      </c>
      <c r="D919">
        <v>62.5</v>
      </c>
      <c r="E919">
        <v>6</v>
      </c>
      <c r="F919">
        <v>5</v>
      </c>
      <c r="G919">
        <v>0.12479999999999999</v>
      </c>
      <c r="H919">
        <v>0.52810000000000001</v>
      </c>
      <c r="I919">
        <v>0.58960000000000001</v>
      </c>
      <c r="J919" s="1" t="str">
        <f>HYPERLINK(SetRGB(J919,G919*255,H919*255,I919*255),"HOVER!")</f>
        <v>HOVER!</v>
      </c>
      <c r="K919">
        <f>E919/F919</f>
        <v>1.2</v>
      </c>
    </row>
    <row r="920" spans="1:11" ht="15" x14ac:dyDescent="0.35">
      <c r="A920">
        <f t="shared" si="28"/>
        <v>6</v>
      </c>
      <c r="B920">
        <f t="shared" si="29"/>
        <v>2.5</v>
      </c>
      <c r="C920" s="199" t="str">
        <f>B920&amp;LOOKUP(A920, Sheet2!$A$2:$A$11, Sheet2!$B$2:$B$11)</f>
        <v>2.5B</v>
      </c>
      <c r="D920">
        <v>62.5</v>
      </c>
      <c r="E920">
        <v>2</v>
      </c>
      <c r="F920">
        <v>6</v>
      </c>
      <c r="G920">
        <v>0.50349999999999995</v>
      </c>
      <c r="H920">
        <v>0.60250000000000004</v>
      </c>
      <c r="I920">
        <v>0.61609999999999998</v>
      </c>
      <c r="J920" s="9" t="str">
        <f>HYPERLINK(SetRGB(J920,G920*255,H920*255,I920*255),"HOVER!")</f>
        <v>HOVER!</v>
      </c>
      <c r="K920">
        <f>E920/F920</f>
        <v>0.33333333333333331</v>
      </c>
    </row>
    <row r="921" spans="1:11" ht="15" x14ac:dyDescent="0.35">
      <c r="A921">
        <f t="shared" si="28"/>
        <v>6</v>
      </c>
      <c r="B921">
        <f t="shared" si="29"/>
        <v>2.5</v>
      </c>
      <c r="C921" s="199" t="str">
        <f>B921&amp;LOOKUP(A921, Sheet2!$A$2:$A$11, Sheet2!$B$2:$B$11)</f>
        <v>2.5B</v>
      </c>
      <c r="D921">
        <v>62.5</v>
      </c>
      <c r="E921">
        <v>4</v>
      </c>
      <c r="F921">
        <v>6</v>
      </c>
      <c r="G921">
        <v>0.40289999999999998</v>
      </c>
      <c r="H921">
        <v>0.61919999999999997</v>
      </c>
      <c r="I921">
        <v>0.65169999999999995</v>
      </c>
      <c r="J921" s="10" t="str">
        <f>HYPERLINK(SetRGB(J921,G921*255,H921*255,I921*255),"HOVER!")</f>
        <v>HOVER!</v>
      </c>
      <c r="K921">
        <f>E921/F921</f>
        <v>0.66666666666666663</v>
      </c>
    </row>
    <row r="922" spans="1:11" ht="15" x14ac:dyDescent="0.35">
      <c r="A922">
        <f t="shared" si="28"/>
        <v>6</v>
      </c>
      <c r="B922">
        <f t="shared" si="29"/>
        <v>2.5</v>
      </c>
      <c r="C922" s="199" t="str">
        <f>B922&amp;LOOKUP(A922, Sheet2!$A$2:$A$11, Sheet2!$B$2:$B$11)</f>
        <v>2.5B</v>
      </c>
      <c r="D922">
        <v>62.5</v>
      </c>
      <c r="E922">
        <v>6</v>
      </c>
      <c r="F922">
        <v>6</v>
      </c>
      <c r="G922">
        <v>0.25280000000000002</v>
      </c>
      <c r="H922">
        <v>0.63470000000000004</v>
      </c>
      <c r="I922">
        <v>0.69059999999999999</v>
      </c>
      <c r="J922" s="11" t="str">
        <f>HYPERLINK(SetRGB(J922,G922*255,H922*255,I922*255),"HOVER!")</f>
        <v>HOVER!</v>
      </c>
      <c r="K922">
        <f>E922/F922</f>
        <v>1</v>
      </c>
    </row>
    <row r="923" spans="1:11" ht="15" x14ac:dyDescent="0.35">
      <c r="A923">
        <f t="shared" si="28"/>
        <v>6</v>
      </c>
      <c r="B923">
        <f t="shared" si="29"/>
        <v>2.5</v>
      </c>
      <c r="C923" s="199" t="str">
        <f>B923&amp;LOOKUP(A923, Sheet2!$A$2:$A$11, Sheet2!$B$2:$B$11)</f>
        <v>2.5B</v>
      </c>
      <c r="D923">
        <v>62.5</v>
      </c>
      <c r="E923">
        <v>2</v>
      </c>
      <c r="F923">
        <v>7</v>
      </c>
      <c r="G923">
        <v>0.60519999999999996</v>
      </c>
      <c r="H923">
        <v>0.70669999999999999</v>
      </c>
      <c r="I923">
        <v>0.71899999999999997</v>
      </c>
      <c r="J923" s="2" t="str">
        <f>HYPERLINK(SetRGB(J923,G923*255,H923*255,I923*255),"HOVER!")</f>
        <v>HOVER!</v>
      </c>
      <c r="K923">
        <f>E923/F923</f>
        <v>0.2857142857142857</v>
      </c>
    </row>
    <row r="924" spans="1:11" ht="15" x14ac:dyDescent="0.35">
      <c r="A924">
        <f t="shared" si="28"/>
        <v>6</v>
      </c>
      <c r="B924">
        <f t="shared" si="29"/>
        <v>2.5</v>
      </c>
      <c r="C924" s="199" t="str">
        <f>B924&amp;LOOKUP(A924, Sheet2!$A$2:$A$11, Sheet2!$B$2:$B$11)</f>
        <v>2.5B</v>
      </c>
      <c r="D924">
        <v>62.5</v>
      </c>
      <c r="E924">
        <v>4</v>
      </c>
      <c r="F924">
        <v>7</v>
      </c>
      <c r="G924">
        <v>0.50360000000000005</v>
      </c>
      <c r="H924">
        <v>0.72460000000000002</v>
      </c>
      <c r="I924">
        <v>0.75470000000000004</v>
      </c>
      <c r="J924" s="2" t="str">
        <f>HYPERLINK(SetRGB(J924,G924*255,H924*255,I924*255),"HOVER!")</f>
        <v>HOVER!</v>
      </c>
      <c r="K924">
        <f>E924/F924</f>
        <v>0.5714285714285714</v>
      </c>
    </row>
    <row r="925" spans="1:11" ht="15" x14ac:dyDescent="0.35">
      <c r="A925">
        <f t="shared" si="28"/>
        <v>6</v>
      </c>
      <c r="B925">
        <f t="shared" si="29"/>
        <v>2.5</v>
      </c>
      <c r="C925" s="199" t="str">
        <f>B925&amp;LOOKUP(A925, Sheet2!$A$2:$A$11, Sheet2!$B$2:$B$11)</f>
        <v>2.5B</v>
      </c>
      <c r="D925">
        <v>62.5</v>
      </c>
      <c r="E925">
        <v>6</v>
      </c>
      <c r="F925">
        <v>7</v>
      </c>
      <c r="G925">
        <v>0.38240000000000002</v>
      </c>
      <c r="H925">
        <v>0.73980000000000001</v>
      </c>
      <c r="I925">
        <v>0.78900000000000003</v>
      </c>
      <c r="J925" s="2" t="str">
        <f>HYPERLINK(SetRGB(J925,G925*255,H925*255,I925*255),"HOVER!")</f>
        <v>HOVER!</v>
      </c>
      <c r="K925">
        <f>E925/F925</f>
        <v>0.8571428571428571</v>
      </c>
    </row>
    <row r="926" spans="1:11" ht="15" x14ac:dyDescent="0.35">
      <c r="A926">
        <f t="shared" si="28"/>
        <v>6</v>
      </c>
      <c r="B926">
        <f t="shared" si="29"/>
        <v>2.5</v>
      </c>
      <c r="C926" s="199" t="str">
        <f>B926&amp;LOOKUP(A926, Sheet2!$A$2:$A$11, Sheet2!$B$2:$B$11)</f>
        <v>2.5B</v>
      </c>
      <c r="D926">
        <v>62.5</v>
      </c>
      <c r="E926">
        <v>8</v>
      </c>
      <c r="F926">
        <v>7</v>
      </c>
      <c r="G926">
        <v>0.15820000000000001</v>
      </c>
      <c r="H926">
        <v>0.75470000000000004</v>
      </c>
      <c r="I926">
        <v>0.82569999999999999</v>
      </c>
      <c r="J926" s="2" t="str">
        <f>HYPERLINK(SetRGB(J926,G926*255,H926*255,I926*255),"HOVER!")</f>
        <v>HOVER!</v>
      </c>
      <c r="K926">
        <f>E926/F926</f>
        <v>1.1428571428571428</v>
      </c>
    </row>
    <row r="927" spans="1:11" ht="15" x14ac:dyDescent="0.35">
      <c r="A927">
        <f t="shared" si="28"/>
        <v>6</v>
      </c>
      <c r="B927">
        <f t="shared" si="29"/>
        <v>2.5</v>
      </c>
      <c r="C927" s="199" t="str">
        <f>B927&amp;LOOKUP(A927, Sheet2!$A$2:$A$11, Sheet2!$B$2:$B$11)</f>
        <v>2.5B</v>
      </c>
      <c r="D927">
        <v>62.5</v>
      </c>
      <c r="E927">
        <v>2</v>
      </c>
      <c r="F927">
        <v>8</v>
      </c>
      <c r="G927">
        <v>0.7097</v>
      </c>
      <c r="H927">
        <v>0.81200000000000006</v>
      </c>
      <c r="I927">
        <v>0.82179999999999997</v>
      </c>
      <c r="J927" s="2" t="str">
        <f>HYPERLINK(SetRGB(J927,G927*255,H927*255,I927*255),"HOVER!")</f>
        <v>HOVER!</v>
      </c>
      <c r="K927">
        <f>E927/F927</f>
        <v>0.25</v>
      </c>
    </row>
    <row r="928" spans="1:11" ht="15" x14ac:dyDescent="0.35">
      <c r="A928">
        <f t="shared" si="28"/>
        <v>6</v>
      </c>
      <c r="B928">
        <f t="shared" si="29"/>
        <v>2.5</v>
      </c>
      <c r="C928" s="199" t="str">
        <f>B928&amp;LOOKUP(A928, Sheet2!$A$2:$A$11, Sheet2!$B$2:$B$11)</f>
        <v>2.5B</v>
      </c>
      <c r="D928">
        <v>62.5</v>
      </c>
      <c r="E928">
        <v>4</v>
      </c>
      <c r="F928">
        <v>8</v>
      </c>
      <c r="G928">
        <v>0.59909999999999997</v>
      </c>
      <c r="H928">
        <v>0.83260000000000001</v>
      </c>
      <c r="I928">
        <v>0.85799999999999998</v>
      </c>
      <c r="J928" s="2" t="str">
        <f>HYPERLINK(SetRGB(J928,G928*255,H928*255,I928*255),"HOVER!")</f>
        <v>HOVER!</v>
      </c>
      <c r="K928">
        <f>E928/F928</f>
        <v>0.5</v>
      </c>
    </row>
    <row r="929" spans="1:11" ht="15" x14ac:dyDescent="0.35">
      <c r="A929">
        <f t="shared" si="28"/>
        <v>6</v>
      </c>
      <c r="B929">
        <f t="shared" si="29"/>
        <v>2.5</v>
      </c>
      <c r="C929" s="199" t="str">
        <f>B929&amp;LOOKUP(A929, Sheet2!$A$2:$A$11, Sheet2!$B$2:$B$11)</f>
        <v>2.5B</v>
      </c>
      <c r="D929">
        <v>62.5</v>
      </c>
      <c r="E929">
        <v>6</v>
      </c>
      <c r="F929">
        <v>8</v>
      </c>
      <c r="G929">
        <v>0.47010000000000002</v>
      </c>
      <c r="H929">
        <v>0.85009999999999997</v>
      </c>
      <c r="I929">
        <v>0.89390000000000003</v>
      </c>
      <c r="J929" s="2" t="str">
        <f>HYPERLINK(SetRGB(J929,G929*255,H929*255,I929*255),"HOVER!")</f>
        <v>HOVER!</v>
      </c>
      <c r="K929">
        <f>E929/F929</f>
        <v>0.75</v>
      </c>
    </row>
    <row r="930" spans="1:11" ht="15" x14ac:dyDescent="0.35">
      <c r="A930">
        <f t="shared" si="28"/>
        <v>6</v>
      </c>
      <c r="B930">
        <f t="shared" si="29"/>
        <v>2.5</v>
      </c>
      <c r="C930" s="199" t="str">
        <f>B930&amp;LOOKUP(A930, Sheet2!$A$2:$A$11, Sheet2!$B$2:$B$11)</f>
        <v>2.5B</v>
      </c>
      <c r="D930">
        <v>62.5</v>
      </c>
      <c r="E930">
        <v>8</v>
      </c>
      <c r="F930">
        <v>8</v>
      </c>
      <c r="G930">
        <v>0.2712</v>
      </c>
      <c r="H930">
        <v>0.86629999999999996</v>
      </c>
      <c r="I930">
        <v>0.93140000000000001</v>
      </c>
      <c r="J930" s="2" t="str">
        <f>HYPERLINK(SetRGB(J930,G930*255,H930*255,I930*255),"HOVER!")</f>
        <v>HOVER!</v>
      </c>
      <c r="K930">
        <f>E930/F930</f>
        <v>1</v>
      </c>
    </row>
    <row r="931" spans="1:11" ht="15" x14ac:dyDescent="0.35">
      <c r="A931">
        <f t="shared" si="28"/>
        <v>6</v>
      </c>
      <c r="B931">
        <f t="shared" si="29"/>
        <v>2.5</v>
      </c>
      <c r="C931" s="199" t="str">
        <f>B931&amp;LOOKUP(A931, Sheet2!$A$2:$A$11, Sheet2!$B$2:$B$11)</f>
        <v>2.5B</v>
      </c>
      <c r="D931">
        <v>62.5</v>
      </c>
      <c r="E931">
        <v>2</v>
      </c>
      <c r="F931">
        <v>9</v>
      </c>
      <c r="G931">
        <v>0.81269999999999998</v>
      </c>
      <c r="H931">
        <v>0.92020000000000002</v>
      </c>
      <c r="I931">
        <v>0.93110000000000004</v>
      </c>
      <c r="J931" s="2" t="str">
        <f>HYPERLINK(SetRGB(J931,G931*255,H931*255,I931*255),"HOVER!")</f>
        <v>HOVER!</v>
      </c>
      <c r="K931">
        <f>E931/F931</f>
        <v>0.22222222222222221</v>
      </c>
    </row>
    <row r="932" spans="1:11" ht="15" x14ac:dyDescent="0.35">
      <c r="A932">
        <f t="shared" si="28"/>
        <v>6</v>
      </c>
      <c r="B932">
        <f t="shared" si="29"/>
        <v>2.5</v>
      </c>
      <c r="C932" s="199" t="str">
        <f>B932&amp;LOOKUP(A932, Sheet2!$A$2:$A$11, Sheet2!$B$2:$B$11)</f>
        <v>2.5B</v>
      </c>
      <c r="D932">
        <v>62.5</v>
      </c>
      <c r="E932">
        <v>4</v>
      </c>
      <c r="F932">
        <v>9</v>
      </c>
      <c r="G932">
        <v>0.68840000000000001</v>
      </c>
      <c r="H932">
        <v>0.94399999999999995</v>
      </c>
      <c r="I932">
        <v>0.97060000000000002</v>
      </c>
      <c r="J932" s="2" t="str">
        <f>HYPERLINK(SetRGB(J932,G932*255,H932*255,I932*255),"HOVER!")</f>
        <v>HOVER!</v>
      </c>
      <c r="K932">
        <f>E932/F932</f>
        <v>0.44444444444444442</v>
      </c>
    </row>
    <row r="933" spans="1:11" ht="15" x14ac:dyDescent="0.35">
      <c r="A933">
        <f t="shared" si="28"/>
        <v>6</v>
      </c>
      <c r="B933">
        <f t="shared" si="29"/>
        <v>5</v>
      </c>
      <c r="C933" s="199" t="str">
        <f>B933&amp;LOOKUP(A933, Sheet2!$A$2:$A$11, Sheet2!$B$2:$B$11)</f>
        <v>5B</v>
      </c>
      <c r="D933">
        <v>65</v>
      </c>
      <c r="E933">
        <v>2</v>
      </c>
      <c r="F933">
        <v>1</v>
      </c>
      <c r="G933">
        <v>3.9100000000000003E-2</v>
      </c>
      <c r="H933">
        <v>0.12280000000000001</v>
      </c>
      <c r="I933">
        <v>0.1527</v>
      </c>
      <c r="J933" s="1" t="str">
        <f>HYPERLINK(SetRGB(J933,G933*255,H933*255,I933*255),"HOVER!")</f>
        <v>HOVER!</v>
      </c>
      <c r="K933">
        <f>E933/F933</f>
        <v>2</v>
      </c>
    </row>
    <row r="934" spans="1:11" ht="15" x14ac:dyDescent="0.35">
      <c r="A934">
        <f t="shared" si="28"/>
        <v>6</v>
      </c>
      <c r="B934">
        <f t="shared" si="29"/>
        <v>5</v>
      </c>
      <c r="C934" s="199" t="str">
        <f>B934&amp;LOOKUP(A934, Sheet2!$A$2:$A$11, Sheet2!$B$2:$B$11)</f>
        <v>5B</v>
      </c>
      <c r="D934">
        <v>65</v>
      </c>
      <c r="E934">
        <v>2</v>
      </c>
      <c r="F934">
        <v>2</v>
      </c>
      <c r="G934">
        <v>0.13239999999999999</v>
      </c>
      <c r="H934">
        <v>0.2046</v>
      </c>
      <c r="I934">
        <v>0.23069999999999999</v>
      </c>
      <c r="J934" s="1" t="str">
        <f>HYPERLINK(SetRGB(J934,G934*255,H934*255,I934*255),"HOVER!")</f>
        <v>HOVER!</v>
      </c>
      <c r="K934">
        <f>E934/F934</f>
        <v>1</v>
      </c>
    </row>
    <row r="935" spans="1:11" ht="15" x14ac:dyDescent="0.35">
      <c r="A935">
        <f t="shared" si="28"/>
        <v>6</v>
      </c>
      <c r="B935">
        <f t="shared" si="29"/>
        <v>5</v>
      </c>
      <c r="C935" s="199" t="str">
        <f>B935&amp;LOOKUP(A935, Sheet2!$A$2:$A$11, Sheet2!$B$2:$B$11)</f>
        <v>5B</v>
      </c>
      <c r="D935">
        <v>65</v>
      </c>
      <c r="E935">
        <v>2</v>
      </c>
      <c r="F935">
        <v>3</v>
      </c>
      <c r="G935">
        <v>0.21010000000000001</v>
      </c>
      <c r="H935">
        <v>0.2974</v>
      </c>
      <c r="I935">
        <v>0.32690000000000002</v>
      </c>
      <c r="J935" s="1" t="str">
        <f>HYPERLINK(SetRGB(J935,G935*255,H935*255,I935*255),"HOVER!")</f>
        <v>HOVER!</v>
      </c>
      <c r="K935">
        <f>E935/F935</f>
        <v>0.66666666666666663</v>
      </c>
    </row>
    <row r="936" spans="1:11" ht="15" x14ac:dyDescent="0.35">
      <c r="A936">
        <f t="shared" si="28"/>
        <v>6</v>
      </c>
      <c r="B936">
        <f t="shared" si="29"/>
        <v>5</v>
      </c>
      <c r="C936" s="199" t="str">
        <f>B936&amp;LOOKUP(A936, Sheet2!$A$2:$A$11, Sheet2!$B$2:$B$11)</f>
        <v>5B</v>
      </c>
      <c r="D936">
        <v>65</v>
      </c>
      <c r="E936">
        <v>4</v>
      </c>
      <c r="F936">
        <v>3</v>
      </c>
      <c r="G936">
        <v>0.08</v>
      </c>
      <c r="H936">
        <v>0.30869999999999997</v>
      </c>
      <c r="I936">
        <v>0.37409999999999999</v>
      </c>
      <c r="J936" s="1" t="str">
        <f>HYPERLINK(SetRGB(J936,G936*255,H936*255,I936*255),"HOVER!")</f>
        <v>HOVER!</v>
      </c>
      <c r="K936">
        <f>E936/F936</f>
        <v>1.3333333333333333</v>
      </c>
    </row>
    <row r="937" spans="1:11" ht="15" x14ac:dyDescent="0.35">
      <c r="A937">
        <f t="shared" si="28"/>
        <v>6</v>
      </c>
      <c r="B937">
        <f t="shared" si="29"/>
        <v>5</v>
      </c>
      <c r="C937" s="199" t="str">
        <f>B937&amp;LOOKUP(A937, Sheet2!$A$2:$A$11, Sheet2!$B$2:$B$11)</f>
        <v>5B</v>
      </c>
      <c r="D937">
        <v>65</v>
      </c>
      <c r="E937">
        <v>2</v>
      </c>
      <c r="F937">
        <v>4</v>
      </c>
      <c r="G937">
        <v>0.30880000000000002</v>
      </c>
      <c r="H937">
        <v>0.39529999999999998</v>
      </c>
      <c r="I937">
        <v>0.42180000000000001</v>
      </c>
      <c r="J937" s="1" t="str">
        <f>HYPERLINK(SetRGB(J937,G937*255,H937*255,I937*255),"HOVER!")</f>
        <v>HOVER!</v>
      </c>
      <c r="K937">
        <f>E937/F937</f>
        <v>0.5</v>
      </c>
    </row>
    <row r="938" spans="1:11" ht="15" x14ac:dyDescent="0.35">
      <c r="A938">
        <f t="shared" si="28"/>
        <v>6</v>
      </c>
      <c r="B938">
        <f t="shared" si="29"/>
        <v>5</v>
      </c>
      <c r="C938" s="199" t="str">
        <f>B938&amp;LOOKUP(A938, Sheet2!$A$2:$A$11, Sheet2!$B$2:$B$11)</f>
        <v>5B</v>
      </c>
      <c r="D938">
        <v>65</v>
      </c>
      <c r="E938">
        <v>4</v>
      </c>
      <c r="F938">
        <v>4</v>
      </c>
      <c r="G938">
        <v>0.20749999999999999</v>
      </c>
      <c r="H938">
        <v>0.40770000000000001</v>
      </c>
      <c r="I938">
        <v>0.46710000000000002</v>
      </c>
      <c r="J938" s="1" t="str">
        <f>HYPERLINK(SetRGB(J938,G938*255,H938*255,I938*255),"HOVER!")</f>
        <v>HOVER!</v>
      </c>
      <c r="K938">
        <f>E938/F938</f>
        <v>1</v>
      </c>
    </row>
    <row r="939" spans="1:11" ht="15" x14ac:dyDescent="0.35">
      <c r="A939">
        <f t="shared" si="28"/>
        <v>6</v>
      </c>
      <c r="B939">
        <f t="shared" si="29"/>
        <v>5</v>
      </c>
      <c r="C939" s="199" t="str">
        <f>B939&amp;LOOKUP(A939, Sheet2!$A$2:$A$11, Sheet2!$B$2:$B$11)</f>
        <v>5B</v>
      </c>
      <c r="D939">
        <v>65</v>
      </c>
      <c r="E939">
        <v>2</v>
      </c>
      <c r="F939">
        <v>5</v>
      </c>
      <c r="G939">
        <v>0.41099999999999998</v>
      </c>
      <c r="H939">
        <v>0.4965</v>
      </c>
      <c r="I939">
        <v>0.52139999999999997</v>
      </c>
      <c r="J939" s="1" t="str">
        <f>HYPERLINK(SetRGB(J939,G939*255,H939*255,I939*255),"HOVER!")</f>
        <v>HOVER!</v>
      </c>
      <c r="K939">
        <f>E939/F939</f>
        <v>0.4</v>
      </c>
    </row>
    <row r="940" spans="1:11" ht="15" x14ac:dyDescent="0.35">
      <c r="A940">
        <f t="shared" si="28"/>
        <v>6</v>
      </c>
      <c r="B940">
        <f t="shared" si="29"/>
        <v>5</v>
      </c>
      <c r="C940" s="199" t="str">
        <f>B940&amp;LOOKUP(A940, Sheet2!$A$2:$A$11, Sheet2!$B$2:$B$11)</f>
        <v>5B</v>
      </c>
      <c r="D940">
        <v>65</v>
      </c>
      <c r="E940">
        <v>4</v>
      </c>
      <c r="F940">
        <v>5</v>
      </c>
      <c r="G940">
        <v>0.31809999999999999</v>
      </c>
      <c r="H940">
        <v>0.5101</v>
      </c>
      <c r="I940">
        <v>0.56410000000000005</v>
      </c>
      <c r="J940" s="1" t="str">
        <f>HYPERLINK(SetRGB(J940,G940*255,H940*255,I940*255),"HOVER!")</f>
        <v>HOVER!</v>
      </c>
      <c r="K940">
        <f>E940/F940</f>
        <v>0.8</v>
      </c>
    </row>
    <row r="941" spans="1:11" ht="15" x14ac:dyDescent="0.35">
      <c r="A941">
        <f t="shared" si="28"/>
        <v>6</v>
      </c>
      <c r="B941">
        <f t="shared" si="29"/>
        <v>5</v>
      </c>
      <c r="C941" s="199" t="str">
        <f>B941&amp;LOOKUP(A941, Sheet2!$A$2:$A$11, Sheet2!$B$2:$B$11)</f>
        <v>5B</v>
      </c>
      <c r="D941">
        <v>65</v>
      </c>
      <c r="E941">
        <v>6</v>
      </c>
      <c r="F941">
        <v>5</v>
      </c>
      <c r="G941">
        <v>0.1764</v>
      </c>
      <c r="H941">
        <v>0.52170000000000005</v>
      </c>
      <c r="I941">
        <v>0.61019999999999996</v>
      </c>
      <c r="J941" s="1" t="str">
        <f>HYPERLINK(SetRGB(J941,G941*255,H941*255,I941*255),"HOVER!")</f>
        <v>HOVER!</v>
      </c>
      <c r="K941">
        <f>E941/F941</f>
        <v>1.2</v>
      </c>
    </row>
    <row r="942" spans="1:11" ht="15" x14ac:dyDescent="0.35">
      <c r="A942">
        <f t="shared" si="28"/>
        <v>6</v>
      </c>
      <c r="B942">
        <f t="shared" si="29"/>
        <v>5</v>
      </c>
      <c r="C942" s="199" t="str">
        <f>B942&amp;LOOKUP(A942, Sheet2!$A$2:$A$11, Sheet2!$B$2:$B$11)</f>
        <v>5B</v>
      </c>
      <c r="D942">
        <v>65</v>
      </c>
      <c r="E942">
        <v>2</v>
      </c>
      <c r="F942">
        <v>6</v>
      </c>
      <c r="G942">
        <v>0.51270000000000004</v>
      </c>
      <c r="H942">
        <v>0.59960000000000002</v>
      </c>
      <c r="I942">
        <v>0.62190000000000001</v>
      </c>
      <c r="J942" s="12" t="str">
        <f>HYPERLINK(SetRGB(J942,G942*255,H942*255,I942*255),"HOVER!")</f>
        <v>HOVER!</v>
      </c>
      <c r="K942">
        <f>E942/F942</f>
        <v>0.33333333333333331</v>
      </c>
    </row>
    <row r="943" spans="1:11" ht="15" x14ac:dyDescent="0.35">
      <c r="A943">
        <f t="shared" si="28"/>
        <v>6</v>
      </c>
      <c r="B943">
        <f t="shared" si="29"/>
        <v>5</v>
      </c>
      <c r="C943" s="199" t="str">
        <f>B943&amp;LOOKUP(A943, Sheet2!$A$2:$A$11, Sheet2!$B$2:$B$11)</f>
        <v>5B</v>
      </c>
      <c r="D943">
        <v>65</v>
      </c>
      <c r="E943">
        <v>4</v>
      </c>
      <c r="F943">
        <v>6</v>
      </c>
      <c r="G943">
        <v>0.4224</v>
      </c>
      <c r="H943">
        <v>0.61409999999999998</v>
      </c>
      <c r="I943">
        <v>0.66459999999999997</v>
      </c>
      <c r="J943" s="13" t="str">
        <f>HYPERLINK(SetRGB(J943,G943*255,H943*255,I943*255),"HOVER!")</f>
        <v>HOVER!</v>
      </c>
      <c r="K943">
        <f>E943/F943</f>
        <v>0.66666666666666663</v>
      </c>
    </row>
    <row r="944" spans="1:11" ht="15" x14ac:dyDescent="0.35">
      <c r="A944">
        <f t="shared" si="28"/>
        <v>6</v>
      </c>
      <c r="B944">
        <f t="shared" si="29"/>
        <v>5</v>
      </c>
      <c r="C944" s="199" t="str">
        <f>B944&amp;LOOKUP(A944, Sheet2!$A$2:$A$11, Sheet2!$B$2:$B$11)</f>
        <v>5B</v>
      </c>
      <c r="D944">
        <v>65</v>
      </c>
      <c r="E944">
        <v>6</v>
      </c>
      <c r="F944">
        <v>6</v>
      </c>
      <c r="G944">
        <v>0.29430000000000001</v>
      </c>
      <c r="H944">
        <v>0.62760000000000005</v>
      </c>
      <c r="I944">
        <v>0.71189999999999998</v>
      </c>
      <c r="J944" s="14" t="str">
        <f>HYPERLINK(SetRGB(J944,G944*255,H944*255,I944*255),"HOVER!")</f>
        <v>HOVER!</v>
      </c>
      <c r="K944">
        <f>E944/F944</f>
        <v>1</v>
      </c>
    </row>
    <row r="945" spans="1:11" ht="15" x14ac:dyDescent="0.35">
      <c r="A945">
        <f t="shared" si="28"/>
        <v>6</v>
      </c>
      <c r="B945">
        <f t="shared" si="29"/>
        <v>5</v>
      </c>
      <c r="C945" s="199" t="str">
        <f>B945&amp;LOOKUP(A945, Sheet2!$A$2:$A$11, Sheet2!$B$2:$B$11)</f>
        <v>5B</v>
      </c>
      <c r="D945">
        <v>65</v>
      </c>
      <c r="E945">
        <v>2</v>
      </c>
      <c r="F945">
        <v>7</v>
      </c>
      <c r="G945">
        <v>0.61570000000000003</v>
      </c>
      <c r="H945">
        <v>0.70330000000000004</v>
      </c>
      <c r="I945">
        <v>0.72519999999999996</v>
      </c>
      <c r="J945" s="2" t="str">
        <f>HYPERLINK(SetRGB(J945,G945*255,H945*255,I945*255),"HOVER!")</f>
        <v>HOVER!</v>
      </c>
      <c r="K945">
        <f>E945/F945</f>
        <v>0.2857142857142857</v>
      </c>
    </row>
    <row r="946" spans="1:11" ht="15" x14ac:dyDescent="0.35">
      <c r="A946">
        <f t="shared" si="28"/>
        <v>6</v>
      </c>
      <c r="B946">
        <f t="shared" si="29"/>
        <v>5</v>
      </c>
      <c r="C946" s="199" t="str">
        <f>B946&amp;LOOKUP(A946, Sheet2!$A$2:$A$11, Sheet2!$B$2:$B$11)</f>
        <v>5B</v>
      </c>
      <c r="D946">
        <v>65</v>
      </c>
      <c r="E946">
        <v>4</v>
      </c>
      <c r="F946">
        <v>7</v>
      </c>
      <c r="G946">
        <v>0.52210000000000001</v>
      </c>
      <c r="H946">
        <v>0.71940000000000004</v>
      </c>
      <c r="I946">
        <v>0.76890000000000003</v>
      </c>
      <c r="J946" s="2" t="str">
        <f>HYPERLINK(SetRGB(J946,G946*255,H946*255,I946*255),"HOVER!")</f>
        <v>HOVER!</v>
      </c>
      <c r="K946">
        <f>E946/F946</f>
        <v>0.5714285714285714</v>
      </c>
    </row>
    <row r="947" spans="1:11" ht="15" x14ac:dyDescent="0.35">
      <c r="A947">
        <f t="shared" si="28"/>
        <v>6</v>
      </c>
      <c r="B947">
        <f t="shared" si="29"/>
        <v>5</v>
      </c>
      <c r="C947" s="199" t="str">
        <f>B947&amp;LOOKUP(A947, Sheet2!$A$2:$A$11, Sheet2!$B$2:$B$11)</f>
        <v>5B</v>
      </c>
      <c r="D947">
        <v>65</v>
      </c>
      <c r="E947">
        <v>6</v>
      </c>
      <c r="F947">
        <v>7</v>
      </c>
      <c r="G947">
        <v>0.40799999999999997</v>
      </c>
      <c r="H947">
        <v>0.73329999999999995</v>
      </c>
      <c r="I947">
        <v>0.81359999999999999</v>
      </c>
      <c r="J947" s="2" t="str">
        <f>HYPERLINK(SetRGB(J947,G947*255,H947*255,I947*255),"HOVER!")</f>
        <v>HOVER!</v>
      </c>
      <c r="K947">
        <f>E947/F947</f>
        <v>0.8571428571428571</v>
      </c>
    </row>
    <row r="948" spans="1:11" ht="15" x14ac:dyDescent="0.35">
      <c r="A948">
        <f t="shared" si="28"/>
        <v>6</v>
      </c>
      <c r="B948">
        <f t="shared" si="29"/>
        <v>5</v>
      </c>
      <c r="C948" s="199" t="str">
        <f>B948&amp;LOOKUP(A948, Sheet2!$A$2:$A$11, Sheet2!$B$2:$B$11)</f>
        <v>5B</v>
      </c>
      <c r="D948">
        <v>65</v>
      </c>
      <c r="E948">
        <v>8</v>
      </c>
      <c r="F948">
        <v>7</v>
      </c>
      <c r="G948">
        <v>0.23519999999999999</v>
      </c>
      <c r="H948">
        <v>0.74580000000000002</v>
      </c>
      <c r="I948">
        <v>0.85919999999999996</v>
      </c>
      <c r="J948" s="2" t="str">
        <f>HYPERLINK(SetRGB(J948,G948*255,H948*255,I948*255),"HOVER!")</f>
        <v>HOVER!</v>
      </c>
      <c r="K948">
        <f>E948/F948</f>
        <v>1.1428571428571428</v>
      </c>
    </row>
    <row r="949" spans="1:11" ht="15" x14ac:dyDescent="0.35">
      <c r="A949">
        <f t="shared" si="28"/>
        <v>6</v>
      </c>
      <c r="B949">
        <f t="shared" si="29"/>
        <v>5</v>
      </c>
      <c r="C949" s="199" t="str">
        <f>B949&amp;LOOKUP(A949, Sheet2!$A$2:$A$11, Sheet2!$B$2:$B$11)</f>
        <v>5B</v>
      </c>
      <c r="D949">
        <v>65</v>
      </c>
      <c r="E949">
        <v>2</v>
      </c>
      <c r="F949">
        <v>8</v>
      </c>
      <c r="G949">
        <v>0.72189999999999999</v>
      </c>
      <c r="H949">
        <v>0.80820000000000003</v>
      </c>
      <c r="I949">
        <v>0.8276</v>
      </c>
      <c r="J949" s="2" t="str">
        <f>HYPERLINK(SetRGB(J949,G949*255,H949*255,I949*255),"HOVER!")</f>
        <v>HOVER!</v>
      </c>
      <c r="K949">
        <f>E949/F949</f>
        <v>0.25</v>
      </c>
    </row>
    <row r="950" spans="1:11" ht="15" x14ac:dyDescent="0.35">
      <c r="A950">
        <f t="shared" si="28"/>
        <v>6</v>
      </c>
      <c r="B950">
        <f t="shared" si="29"/>
        <v>5</v>
      </c>
      <c r="C950" s="199" t="str">
        <f>B950&amp;LOOKUP(A950, Sheet2!$A$2:$A$11, Sheet2!$B$2:$B$11)</f>
        <v>5B</v>
      </c>
      <c r="D950">
        <v>65</v>
      </c>
      <c r="E950">
        <v>4</v>
      </c>
      <c r="F950">
        <v>8</v>
      </c>
      <c r="G950">
        <v>0.61980000000000002</v>
      </c>
      <c r="H950">
        <v>0.82650000000000001</v>
      </c>
      <c r="I950">
        <v>0.87490000000000001</v>
      </c>
      <c r="J950" s="2" t="str">
        <f>HYPERLINK(SetRGB(J950,G950*255,H950*255,I950*255),"HOVER!")</f>
        <v>HOVER!</v>
      </c>
      <c r="K950">
        <f>E950/F950</f>
        <v>0.5</v>
      </c>
    </row>
    <row r="951" spans="1:11" ht="15" x14ac:dyDescent="0.35">
      <c r="A951">
        <f t="shared" si="28"/>
        <v>6</v>
      </c>
      <c r="B951">
        <f t="shared" si="29"/>
        <v>5</v>
      </c>
      <c r="C951" s="199" t="str">
        <f>B951&amp;LOOKUP(A951, Sheet2!$A$2:$A$11, Sheet2!$B$2:$B$11)</f>
        <v>5B</v>
      </c>
      <c r="D951">
        <v>65</v>
      </c>
      <c r="E951">
        <v>6</v>
      </c>
      <c r="F951">
        <v>8</v>
      </c>
      <c r="G951">
        <v>0.50239999999999996</v>
      </c>
      <c r="H951">
        <v>0.84179999999999999</v>
      </c>
      <c r="I951">
        <v>0.92300000000000004</v>
      </c>
      <c r="J951" s="2" t="str">
        <f>HYPERLINK(SetRGB(J951,G951*255,H951*255,I951*255),"HOVER!")</f>
        <v>HOVER!</v>
      </c>
      <c r="K951">
        <f>E951/F951</f>
        <v>0.75</v>
      </c>
    </row>
    <row r="952" spans="1:11" ht="15" x14ac:dyDescent="0.35">
      <c r="A952">
        <f t="shared" si="28"/>
        <v>6</v>
      </c>
      <c r="B952">
        <f t="shared" si="29"/>
        <v>5</v>
      </c>
      <c r="C952" s="199" t="str">
        <f>B952&amp;LOOKUP(A952, Sheet2!$A$2:$A$11, Sheet2!$B$2:$B$11)</f>
        <v>5B</v>
      </c>
      <c r="D952">
        <v>65</v>
      </c>
      <c r="E952">
        <v>8</v>
      </c>
      <c r="F952">
        <v>8</v>
      </c>
      <c r="G952">
        <v>0.3135</v>
      </c>
      <c r="H952">
        <v>0.85729999999999995</v>
      </c>
      <c r="I952">
        <v>0.97650000000000003</v>
      </c>
      <c r="J952" s="2" t="str">
        <f>HYPERLINK(SetRGB(J952,G952*255,H952*255,I952*255),"HOVER!")</f>
        <v>HOVER!</v>
      </c>
      <c r="K952">
        <f>E952/F952</f>
        <v>1</v>
      </c>
    </row>
    <row r="953" spans="1:11" ht="15" x14ac:dyDescent="0.35">
      <c r="A953">
        <f t="shared" si="28"/>
        <v>6</v>
      </c>
      <c r="B953">
        <f t="shared" si="29"/>
        <v>5</v>
      </c>
      <c r="C953" s="199" t="str">
        <f>B953&amp;LOOKUP(A953, Sheet2!$A$2:$A$11, Sheet2!$B$2:$B$11)</f>
        <v>5B</v>
      </c>
      <c r="D953">
        <v>65</v>
      </c>
      <c r="E953">
        <v>2</v>
      </c>
      <c r="F953">
        <v>9</v>
      </c>
      <c r="G953">
        <v>0.82450000000000001</v>
      </c>
      <c r="H953">
        <v>0.91659999999999997</v>
      </c>
      <c r="I953">
        <v>0.93640000000000001</v>
      </c>
      <c r="J953" s="2" t="str">
        <f>HYPERLINK(SetRGB(J953,G953*255,H953*255,I953*255),"HOVER!")</f>
        <v>HOVER!</v>
      </c>
      <c r="K953">
        <f>E953/F953</f>
        <v>0.22222222222222221</v>
      </c>
    </row>
    <row r="954" spans="1:11" ht="15" x14ac:dyDescent="0.35">
      <c r="A954">
        <f t="shared" si="28"/>
        <v>6</v>
      </c>
      <c r="B954">
        <f t="shared" si="29"/>
        <v>5</v>
      </c>
      <c r="C954" s="199" t="str">
        <f>B954&amp;LOOKUP(A954, Sheet2!$A$2:$A$11, Sheet2!$B$2:$B$11)</f>
        <v>5B</v>
      </c>
      <c r="D954">
        <v>65</v>
      </c>
      <c r="E954">
        <v>4</v>
      </c>
      <c r="F954">
        <v>9</v>
      </c>
      <c r="G954">
        <v>0.70569999999999999</v>
      </c>
      <c r="H954">
        <v>0.93820000000000003</v>
      </c>
      <c r="I954">
        <v>0.99019999999999997</v>
      </c>
      <c r="J954" s="2" t="str">
        <f>HYPERLINK(SetRGB(J954,G954*255,H954*255,I954*255),"HOVER!")</f>
        <v>HOVER!</v>
      </c>
      <c r="K954">
        <f>E954/F954</f>
        <v>0.44444444444444442</v>
      </c>
    </row>
    <row r="955" spans="1:11" ht="15" x14ac:dyDescent="0.35">
      <c r="A955">
        <f t="shared" si="28"/>
        <v>6</v>
      </c>
      <c r="B955">
        <f t="shared" si="29"/>
        <v>7.5</v>
      </c>
      <c r="C955" s="199" t="str">
        <f>B955&amp;LOOKUP(A955, Sheet2!$A$2:$A$11, Sheet2!$B$2:$B$11)</f>
        <v>7.5B</v>
      </c>
      <c r="D955">
        <v>67.5</v>
      </c>
      <c r="E955">
        <v>2</v>
      </c>
      <c r="F955">
        <v>1</v>
      </c>
      <c r="G955">
        <v>4.6800000000000001E-2</v>
      </c>
      <c r="H955">
        <v>0.121</v>
      </c>
      <c r="I955">
        <v>0.15820000000000001</v>
      </c>
      <c r="J955" s="1" t="str">
        <f>HYPERLINK(SetRGB(J955,G955*255,H955*255,I955*255),"HOVER!")</f>
        <v>HOVER!</v>
      </c>
      <c r="K955">
        <f>E955/F955</f>
        <v>2</v>
      </c>
    </row>
    <row r="956" spans="1:11" ht="15" x14ac:dyDescent="0.35">
      <c r="A956">
        <f t="shared" si="28"/>
        <v>6</v>
      </c>
      <c r="B956">
        <f t="shared" si="29"/>
        <v>7.5</v>
      </c>
      <c r="C956" s="199" t="str">
        <f>B956&amp;LOOKUP(A956, Sheet2!$A$2:$A$11, Sheet2!$B$2:$B$11)</f>
        <v>7.5B</v>
      </c>
      <c r="D956">
        <v>67.5</v>
      </c>
      <c r="E956">
        <v>2</v>
      </c>
      <c r="F956">
        <v>2</v>
      </c>
      <c r="G956">
        <v>0.13619999999999999</v>
      </c>
      <c r="H956">
        <v>0.2031</v>
      </c>
      <c r="I956">
        <v>0.2369</v>
      </c>
      <c r="J956" s="1" t="str">
        <f>HYPERLINK(SetRGB(J956,G956*255,H956*255,I956*255),"HOVER!")</f>
        <v>HOVER!</v>
      </c>
      <c r="K956">
        <f>E956/F956</f>
        <v>1</v>
      </c>
    </row>
    <row r="957" spans="1:11" ht="15" x14ac:dyDescent="0.35">
      <c r="A957">
        <f t="shared" si="28"/>
        <v>6</v>
      </c>
      <c r="B957">
        <f t="shared" si="29"/>
        <v>7.5</v>
      </c>
      <c r="C957" s="199" t="str">
        <f>B957&amp;LOOKUP(A957, Sheet2!$A$2:$A$11, Sheet2!$B$2:$B$11)</f>
        <v>7.5B</v>
      </c>
      <c r="D957">
        <v>67.5</v>
      </c>
      <c r="E957">
        <v>4</v>
      </c>
      <c r="F957">
        <v>2</v>
      </c>
      <c r="G957">
        <v>1.7299999999999999E-2</v>
      </c>
      <c r="H957">
        <v>0.2104</v>
      </c>
      <c r="I957">
        <v>0.28339999999999999</v>
      </c>
      <c r="J957" s="1" t="str">
        <f>HYPERLINK(SetRGB(J957,G957*255,H957*255,I957*255),"HOVER!")</f>
        <v>HOVER!</v>
      </c>
      <c r="K957">
        <f>E957/F957</f>
        <v>2</v>
      </c>
    </row>
    <row r="958" spans="1:11" ht="15" x14ac:dyDescent="0.35">
      <c r="A958">
        <f t="shared" si="28"/>
        <v>6</v>
      </c>
      <c r="B958">
        <f t="shared" si="29"/>
        <v>7.5</v>
      </c>
      <c r="C958" s="199" t="str">
        <f>B958&amp;LOOKUP(A958, Sheet2!$A$2:$A$11, Sheet2!$B$2:$B$11)</f>
        <v>7.5B</v>
      </c>
      <c r="D958">
        <v>67.5</v>
      </c>
      <c r="E958">
        <v>2</v>
      </c>
      <c r="F958">
        <v>3</v>
      </c>
      <c r="G958">
        <v>0.21709999999999999</v>
      </c>
      <c r="H958">
        <v>0.29509999999999997</v>
      </c>
      <c r="I958">
        <v>0.33350000000000002</v>
      </c>
      <c r="J958" s="1" t="str">
        <f>HYPERLINK(SetRGB(J958,G958*255,H958*255,I958*255),"HOVER!")</f>
        <v>HOVER!</v>
      </c>
      <c r="K958">
        <f>E958/F958</f>
        <v>0.66666666666666663</v>
      </c>
    </row>
    <row r="959" spans="1:11" ht="15" x14ac:dyDescent="0.35">
      <c r="A959">
        <f t="shared" si="28"/>
        <v>6</v>
      </c>
      <c r="B959">
        <f t="shared" si="29"/>
        <v>7.5</v>
      </c>
      <c r="C959" s="199" t="str">
        <f>B959&amp;LOOKUP(A959, Sheet2!$A$2:$A$11, Sheet2!$B$2:$B$11)</f>
        <v>7.5B</v>
      </c>
      <c r="D959">
        <v>67.5</v>
      </c>
      <c r="E959">
        <v>4</v>
      </c>
      <c r="F959">
        <v>3</v>
      </c>
      <c r="G959">
        <v>0.1152</v>
      </c>
      <c r="H959">
        <v>0.30409999999999998</v>
      </c>
      <c r="I959">
        <v>0.38429999999999997</v>
      </c>
      <c r="J959" s="1" t="str">
        <f>HYPERLINK(SetRGB(J959,G959*255,H959*255,I959*255),"HOVER!")</f>
        <v>HOVER!</v>
      </c>
      <c r="K959">
        <f>E959/F959</f>
        <v>1.3333333333333333</v>
      </c>
    </row>
    <row r="960" spans="1:11" ht="15" x14ac:dyDescent="0.35">
      <c r="A960">
        <f t="shared" si="28"/>
        <v>6</v>
      </c>
      <c r="B960">
        <f t="shared" si="29"/>
        <v>7.5</v>
      </c>
      <c r="C960" s="199" t="str">
        <f>B960&amp;LOOKUP(A960, Sheet2!$A$2:$A$11, Sheet2!$B$2:$B$11)</f>
        <v>7.5B</v>
      </c>
      <c r="D960">
        <v>67.5</v>
      </c>
      <c r="E960">
        <v>2</v>
      </c>
      <c r="F960">
        <v>4</v>
      </c>
      <c r="G960">
        <v>0.31790000000000002</v>
      </c>
      <c r="H960">
        <v>0.3926</v>
      </c>
      <c r="I960">
        <v>0.42720000000000002</v>
      </c>
      <c r="J960" s="1" t="str">
        <f>HYPERLINK(SetRGB(J960,G960*255,H960*255,I960*255),"HOVER!")</f>
        <v>HOVER!</v>
      </c>
      <c r="K960">
        <f>E960/F960</f>
        <v>0.5</v>
      </c>
    </row>
    <row r="961" spans="1:11" ht="15" x14ac:dyDescent="0.35">
      <c r="A961">
        <f t="shared" si="28"/>
        <v>6</v>
      </c>
      <c r="B961">
        <f t="shared" si="29"/>
        <v>7.5</v>
      </c>
      <c r="C961" s="199" t="str">
        <f>B961&amp;LOOKUP(A961, Sheet2!$A$2:$A$11, Sheet2!$B$2:$B$11)</f>
        <v>7.5B</v>
      </c>
      <c r="D961">
        <v>67.5</v>
      </c>
      <c r="E961">
        <v>4</v>
      </c>
      <c r="F961">
        <v>4</v>
      </c>
      <c r="G961">
        <v>0.2334</v>
      </c>
      <c r="H961">
        <v>0.40260000000000001</v>
      </c>
      <c r="I961">
        <v>0.47689999999999999</v>
      </c>
      <c r="J961" s="1" t="str">
        <f>HYPERLINK(SetRGB(J961,G961*255,H961*255,I961*255),"HOVER!")</f>
        <v>HOVER!</v>
      </c>
      <c r="K961">
        <f>E961/F961</f>
        <v>1</v>
      </c>
    </row>
    <row r="962" spans="1:11" ht="15" x14ac:dyDescent="0.35">
      <c r="A962">
        <f t="shared" si="28"/>
        <v>6</v>
      </c>
      <c r="B962">
        <f t="shared" si="29"/>
        <v>7.5</v>
      </c>
      <c r="C962" s="199" t="str">
        <f>B962&amp;LOOKUP(A962, Sheet2!$A$2:$A$11, Sheet2!$B$2:$B$11)</f>
        <v>7.5B</v>
      </c>
      <c r="D962">
        <v>67.5</v>
      </c>
      <c r="E962">
        <v>6</v>
      </c>
      <c r="F962">
        <v>4</v>
      </c>
      <c r="G962">
        <v>9.5299999999999996E-2</v>
      </c>
      <c r="H962">
        <v>0.41049999999999998</v>
      </c>
      <c r="I962">
        <v>0.52480000000000004</v>
      </c>
      <c r="J962" s="1" t="str">
        <f>HYPERLINK(SetRGB(J962,G962*255,H962*255,I962*255),"HOVER!")</f>
        <v>HOVER!</v>
      </c>
      <c r="K962">
        <f>E962/F962</f>
        <v>1.5</v>
      </c>
    </row>
    <row r="963" spans="1:11" ht="15" x14ac:dyDescent="0.35">
      <c r="A963">
        <f t="shared" si="28"/>
        <v>6</v>
      </c>
      <c r="B963">
        <f t="shared" si="29"/>
        <v>7.5</v>
      </c>
      <c r="C963" s="199" t="str">
        <f>B963&amp;LOOKUP(A963, Sheet2!$A$2:$A$11, Sheet2!$B$2:$B$11)</f>
        <v>7.5B</v>
      </c>
      <c r="D963">
        <v>67.5</v>
      </c>
      <c r="E963">
        <v>2</v>
      </c>
      <c r="F963">
        <v>5</v>
      </c>
      <c r="G963">
        <v>0.41930000000000001</v>
      </c>
      <c r="H963">
        <v>0.49399999999999999</v>
      </c>
      <c r="I963">
        <v>0.52590000000000003</v>
      </c>
      <c r="J963" s="1" t="str">
        <f>HYPERLINK(SetRGB(J963,G963*255,H963*255,I963*255),"HOVER!")</f>
        <v>HOVER!</v>
      </c>
      <c r="K963">
        <f>E963/F963</f>
        <v>0.4</v>
      </c>
    </row>
    <row r="964" spans="1:11" ht="15" x14ac:dyDescent="0.35">
      <c r="A964">
        <f t="shared" si="28"/>
        <v>6</v>
      </c>
      <c r="B964">
        <f t="shared" si="29"/>
        <v>7.5</v>
      </c>
      <c r="C964" s="199" t="str">
        <f>B964&amp;LOOKUP(A964, Sheet2!$A$2:$A$11, Sheet2!$B$2:$B$11)</f>
        <v>7.5B</v>
      </c>
      <c r="D964">
        <v>67.5</v>
      </c>
      <c r="E964">
        <v>4</v>
      </c>
      <c r="F964">
        <v>5</v>
      </c>
      <c r="G964">
        <v>0.34039999999999998</v>
      </c>
      <c r="H964">
        <v>0.50480000000000003</v>
      </c>
      <c r="I964">
        <v>0.57489999999999997</v>
      </c>
      <c r="J964" s="1" t="str">
        <f>HYPERLINK(SetRGB(J964,G964*255,H964*255,I964*255),"HOVER!")</f>
        <v>HOVER!</v>
      </c>
      <c r="K964">
        <f>E964/F964</f>
        <v>0.8</v>
      </c>
    </row>
    <row r="965" spans="1:11" ht="15" x14ac:dyDescent="0.35">
      <c r="A965">
        <f t="shared" si="28"/>
        <v>6</v>
      </c>
      <c r="B965">
        <f t="shared" si="29"/>
        <v>7.5</v>
      </c>
      <c r="C965" s="199" t="str">
        <f>B965&amp;LOOKUP(A965, Sheet2!$A$2:$A$11, Sheet2!$B$2:$B$11)</f>
        <v>7.5B</v>
      </c>
      <c r="D965">
        <v>67.5</v>
      </c>
      <c r="E965">
        <v>6</v>
      </c>
      <c r="F965">
        <v>5</v>
      </c>
      <c r="G965">
        <v>0.2319</v>
      </c>
      <c r="H965">
        <v>0.51429999999999998</v>
      </c>
      <c r="I965">
        <v>0.62419999999999998</v>
      </c>
      <c r="J965" s="1" t="str">
        <f>HYPERLINK(SetRGB(J965,G965*255,H965*255,I965*255),"HOVER!")</f>
        <v>HOVER!</v>
      </c>
      <c r="K965">
        <f>E965/F965</f>
        <v>1.2</v>
      </c>
    </row>
    <row r="966" spans="1:11" ht="15" x14ac:dyDescent="0.35">
      <c r="A966">
        <f t="shared" si="28"/>
        <v>6</v>
      </c>
      <c r="B966">
        <f t="shared" si="29"/>
        <v>7.5</v>
      </c>
      <c r="C966" s="199" t="str">
        <f>B966&amp;LOOKUP(A966, Sheet2!$A$2:$A$11, Sheet2!$B$2:$B$11)</f>
        <v>7.5B</v>
      </c>
      <c r="D966">
        <v>67.5</v>
      </c>
      <c r="E966">
        <v>2</v>
      </c>
      <c r="F966">
        <v>6</v>
      </c>
      <c r="G966">
        <v>0.5222</v>
      </c>
      <c r="H966">
        <v>0.59670000000000001</v>
      </c>
      <c r="I966">
        <v>0.62590000000000001</v>
      </c>
      <c r="J966" s="15" t="str">
        <f>HYPERLINK(SetRGB(J966,G966*255,H966*255,I966*255),"HOVER!")</f>
        <v>HOVER!</v>
      </c>
      <c r="K966">
        <f>E966/F966</f>
        <v>0.33333333333333331</v>
      </c>
    </row>
    <row r="967" spans="1:11" ht="15" x14ac:dyDescent="0.35">
      <c r="A967">
        <f t="shared" si="28"/>
        <v>6</v>
      </c>
      <c r="B967">
        <f t="shared" si="29"/>
        <v>7.5</v>
      </c>
      <c r="C967" s="199" t="str">
        <f>B967&amp;LOOKUP(A967, Sheet2!$A$2:$A$11, Sheet2!$B$2:$B$11)</f>
        <v>7.5B</v>
      </c>
      <c r="D967">
        <v>67.5</v>
      </c>
      <c r="E967">
        <v>4</v>
      </c>
      <c r="F967">
        <v>6</v>
      </c>
      <c r="G967">
        <v>0.44629999999999997</v>
      </c>
      <c r="H967">
        <v>0.60819999999999996</v>
      </c>
      <c r="I967">
        <v>0.67400000000000004</v>
      </c>
      <c r="J967" s="16" t="str">
        <f>HYPERLINK(SetRGB(J967,G967*255,H967*255,I967*255),"HOVER!")</f>
        <v>HOVER!</v>
      </c>
      <c r="K967">
        <f>E967/F967</f>
        <v>0.66666666666666663</v>
      </c>
    </row>
    <row r="968" spans="1:11" ht="15" x14ac:dyDescent="0.35">
      <c r="A968">
        <f t="shared" si="28"/>
        <v>6</v>
      </c>
      <c r="B968">
        <f t="shared" si="29"/>
        <v>7.5</v>
      </c>
      <c r="C968" s="199" t="str">
        <f>B968&amp;LOOKUP(A968, Sheet2!$A$2:$A$11, Sheet2!$B$2:$B$11)</f>
        <v>7.5B</v>
      </c>
      <c r="D968">
        <v>67.5</v>
      </c>
      <c r="E968">
        <v>6</v>
      </c>
      <c r="F968">
        <v>6</v>
      </c>
      <c r="G968">
        <v>0.34200000000000003</v>
      </c>
      <c r="H968">
        <v>0.61939999999999995</v>
      </c>
      <c r="I968">
        <v>0.72629999999999995</v>
      </c>
      <c r="J968" s="2" t="str">
        <f>HYPERLINK(SetRGB(J968,G968*255,H968*255,I968*255),"HOVER!")</f>
        <v>HOVER!</v>
      </c>
      <c r="K968">
        <f>E968/F968</f>
        <v>1</v>
      </c>
    </row>
    <row r="969" spans="1:11" ht="15" x14ac:dyDescent="0.35">
      <c r="A969">
        <f t="shared" si="28"/>
        <v>6</v>
      </c>
      <c r="B969">
        <f t="shared" si="29"/>
        <v>7.5</v>
      </c>
      <c r="C969" s="199" t="str">
        <f>B969&amp;LOOKUP(A969, Sheet2!$A$2:$A$11, Sheet2!$B$2:$B$11)</f>
        <v>7.5B</v>
      </c>
      <c r="D969">
        <v>67.5</v>
      </c>
      <c r="E969">
        <v>8</v>
      </c>
      <c r="F969">
        <v>6</v>
      </c>
      <c r="G969">
        <v>0.18</v>
      </c>
      <c r="H969">
        <v>0.629</v>
      </c>
      <c r="I969">
        <v>0.77790000000000004</v>
      </c>
      <c r="J969" s="2" t="str">
        <f>HYPERLINK(SetRGB(J969,G969*255,H969*255,I969*255),"HOVER!")</f>
        <v>HOVER!</v>
      </c>
      <c r="K969">
        <f>E969/F969</f>
        <v>1.3333333333333333</v>
      </c>
    </row>
    <row r="970" spans="1:11" ht="15" x14ac:dyDescent="0.35">
      <c r="A970">
        <f t="shared" si="28"/>
        <v>6</v>
      </c>
      <c r="B970">
        <f t="shared" si="29"/>
        <v>7.5</v>
      </c>
      <c r="C970" s="199" t="str">
        <f>B970&amp;LOOKUP(A970, Sheet2!$A$2:$A$11, Sheet2!$B$2:$B$11)</f>
        <v>7.5B</v>
      </c>
      <c r="D970">
        <v>67.5</v>
      </c>
      <c r="E970">
        <v>2</v>
      </c>
      <c r="F970">
        <v>7</v>
      </c>
      <c r="G970">
        <v>0.62570000000000003</v>
      </c>
      <c r="H970">
        <v>0.70040000000000002</v>
      </c>
      <c r="I970">
        <v>0.72850000000000004</v>
      </c>
      <c r="J970" s="2" t="str">
        <f>HYPERLINK(SetRGB(J970,G970*255,H970*255,I970*255),"HOVER!")</f>
        <v>HOVER!</v>
      </c>
      <c r="K970">
        <f>E970/F970</f>
        <v>0.2857142857142857</v>
      </c>
    </row>
    <row r="971" spans="1:11" ht="15" x14ac:dyDescent="0.35">
      <c r="A971">
        <f t="shared" si="28"/>
        <v>6</v>
      </c>
      <c r="B971">
        <f t="shared" si="29"/>
        <v>7.5</v>
      </c>
      <c r="C971" s="199" t="str">
        <f>B971&amp;LOOKUP(A971, Sheet2!$A$2:$A$11, Sheet2!$B$2:$B$11)</f>
        <v>7.5B</v>
      </c>
      <c r="D971">
        <v>67.5</v>
      </c>
      <c r="E971">
        <v>4</v>
      </c>
      <c r="F971">
        <v>7</v>
      </c>
      <c r="G971">
        <v>0.54290000000000005</v>
      </c>
      <c r="H971">
        <v>0.71409999999999996</v>
      </c>
      <c r="I971">
        <v>0.77749999999999997</v>
      </c>
      <c r="J971" s="2" t="str">
        <f>HYPERLINK(SetRGB(J971,G971*255,H971*255,I971*255),"HOVER!")</f>
        <v>HOVER!</v>
      </c>
      <c r="K971">
        <f>E971/F971</f>
        <v>0.5714285714285714</v>
      </c>
    </row>
    <row r="972" spans="1:11" ht="15" x14ac:dyDescent="0.35">
      <c r="A972">
        <f t="shared" si="28"/>
        <v>6</v>
      </c>
      <c r="B972">
        <f t="shared" si="29"/>
        <v>7.5</v>
      </c>
      <c r="C972" s="199" t="str">
        <f>B972&amp;LOOKUP(A972, Sheet2!$A$2:$A$11, Sheet2!$B$2:$B$11)</f>
        <v>7.5B</v>
      </c>
      <c r="D972">
        <v>67.5</v>
      </c>
      <c r="E972">
        <v>6</v>
      </c>
      <c r="F972">
        <v>7</v>
      </c>
      <c r="G972">
        <v>0.44729999999999998</v>
      </c>
      <c r="H972">
        <v>0.72560000000000002</v>
      </c>
      <c r="I972">
        <v>0.82709999999999995</v>
      </c>
      <c r="J972" s="2" t="str">
        <f>HYPERLINK(SetRGB(J972,G972*255,H972*255,I972*255),"HOVER!")</f>
        <v>HOVER!</v>
      </c>
      <c r="K972">
        <f>E972/F972</f>
        <v>0.8571428571428571</v>
      </c>
    </row>
    <row r="973" spans="1:11" ht="15" x14ac:dyDescent="0.35">
      <c r="A973">
        <f t="shared" si="28"/>
        <v>6</v>
      </c>
      <c r="B973">
        <f t="shared" si="29"/>
        <v>7.5</v>
      </c>
      <c r="C973" s="199" t="str">
        <f>B973&amp;LOOKUP(A973, Sheet2!$A$2:$A$11, Sheet2!$B$2:$B$11)</f>
        <v>7.5B</v>
      </c>
      <c r="D973">
        <v>67.5</v>
      </c>
      <c r="E973">
        <v>8</v>
      </c>
      <c r="F973">
        <v>7</v>
      </c>
      <c r="G973">
        <v>0.30840000000000001</v>
      </c>
      <c r="H973">
        <v>0.73640000000000005</v>
      </c>
      <c r="I973">
        <v>0.88149999999999995</v>
      </c>
      <c r="J973" s="2" t="str">
        <f>HYPERLINK(SetRGB(J973,G973*255,H973*255,I973*255),"HOVER!")</f>
        <v>HOVER!</v>
      </c>
      <c r="K973">
        <f>E973/F973</f>
        <v>1.1428571428571428</v>
      </c>
    </row>
    <row r="974" spans="1:11" ht="15" x14ac:dyDescent="0.35">
      <c r="A974">
        <f t="shared" ref="A974:A1037" si="30">IF(FLOOR(D974/10,1)=0,10,FLOOR(D974/10,1))</f>
        <v>6</v>
      </c>
      <c r="B974">
        <f t="shared" ref="B974:B1037" si="31">IF(MOD(D974,10)=0,10,MOD(D974,10))</f>
        <v>7.5</v>
      </c>
      <c r="C974" s="199" t="str">
        <f>B974&amp;LOOKUP(A974, Sheet2!$A$2:$A$11, Sheet2!$B$2:$B$11)</f>
        <v>7.5B</v>
      </c>
      <c r="D974">
        <v>67.5</v>
      </c>
      <c r="E974">
        <v>2</v>
      </c>
      <c r="F974">
        <v>8</v>
      </c>
      <c r="G974">
        <v>0.73329999999999995</v>
      </c>
      <c r="H974">
        <v>0.80479999999999996</v>
      </c>
      <c r="I974">
        <v>0.83089999999999997</v>
      </c>
      <c r="J974" s="2" t="str">
        <f>HYPERLINK(SetRGB(J974,G974*255,H974*255,I974*255),"HOVER!")</f>
        <v>HOVER!</v>
      </c>
      <c r="K974">
        <f>E974/F974</f>
        <v>0.25</v>
      </c>
    </row>
    <row r="975" spans="1:11" ht="15" x14ac:dyDescent="0.35">
      <c r="A975">
        <f t="shared" si="30"/>
        <v>6</v>
      </c>
      <c r="B975">
        <f t="shared" si="31"/>
        <v>7.5</v>
      </c>
      <c r="C975" s="199" t="str">
        <f>B975&amp;LOOKUP(A975, Sheet2!$A$2:$A$11, Sheet2!$B$2:$B$11)</f>
        <v>7.5B</v>
      </c>
      <c r="D975">
        <v>67.5</v>
      </c>
      <c r="E975">
        <v>4</v>
      </c>
      <c r="F975">
        <v>8</v>
      </c>
      <c r="G975">
        <v>0.64139999999999997</v>
      </c>
      <c r="H975">
        <v>0.82079999999999997</v>
      </c>
      <c r="I975">
        <v>0.88390000000000002</v>
      </c>
      <c r="J975" s="2" t="str">
        <f>HYPERLINK(SetRGB(J975,G975*255,H975*255,I975*255),"HOVER!")</f>
        <v>HOVER!</v>
      </c>
      <c r="K975">
        <f>E975/F975</f>
        <v>0.5</v>
      </c>
    </row>
    <row r="976" spans="1:11" ht="15" x14ac:dyDescent="0.35">
      <c r="A976">
        <f t="shared" si="30"/>
        <v>6</v>
      </c>
      <c r="B976">
        <f t="shared" si="31"/>
        <v>7.5</v>
      </c>
      <c r="C976" s="199" t="str">
        <f>B976&amp;LOOKUP(A976, Sheet2!$A$2:$A$11, Sheet2!$B$2:$B$11)</f>
        <v>7.5B</v>
      </c>
      <c r="D976">
        <v>67.5</v>
      </c>
      <c r="E976">
        <v>6</v>
      </c>
      <c r="F976">
        <v>8</v>
      </c>
      <c r="G976">
        <v>0.53580000000000005</v>
      </c>
      <c r="H976">
        <v>0.83430000000000004</v>
      </c>
      <c r="I976">
        <v>0.93920000000000003</v>
      </c>
      <c r="J976" s="2" t="str">
        <f>HYPERLINK(SetRGB(J976,G976*255,H976*255,I976*255),"HOVER!")</f>
        <v>HOVER!</v>
      </c>
      <c r="K976">
        <f>E976/F976</f>
        <v>0.75</v>
      </c>
    </row>
    <row r="977" spans="1:11" ht="15" x14ac:dyDescent="0.35">
      <c r="A977">
        <f t="shared" si="30"/>
        <v>6</v>
      </c>
      <c r="B977">
        <f t="shared" si="31"/>
        <v>7.5</v>
      </c>
      <c r="C977" s="199" t="str">
        <f>B977&amp;LOOKUP(A977, Sheet2!$A$2:$A$11, Sheet2!$B$2:$B$11)</f>
        <v>7.5B</v>
      </c>
      <c r="D977">
        <v>67.5</v>
      </c>
      <c r="E977">
        <v>8</v>
      </c>
      <c r="F977">
        <v>8</v>
      </c>
      <c r="G977">
        <v>0.37830000000000003</v>
      </c>
      <c r="H977">
        <v>0.84789999999999999</v>
      </c>
      <c r="I977">
        <v>1</v>
      </c>
      <c r="J977" s="2" t="str">
        <f>HYPERLINK(SetRGB(J977,G977*255,H977*255,I977*255),"HOVER!")</f>
        <v>HOVER!</v>
      </c>
      <c r="K977">
        <f>E977/F977</f>
        <v>1</v>
      </c>
    </row>
    <row r="978" spans="1:11" ht="15" x14ac:dyDescent="0.35">
      <c r="A978">
        <f t="shared" si="30"/>
        <v>6</v>
      </c>
      <c r="B978">
        <f t="shared" si="31"/>
        <v>7.5</v>
      </c>
      <c r="C978" s="199" t="str">
        <f>B978&amp;LOOKUP(A978, Sheet2!$A$2:$A$11, Sheet2!$B$2:$B$11)</f>
        <v>7.5B</v>
      </c>
      <c r="D978">
        <v>67.5</v>
      </c>
      <c r="E978">
        <v>2</v>
      </c>
      <c r="F978">
        <v>9</v>
      </c>
      <c r="G978">
        <v>0.83830000000000005</v>
      </c>
      <c r="H978">
        <v>0.91269999999999996</v>
      </c>
      <c r="I978">
        <v>0.9385</v>
      </c>
      <c r="J978" s="2" t="str">
        <f>HYPERLINK(SetRGB(J978,G978*255,H978*255,I978*255),"HOVER!")</f>
        <v>HOVER!</v>
      </c>
      <c r="K978">
        <f>E978/F978</f>
        <v>0.22222222222222221</v>
      </c>
    </row>
    <row r="979" spans="1:11" ht="15" x14ac:dyDescent="0.35">
      <c r="A979">
        <f t="shared" si="30"/>
        <v>6</v>
      </c>
      <c r="B979">
        <f t="shared" si="31"/>
        <v>7.5</v>
      </c>
      <c r="C979" s="199" t="str">
        <f>B979&amp;LOOKUP(A979, Sheet2!$A$2:$A$11, Sheet2!$B$2:$B$11)</f>
        <v>7.5B</v>
      </c>
      <c r="D979">
        <v>67.5</v>
      </c>
      <c r="E979">
        <v>4</v>
      </c>
      <c r="F979">
        <v>9</v>
      </c>
      <c r="G979">
        <v>0.72799999999999998</v>
      </c>
      <c r="H979">
        <v>0.93210000000000004</v>
      </c>
      <c r="I979">
        <v>1</v>
      </c>
      <c r="J979" s="2" t="str">
        <f>HYPERLINK(SetRGB(J979,G979*255,H979*255,I979*255),"HOVER!")</f>
        <v>HOVER!</v>
      </c>
      <c r="K979">
        <f>E979/F979</f>
        <v>0.44444444444444442</v>
      </c>
    </row>
    <row r="980" spans="1:11" ht="15" x14ac:dyDescent="0.35">
      <c r="A980">
        <f t="shared" si="30"/>
        <v>7</v>
      </c>
      <c r="B980">
        <f t="shared" si="31"/>
        <v>10</v>
      </c>
      <c r="C980" s="199" t="str">
        <f>B980&amp;LOOKUP(A980, Sheet2!$A$2:$A$11, Sheet2!$B$2:$B$11)</f>
        <v>10PB</v>
      </c>
      <c r="D980">
        <v>70</v>
      </c>
      <c r="E980">
        <v>2</v>
      </c>
      <c r="F980">
        <v>1</v>
      </c>
      <c r="G980">
        <v>5.6899999999999999E-2</v>
      </c>
      <c r="H980">
        <v>0.1188</v>
      </c>
      <c r="I980">
        <v>0.16300000000000001</v>
      </c>
      <c r="J980" s="1" t="str">
        <f>HYPERLINK(SetRGB(J980,G980*255,H980*255,I980*255),"HOVER!")</f>
        <v>HOVER!</v>
      </c>
      <c r="K980">
        <f>E980/F980</f>
        <v>2</v>
      </c>
    </row>
    <row r="981" spans="1:11" ht="15" x14ac:dyDescent="0.35">
      <c r="A981">
        <f t="shared" si="30"/>
        <v>7</v>
      </c>
      <c r="B981">
        <f t="shared" si="31"/>
        <v>10</v>
      </c>
      <c r="C981" s="199" t="str">
        <f>B981&amp;LOOKUP(A981, Sheet2!$A$2:$A$11, Sheet2!$B$2:$B$11)</f>
        <v>10PB</v>
      </c>
      <c r="D981">
        <v>70</v>
      </c>
      <c r="E981">
        <v>2</v>
      </c>
      <c r="F981">
        <v>2</v>
      </c>
      <c r="G981">
        <v>0.1452</v>
      </c>
      <c r="H981">
        <v>0.20050000000000001</v>
      </c>
      <c r="I981">
        <v>0.2424</v>
      </c>
      <c r="J981" s="1" t="str">
        <f>HYPERLINK(SetRGB(J981,G981*255,H981*255,I981*255),"HOVER!")</f>
        <v>HOVER!</v>
      </c>
      <c r="K981">
        <f>E981/F981</f>
        <v>1</v>
      </c>
    </row>
    <row r="982" spans="1:11" ht="15" x14ac:dyDescent="0.35">
      <c r="A982">
        <f t="shared" si="30"/>
        <v>7</v>
      </c>
      <c r="B982">
        <f t="shared" si="31"/>
        <v>10</v>
      </c>
      <c r="C982" s="199" t="str">
        <f>B982&amp;LOOKUP(A982, Sheet2!$A$2:$A$11, Sheet2!$B$2:$B$11)</f>
        <v>10PB</v>
      </c>
      <c r="D982">
        <v>70</v>
      </c>
      <c r="E982">
        <v>4</v>
      </c>
      <c r="F982">
        <v>2</v>
      </c>
      <c r="G982">
        <v>6.0499999999999998E-2</v>
      </c>
      <c r="H982">
        <v>0.20619999999999999</v>
      </c>
      <c r="I982">
        <v>0.29060000000000002</v>
      </c>
      <c r="J982" s="1" t="str">
        <f>HYPERLINK(SetRGB(J982,G982*255,H982*255,I982*255),"HOVER!")</f>
        <v>HOVER!</v>
      </c>
      <c r="K982">
        <f>E982/F982</f>
        <v>2</v>
      </c>
    </row>
    <row r="983" spans="1:11" ht="15" x14ac:dyDescent="0.35">
      <c r="A983">
        <f t="shared" si="30"/>
        <v>7</v>
      </c>
      <c r="B983">
        <f t="shared" si="31"/>
        <v>10</v>
      </c>
      <c r="C983" s="199" t="str">
        <f>B983&amp;LOOKUP(A983, Sheet2!$A$2:$A$11, Sheet2!$B$2:$B$11)</f>
        <v>10PB</v>
      </c>
      <c r="D983">
        <v>70</v>
      </c>
      <c r="E983">
        <v>2</v>
      </c>
      <c r="F983">
        <v>3</v>
      </c>
      <c r="G983">
        <v>0.22720000000000001</v>
      </c>
      <c r="H983">
        <v>0.29220000000000002</v>
      </c>
      <c r="I983">
        <v>0.33889999999999998</v>
      </c>
      <c r="J983" s="1" t="str">
        <f>HYPERLINK(SetRGB(J983,G983*255,H983*255,I983*255),"HOVER!")</f>
        <v>HOVER!</v>
      </c>
      <c r="K983">
        <f>E983/F983</f>
        <v>0.66666666666666663</v>
      </c>
    </row>
    <row r="984" spans="1:11" ht="15" x14ac:dyDescent="0.35">
      <c r="A984">
        <f t="shared" si="30"/>
        <v>7</v>
      </c>
      <c r="B984">
        <f t="shared" si="31"/>
        <v>10</v>
      </c>
      <c r="C984" s="199" t="str">
        <f>B984&amp;LOOKUP(A984, Sheet2!$A$2:$A$11, Sheet2!$B$2:$B$11)</f>
        <v>10PB</v>
      </c>
      <c r="D984">
        <v>70</v>
      </c>
      <c r="E984">
        <v>4</v>
      </c>
      <c r="F984">
        <v>3</v>
      </c>
      <c r="G984">
        <v>0.14949999999999999</v>
      </c>
      <c r="H984">
        <v>0.2989</v>
      </c>
      <c r="I984">
        <v>0.39100000000000001</v>
      </c>
      <c r="J984" s="1" t="str">
        <f>HYPERLINK(SetRGB(J984,G984*255,H984*255,I984*255),"HOVER!")</f>
        <v>HOVER!</v>
      </c>
      <c r="K984">
        <f>E984/F984</f>
        <v>1.3333333333333333</v>
      </c>
    </row>
    <row r="985" spans="1:11" ht="15" x14ac:dyDescent="0.35">
      <c r="A985">
        <f t="shared" si="30"/>
        <v>7</v>
      </c>
      <c r="B985">
        <f t="shared" si="31"/>
        <v>10</v>
      </c>
      <c r="C985" s="199" t="str">
        <f>B985&amp;LOOKUP(A985, Sheet2!$A$2:$A$11, Sheet2!$B$2:$B$11)</f>
        <v>10PB</v>
      </c>
      <c r="D985">
        <v>70</v>
      </c>
      <c r="E985">
        <v>2</v>
      </c>
      <c r="F985">
        <v>4</v>
      </c>
      <c r="G985">
        <v>0.32869999999999999</v>
      </c>
      <c r="H985">
        <v>0.38950000000000001</v>
      </c>
      <c r="I985">
        <v>0.43109999999999998</v>
      </c>
      <c r="J985" s="1" t="str">
        <f>HYPERLINK(SetRGB(J985,G985*255,H985*255,I985*255),"HOVER!")</f>
        <v>HOVER!</v>
      </c>
      <c r="K985">
        <f>E985/F985</f>
        <v>0.5</v>
      </c>
    </row>
    <row r="986" spans="1:11" ht="15" x14ac:dyDescent="0.35">
      <c r="A986">
        <f t="shared" si="30"/>
        <v>7</v>
      </c>
      <c r="B986">
        <f t="shared" si="31"/>
        <v>10</v>
      </c>
      <c r="C986" s="199" t="str">
        <f>B986&amp;LOOKUP(A986, Sheet2!$A$2:$A$11, Sheet2!$B$2:$B$11)</f>
        <v>10PB</v>
      </c>
      <c r="D986">
        <v>70</v>
      </c>
      <c r="E986">
        <v>4</v>
      </c>
      <c r="F986">
        <v>4</v>
      </c>
      <c r="G986">
        <v>0.26050000000000001</v>
      </c>
      <c r="H986">
        <v>0.39710000000000001</v>
      </c>
      <c r="I986">
        <v>0.48299999999999998</v>
      </c>
      <c r="J986" s="1" t="str">
        <f>HYPERLINK(SetRGB(J986,G986*255,H986*255,I986*255),"HOVER!")</f>
        <v>HOVER!</v>
      </c>
      <c r="K986">
        <f>E986/F986</f>
        <v>1</v>
      </c>
    </row>
    <row r="987" spans="1:11" ht="15" x14ac:dyDescent="0.35">
      <c r="A987">
        <f t="shared" si="30"/>
        <v>7</v>
      </c>
      <c r="B987">
        <f t="shared" si="31"/>
        <v>10</v>
      </c>
      <c r="C987" s="199" t="str">
        <f>B987&amp;LOOKUP(A987, Sheet2!$A$2:$A$11, Sheet2!$B$2:$B$11)</f>
        <v>10PB</v>
      </c>
      <c r="D987">
        <v>70</v>
      </c>
      <c r="E987">
        <v>6</v>
      </c>
      <c r="F987">
        <v>4</v>
      </c>
      <c r="G987">
        <v>0.1653</v>
      </c>
      <c r="H987">
        <v>0.40350000000000003</v>
      </c>
      <c r="I987">
        <v>0.5323</v>
      </c>
      <c r="J987" s="1" t="str">
        <f>HYPERLINK(SetRGB(J987,G987*255,H987*255,I987*255),"HOVER!")</f>
        <v>HOVER!</v>
      </c>
      <c r="K987">
        <f>E987/F987</f>
        <v>1.5</v>
      </c>
    </row>
    <row r="988" spans="1:11" ht="15" x14ac:dyDescent="0.35">
      <c r="A988">
        <f t="shared" si="30"/>
        <v>7</v>
      </c>
      <c r="B988">
        <f t="shared" si="31"/>
        <v>10</v>
      </c>
      <c r="C988" s="199" t="str">
        <f>B988&amp;LOOKUP(A988, Sheet2!$A$2:$A$11, Sheet2!$B$2:$B$11)</f>
        <v>10PB</v>
      </c>
      <c r="D988">
        <v>70</v>
      </c>
      <c r="E988">
        <v>2</v>
      </c>
      <c r="F988">
        <v>5</v>
      </c>
      <c r="G988">
        <v>0.43080000000000002</v>
      </c>
      <c r="H988">
        <v>0.49059999999999998</v>
      </c>
      <c r="I988">
        <v>0.53029999999999999</v>
      </c>
      <c r="J988" s="1" t="str">
        <f>HYPERLINK(SetRGB(J988,G988*255,H988*255,I988*255),"HOVER!")</f>
        <v>HOVER!</v>
      </c>
      <c r="K988">
        <f>E988/F988</f>
        <v>0.4</v>
      </c>
    </row>
    <row r="989" spans="1:11" ht="15" x14ac:dyDescent="0.35">
      <c r="A989">
        <f t="shared" si="30"/>
        <v>7</v>
      </c>
      <c r="B989">
        <f t="shared" si="31"/>
        <v>10</v>
      </c>
      <c r="C989" s="199" t="str">
        <f>B989&amp;LOOKUP(A989, Sheet2!$A$2:$A$11, Sheet2!$B$2:$B$11)</f>
        <v>10PB</v>
      </c>
      <c r="D989">
        <v>70</v>
      </c>
      <c r="E989">
        <v>4</v>
      </c>
      <c r="F989">
        <v>5</v>
      </c>
      <c r="G989">
        <v>0.36609999999999998</v>
      </c>
      <c r="H989">
        <v>0.49890000000000001</v>
      </c>
      <c r="I989">
        <v>0.58140000000000003</v>
      </c>
      <c r="J989" s="1" t="str">
        <f>HYPERLINK(SetRGB(J989,G989*255,H989*255,I989*255),"HOVER!")</f>
        <v>HOVER!</v>
      </c>
      <c r="K989">
        <f>E989/F989</f>
        <v>0.8</v>
      </c>
    </row>
    <row r="990" spans="1:11" ht="15" x14ac:dyDescent="0.35">
      <c r="A990">
        <f t="shared" si="30"/>
        <v>7</v>
      </c>
      <c r="B990">
        <f t="shared" si="31"/>
        <v>10</v>
      </c>
      <c r="C990" s="199" t="str">
        <f>B990&amp;LOOKUP(A990, Sheet2!$A$2:$A$11, Sheet2!$B$2:$B$11)</f>
        <v>10PB</v>
      </c>
      <c r="D990">
        <v>70</v>
      </c>
      <c r="E990">
        <v>6</v>
      </c>
      <c r="F990">
        <v>5</v>
      </c>
      <c r="G990">
        <v>0.28360000000000002</v>
      </c>
      <c r="H990">
        <v>0.50619999999999998</v>
      </c>
      <c r="I990">
        <v>0.6331</v>
      </c>
      <c r="J990" s="1" t="str">
        <f>HYPERLINK(SetRGB(J990,G990*255,H990*255,I990*255),"HOVER!")</f>
        <v>HOVER!</v>
      </c>
      <c r="K990">
        <f>E990/F990</f>
        <v>1.2</v>
      </c>
    </row>
    <row r="991" spans="1:11" ht="15" x14ac:dyDescent="0.35">
      <c r="A991">
        <f t="shared" si="30"/>
        <v>7</v>
      </c>
      <c r="B991">
        <f t="shared" si="31"/>
        <v>10</v>
      </c>
      <c r="C991" s="199" t="str">
        <f>B991&amp;LOOKUP(A991, Sheet2!$A$2:$A$11, Sheet2!$B$2:$B$11)</f>
        <v>10PB</v>
      </c>
      <c r="D991">
        <v>70</v>
      </c>
      <c r="E991">
        <v>8</v>
      </c>
      <c r="F991">
        <v>5</v>
      </c>
      <c r="G991">
        <v>0.13769999999999999</v>
      </c>
      <c r="H991">
        <v>0.51349999999999996</v>
      </c>
      <c r="I991">
        <v>0.68579999999999997</v>
      </c>
      <c r="J991" s="1" t="str">
        <f>HYPERLINK(SetRGB(J991,G991*255,H991*255,I991*255),"HOVER!")</f>
        <v>HOVER!</v>
      </c>
      <c r="K991">
        <f>E991/F991</f>
        <v>1.6</v>
      </c>
    </row>
    <row r="992" spans="1:11" ht="15" x14ac:dyDescent="0.35">
      <c r="A992">
        <f t="shared" si="30"/>
        <v>7</v>
      </c>
      <c r="B992">
        <f t="shared" si="31"/>
        <v>10</v>
      </c>
      <c r="C992" s="199" t="str">
        <f>B992&amp;LOOKUP(A992, Sheet2!$A$2:$A$11, Sheet2!$B$2:$B$11)</f>
        <v>10PB</v>
      </c>
      <c r="D992">
        <v>70</v>
      </c>
      <c r="E992">
        <v>2</v>
      </c>
      <c r="F992">
        <v>6</v>
      </c>
      <c r="G992">
        <v>0.53339999999999999</v>
      </c>
      <c r="H992">
        <v>0.59340000000000004</v>
      </c>
      <c r="I992">
        <v>0.62939999999999996</v>
      </c>
      <c r="J992" s="2" t="str">
        <f>HYPERLINK(SetRGB(J992,G992*255,H992*255,I992*255),"HOVER!")</f>
        <v>HOVER!</v>
      </c>
      <c r="K992">
        <f>E992/F992</f>
        <v>0.33333333333333331</v>
      </c>
    </row>
    <row r="993" spans="1:11" ht="15" x14ac:dyDescent="0.35">
      <c r="A993">
        <f t="shared" si="30"/>
        <v>7</v>
      </c>
      <c r="B993">
        <f t="shared" si="31"/>
        <v>10</v>
      </c>
      <c r="C993" s="199" t="str">
        <f>B993&amp;LOOKUP(A993, Sheet2!$A$2:$A$11, Sheet2!$B$2:$B$11)</f>
        <v>10PB</v>
      </c>
      <c r="D993">
        <v>70</v>
      </c>
      <c r="E993">
        <v>4</v>
      </c>
      <c r="F993">
        <v>6</v>
      </c>
      <c r="G993">
        <v>0.47160000000000002</v>
      </c>
      <c r="H993">
        <v>0.60209999999999997</v>
      </c>
      <c r="I993">
        <v>0.67969999999999997</v>
      </c>
      <c r="J993" s="2" t="str">
        <f>HYPERLINK(SetRGB(J993,G993*255,H993*255,I993*255),"HOVER!")</f>
        <v>HOVER!</v>
      </c>
      <c r="K993">
        <f>E993/F993</f>
        <v>0.66666666666666663</v>
      </c>
    </row>
    <row r="994" spans="1:11" ht="15" x14ac:dyDescent="0.35">
      <c r="A994">
        <f t="shared" si="30"/>
        <v>7</v>
      </c>
      <c r="B994">
        <f t="shared" si="31"/>
        <v>10</v>
      </c>
      <c r="C994" s="199" t="str">
        <f>B994&amp;LOOKUP(A994, Sheet2!$A$2:$A$11, Sheet2!$B$2:$B$11)</f>
        <v>10PB</v>
      </c>
      <c r="D994">
        <v>70</v>
      </c>
      <c r="E994">
        <v>6</v>
      </c>
      <c r="F994">
        <v>6</v>
      </c>
      <c r="G994">
        <v>0.38879999999999998</v>
      </c>
      <c r="H994">
        <v>0.6109</v>
      </c>
      <c r="I994">
        <v>0.73529999999999995</v>
      </c>
      <c r="J994" s="2" t="str">
        <f>HYPERLINK(SetRGB(J994,G994*255,H994*255,I994*255),"HOVER!")</f>
        <v>HOVER!</v>
      </c>
      <c r="K994">
        <f>E994/F994</f>
        <v>1</v>
      </c>
    </row>
    <row r="995" spans="1:11" ht="15" x14ac:dyDescent="0.35">
      <c r="A995">
        <f t="shared" si="30"/>
        <v>7</v>
      </c>
      <c r="B995">
        <f t="shared" si="31"/>
        <v>10</v>
      </c>
      <c r="C995" s="199" t="str">
        <f>B995&amp;LOOKUP(A995, Sheet2!$A$2:$A$11, Sheet2!$B$2:$B$11)</f>
        <v>10PB</v>
      </c>
      <c r="D995">
        <v>70</v>
      </c>
      <c r="E995">
        <v>8</v>
      </c>
      <c r="F995">
        <v>6</v>
      </c>
      <c r="G995">
        <v>0.27900000000000003</v>
      </c>
      <c r="H995">
        <v>0.61839999999999995</v>
      </c>
      <c r="I995">
        <v>0.78969999999999996</v>
      </c>
      <c r="J995" s="2" t="str">
        <f>HYPERLINK(SetRGB(J995,G995*255,H995*255,I995*255),"HOVER!")</f>
        <v>HOVER!</v>
      </c>
      <c r="K995">
        <f>E995/F995</f>
        <v>1.3333333333333333</v>
      </c>
    </row>
    <row r="996" spans="1:11" ht="15" x14ac:dyDescent="0.35">
      <c r="A996">
        <f t="shared" si="30"/>
        <v>7</v>
      </c>
      <c r="B996">
        <f t="shared" si="31"/>
        <v>10</v>
      </c>
      <c r="C996" s="199" t="str">
        <f>B996&amp;LOOKUP(A996, Sheet2!$A$2:$A$11, Sheet2!$B$2:$B$11)</f>
        <v>10PB</v>
      </c>
      <c r="D996">
        <v>70</v>
      </c>
      <c r="E996">
        <v>2</v>
      </c>
      <c r="F996">
        <v>7</v>
      </c>
      <c r="G996">
        <v>0.63829999999999998</v>
      </c>
      <c r="H996">
        <v>0.69679999999999997</v>
      </c>
      <c r="I996">
        <v>0.73089999999999999</v>
      </c>
      <c r="J996" s="2" t="str">
        <f>HYPERLINK(SetRGB(J996,G996*255,H996*255,I996*255),"HOVER!")</f>
        <v>HOVER!</v>
      </c>
      <c r="K996">
        <f>E996/F996</f>
        <v>0.2857142857142857</v>
      </c>
    </row>
    <row r="997" spans="1:11" ht="15" x14ac:dyDescent="0.35">
      <c r="A997">
        <f t="shared" si="30"/>
        <v>7</v>
      </c>
      <c r="B997">
        <f t="shared" si="31"/>
        <v>10</v>
      </c>
      <c r="C997" s="199" t="str">
        <f>B997&amp;LOOKUP(A997, Sheet2!$A$2:$A$11, Sheet2!$B$2:$B$11)</f>
        <v>10PB</v>
      </c>
      <c r="D997">
        <v>70</v>
      </c>
      <c r="E997">
        <v>4</v>
      </c>
      <c r="F997">
        <v>7</v>
      </c>
      <c r="G997">
        <v>0.5706</v>
      </c>
      <c r="H997">
        <v>0.70720000000000005</v>
      </c>
      <c r="I997">
        <v>0.78390000000000004</v>
      </c>
      <c r="J997" s="2" t="str">
        <f>HYPERLINK(SetRGB(J997,G997*255,H997*255,I997*255),"HOVER!")</f>
        <v>HOVER!</v>
      </c>
      <c r="K997">
        <f>E997/F997</f>
        <v>0.5714285714285714</v>
      </c>
    </row>
    <row r="998" spans="1:11" ht="15" x14ac:dyDescent="0.35">
      <c r="A998">
        <f t="shared" si="30"/>
        <v>7</v>
      </c>
      <c r="B998">
        <f t="shared" si="31"/>
        <v>10</v>
      </c>
      <c r="C998" s="199" t="str">
        <f>B998&amp;LOOKUP(A998, Sheet2!$A$2:$A$11, Sheet2!$B$2:$B$11)</f>
        <v>10PB</v>
      </c>
      <c r="D998">
        <v>70</v>
      </c>
      <c r="E998">
        <v>6</v>
      </c>
      <c r="F998">
        <v>7</v>
      </c>
      <c r="G998">
        <v>0.49249999999999999</v>
      </c>
      <c r="H998">
        <v>0.71630000000000005</v>
      </c>
      <c r="I998">
        <v>0.83779999999999999</v>
      </c>
      <c r="J998" s="2" t="str">
        <f>HYPERLINK(SetRGB(J998,G998*255,H998*255,I998*255),"HOVER!")</f>
        <v>HOVER!</v>
      </c>
      <c r="K998">
        <f>E998/F998</f>
        <v>0.8571428571428571</v>
      </c>
    </row>
    <row r="999" spans="1:11" ht="15" x14ac:dyDescent="0.35">
      <c r="A999">
        <f t="shared" si="30"/>
        <v>7</v>
      </c>
      <c r="B999">
        <f t="shared" si="31"/>
        <v>10</v>
      </c>
      <c r="C999" s="199" t="str">
        <f>B999&amp;LOOKUP(A999, Sheet2!$A$2:$A$11, Sheet2!$B$2:$B$11)</f>
        <v>10PB</v>
      </c>
      <c r="D999">
        <v>70</v>
      </c>
      <c r="E999">
        <v>8</v>
      </c>
      <c r="F999">
        <v>7</v>
      </c>
      <c r="G999">
        <v>0.38979999999999998</v>
      </c>
      <c r="H999">
        <v>0.7248</v>
      </c>
      <c r="I999">
        <v>0.89559999999999995</v>
      </c>
      <c r="J999" s="2" t="str">
        <f>HYPERLINK(SetRGB(J999,G999*255,H999*255,I999*255),"HOVER!")</f>
        <v>HOVER!</v>
      </c>
      <c r="K999">
        <f>E999/F999</f>
        <v>1.1428571428571428</v>
      </c>
    </row>
    <row r="1000" spans="1:11" ht="15" x14ac:dyDescent="0.35">
      <c r="A1000">
        <f t="shared" si="30"/>
        <v>7</v>
      </c>
      <c r="B1000">
        <f t="shared" si="31"/>
        <v>10</v>
      </c>
      <c r="C1000" s="199" t="str">
        <f>B1000&amp;LOOKUP(A1000, Sheet2!$A$2:$A$11, Sheet2!$B$2:$B$11)</f>
        <v>10PB</v>
      </c>
      <c r="D1000">
        <v>70</v>
      </c>
      <c r="E1000">
        <v>10</v>
      </c>
      <c r="F1000">
        <v>7</v>
      </c>
      <c r="G1000">
        <v>0.20930000000000001</v>
      </c>
      <c r="H1000">
        <v>0.73329999999999995</v>
      </c>
      <c r="I1000">
        <v>0.95820000000000005</v>
      </c>
      <c r="J1000" s="2" t="str">
        <f>HYPERLINK(SetRGB(J1000,G1000*255,H1000*255,I1000*255),"HOVER!")</f>
        <v>HOVER!</v>
      </c>
      <c r="K1000">
        <f>E1000/F1000</f>
        <v>1.4285714285714286</v>
      </c>
    </row>
    <row r="1001" spans="1:11" ht="15" x14ac:dyDescent="0.35">
      <c r="A1001">
        <f t="shared" si="30"/>
        <v>7</v>
      </c>
      <c r="B1001">
        <f t="shared" si="31"/>
        <v>10</v>
      </c>
      <c r="C1001" s="199" t="str">
        <f>B1001&amp;LOOKUP(A1001, Sheet2!$A$2:$A$11, Sheet2!$B$2:$B$11)</f>
        <v>10PB</v>
      </c>
      <c r="D1001">
        <v>70</v>
      </c>
      <c r="E1001">
        <v>2</v>
      </c>
      <c r="F1001">
        <v>8</v>
      </c>
      <c r="G1001">
        <v>0.74319999999999997</v>
      </c>
      <c r="H1001">
        <v>0.80189999999999995</v>
      </c>
      <c r="I1001">
        <v>0.83330000000000004</v>
      </c>
      <c r="J1001" s="2" t="str">
        <f>HYPERLINK(SetRGB(J1001,G1001*255,H1001*255,I1001*255),"HOVER!")</f>
        <v>HOVER!</v>
      </c>
      <c r="K1001">
        <f>E1001/F1001</f>
        <v>0.25</v>
      </c>
    </row>
    <row r="1002" spans="1:11" ht="15" x14ac:dyDescent="0.35">
      <c r="A1002">
        <f t="shared" si="30"/>
        <v>7</v>
      </c>
      <c r="B1002">
        <f t="shared" si="31"/>
        <v>10</v>
      </c>
      <c r="C1002" s="199" t="str">
        <f>B1002&amp;LOOKUP(A1002, Sheet2!$A$2:$A$11, Sheet2!$B$2:$B$11)</f>
        <v>10PB</v>
      </c>
      <c r="D1002">
        <v>70</v>
      </c>
      <c r="E1002">
        <v>4</v>
      </c>
      <c r="F1002">
        <v>8</v>
      </c>
      <c r="G1002">
        <v>0.67090000000000005</v>
      </c>
      <c r="H1002">
        <v>0.81310000000000004</v>
      </c>
      <c r="I1002">
        <v>0.89259999999999995</v>
      </c>
      <c r="J1002" s="2" t="str">
        <f>HYPERLINK(SetRGB(J1002,G1002*255,H1002*255,I1002*255),"HOVER!")</f>
        <v>HOVER!</v>
      </c>
      <c r="K1002">
        <f>E1002/F1002</f>
        <v>0.5</v>
      </c>
    </row>
    <row r="1003" spans="1:11" ht="15" x14ac:dyDescent="0.35">
      <c r="A1003">
        <f t="shared" si="30"/>
        <v>7</v>
      </c>
      <c r="B1003">
        <f t="shared" si="31"/>
        <v>10</v>
      </c>
      <c r="C1003" s="199" t="str">
        <f>B1003&amp;LOOKUP(A1003, Sheet2!$A$2:$A$11, Sheet2!$B$2:$B$11)</f>
        <v>10PB</v>
      </c>
      <c r="D1003">
        <v>70</v>
      </c>
      <c r="E1003">
        <v>6</v>
      </c>
      <c r="F1003">
        <v>8</v>
      </c>
      <c r="G1003">
        <v>0.58450000000000002</v>
      </c>
      <c r="H1003">
        <v>0.82389999999999997</v>
      </c>
      <c r="I1003">
        <v>0.95179999999999998</v>
      </c>
      <c r="J1003" s="2" t="str">
        <f>HYPERLINK(SetRGB(J1003,G1003*255,H1003*255,I1003*255),"HOVER!")</f>
        <v>HOVER!</v>
      </c>
      <c r="K1003">
        <f>E1003/F1003</f>
        <v>0.75</v>
      </c>
    </row>
    <row r="1004" spans="1:11" ht="15" x14ac:dyDescent="0.35">
      <c r="A1004">
        <f t="shared" si="30"/>
        <v>7</v>
      </c>
      <c r="B1004">
        <f t="shared" si="31"/>
        <v>10</v>
      </c>
      <c r="C1004" s="199" t="str">
        <f>B1004&amp;LOOKUP(A1004, Sheet2!$A$2:$A$11, Sheet2!$B$2:$B$11)</f>
        <v>10PB</v>
      </c>
      <c r="D1004">
        <v>70</v>
      </c>
      <c r="E1004">
        <v>8</v>
      </c>
      <c r="F1004">
        <v>8</v>
      </c>
      <c r="G1004">
        <v>0.45929999999999999</v>
      </c>
      <c r="H1004">
        <v>0.83520000000000005</v>
      </c>
      <c r="I1004">
        <v>1</v>
      </c>
      <c r="J1004" s="2" t="str">
        <f>HYPERLINK(SetRGB(J1004,G1004*255,H1004*255,I1004*255),"HOVER!")</f>
        <v>HOVER!</v>
      </c>
      <c r="K1004">
        <f>E1004/F1004</f>
        <v>1</v>
      </c>
    </row>
    <row r="1005" spans="1:11" ht="15" x14ac:dyDescent="0.35">
      <c r="A1005">
        <f t="shared" si="30"/>
        <v>7</v>
      </c>
      <c r="B1005">
        <f t="shared" si="31"/>
        <v>10</v>
      </c>
      <c r="C1005" s="199" t="str">
        <f>B1005&amp;LOOKUP(A1005, Sheet2!$A$2:$A$11, Sheet2!$B$2:$B$11)</f>
        <v>10PB</v>
      </c>
      <c r="D1005">
        <v>70</v>
      </c>
      <c r="E1005">
        <v>2</v>
      </c>
      <c r="F1005">
        <v>9</v>
      </c>
      <c r="G1005">
        <v>0.84760000000000002</v>
      </c>
      <c r="H1005">
        <v>0.91</v>
      </c>
      <c r="I1005">
        <v>0.94020000000000004</v>
      </c>
      <c r="J1005" s="2" t="str">
        <f>HYPERLINK(SetRGB(J1005,G1005*255,H1005*255,I1005*255),"HOVER!")</f>
        <v>HOVER!</v>
      </c>
      <c r="K1005">
        <f>E1005/F1005</f>
        <v>0.22222222222222221</v>
      </c>
    </row>
    <row r="1006" spans="1:11" ht="15" x14ac:dyDescent="0.35">
      <c r="A1006">
        <f t="shared" si="30"/>
        <v>7</v>
      </c>
      <c r="B1006">
        <f t="shared" si="31"/>
        <v>10</v>
      </c>
      <c r="C1006" s="199" t="str">
        <f>B1006&amp;LOOKUP(A1006, Sheet2!$A$2:$A$11, Sheet2!$B$2:$B$11)</f>
        <v>10PB</v>
      </c>
      <c r="D1006">
        <v>70</v>
      </c>
      <c r="E1006">
        <v>4</v>
      </c>
      <c r="F1006">
        <v>9</v>
      </c>
      <c r="G1006">
        <v>0.75490000000000002</v>
      </c>
      <c r="H1006">
        <v>0.92510000000000003</v>
      </c>
      <c r="I1006">
        <v>1</v>
      </c>
      <c r="J1006" s="2" t="str">
        <f>HYPERLINK(SetRGB(J1006,G1006*255,H1006*255,I1006*255),"HOVER!")</f>
        <v>HOVER!</v>
      </c>
      <c r="K1006">
        <f>E1006/F1006</f>
        <v>0.44444444444444442</v>
      </c>
    </row>
    <row r="1007" spans="1:11" ht="15" x14ac:dyDescent="0.35">
      <c r="A1007">
        <f t="shared" si="30"/>
        <v>7</v>
      </c>
      <c r="B1007">
        <f t="shared" si="31"/>
        <v>2.5</v>
      </c>
      <c r="C1007" s="199" t="str">
        <f>B1007&amp;LOOKUP(A1007, Sheet2!$A$2:$A$11, Sheet2!$B$2:$B$11)</f>
        <v>2.5PB</v>
      </c>
      <c r="D1007">
        <v>72.5</v>
      </c>
      <c r="E1007">
        <v>2</v>
      </c>
      <c r="F1007">
        <v>1</v>
      </c>
      <c r="G1007">
        <v>7.0699999999999999E-2</v>
      </c>
      <c r="H1007">
        <v>0.1158</v>
      </c>
      <c r="I1007">
        <v>0.16639999999999999</v>
      </c>
      <c r="J1007" s="1" t="str">
        <f>HYPERLINK(SetRGB(J1007,G1007*255,H1007*255,I1007*255),"HOVER!")</f>
        <v>HOVER!</v>
      </c>
      <c r="K1007">
        <f>E1007/F1007</f>
        <v>2</v>
      </c>
    </row>
    <row r="1008" spans="1:11" ht="15" x14ac:dyDescent="0.35">
      <c r="A1008">
        <f t="shared" si="30"/>
        <v>7</v>
      </c>
      <c r="B1008">
        <f t="shared" si="31"/>
        <v>2.5</v>
      </c>
      <c r="C1008" s="199" t="str">
        <f>B1008&amp;LOOKUP(A1008, Sheet2!$A$2:$A$11, Sheet2!$B$2:$B$11)</f>
        <v>2.5PB</v>
      </c>
      <c r="D1008">
        <v>72.5</v>
      </c>
      <c r="E1008">
        <v>2</v>
      </c>
      <c r="F1008">
        <v>2</v>
      </c>
      <c r="G1008">
        <v>0.156</v>
      </c>
      <c r="H1008">
        <v>0.19769999999999999</v>
      </c>
      <c r="I1008">
        <v>0.2455</v>
      </c>
      <c r="J1008" s="1" t="str">
        <f>HYPERLINK(SetRGB(J1008,G1008*255,H1008*255,I1008*255),"HOVER!")</f>
        <v>HOVER!</v>
      </c>
      <c r="K1008">
        <f>E1008/F1008</f>
        <v>1</v>
      </c>
    </row>
    <row r="1009" spans="1:11" ht="15" x14ac:dyDescent="0.35">
      <c r="A1009">
        <f t="shared" si="30"/>
        <v>7</v>
      </c>
      <c r="B1009">
        <f t="shared" si="31"/>
        <v>2.5</v>
      </c>
      <c r="C1009" s="199" t="str">
        <f>B1009&amp;LOOKUP(A1009, Sheet2!$A$2:$A$11, Sheet2!$B$2:$B$11)</f>
        <v>2.5PB</v>
      </c>
      <c r="D1009">
        <v>72.5</v>
      </c>
      <c r="E1009">
        <v>4</v>
      </c>
      <c r="F1009">
        <v>2</v>
      </c>
      <c r="G1009">
        <v>9.9500000000000005E-2</v>
      </c>
      <c r="H1009">
        <v>0.20069999999999999</v>
      </c>
      <c r="I1009">
        <v>0.29530000000000001</v>
      </c>
      <c r="J1009" s="1" t="str">
        <f>HYPERLINK(SetRGB(J1009,G1009*255,H1009*255,I1009*255),"HOVER!")</f>
        <v>HOVER!</v>
      </c>
      <c r="K1009">
        <f>E1009/F1009</f>
        <v>2</v>
      </c>
    </row>
    <row r="1010" spans="1:11" ht="15" x14ac:dyDescent="0.35">
      <c r="A1010">
        <f t="shared" si="30"/>
        <v>7</v>
      </c>
      <c r="B1010">
        <f t="shared" si="31"/>
        <v>2.5</v>
      </c>
      <c r="C1010" s="199" t="str">
        <f>B1010&amp;LOOKUP(A1010, Sheet2!$A$2:$A$11, Sheet2!$B$2:$B$11)</f>
        <v>2.5PB</v>
      </c>
      <c r="D1010">
        <v>72.5</v>
      </c>
      <c r="E1010">
        <v>2</v>
      </c>
      <c r="F1010">
        <v>3</v>
      </c>
      <c r="G1010">
        <v>0.24</v>
      </c>
      <c r="H1010">
        <v>0.28870000000000001</v>
      </c>
      <c r="I1010">
        <v>0.34260000000000002</v>
      </c>
      <c r="J1010" s="1" t="str">
        <f>HYPERLINK(SetRGB(J1010,G1010*255,H1010*255,I1010*255),"HOVER!")</f>
        <v>HOVER!</v>
      </c>
      <c r="K1010">
        <f>E1010/F1010</f>
        <v>0.66666666666666663</v>
      </c>
    </row>
    <row r="1011" spans="1:11" ht="15" x14ac:dyDescent="0.35">
      <c r="A1011">
        <f t="shared" si="30"/>
        <v>7</v>
      </c>
      <c r="B1011">
        <f t="shared" si="31"/>
        <v>2.5</v>
      </c>
      <c r="C1011" s="199" t="str">
        <f>B1011&amp;LOOKUP(A1011, Sheet2!$A$2:$A$11, Sheet2!$B$2:$B$11)</f>
        <v>2.5PB</v>
      </c>
      <c r="D1011">
        <v>72.5</v>
      </c>
      <c r="E1011">
        <v>4</v>
      </c>
      <c r="F1011">
        <v>3</v>
      </c>
      <c r="G1011">
        <v>0.185</v>
      </c>
      <c r="H1011">
        <v>0.29239999999999999</v>
      </c>
      <c r="I1011">
        <v>0.3962</v>
      </c>
      <c r="J1011" s="1" t="str">
        <f>HYPERLINK(SetRGB(J1011,G1011*255,H1011*255,I1011*255),"HOVER!")</f>
        <v>HOVER!</v>
      </c>
      <c r="K1011">
        <f>E1011/F1011</f>
        <v>1.3333333333333333</v>
      </c>
    </row>
    <row r="1012" spans="1:11" ht="15" x14ac:dyDescent="0.35">
      <c r="A1012">
        <f t="shared" si="30"/>
        <v>7</v>
      </c>
      <c r="B1012">
        <f t="shared" si="31"/>
        <v>2.5</v>
      </c>
      <c r="C1012" s="199" t="str">
        <f>B1012&amp;LOOKUP(A1012, Sheet2!$A$2:$A$11, Sheet2!$B$2:$B$11)</f>
        <v>2.5PB</v>
      </c>
      <c r="D1012">
        <v>72.5</v>
      </c>
      <c r="E1012">
        <v>6</v>
      </c>
      <c r="F1012">
        <v>3</v>
      </c>
      <c r="G1012">
        <v>9.6000000000000002E-2</v>
      </c>
      <c r="H1012">
        <v>0.29570000000000002</v>
      </c>
      <c r="I1012">
        <v>0.44750000000000001</v>
      </c>
      <c r="J1012" s="1" t="str">
        <f>HYPERLINK(SetRGB(J1012,G1012*255,H1012*255,I1012*255),"HOVER!")</f>
        <v>HOVER!</v>
      </c>
      <c r="K1012">
        <f>E1012/F1012</f>
        <v>2</v>
      </c>
    </row>
    <row r="1013" spans="1:11" ht="15" x14ac:dyDescent="0.35">
      <c r="A1013">
        <f t="shared" si="30"/>
        <v>7</v>
      </c>
      <c r="B1013">
        <f t="shared" si="31"/>
        <v>2.5</v>
      </c>
      <c r="C1013" s="199" t="str">
        <f>B1013&amp;LOOKUP(A1013, Sheet2!$A$2:$A$11, Sheet2!$B$2:$B$11)</f>
        <v>2.5PB</v>
      </c>
      <c r="D1013">
        <v>72.5</v>
      </c>
      <c r="E1013">
        <v>2</v>
      </c>
      <c r="F1013">
        <v>4</v>
      </c>
      <c r="G1013">
        <v>0.34129999999999999</v>
      </c>
      <c r="H1013">
        <v>0.38590000000000002</v>
      </c>
      <c r="I1013">
        <v>0.43419999999999997</v>
      </c>
      <c r="J1013" s="1" t="str">
        <f>HYPERLINK(SetRGB(J1013,G1013*255,H1013*255,I1013*255),"HOVER!")</f>
        <v>HOVER!</v>
      </c>
      <c r="K1013">
        <f>E1013/F1013</f>
        <v>0.5</v>
      </c>
    </row>
    <row r="1014" spans="1:11" ht="15" x14ac:dyDescent="0.35">
      <c r="A1014">
        <f t="shared" si="30"/>
        <v>7</v>
      </c>
      <c r="B1014">
        <f t="shared" si="31"/>
        <v>2.5</v>
      </c>
      <c r="C1014" s="199" t="str">
        <f>B1014&amp;LOOKUP(A1014, Sheet2!$A$2:$A$11, Sheet2!$B$2:$B$11)</f>
        <v>2.5PB</v>
      </c>
      <c r="D1014">
        <v>72.5</v>
      </c>
      <c r="E1014">
        <v>4</v>
      </c>
      <c r="F1014">
        <v>4</v>
      </c>
      <c r="G1014">
        <v>0.29110000000000003</v>
      </c>
      <c r="H1014">
        <v>0.39040000000000002</v>
      </c>
      <c r="I1014">
        <v>0.48770000000000002</v>
      </c>
      <c r="J1014" s="1" t="str">
        <f>HYPERLINK(SetRGB(J1014,G1014*255,H1014*255,I1014*255),"HOVER!")</f>
        <v>HOVER!</v>
      </c>
      <c r="K1014">
        <f>E1014/F1014</f>
        <v>1</v>
      </c>
    </row>
    <row r="1015" spans="1:11" ht="15" x14ac:dyDescent="0.35">
      <c r="A1015">
        <f t="shared" si="30"/>
        <v>7</v>
      </c>
      <c r="B1015">
        <f t="shared" si="31"/>
        <v>2.5</v>
      </c>
      <c r="C1015" s="199" t="str">
        <f>B1015&amp;LOOKUP(A1015, Sheet2!$A$2:$A$11, Sheet2!$B$2:$B$11)</f>
        <v>2.5PB</v>
      </c>
      <c r="D1015">
        <v>72.5</v>
      </c>
      <c r="E1015">
        <v>6</v>
      </c>
      <c r="F1015">
        <v>4</v>
      </c>
      <c r="G1015">
        <v>0.22800000000000001</v>
      </c>
      <c r="H1015">
        <v>0.39410000000000001</v>
      </c>
      <c r="I1015">
        <v>0.53920000000000001</v>
      </c>
      <c r="J1015" s="1" t="str">
        <f>HYPERLINK(SetRGB(J1015,G1015*255,H1015*255,I1015*255),"HOVER!")</f>
        <v>HOVER!</v>
      </c>
      <c r="K1015">
        <f>E1015/F1015</f>
        <v>1.5</v>
      </c>
    </row>
    <row r="1016" spans="1:11" ht="15" x14ac:dyDescent="0.35">
      <c r="A1016">
        <f t="shared" si="30"/>
        <v>7</v>
      </c>
      <c r="B1016">
        <f t="shared" si="31"/>
        <v>2.5</v>
      </c>
      <c r="C1016" s="199" t="str">
        <f>B1016&amp;LOOKUP(A1016, Sheet2!$A$2:$A$11, Sheet2!$B$2:$B$11)</f>
        <v>2.5PB</v>
      </c>
      <c r="D1016">
        <v>72.5</v>
      </c>
      <c r="E1016">
        <v>8</v>
      </c>
      <c r="F1016">
        <v>4</v>
      </c>
      <c r="G1016">
        <v>0.11169999999999999</v>
      </c>
      <c r="H1016">
        <v>0.39800000000000002</v>
      </c>
      <c r="I1016">
        <v>0.59399999999999997</v>
      </c>
      <c r="J1016" s="1" t="str">
        <f>HYPERLINK(SetRGB(J1016,G1016*255,H1016*255,I1016*255),"HOVER!")</f>
        <v>HOVER!</v>
      </c>
      <c r="K1016">
        <f>E1016/F1016</f>
        <v>2</v>
      </c>
    </row>
    <row r="1017" spans="1:11" ht="15" x14ac:dyDescent="0.35">
      <c r="A1017">
        <f t="shared" si="30"/>
        <v>7</v>
      </c>
      <c r="B1017">
        <f t="shared" si="31"/>
        <v>2.5</v>
      </c>
      <c r="C1017" s="199" t="str">
        <f>B1017&amp;LOOKUP(A1017, Sheet2!$A$2:$A$11, Sheet2!$B$2:$B$11)</f>
        <v>2.5PB</v>
      </c>
      <c r="D1017">
        <v>72.5</v>
      </c>
      <c r="E1017">
        <v>2</v>
      </c>
      <c r="F1017">
        <v>5</v>
      </c>
      <c r="G1017">
        <v>0.44309999999999999</v>
      </c>
      <c r="H1017">
        <v>0.48709999999999998</v>
      </c>
      <c r="I1017">
        <v>0.53249999999999997</v>
      </c>
      <c r="J1017" s="1" t="str">
        <f>HYPERLINK(SetRGB(J1017,G1017*255,H1017*255,I1017*255),"HOVER!")</f>
        <v>HOVER!</v>
      </c>
      <c r="K1017">
        <f>E1017/F1017</f>
        <v>0.4</v>
      </c>
    </row>
    <row r="1018" spans="1:11" ht="15" x14ac:dyDescent="0.35">
      <c r="A1018">
        <f t="shared" si="30"/>
        <v>7</v>
      </c>
      <c r="B1018">
        <f t="shared" si="31"/>
        <v>2.5</v>
      </c>
      <c r="C1018" s="199" t="str">
        <f>B1018&amp;LOOKUP(A1018, Sheet2!$A$2:$A$11, Sheet2!$B$2:$B$11)</f>
        <v>2.5PB</v>
      </c>
      <c r="D1018">
        <v>72.5</v>
      </c>
      <c r="E1018">
        <v>4</v>
      </c>
      <c r="F1018">
        <v>5</v>
      </c>
      <c r="G1018">
        <v>0.39479999999999998</v>
      </c>
      <c r="H1018">
        <v>0.49230000000000002</v>
      </c>
      <c r="I1018">
        <v>0.5847</v>
      </c>
      <c r="J1018" s="1" t="str">
        <f>HYPERLINK(SetRGB(J1018,G1018*255,H1018*255,I1018*255),"HOVER!")</f>
        <v>HOVER!</v>
      </c>
      <c r="K1018">
        <f>E1018/F1018</f>
        <v>0.8</v>
      </c>
    </row>
    <row r="1019" spans="1:11" ht="15" x14ac:dyDescent="0.35">
      <c r="A1019">
        <f t="shared" si="30"/>
        <v>7</v>
      </c>
      <c r="B1019">
        <f t="shared" si="31"/>
        <v>2.5</v>
      </c>
      <c r="C1019" s="199" t="str">
        <f>B1019&amp;LOOKUP(A1019, Sheet2!$A$2:$A$11, Sheet2!$B$2:$B$11)</f>
        <v>2.5PB</v>
      </c>
      <c r="D1019">
        <v>72.5</v>
      </c>
      <c r="E1019">
        <v>6</v>
      </c>
      <c r="F1019">
        <v>5</v>
      </c>
      <c r="G1019">
        <v>0.33510000000000001</v>
      </c>
      <c r="H1019">
        <v>0.4965</v>
      </c>
      <c r="I1019">
        <v>0.64059999999999995</v>
      </c>
      <c r="J1019" s="1" t="str">
        <f>HYPERLINK(SetRGB(J1019,G1019*255,H1019*255,I1019*255),"HOVER!")</f>
        <v>HOVER!</v>
      </c>
      <c r="K1019">
        <f>E1019/F1019</f>
        <v>1.2</v>
      </c>
    </row>
    <row r="1020" spans="1:11" ht="15" x14ac:dyDescent="0.35">
      <c r="A1020">
        <f t="shared" si="30"/>
        <v>7</v>
      </c>
      <c r="B1020">
        <f t="shared" si="31"/>
        <v>2.5</v>
      </c>
      <c r="C1020" s="199" t="str">
        <f>B1020&amp;LOOKUP(A1020, Sheet2!$A$2:$A$11, Sheet2!$B$2:$B$11)</f>
        <v>2.5PB</v>
      </c>
      <c r="D1020">
        <v>72.5</v>
      </c>
      <c r="E1020">
        <v>8</v>
      </c>
      <c r="F1020">
        <v>5</v>
      </c>
      <c r="G1020">
        <v>0.25519999999999998</v>
      </c>
      <c r="H1020">
        <v>0.50060000000000004</v>
      </c>
      <c r="I1020">
        <v>0.69440000000000002</v>
      </c>
      <c r="J1020" s="1" t="str">
        <f>HYPERLINK(SetRGB(J1020,G1020*255,H1020*255,I1020*255),"HOVER!")</f>
        <v>HOVER!</v>
      </c>
      <c r="K1020">
        <f>E1020/F1020</f>
        <v>1.6</v>
      </c>
    </row>
    <row r="1021" spans="1:11" ht="15" x14ac:dyDescent="0.35">
      <c r="A1021">
        <f t="shared" si="30"/>
        <v>7</v>
      </c>
      <c r="B1021">
        <f t="shared" si="31"/>
        <v>2.5</v>
      </c>
      <c r="C1021" s="199" t="str">
        <f>B1021&amp;LOOKUP(A1021, Sheet2!$A$2:$A$11, Sheet2!$B$2:$B$11)</f>
        <v>2.5PB</v>
      </c>
      <c r="D1021">
        <v>72.5</v>
      </c>
      <c r="E1021">
        <v>10</v>
      </c>
      <c r="F1021">
        <v>5</v>
      </c>
      <c r="G1021">
        <v>0.1114</v>
      </c>
      <c r="H1021">
        <v>0.50429999999999997</v>
      </c>
      <c r="I1021">
        <v>0.74929999999999997</v>
      </c>
      <c r="J1021" s="1" t="str">
        <f>HYPERLINK(SetRGB(J1021,G1021*255,H1021*255,I1021*255),"HOVER!")</f>
        <v>HOVER!</v>
      </c>
      <c r="K1021">
        <f>E1021/F1021</f>
        <v>2</v>
      </c>
    </row>
    <row r="1022" spans="1:11" ht="15" x14ac:dyDescent="0.35">
      <c r="A1022">
        <f t="shared" si="30"/>
        <v>7</v>
      </c>
      <c r="B1022">
        <f t="shared" si="31"/>
        <v>2.5</v>
      </c>
      <c r="C1022" s="199" t="str">
        <f>B1022&amp;LOOKUP(A1022, Sheet2!$A$2:$A$11, Sheet2!$B$2:$B$11)</f>
        <v>2.5PB</v>
      </c>
      <c r="D1022">
        <v>72.5</v>
      </c>
      <c r="E1022">
        <v>2</v>
      </c>
      <c r="F1022">
        <v>6</v>
      </c>
      <c r="G1022">
        <v>0.54700000000000004</v>
      </c>
      <c r="H1022">
        <v>0.58960000000000001</v>
      </c>
      <c r="I1022">
        <v>0.63139999999999996</v>
      </c>
      <c r="J1022" s="2" t="str">
        <f>HYPERLINK(SetRGB(J1022,G1022*255,H1022*255,I1022*255),"HOVER!")</f>
        <v>HOVER!</v>
      </c>
      <c r="K1022">
        <f>E1022/F1022</f>
        <v>0.33333333333333331</v>
      </c>
    </row>
    <row r="1023" spans="1:11" ht="15" x14ac:dyDescent="0.35">
      <c r="A1023">
        <f t="shared" si="30"/>
        <v>7</v>
      </c>
      <c r="B1023">
        <f t="shared" si="31"/>
        <v>2.5</v>
      </c>
      <c r="C1023" s="199" t="str">
        <f>B1023&amp;LOOKUP(A1023, Sheet2!$A$2:$A$11, Sheet2!$B$2:$B$11)</f>
        <v>2.5PB</v>
      </c>
      <c r="D1023">
        <v>72.5</v>
      </c>
      <c r="E1023">
        <v>4</v>
      </c>
      <c r="F1023">
        <v>6</v>
      </c>
      <c r="G1023">
        <v>0.50019999999999998</v>
      </c>
      <c r="H1023">
        <v>0.59499999999999997</v>
      </c>
      <c r="I1023">
        <v>0.6835</v>
      </c>
      <c r="J1023" s="2" t="str">
        <f>HYPERLINK(SetRGB(J1023,G1023*255,H1023*255,I1023*255),"HOVER!")</f>
        <v>HOVER!</v>
      </c>
      <c r="K1023">
        <f>E1023/F1023</f>
        <v>0.66666666666666663</v>
      </c>
    </row>
    <row r="1024" spans="1:11" ht="15" x14ac:dyDescent="0.35">
      <c r="A1024">
        <f t="shared" si="30"/>
        <v>7</v>
      </c>
      <c r="B1024">
        <f t="shared" si="31"/>
        <v>2.5</v>
      </c>
      <c r="C1024" s="199" t="str">
        <f>B1024&amp;LOOKUP(A1024, Sheet2!$A$2:$A$11, Sheet2!$B$2:$B$11)</f>
        <v>2.5PB</v>
      </c>
      <c r="D1024">
        <v>72.5</v>
      </c>
      <c r="E1024">
        <v>6</v>
      </c>
      <c r="F1024">
        <v>6</v>
      </c>
      <c r="G1024">
        <v>0.44009999999999999</v>
      </c>
      <c r="H1024">
        <v>0.60040000000000004</v>
      </c>
      <c r="I1024">
        <v>0.74170000000000003</v>
      </c>
      <c r="J1024" s="2" t="str">
        <f>HYPERLINK(SetRGB(J1024,G1024*255,H1024*255,I1024*255),"HOVER!")</f>
        <v>HOVER!</v>
      </c>
      <c r="K1024">
        <f>E1024/F1024</f>
        <v>1</v>
      </c>
    </row>
    <row r="1025" spans="1:11" ht="15" x14ac:dyDescent="0.35">
      <c r="A1025">
        <f t="shared" si="30"/>
        <v>7</v>
      </c>
      <c r="B1025">
        <f t="shared" si="31"/>
        <v>2.5</v>
      </c>
      <c r="C1025" s="199" t="str">
        <f>B1025&amp;LOOKUP(A1025, Sheet2!$A$2:$A$11, Sheet2!$B$2:$B$11)</f>
        <v>2.5PB</v>
      </c>
      <c r="D1025">
        <v>72.5</v>
      </c>
      <c r="E1025">
        <v>8</v>
      </c>
      <c r="F1025">
        <v>6</v>
      </c>
      <c r="G1025">
        <v>0.37059999999999998</v>
      </c>
      <c r="H1025">
        <v>0.60450000000000004</v>
      </c>
      <c r="I1025">
        <v>0.79830000000000001</v>
      </c>
      <c r="J1025" s="2" t="str">
        <f>HYPERLINK(SetRGB(J1025,G1025*255,H1025*255,I1025*255),"HOVER!")</f>
        <v>HOVER!</v>
      </c>
      <c r="K1025">
        <f>E1025/F1025</f>
        <v>1.3333333333333333</v>
      </c>
    </row>
    <row r="1026" spans="1:11" ht="15" x14ac:dyDescent="0.35">
      <c r="A1026">
        <f t="shared" si="30"/>
        <v>7</v>
      </c>
      <c r="B1026">
        <f t="shared" si="31"/>
        <v>2.5</v>
      </c>
      <c r="C1026" s="199" t="str">
        <f>B1026&amp;LOOKUP(A1026, Sheet2!$A$2:$A$11, Sheet2!$B$2:$B$11)</f>
        <v>2.5PB</v>
      </c>
      <c r="D1026">
        <v>72.5</v>
      </c>
      <c r="E1026">
        <v>10</v>
      </c>
      <c r="F1026">
        <v>6</v>
      </c>
      <c r="G1026">
        <v>0.26950000000000002</v>
      </c>
      <c r="H1026">
        <v>0.60899999999999999</v>
      </c>
      <c r="I1026">
        <v>0.8548</v>
      </c>
      <c r="J1026" s="2" t="str">
        <f>HYPERLINK(SetRGB(J1026,G1026*255,H1026*255,I1026*255),"HOVER!")</f>
        <v>HOVER!</v>
      </c>
      <c r="K1026">
        <f>E1026/F1026</f>
        <v>1.6666666666666667</v>
      </c>
    </row>
    <row r="1027" spans="1:11" ht="15" x14ac:dyDescent="0.35">
      <c r="A1027">
        <f t="shared" si="30"/>
        <v>7</v>
      </c>
      <c r="B1027">
        <f t="shared" si="31"/>
        <v>2.5</v>
      </c>
      <c r="C1027" s="199" t="str">
        <f>B1027&amp;LOOKUP(A1027, Sheet2!$A$2:$A$11, Sheet2!$B$2:$B$11)</f>
        <v>2.5PB</v>
      </c>
      <c r="D1027">
        <v>72.5</v>
      </c>
      <c r="E1027">
        <v>2</v>
      </c>
      <c r="F1027">
        <v>7</v>
      </c>
      <c r="G1027">
        <v>0.65139999999999998</v>
      </c>
      <c r="H1027">
        <v>0.69310000000000005</v>
      </c>
      <c r="I1027">
        <v>0.7319</v>
      </c>
      <c r="J1027" s="2" t="str">
        <f>HYPERLINK(SetRGB(J1027,G1027*255,H1027*255,I1027*255),"HOVER!")</f>
        <v>HOVER!</v>
      </c>
      <c r="K1027">
        <f>E1027/F1027</f>
        <v>0.2857142857142857</v>
      </c>
    </row>
    <row r="1028" spans="1:11" ht="15" x14ac:dyDescent="0.35">
      <c r="A1028">
        <f t="shared" si="30"/>
        <v>7</v>
      </c>
      <c r="B1028">
        <f t="shared" si="31"/>
        <v>2.5</v>
      </c>
      <c r="C1028" s="199" t="str">
        <f>B1028&amp;LOOKUP(A1028, Sheet2!$A$2:$A$11, Sheet2!$B$2:$B$11)</f>
        <v>2.5PB</v>
      </c>
      <c r="D1028">
        <v>72.5</v>
      </c>
      <c r="E1028">
        <v>4</v>
      </c>
      <c r="F1028">
        <v>7</v>
      </c>
      <c r="G1028">
        <v>0.60160000000000002</v>
      </c>
      <c r="H1028">
        <v>0.69910000000000005</v>
      </c>
      <c r="I1028">
        <v>0.78900000000000003</v>
      </c>
      <c r="J1028" s="2" t="str">
        <f>HYPERLINK(SetRGB(J1028,G1028*255,H1028*255,I1028*255),"HOVER!")</f>
        <v>HOVER!</v>
      </c>
      <c r="K1028">
        <f>E1028/F1028</f>
        <v>0.5714285714285714</v>
      </c>
    </row>
    <row r="1029" spans="1:11" ht="15" x14ac:dyDescent="0.35">
      <c r="A1029">
        <f t="shared" si="30"/>
        <v>7</v>
      </c>
      <c r="B1029">
        <f t="shared" si="31"/>
        <v>2.5</v>
      </c>
      <c r="C1029" s="199" t="str">
        <f>B1029&amp;LOOKUP(A1029, Sheet2!$A$2:$A$11, Sheet2!$B$2:$B$11)</f>
        <v>2.5PB</v>
      </c>
      <c r="D1029">
        <v>72.5</v>
      </c>
      <c r="E1029">
        <v>6</v>
      </c>
      <c r="F1029">
        <v>7</v>
      </c>
      <c r="G1029">
        <v>0.54330000000000001</v>
      </c>
      <c r="H1029">
        <v>0.70509999999999995</v>
      </c>
      <c r="I1029">
        <v>0.84530000000000005</v>
      </c>
      <c r="J1029" s="2" t="str">
        <f>HYPERLINK(SetRGB(J1029,G1029*255,H1029*255,I1029*255),"HOVER!")</f>
        <v>HOVER!</v>
      </c>
      <c r="K1029">
        <f>E1029/F1029</f>
        <v>0.8571428571428571</v>
      </c>
    </row>
    <row r="1030" spans="1:11" ht="15" x14ac:dyDescent="0.35">
      <c r="A1030">
        <f t="shared" si="30"/>
        <v>7</v>
      </c>
      <c r="B1030">
        <f t="shared" si="31"/>
        <v>2.5</v>
      </c>
      <c r="C1030" s="199" t="str">
        <f>B1030&amp;LOOKUP(A1030, Sheet2!$A$2:$A$11, Sheet2!$B$2:$B$11)</f>
        <v>2.5PB</v>
      </c>
      <c r="D1030">
        <v>72.5</v>
      </c>
      <c r="E1030">
        <v>8</v>
      </c>
      <c r="F1030">
        <v>7</v>
      </c>
      <c r="G1030">
        <v>0.47189999999999999</v>
      </c>
      <c r="H1030">
        <v>0.71040000000000003</v>
      </c>
      <c r="I1030">
        <v>0.90549999999999997</v>
      </c>
      <c r="J1030" s="206" t="str">
        <f>HYPERLINK(SetRGB(J1030,G1030*255,H1030*255,I1030*255),"HOVER!")</f>
        <v>HOVER!</v>
      </c>
      <c r="K1030">
        <f>E1030/F1030</f>
        <v>1.1428571428571428</v>
      </c>
    </row>
    <row r="1031" spans="1:11" ht="15" x14ac:dyDescent="0.35">
      <c r="A1031">
        <f t="shared" si="30"/>
        <v>7</v>
      </c>
      <c r="B1031">
        <f t="shared" si="31"/>
        <v>2.5</v>
      </c>
      <c r="C1031" s="199" t="str">
        <f>B1031&amp;LOOKUP(A1031, Sheet2!$A$2:$A$11, Sheet2!$B$2:$B$11)</f>
        <v>2.5PB</v>
      </c>
      <c r="D1031">
        <v>72.5</v>
      </c>
      <c r="E1031">
        <v>10</v>
      </c>
      <c r="F1031">
        <v>7</v>
      </c>
      <c r="G1031">
        <v>0.36699999999999999</v>
      </c>
      <c r="H1031">
        <v>0.71589999999999998</v>
      </c>
      <c r="I1031">
        <v>0.97219999999999995</v>
      </c>
      <c r="J1031" s="2" t="str">
        <f>HYPERLINK(SetRGB(J1031,G1031*255,H1031*255,I1031*255),"HOVER!")</f>
        <v>HOVER!</v>
      </c>
      <c r="K1031">
        <f>E1031/F1031</f>
        <v>1.4285714285714286</v>
      </c>
    </row>
    <row r="1032" spans="1:11" ht="15" x14ac:dyDescent="0.35">
      <c r="A1032">
        <f t="shared" si="30"/>
        <v>7</v>
      </c>
      <c r="B1032">
        <f t="shared" si="31"/>
        <v>2.5</v>
      </c>
      <c r="C1032" s="199" t="str">
        <f>B1032&amp;LOOKUP(A1032, Sheet2!$A$2:$A$11, Sheet2!$B$2:$B$11)</f>
        <v>2.5PB</v>
      </c>
      <c r="D1032">
        <v>72.5</v>
      </c>
      <c r="E1032">
        <v>2</v>
      </c>
      <c r="F1032">
        <v>8</v>
      </c>
      <c r="G1032">
        <v>0.7571</v>
      </c>
      <c r="H1032">
        <v>0.79779999999999995</v>
      </c>
      <c r="I1032">
        <v>0.83489999999999998</v>
      </c>
      <c r="J1032" s="205" t="str">
        <f>HYPERLINK(SetRGB(J1032,G1032*255,H1032*255,I1032*255),"HOVER!")</f>
        <v>HOVER!</v>
      </c>
      <c r="K1032">
        <f>E1032/F1032</f>
        <v>0.25</v>
      </c>
    </row>
    <row r="1033" spans="1:11" ht="15" x14ac:dyDescent="0.35">
      <c r="A1033">
        <f t="shared" si="30"/>
        <v>7</v>
      </c>
      <c r="B1033">
        <f t="shared" si="31"/>
        <v>2.5</v>
      </c>
      <c r="C1033" s="199" t="str">
        <f>B1033&amp;LOOKUP(A1033, Sheet2!$A$2:$A$11, Sheet2!$B$2:$B$11)</f>
        <v>2.5PB</v>
      </c>
      <c r="D1033">
        <v>72.5</v>
      </c>
      <c r="E1033">
        <v>4</v>
      </c>
      <c r="F1033">
        <v>8</v>
      </c>
      <c r="G1033">
        <v>0.7016</v>
      </c>
      <c r="H1033">
        <v>0.80500000000000005</v>
      </c>
      <c r="I1033">
        <v>0.89710000000000001</v>
      </c>
      <c r="J1033" s="2" t="str">
        <f>HYPERLINK(SetRGB(J1033,G1033*255,H1033*255,I1033*255),"HOVER!")</f>
        <v>HOVER!</v>
      </c>
      <c r="K1033">
        <f>E1033/F1033</f>
        <v>0.5</v>
      </c>
    </row>
    <row r="1034" spans="1:11" ht="15" x14ac:dyDescent="0.35">
      <c r="A1034">
        <f t="shared" si="30"/>
        <v>7</v>
      </c>
      <c r="B1034">
        <f t="shared" si="31"/>
        <v>2.5</v>
      </c>
      <c r="C1034" s="199" t="str">
        <f>B1034&amp;LOOKUP(A1034, Sheet2!$A$2:$A$11, Sheet2!$B$2:$B$11)</f>
        <v>2.5PB</v>
      </c>
      <c r="D1034">
        <v>72.5</v>
      </c>
      <c r="E1034">
        <v>6</v>
      </c>
      <c r="F1034">
        <v>8</v>
      </c>
      <c r="G1034">
        <v>0.63390000000000002</v>
      </c>
      <c r="H1034">
        <v>0.8125</v>
      </c>
      <c r="I1034">
        <v>0.96120000000000005</v>
      </c>
      <c r="J1034" s="2" t="str">
        <f>HYPERLINK(SetRGB(J1034,G1034*255,H1034*255,I1034*255),"HOVER!")</f>
        <v>HOVER!</v>
      </c>
      <c r="K1034">
        <f>E1034/F1034</f>
        <v>0.75</v>
      </c>
    </row>
    <row r="1035" spans="1:11" ht="15" x14ac:dyDescent="0.35">
      <c r="A1035">
        <f t="shared" si="30"/>
        <v>7</v>
      </c>
      <c r="B1035">
        <f t="shared" si="31"/>
        <v>2.5</v>
      </c>
      <c r="C1035" s="199" t="str">
        <f>B1035&amp;LOOKUP(A1035, Sheet2!$A$2:$A$11, Sheet2!$B$2:$B$11)</f>
        <v>2.5PB</v>
      </c>
      <c r="D1035">
        <v>72.5</v>
      </c>
      <c r="E1035">
        <v>2</v>
      </c>
      <c r="F1035">
        <v>9</v>
      </c>
      <c r="G1035">
        <v>0.86470000000000002</v>
      </c>
      <c r="H1035">
        <v>0.90510000000000002</v>
      </c>
      <c r="I1035">
        <v>0.94099999999999995</v>
      </c>
      <c r="J1035" s="2" t="str">
        <f>HYPERLINK(SetRGB(J1035,G1035*255,H1035*255,I1035*255),"HOVER!")</f>
        <v>HOVER!</v>
      </c>
      <c r="K1035">
        <f>E1035/F1035</f>
        <v>0.22222222222222221</v>
      </c>
    </row>
    <row r="1036" spans="1:11" ht="15" x14ac:dyDescent="0.35">
      <c r="A1036">
        <f t="shared" si="30"/>
        <v>7</v>
      </c>
      <c r="B1036">
        <f t="shared" si="31"/>
        <v>5</v>
      </c>
      <c r="C1036" s="199" t="str">
        <f>B1036&amp;LOOKUP(A1036, Sheet2!$A$2:$A$11, Sheet2!$B$2:$B$11)</f>
        <v>5PB</v>
      </c>
      <c r="D1036">
        <v>75</v>
      </c>
      <c r="E1036">
        <v>2</v>
      </c>
      <c r="F1036">
        <v>1</v>
      </c>
      <c r="G1036">
        <v>8.4400000000000003E-2</v>
      </c>
      <c r="H1036">
        <v>0.11260000000000001</v>
      </c>
      <c r="I1036">
        <v>0.16839999999999999</v>
      </c>
      <c r="J1036" s="1" t="str">
        <f>HYPERLINK(SetRGB(J1036,G1036*255,H1036*255,I1036*255),"HOVER!")</f>
        <v>HOVER!</v>
      </c>
      <c r="K1036">
        <f>E1036/F1036</f>
        <v>2</v>
      </c>
    </row>
    <row r="1037" spans="1:11" ht="15" x14ac:dyDescent="0.35">
      <c r="A1037">
        <f t="shared" si="30"/>
        <v>7</v>
      </c>
      <c r="B1037">
        <f t="shared" si="31"/>
        <v>5</v>
      </c>
      <c r="C1037" s="199" t="str">
        <f>B1037&amp;LOOKUP(A1037, Sheet2!$A$2:$A$11, Sheet2!$B$2:$B$11)</f>
        <v>5PB</v>
      </c>
      <c r="D1037">
        <v>75</v>
      </c>
      <c r="E1037">
        <v>4</v>
      </c>
      <c r="F1037">
        <v>1</v>
      </c>
      <c r="G1037">
        <v>4.3700000000000003E-2</v>
      </c>
      <c r="H1037">
        <v>0.112</v>
      </c>
      <c r="I1037">
        <v>0.2117</v>
      </c>
      <c r="J1037" s="1" t="str">
        <f>HYPERLINK(SetRGB(J1037,G1037*255,H1037*255,I1037*255),"HOVER!")</f>
        <v>HOVER!</v>
      </c>
      <c r="K1037">
        <f>E1037/F1037</f>
        <v>4</v>
      </c>
    </row>
    <row r="1038" spans="1:11" ht="15" x14ac:dyDescent="0.35">
      <c r="A1038">
        <f t="shared" ref="A1038:A1101" si="32">IF(FLOOR(D1038/10,1)=0,10,FLOOR(D1038/10,1))</f>
        <v>7</v>
      </c>
      <c r="B1038">
        <f t="shared" ref="B1038:B1101" si="33">IF(MOD(D1038,10)=0,10,MOD(D1038,10))</f>
        <v>5</v>
      </c>
      <c r="C1038" s="199" t="str">
        <f>B1038&amp;LOOKUP(A1038, Sheet2!$A$2:$A$11, Sheet2!$B$2:$B$11)</f>
        <v>5PB</v>
      </c>
      <c r="D1038">
        <v>75</v>
      </c>
      <c r="E1038">
        <v>2</v>
      </c>
      <c r="F1038">
        <v>2</v>
      </c>
      <c r="G1038">
        <v>0.1686</v>
      </c>
      <c r="H1038">
        <v>0.19409999999999999</v>
      </c>
      <c r="I1038">
        <v>0.2485</v>
      </c>
      <c r="J1038" s="1" t="str">
        <f>HYPERLINK(SetRGB(J1038,G1038*255,H1038*255,I1038*255),"HOVER!")</f>
        <v>HOVER!</v>
      </c>
      <c r="K1038">
        <f>E1038/F1038</f>
        <v>1</v>
      </c>
    </row>
    <row r="1039" spans="1:11" ht="15" x14ac:dyDescent="0.35">
      <c r="A1039">
        <f t="shared" si="32"/>
        <v>7</v>
      </c>
      <c r="B1039">
        <f t="shared" si="33"/>
        <v>5</v>
      </c>
      <c r="C1039" s="199" t="str">
        <f>B1039&amp;LOOKUP(A1039, Sheet2!$A$2:$A$11, Sheet2!$B$2:$B$11)</f>
        <v>5PB</v>
      </c>
      <c r="D1039">
        <v>75</v>
      </c>
      <c r="E1039">
        <v>4</v>
      </c>
      <c r="F1039">
        <v>2</v>
      </c>
      <c r="G1039">
        <v>0.13200000000000001</v>
      </c>
      <c r="H1039">
        <v>0.19450000000000001</v>
      </c>
      <c r="I1039">
        <v>0.29830000000000001</v>
      </c>
      <c r="J1039" s="1" t="str">
        <f>HYPERLINK(SetRGB(J1039,G1039*255,H1039*255,I1039*255),"HOVER!")</f>
        <v>HOVER!</v>
      </c>
      <c r="K1039">
        <f>E1039/F1039</f>
        <v>2</v>
      </c>
    </row>
    <row r="1040" spans="1:11" ht="15" x14ac:dyDescent="0.35">
      <c r="A1040">
        <f t="shared" si="32"/>
        <v>7</v>
      </c>
      <c r="B1040">
        <f t="shared" si="33"/>
        <v>5</v>
      </c>
      <c r="C1040" s="199" t="str">
        <f>B1040&amp;LOOKUP(A1040, Sheet2!$A$2:$A$11, Sheet2!$B$2:$B$11)</f>
        <v>5PB</v>
      </c>
      <c r="D1040">
        <v>75</v>
      </c>
      <c r="E1040">
        <v>6</v>
      </c>
      <c r="F1040">
        <v>2</v>
      </c>
      <c r="G1040">
        <v>6.6500000000000004E-2</v>
      </c>
      <c r="H1040">
        <v>0.19439999999999999</v>
      </c>
      <c r="I1040">
        <v>0.35</v>
      </c>
      <c r="J1040" s="1" t="str">
        <f>HYPERLINK(SetRGB(J1040,G1040*255,H1040*255,I1040*255),"HOVER!")</f>
        <v>HOVER!</v>
      </c>
      <c r="K1040">
        <f>E1040/F1040</f>
        <v>3</v>
      </c>
    </row>
    <row r="1041" spans="1:11" ht="15" x14ac:dyDescent="0.35">
      <c r="A1041">
        <f t="shared" si="32"/>
        <v>7</v>
      </c>
      <c r="B1041">
        <f t="shared" si="33"/>
        <v>5</v>
      </c>
      <c r="C1041" s="199" t="str">
        <f>B1041&amp;LOOKUP(A1041, Sheet2!$A$2:$A$11, Sheet2!$B$2:$B$11)</f>
        <v>5PB</v>
      </c>
      <c r="D1041">
        <v>75</v>
      </c>
      <c r="E1041">
        <v>2</v>
      </c>
      <c r="F1041">
        <v>3</v>
      </c>
      <c r="G1041">
        <v>0.25440000000000002</v>
      </c>
      <c r="H1041">
        <v>0.2848</v>
      </c>
      <c r="I1041">
        <v>0.34489999999999998</v>
      </c>
      <c r="J1041" s="1" t="str">
        <f>HYPERLINK(SetRGB(J1041,G1041*255,H1041*255,I1041*255),"HOVER!")</f>
        <v>HOVER!</v>
      </c>
      <c r="K1041">
        <f>E1041/F1041</f>
        <v>0.66666666666666663</v>
      </c>
    </row>
    <row r="1042" spans="1:11" ht="15" x14ac:dyDescent="0.35">
      <c r="A1042">
        <f t="shared" si="32"/>
        <v>7</v>
      </c>
      <c r="B1042">
        <f t="shared" si="33"/>
        <v>5</v>
      </c>
      <c r="C1042" s="199" t="str">
        <f>B1042&amp;LOOKUP(A1042, Sheet2!$A$2:$A$11, Sheet2!$B$2:$B$11)</f>
        <v>5PB</v>
      </c>
      <c r="D1042">
        <v>75</v>
      </c>
      <c r="E1042">
        <v>4</v>
      </c>
      <c r="F1042">
        <v>3</v>
      </c>
      <c r="G1042">
        <v>0.21779999999999999</v>
      </c>
      <c r="H1042">
        <v>0.28549999999999998</v>
      </c>
      <c r="I1042">
        <v>0.39879999999999999</v>
      </c>
      <c r="J1042" s="1" t="str">
        <f>HYPERLINK(SetRGB(J1042,G1042*255,H1042*255,I1042*255),"HOVER!")</f>
        <v>HOVER!</v>
      </c>
      <c r="K1042">
        <f>E1042/F1042</f>
        <v>1.3333333333333333</v>
      </c>
    </row>
    <row r="1043" spans="1:11" ht="15" x14ac:dyDescent="0.35">
      <c r="A1043">
        <f t="shared" si="32"/>
        <v>7</v>
      </c>
      <c r="B1043">
        <f t="shared" si="33"/>
        <v>5</v>
      </c>
      <c r="C1043" s="199" t="str">
        <f>B1043&amp;LOOKUP(A1043, Sheet2!$A$2:$A$11, Sheet2!$B$2:$B$11)</f>
        <v>5PB</v>
      </c>
      <c r="D1043">
        <v>75</v>
      </c>
      <c r="E1043">
        <v>6</v>
      </c>
      <c r="F1043">
        <v>3</v>
      </c>
      <c r="G1043">
        <v>0.16539999999999999</v>
      </c>
      <c r="H1043">
        <v>0.28620000000000001</v>
      </c>
      <c r="I1043">
        <v>0.4511</v>
      </c>
      <c r="J1043" s="1" t="str">
        <f>HYPERLINK(SetRGB(J1043,G1043*255,H1043*255,I1043*255),"HOVER!")</f>
        <v>HOVER!</v>
      </c>
      <c r="K1043">
        <f>E1043/F1043</f>
        <v>2</v>
      </c>
    </row>
    <row r="1044" spans="1:11" ht="15" x14ac:dyDescent="0.35">
      <c r="A1044">
        <f t="shared" si="32"/>
        <v>7</v>
      </c>
      <c r="B1044">
        <f t="shared" si="33"/>
        <v>5</v>
      </c>
      <c r="C1044" s="199" t="str">
        <f>B1044&amp;LOOKUP(A1044, Sheet2!$A$2:$A$11, Sheet2!$B$2:$B$11)</f>
        <v>5PB</v>
      </c>
      <c r="D1044">
        <v>75</v>
      </c>
      <c r="E1044">
        <v>8</v>
      </c>
      <c r="F1044">
        <v>3</v>
      </c>
      <c r="G1044">
        <v>8.3500000000000005E-2</v>
      </c>
      <c r="H1044">
        <v>0.28639999999999999</v>
      </c>
      <c r="I1044">
        <v>0.49969999999999998</v>
      </c>
      <c r="J1044" s="1" t="str">
        <f>HYPERLINK(SetRGB(J1044,G1044*255,H1044*255,I1044*255),"HOVER!")</f>
        <v>HOVER!</v>
      </c>
      <c r="K1044">
        <f>E1044/F1044</f>
        <v>2.6666666666666665</v>
      </c>
    </row>
    <row r="1045" spans="1:11" ht="15" x14ac:dyDescent="0.35">
      <c r="A1045">
        <f t="shared" si="32"/>
        <v>7</v>
      </c>
      <c r="B1045">
        <f t="shared" si="33"/>
        <v>5</v>
      </c>
      <c r="C1045" s="199" t="str">
        <f>B1045&amp;LOOKUP(A1045, Sheet2!$A$2:$A$11, Sheet2!$B$2:$B$11)</f>
        <v>5PB</v>
      </c>
      <c r="D1045">
        <v>75</v>
      </c>
      <c r="E1045">
        <v>2</v>
      </c>
      <c r="F1045">
        <v>4</v>
      </c>
      <c r="G1045">
        <v>0.35499999999999998</v>
      </c>
      <c r="H1045">
        <v>0.38190000000000002</v>
      </c>
      <c r="I1045">
        <v>0.43709999999999999</v>
      </c>
      <c r="J1045" s="1" t="str">
        <f>HYPERLINK(SetRGB(J1045,G1045*255,H1045*255,I1045*255),"HOVER!")</f>
        <v>HOVER!</v>
      </c>
      <c r="K1045">
        <f>E1045/F1045</f>
        <v>0.5</v>
      </c>
    </row>
    <row r="1046" spans="1:11" ht="15" x14ac:dyDescent="0.35">
      <c r="A1046">
        <f t="shared" si="32"/>
        <v>7</v>
      </c>
      <c r="B1046">
        <f t="shared" si="33"/>
        <v>5</v>
      </c>
      <c r="C1046" s="199" t="str">
        <f>B1046&amp;LOOKUP(A1046, Sheet2!$A$2:$A$11, Sheet2!$B$2:$B$11)</f>
        <v>5PB</v>
      </c>
      <c r="D1046">
        <v>75</v>
      </c>
      <c r="E1046">
        <v>4</v>
      </c>
      <c r="F1046">
        <v>4</v>
      </c>
      <c r="G1046">
        <v>0.32269999999999999</v>
      </c>
      <c r="H1046">
        <v>0.38290000000000002</v>
      </c>
      <c r="I1046">
        <v>0.48970000000000002</v>
      </c>
      <c r="J1046" s="1" t="str">
        <f>HYPERLINK(SetRGB(J1046,G1046*255,H1046*255,I1046*255),"HOVER!")</f>
        <v>HOVER!</v>
      </c>
      <c r="K1046">
        <f>E1046/F1046</f>
        <v>1</v>
      </c>
    </row>
    <row r="1047" spans="1:11" ht="15" x14ac:dyDescent="0.35">
      <c r="A1047">
        <f t="shared" si="32"/>
        <v>7</v>
      </c>
      <c r="B1047">
        <f t="shared" si="33"/>
        <v>5</v>
      </c>
      <c r="C1047" s="199" t="str">
        <f>B1047&amp;LOOKUP(A1047, Sheet2!$A$2:$A$11, Sheet2!$B$2:$B$11)</f>
        <v>5PB</v>
      </c>
      <c r="D1047">
        <v>75</v>
      </c>
      <c r="E1047">
        <v>6</v>
      </c>
      <c r="F1047">
        <v>4</v>
      </c>
      <c r="G1047">
        <v>0.2792</v>
      </c>
      <c r="H1047">
        <v>0.38440000000000002</v>
      </c>
      <c r="I1047">
        <v>0.54220000000000002</v>
      </c>
      <c r="J1047" s="1" t="str">
        <f>HYPERLINK(SetRGB(J1047,G1047*255,H1047*255,I1047*255),"HOVER!")</f>
        <v>HOVER!</v>
      </c>
      <c r="K1047">
        <f>E1047/F1047</f>
        <v>1.5</v>
      </c>
    </row>
    <row r="1048" spans="1:11" ht="15" x14ac:dyDescent="0.35">
      <c r="A1048">
        <f t="shared" si="32"/>
        <v>7</v>
      </c>
      <c r="B1048">
        <f t="shared" si="33"/>
        <v>5</v>
      </c>
      <c r="C1048" s="199" t="str">
        <f>B1048&amp;LOOKUP(A1048, Sheet2!$A$2:$A$11, Sheet2!$B$2:$B$11)</f>
        <v>5PB</v>
      </c>
      <c r="D1048">
        <v>75</v>
      </c>
      <c r="E1048">
        <v>8</v>
      </c>
      <c r="F1048">
        <v>4</v>
      </c>
      <c r="G1048">
        <v>0.2172</v>
      </c>
      <c r="H1048">
        <v>0.3856</v>
      </c>
      <c r="I1048">
        <v>0.59740000000000004</v>
      </c>
      <c r="J1048" s="1" t="str">
        <f>HYPERLINK(SetRGB(J1048,G1048*255,H1048*255,I1048*255),"HOVER!")</f>
        <v>HOVER!</v>
      </c>
      <c r="K1048">
        <f>E1048/F1048</f>
        <v>2</v>
      </c>
    </row>
    <row r="1049" spans="1:11" ht="15" x14ac:dyDescent="0.35">
      <c r="A1049">
        <f t="shared" si="32"/>
        <v>7</v>
      </c>
      <c r="B1049">
        <f t="shared" si="33"/>
        <v>5</v>
      </c>
      <c r="C1049" s="199" t="str">
        <f>B1049&amp;LOOKUP(A1049, Sheet2!$A$2:$A$11, Sheet2!$B$2:$B$11)</f>
        <v>5PB</v>
      </c>
      <c r="D1049">
        <v>75</v>
      </c>
      <c r="E1049">
        <v>10</v>
      </c>
      <c r="F1049">
        <v>4</v>
      </c>
      <c r="G1049">
        <v>0.1265</v>
      </c>
      <c r="H1049">
        <v>0.38619999999999999</v>
      </c>
      <c r="I1049">
        <v>0.64810000000000001</v>
      </c>
      <c r="J1049" s="1" t="str">
        <f>HYPERLINK(SetRGB(J1049,G1049*255,H1049*255,I1049*255),"HOVER!")</f>
        <v>HOVER!</v>
      </c>
      <c r="K1049">
        <f>E1049/F1049</f>
        <v>2.5</v>
      </c>
    </row>
    <row r="1050" spans="1:11" ht="15" x14ac:dyDescent="0.35">
      <c r="A1050">
        <f t="shared" si="32"/>
        <v>7</v>
      </c>
      <c r="B1050">
        <f t="shared" si="33"/>
        <v>5</v>
      </c>
      <c r="C1050" s="199" t="str">
        <f>B1050&amp;LOOKUP(A1050, Sheet2!$A$2:$A$11, Sheet2!$B$2:$B$11)</f>
        <v>5PB</v>
      </c>
      <c r="D1050">
        <v>75</v>
      </c>
      <c r="E1050">
        <v>2</v>
      </c>
      <c r="F1050">
        <v>5</v>
      </c>
      <c r="G1050">
        <v>0.45710000000000001</v>
      </c>
      <c r="H1050">
        <v>0.48309999999999997</v>
      </c>
      <c r="I1050">
        <v>0.53349999999999997</v>
      </c>
      <c r="J1050" s="1" t="str">
        <f>HYPERLINK(SetRGB(J1050,G1050*255,H1050*255,I1050*255),"HOVER!")</f>
        <v>HOVER!</v>
      </c>
      <c r="K1050">
        <f>E1050/F1050</f>
        <v>0.4</v>
      </c>
    </row>
    <row r="1051" spans="1:11" ht="15" x14ac:dyDescent="0.35">
      <c r="A1051">
        <f t="shared" si="32"/>
        <v>7</v>
      </c>
      <c r="B1051">
        <f t="shared" si="33"/>
        <v>5</v>
      </c>
      <c r="C1051" s="199" t="str">
        <f>B1051&amp;LOOKUP(A1051, Sheet2!$A$2:$A$11, Sheet2!$B$2:$B$11)</f>
        <v>5PB</v>
      </c>
      <c r="D1051">
        <v>75</v>
      </c>
      <c r="E1051">
        <v>4</v>
      </c>
      <c r="F1051">
        <v>5</v>
      </c>
      <c r="G1051">
        <v>0.4244</v>
      </c>
      <c r="H1051">
        <v>0.48480000000000001</v>
      </c>
      <c r="I1051">
        <v>0.58679999999999999</v>
      </c>
      <c r="J1051" s="1" t="str">
        <f>HYPERLINK(SetRGB(J1051,G1051*255,H1051*255,I1051*255),"HOVER!")</f>
        <v>HOVER!</v>
      </c>
      <c r="K1051">
        <f>E1051/F1051</f>
        <v>0.8</v>
      </c>
    </row>
    <row r="1052" spans="1:11" ht="15" x14ac:dyDescent="0.35">
      <c r="A1052">
        <f t="shared" si="32"/>
        <v>7</v>
      </c>
      <c r="B1052">
        <f t="shared" si="33"/>
        <v>5</v>
      </c>
      <c r="C1052" s="199" t="str">
        <f>B1052&amp;LOOKUP(A1052, Sheet2!$A$2:$A$11, Sheet2!$B$2:$B$11)</f>
        <v>5PB</v>
      </c>
      <c r="D1052">
        <v>75</v>
      </c>
      <c r="E1052">
        <v>6</v>
      </c>
      <c r="F1052">
        <v>5</v>
      </c>
      <c r="G1052">
        <v>0.38350000000000001</v>
      </c>
      <c r="H1052">
        <v>0.48620000000000002</v>
      </c>
      <c r="I1052">
        <v>0.64339999999999997</v>
      </c>
      <c r="J1052" s="1" t="str">
        <f>HYPERLINK(SetRGB(J1052,G1052*255,H1052*255,I1052*255),"HOVER!")</f>
        <v>HOVER!</v>
      </c>
      <c r="K1052">
        <f>E1052/F1052</f>
        <v>1.2</v>
      </c>
    </row>
    <row r="1053" spans="1:11" ht="15" x14ac:dyDescent="0.35">
      <c r="A1053">
        <f t="shared" si="32"/>
        <v>7</v>
      </c>
      <c r="B1053">
        <f t="shared" si="33"/>
        <v>5</v>
      </c>
      <c r="C1053" s="199" t="str">
        <f>B1053&amp;LOOKUP(A1053, Sheet2!$A$2:$A$11, Sheet2!$B$2:$B$11)</f>
        <v>5PB</v>
      </c>
      <c r="D1053">
        <v>75</v>
      </c>
      <c r="E1053">
        <v>8</v>
      </c>
      <c r="F1053">
        <v>5</v>
      </c>
      <c r="G1053">
        <v>0.33200000000000002</v>
      </c>
      <c r="H1053">
        <v>0.4879</v>
      </c>
      <c r="I1053">
        <v>0.69710000000000005</v>
      </c>
      <c r="J1053" s="1" t="str">
        <f>HYPERLINK(SetRGB(J1053,G1053*255,H1053*255,I1053*255),"HOVER!")</f>
        <v>HOVER!</v>
      </c>
      <c r="K1053">
        <f>E1053/F1053</f>
        <v>1.6</v>
      </c>
    </row>
    <row r="1054" spans="1:11" ht="15" x14ac:dyDescent="0.35">
      <c r="A1054">
        <f t="shared" si="32"/>
        <v>7</v>
      </c>
      <c r="B1054">
        <f t="shared" si="33"/>
        <v>5</v>
      </c>
      <c r="C1054" s="199" t="str">
        <f>B1054&amp;LOOKUP(A1054, Sheet2!$A$2:$A$11, Sheet2!$B$2:$B$11)</f>
        <v>5PB</v>
      </c>
      <c r="D1054">
        <v>75</v>
      </c>
      <c r="E1054">
        <v>10</v>
      </c>
      <c r="F1054">
        <v>5</v>
      </c>
      <c r="G1054">
        <v>0.26400000000000001</v>
      </c>
      <c r="H1054">
        <v>0.48909999999999998</v>
      </c>
      <c r="I1054">
        <v>0.75170000000000003</v>
      </c>
      <c r="J1054" s="1" t="str">
        <f>HYPERLINK(SetRGB(J1054,G1054*255,H1054*255,I1054*255),"HOVER!")</f>
        <v>HOVER!</v>
      </c>
      <c r="K1054">
        <f>E1054/F1054</f>
        <v>2</v>
      </c>
    </row>
    <row r="1055" spans="1:11" ht="15" x14ac:dyDescent="0.35">
      <c r="A1055">
        <f t="shared" si="32"/>
        <v>7</v>
      </c>
      <c r="B1055">
        <f t="shared" si="33"/>
        <v>5</v>
      </c>
      <c r="C1055" s="199" t="str">
        <f>B1055&amp;LOOKUP(A1055, Sheet2!$A$2:$A$11, Sheet2!$B$2:$B$11)</f>
        <v>5PB</v>
      </c>
      <c r="D1055">
        <v>75</v>
      </c>
      <c r="E1055">
        <v>12</v>
      </c>
      <c r="F1055">
        <v>5</v>
      </c>
      <c r="G1055">
        <v>0.1489</v>
      </c>
      <c r="H1055">
        <v>0.49059999999999998</v>
      </c>
      <c r="I1055">
        <v>0.80700000000000005</v>
      </c>
      <c r="J1055" s="1" t="str">
        <f>HYPERLINK(SetRGB(J1055,G1055*255,H1055*255,I1055*255),"HOVER!")</f>
        <v>HOVER!</v>
      </c>
      <c r="K1055">
        <f>E1055/F1055</f>
        <v>2.4</v>
      </c>
    </row>
    <row r="1056" spans="1:11" ht="15" x14ac:dyDescent="0.35">
      <c r="A1056">
        <f t="shared" si="32"/>
        <v>7</v>
      </c>
      <c r="B1056">
        <f t="shared" si="33"/>
        <v>5</v>
      </c>
      <c r="C1056" s="199" t="str">
        <f>B1056&amp;LOOKUP(A1056, Sheet2!$A$2:$A$11, Sheet2!$B$2:$B$11)</f>
        <v>5PB</v>
      </c>
      <c r="D1056">
        <v>75</v>
      </c>
      <c r="E1056">
        <v>2</v>
      </c>
      <c r="F1056">
        <v>6</v>
      </c>
      <c r="G1056">
        <v>0.55879999999999996</v>
      </c>
      <c r="H1056">
        <v>0.58620000000000005</v>
      </c>
      <c r="I1056">
        <v>0.63200000000000001</v>
      </c>
      <c r="J1056" s="2" t="str">
        <f>HYPERLINK(SetRGB(J1056,G1056*255,H1056*255,I1056*255),"HOVER!")</f>
        <v>HOVER!</v>
      </c>
      <c r="K1056">
        <f>E1056/F1056</f>
        <v>0.33333333333333331</v>
      </c>
    </row>
    <row r="1057" spans="1:11" ht="15" x14ac:dyDescent="0.35">
      <c r="A1057">
        <f t="shared" si="32"/>
        <v>7</v>
      </c>
      <c r="B1057">
        <f t="shared" si="33"/>
        <v>5</v>
      </c>
      <c r="C1057" s="199" t="str">
        <f>B1057&amp;LOOKUP(A1057, Sheet2!$A$2:$A$11, Sheet2!$B$2:$B$11)</f>
        <v>5PB</v>
      </c>
      <c r="D1057">
        <v>75</v>
      </c>
      <c r="E1057">
        <v>4</v>
      </c>
      <c r="F1057">
        <v>6</v>
      </c>
      <c r="G1057">
        <v>0.52669999999999995</v>
      </c>
      <c r="H1057">
        <v>0.58809999999999996</v>
      </c>
      <c r="I1057">
        <v>0.68520000000000003</v>
      </c>
      <c r="J1057" s="2" t="str">
        <f>HYPERLINK(SetRGB(J1057,G1057*255,H1057*255,I1057*255),"HOVER!")</f>
        <v>HOVER!</v>
      </c>
      <c r="K1057">
        <f>E1057/F1057</f>
        <v>0.66666666666666663</v>
      </c>
    </row>
    <row r="1058" spans="1:11" ht="15" x14ac:dyDescent="0.35">
      <c r="A1058">
        <f t="shared" si="32"/>
        <v>7</v>
      </c>
      <c r="B1058">
        <f t="shared" si="33"/>
        <v>5</v>
      </c>
      <c r="C1058" s="199" t="str">
        <f>B1058&amp;LOOKUP(A1058, Sheet2!$A$2:$A$11, Sheet2!$B$2:$B$11)</f>
        <v>5PB</v>
      </c>
      <c r="D1058">
        <v>75</v>
      </c>
      <c r="E1058">
        <v>6</v>
      </c>
      <c r="F1058">
        <v>6</v>
      </c>
      <c r="G1058">
        <v>0.48509999999999998</v>
      </c>
      <c r="H1058">
        <v>0.58989999999999998</v>
      </c>
      <c r="I1058">
        <v>0.746</v>
      </c>
      <c r="J1058" s="2" t="str">
        <f>HYPERLINK(SetRGB(J1058,G1058*255,H1058*255,I1058*255),"HOVER!")</f>
        <v>HOVER!</v>
      </c>
      <c r="K1058">
        <f>E1058/F1058</f>
        <v>1</v>
      </c>
    </row>
    <row r="1059" spans="1:11" ht="15" x14ac:dyDescent="0.35">
      <c r="A1059">
        <f t="shared" si="32"/>
        <v>7</v>
      </c>
      <c r="B1059">
        <f t="shared" si="33"/>
        <v>5</v>
      </c>
      <c r="C1059" s="199" t="str">
        <f>B1059&amp;LOOKUP(A1059, Sheet2!$A$2:$A$11, Sheet2!$B$2:$B$11)</f>
        <v>5PB</v>
      </c>
      <c r="D1059">
        <v>75</v>
      </c>
      <c r="E1059">
        <v>8</v>
      </c>
      <c r="F1059">
        <v>6</v>
      </c>
      <c r="G1059">
        <v>0.439</v>
      </c>
      <c r="H1059">
        <v>0.59130000000000005</v>
      </c>
      <c r="I1059">
        <v>0.80220000000000002</v>
      </c>
      <c r="J1059" s="2" t="str">
        <f>HYPERLINK(SetRGB(J1059,G1059*255,H1059*255,I1059*255),"HOVER!")</f>
        <v>HOVER!</v>
      </c>
      <c r="K1059">
        <f>E1059/F1059</f>
        <v>1.3333333333333333</v>
      </c>
    </row>
    <row r="1060" spans="1:11" ht="15" x14ac:dyDescent="0.35">
      <c r="A1060">
        <f t="shared" si="32"/>
        <v>7</v>
      </c>
      <c r="B1060">
        <f t="shared" si="33"/>
        <v>5</v>
      </c>
      <c r="C1060" s="199" t="str">
        <f>B1060&amp;LOOKUP(A1060, Sheet2!$A$2:$A$11, Sheet2!$B$2:$B$11)</f>
        <v>5PB</v>
      </c>
      <c r="D1060">
        <v>75</v>
      </c>
      <c r="E1060">
        <v>10</v>
      </c>
      <c r="F1060">
        <v>6</v>
      </c>
      <c r="G1060">
        <v>0.37819999999999998</v>
      </c>
      <c r="H1060">
        <v>0.59330000000000005</v>
      </c>
      <c r="I1060">
        <v>0.85760000000000003</v>
      </c>
      <c r="J1060" s="2" t="str">
        <f>HYPERLINK(SetRGB(J1060,G1060*255,H1060*255,I1060*255),"HOVER!")</f>
        <v>HOVER!</v>
      </c>
      <c r="K1060">
        <f>E1060/F1060</f>
        <v>1.6666666666666667</v>
      </c>
    </row>
    <row r="1061" spans="1:11" ht="15" x14ac:dyDescent="0.35">
      <c r="A1061">
        <f t="shared" si="32"/>
        <v>7</v>
      </c>
      <c r="B1061">
        <f t="shared" si="33"/>
        <v>5</v>
      </c>
      <c r="C1061" s="199" t="str">
        <f>B1061&amp;LOOKUP(A1061, Sheet2!$A$2:$A$11, Sheet2!$B$2:$B$11)</f>
        <v>5PB</v>
      </c>
      <c r="D1061">
        <v>75</v>
      </c>
      <c r="E1061">
        <v>12</v>
      </c>
      <c r="F1061">
        <v>6</v>
      </c>
      <c r="G1061">
        <v>0.28189999999999998</v>
      </c>
      <c r="H1061">
        <v>0.59550000000000003</v>
      </c>
      <c r="I1061">
        <v>0.92120000000000002</v>
      </c>
      <c r="J1061" s="2" t="str">
        <f>HYPERLINK(SetRGB(J1061,G1061*255,H1061*255,I1061*255),"HOVER!")</f>
        <v>HOVER!</v>
      </c>
      <c r="K1061">
        <f>E1061/F1061</f>
        <v>2</v>
      </c>
    </row>
    <row r="1062" spans="1:11" ht="15" x14ac:dyDescent="0.35">
      <c r="A1062">
        <f t="shared" si="32"/>
        <v>7</v>
      </c>
      <c r="B1062">
        <f t="shared" si="33"/>
        <v>5</v>
      </c>
      <c r="C1062" s="199" t="str">
        <f>B1062&amp;LOOKUP(A1062, Sheet2!$A$2:$A$11, Sheet2!$B$2:$B$11)</f>
        <v>5PB</v>
      </c>
      <c r="D1062">
        <v>75</v>
      </c>
      <c r="E1062">
        <v>14</v>
      </c>
      <c r="F1062">
        <v>6</v>
      </c>
      <c r="G1062">
        <v>9.1800000000000007E-2</v>
      </c>
      <c r="H1062">
        <v>0.5968</v>
      </c>
      <c r="I1062">
        <v>0.9859</v>
      </c>
      <c r="J1062" s="1" t="str">
        <f>HYPERLINK(SetRGB(J1062,G1062*255,H1062*255,I1062*255),"HOVER!")</f>
        <v>HOVER!</v>
      </c>
      <c r="K1062">
        <f>E1062/F1062</f>
        <v>2.3333333333333335</v>
      </c>
    </row>
    <row r="1063" spans="1:11" ht="15" x14ac:dyDescent="0.35">
      <c r="A1063">
        <f t="shared" si="32"/>
        <v>7</v>
      </c>
      <c r="B1063">
        <f t="shared" si="33"/>
        <v>5</v>
      </c>
      <c r="C1063" s="199" t="str">
        <f>B1063&amp;LOOKUP(A1063, Sheet2!$A$2:$A$11, Sheet2!$B$2:$B$11)</f>
        <v>5PB</v>
      </c>
      <c r="D1063">
        <v>75</v>
      </c>
      <c r="E1063">
        <v>2</v>
      </c>
      <c r="F1063">
        <v>7</v>
      </c>
      <c r="G1063">
        <v>0.66259999999999997</v>
      </c>
      <c r="H1063">
        <v>0.68979999999999997</v>
      </c>
      <c r="I1063">
        <v>0.73329999999999995</v>
      </c>
      <c r="J1063" s="2" t="str">
        <f>HYPERLINK(SetRGB(J1063,G1063*255,H1063*255,I1063*255),"HOVER!")</f>
        <v>HOVER!</v>
      </c>
      <c r="K1063">
        <f>E1063/F1063</f>
        <v>0.2857142857142857</v>
      </c>
    </row>
    <row r="1064" spans="1:11" ht="15" x14ac:dyDescent="0.35">
      <c r="A1064">
        <f t="shared" si="32"/>
        <v>7</v>
      </c>
      <c r="B1064">
        <f t="shared" si="33"/>
        <v>5</v>
      </c>
      <c r="C1064" s="199" t="str">
        <f>B1064&amp;LOOKUP(A1064, Sheet2!$A$2:$A$11, Sheet2!$B$2:$B$11)</f>
        <v>5PB</v>
      </c>
      <c r="D1064">
        <v>75</v>
      </c>
      <c r="E1064">
        <v>4</v>
      </c>
      <c r="F1064">
        <v>7</v>
      </c>
      <c r="G1064">
        <v>0.62709999999999999</v>
      </c>
      <c r="H1064">
        <v>0.6925</v>
      </c>
      <c r="I1064">
        <v>0.79</v>
      </c>
      <c r="J1064" s="2" t="str">
        <f>HYPERLINK(SetRGB(J1064,G1064*255,H1064*255,I1064*255),"HOVER!")</f>
        <v>HOVER!</v>
      </c>
      <c r="K1064">
        <f>E1064/F1064</f>
        <v>0.5714285714285714</v>
      </c>
    </row>
    <row r="1065" spans="1:11" ht="15" x14ac:dyDescent="0.35">
      <c r="A1065">
        <f t="shared" si="32"/>
        <v>7</v>
      </c>
      <c r="B1065">
        <f t="shared" si="33"/>
        <v>5</v>
      </c>
      <c r="C1065" s="199" t="str">
        <f>B1065&amp;LOOKUP(A1065, Sheet2!$A$2:$A$11, Sheet2!$B$2:$B$11)</f>
        <v>5PB</v>
      </c>
      <c r="D1065">
        <v>75</v>
      </c>
      <c r="E1065">
        <v>6</v>
      </c>
      <c r="F1065">
        <v>7</v>
      </c>
      <c r="G1065">
        <v>0.58489999999999998</v>
      </c>
      <c r="H1065">
        <v>0.69510000000000005</v>
      </c>
      <c r="I1065">
        <v>0.84899999999999998</v>
      </c>
      <c r="J1065" s="2" t="str">
        <f>HYPERLINK(SetRGB(J1065,G1065*255,H1065*255,I1065*255),"HOVER!")</f>
        <v>HOVER!</v>
      </c>
      <c r="K1065">
        <f>E1065/F1065</f>
        <v>0.8571428571428571</v>
      </c>
    </row>
    <row r="1066" spans="1:11" ht="15" x14ac:dyDescent="0.35">
      <c r="A1066">
        <f t="shared" si="32"/>
        <v>7</v>
      </c>
      <c r="B1066">
        <f t="shared" si="33"/>
        <v>5</v>
      </c>
      <c r="C1066" s="199" t="str">
        <f>B1066&amp;LOOKUP(A1066, Sheet2!$A$2:$A$11, Sheet2!$B$2:$B$11)</f>
        <v>5PB</v>
      </c>
      <c r="D1066">
        <v>75</v>
      </c>
      <c r="E1066">
        <v>8</v>
      </c>
      <c r="F1066">
        <v>7</v>
      </c>
      <c r="G1066">
        <v>0.53610000000000002</v>
      </c>
      <c r="H1066">
        <v>0.69710000000000005</v>
      </c>
      <c r="I1066">
        <v>0.91010000000000002</v>
      </c>
      <c r="J1066" s="2" t="str">
        <f>HYPERLINK(SetRGB(J1066,G1066*255,H1066*255,I1066*255),"HOVER!")</f>
        <v>HOVER!</v>
      </c>
      <c r="K1066">
        <f>E1066/F1066</f>
        <v>1.1428571428571428</v>
      </c>
    </row>
    <row r="1067" spans="1:11" ht="15" x14ac:dyDescent="0.35">
      <c r="A1067">
        <f t="shared" si="32"/>
        <v>7</v>
      </c>
      <c r="B1067">
        <f t="shared" si="33"/>
        <v>5</v>
      </c>
      <c r="C1067" s="199" t="str">
        <f>B1067&amp;LOOKUP(A1067, Sheet2!$A$2:$A$11, Sheet2!$B$2:$B$11)</f>
        <v>5PB</v>
      </c>
      <c r="D1067">
        <v>75</v>
      </c>
      <c r="E1067">
        <v>10</v>
      </c>
      <c r="F1067">
        <v>7</v>
      </c>
      <c r="G1067">
        <v>0.46989999999999998</v>
      </c>
      <c r="H1067">
        <v>0.69920000000000004</v>
      </c>
      <c r="I1067">
        <v>0.97709999999999997</v>
      </c>
      <c r="J1067" s="2" t="str">
        <f>HYPERLINK(SetRGB(J1067,G1067*255,H1067*255,I1067*255),"HOVER!")</f>
        <v>HOVER!</v>
      </c>
      <c r="K1067">
        <f>E1067/F1067</f>
        <v>1.4285714285714286</v>
      </c>
    </row>
    <row r="1068" spans="1:11" ht="15" x14ac:dyDescent="0.35">
      <c r="A1068">
        <f t="shared" si="32"/>
        <v>7</v>
      </c>
      <c r="B1068">
        <f t="shared" si="33"/>
        <v>5</v>
      </c>
      <c r="C1068" s="199" t="str">
        <f>B1068&amp;LOOKUP(A1068, Sheet2!$A$2:$A$11, Sheet2!$B$2:$B$11)</f>
        <v>5PB</v>
      </c>
      <c r="D1068">
        <v>75</v>
      </c>
      <c r="E1068">
        <v>2</v>
      </c>
      <c r="F1068">
        <v>8</v>
      </c>
      <c r="G1068">
        <v>0.76690000000000003</v>
      </c>
      <c r="H1068">
        <v>0.79500000000000004</v>
      </c>
      <c r="I1068">
        <v>0.83520000000000005</v>
      </c>
      <c r="J1068" s="2" t="str">
        <f>HYPERLINK(SetRGB(J1068,G1068*255,H1068*255,I1068*255),"HOVER!")</f>
        <v>HOVER!</v>
      </c>
      <c r="K1068">
        <f>E1068/F1068</f>
        <v>0.25</v>
      </c>
    </row>
    <row r="1069" spans="1:11" ht="15" x14ac:dyDescent="0.35">
      <c r="A1069">
        <f t="shared" si="32"/>
        <v>7</v>
      </c>
      <c r="B1069">
        <f t="shared" si="33"/>
        <v>5</v>
      </c>
      <c r="C1069" s="199" t="str">
        <f>B1069&amp;LOOKUP(A1069, Sheet2!$A$2:$A$11, Sheet2!$B$2:$B$11)</f>
        <v>5PB</v>
      </c>
      <c r="D1069">
        <v>75</v>
      </c>
      <c r="E1069">
        <v>4</v>
      </c>
      <c r="F1069">
        <v>8</v>
      </c>
      <c r="G1069">
        <v>0.72750000000000004</v>
      </c>
      <c r="H1069">
        <v>0.79820000000000002</v>
      </c>
      <c r="I1069">
        <v>0.89800000000000002</v>
      </c>
      <c r="J1069" s="278" t="str">
        <f>HYPERLINK(SetRGB(J1069,G1069*255,H1069*255,I1069*255),"HOVER!")</f>
        <v>HOVER!</v>
      </c>
      <c r="K1069">
        <f>E1069/F1069</f>
        <v>0.5</v>
      </c>
    </row>
    <row r="1070" spans="1:11" ht="15" x14ac:dyDescent="0.35">
      <c r="A1070">
        <f t="shared" si="32"/>
        <v>7</v>
      </c>
      <c r="B1070">
        <f t="shared" si="33"/>
        <v>5</v>
      </c>
      <c r="C1070" s="199" t="str">
        <f>B1070&amp;LOOKUP(A1070, Sheet2!$A$2:$A$11, Sheet2!$B$2:$B$11)</f>
        <v>5PB</v>
      </c>
      <c r="D1070">
        <v>75</v>
      </c>
      <c r="E1070">
        <v>6</v>
      </c>
      <c r="F1070">
        <v>8</v>
      </c>
      <c r="G1070">
        <v>0.67810000000000004</v>
      </c>
      <c r="H1070">
        <v>0.80149999999999999</v>
      </c>
      <c r="I1070">
        <v>0.96719999999999995</v>
      </c>
      <c r="J1070" s="279" t="str">
        <f>HYPERLINK(SetRGB(J1070,G1070*255,H1070*255,I1070*255),"HOVER!")</f>
        <v>HOVER!</v>
      </c>
      <c r="K1070">
        <f>E1070/F1070</f>
        <v>0.75</v>
      </c>
    </row>
    <row r="1071" spans="1:11" ht="15" x14ac:dyDescent="0.35">
      <c r="A1071">
        <f t="shared" si="32"/>
        <v>7</v>
      </c>
      <c r="B1071">
        <f t="shared" si="33"/>
        <v>5</v>
      </c>
      <c r="C1071" s="199" t="str">
        <f>B1071&amp;LOOKUP(A1071, Sheet2!$A$2:$A$11, Sheet2!$B$2:$B$11)</f>
        <v>5PB</v>
      </c>
      <c r="D1071">
        <v>75</v>
      </c>
      <c r="E1071">
        <v>2</v>
      </c>
      <c r="F1071">
        <v>9</v>
      </c>
      <c r="G1071">
        <v>0.87450000000000006</v>
      </c>
      <c r="H1071">
        <v>0.90229999999999999</v>
      </c>
      <c r="I1071">
        <v>0.94089999999999996</v>
      </c>
      <c r="J1071" s="270" t="str">
        <f>HYPERLINK(SetRGB(J1071,G1071*255,H1071*255,I1071*255),"HOVER!")</f>
        <v>HOVER!</v>
      </c>
      <c r="K1071">
        <f>E1071/F1071</f>
        <v>0.22222222222222221</v>
      </c>
    </row>
    <row r="1072" spans="1:11" ht="15" x14ac:dyDescent="0.35">
      <c r="A1072">
        <f t="shared" si="32"/>
        <v>7</v>
      </c>
      <c r="B1072">
        <f t="shared" si="33"/>
        <v>7.5</v>
      </c>
      <c r="C1072" s="199" t="str">
        <f>B1072&amp;LOOKUP(A1072, Sheet2!$A$2:$A$11, Sheet2!$B$2:$B$11)</f>
        <v>7.5PB</v>
      </c>
      <c r="D1072">
        <v>77.5</v>
      </c>
      <c r="E1072">
        <v>2</v>
      </c>
      <c r="F1072">
        <v>1</v>
      </c>
      <c r="G1072">
        <v>0.104</v>
      </c>
      <c r="H1072">
        <v>0.1072</v>
      </c>
      <c r="I1072">
        <v>0.1699</v>
      </c>
      <c r="J1072" s="271" t="str">
        <f>HYPERLINK(SetRGB(J1072,G1072*255,H1072*255,I1072*255),"HOVER!")</f>
        <v>HOVER!</v>
      </c>
      <c r="K1072">
        <f>E1072/F1072</f>
        <v>2</v>
      </c>
    </row>
    <row r="1073" spans="1:11" ht="15" x14ac:dyDescent="0.35">
      <c r="A1073">
        <f t="shared" si="32"/>
        <v>7</v>
      </c>
      <c r="B1073">
        <f t="shared" si="33"/>
        <v>7.5</v>
      </c>
      <c r="C1073" s="199" t="str">
        <f>B1073&amp;LOOKUP(A1073, Sheet2!$A$2:$A$11, Sheet2!$B$2:$B$11)</f>
        <v>7.5PB</v>
      </c>
      <c r="D1073">
        <v>77.5</v>
      </c>
      <c r="E1073">
        <v>4</v>
      </c>
      <c r="F1073">
        <v>1</v>
      </c>
      <c r="G1073">
        <v>9.5200000000000007E-2</v>
      </c>
      <c r="H1073">
        <v>0.1013</v>
      </c>
      <c r="I1073">
        <v>0.21160000000000001</v>
      </c>
      <c r="J1073" s="269" t="str">
        <f>HYPERLINK(SetRGB(J1073,G1073*255,H1073*255,I1073*255),"HOVER!")</f>
        <v>HOVER!</v>
      </c>
      <c r="K1073">
        <f>E1073/F1073</f>
        <v>4</v>
      </c>
    </row>
    <row r="1074" spans="1:11" ht="15" x14ac:dyDescent="0.35">
      <c r="A1074">
        <f t="shared" si="32"/>
        <v>7</v>
      </c>
      <c r="B1074">
        <f t="shared" si="33"/>
        <v>7.5</v>
      </c>
      <c r="C1074" s="199" t="str">
        <f>B1074&amp;LOOKUP(A1074, Sheet2!$A$2:$A$11, Sheet2!$B$2:$B$11)</f>
        <v>7.5PB</v>
      </c>
      <c r="D1074">
        <v>77.5</v>
      </c>
      <c r="E1074">
        <v>6</v>
      </c>
      <c r="F1074">
        <v>1</v>
      </c>
      <c r="G1074">
        <v>8.8099999999999998E-2</v>
      </c>
      <c r="H1074">
        <v>9.1499999999999998E-2</v>
      </c>
      <c r="I1074">
        <v>0.25519999999999998</v>
      </c>
      <c r="J1074" s="272" t="str">
        <f>HYPERLINK(SetRGB(J1074,G1074*255,H1074*255,I1074*255),"HOVER!")</f>
        <v>HOVER!</v>
      </c>
      <c r="K1074">
        <f>E1074/F1074</f>
        <v>6</v>
      </c>
    </row>
    <row r="1075" spans="1:11" ht="15" x14ac:dyDescent="0.35">
      <c r="A1075">
        <f t="shared" si="32"/>
        <v>7</v>
      </c>
      <c r="B1075">
        <f t="shared" si="33"/>
        <v>7.5</v>
      </c>
      <c r="C1075" s="199" t="str">
        <f>B1075&amp;LOOKUP(A1075, Sheet2!$A$2:$A$11, Sheet2!$B$2:$B$11)</f>
        <v>7.5PB</v>
      </c>
      <c r="D1075">
        <v>77.5</v>
      </c>
      <c r="E1075">
        <v>8</v>
      </c>
      <c r="F1075">
        <v>1</v>
      </c>
      <c r="G1075">
        <v>0.09</v>
      </c>
      <c r="H1075">
        <v>7.6200000000000004E-2</v>
      </c>
      <c r="I1075">
        <v>0.29509999999999997</v>
      </c>
      <c r="J1075" s="273" t="str">
        <f>HYPERLINK(SetRGB(J1075,G1075*255,H1075*255,I1075*255),"HOVER!")</f>
        <v>HOVER!</v>
      </c>
      <c r="K1075">
        <f>E1075/F1075</f>
        <v>8</v>
      </c>
    </row>
    <row r="1076" spans="1:11" ht="15" x14ac:dyDescent="0.35">
      <c r="A1076">
        <f t="shared" si="32"/>
        <v>7</v>
      </c>
      <c r="B1076">
        <f t="shared" si="33"/>
        <v>7.5</v>
      </c>
      <c r="C1076" s="199" t="str">
        <f>B1076&amp;LOOKUP(A1076, Sheet2!$A$2:$A$11, Sheet2!$B$2:$B$11)</f>
        <v>7.5PB</v>
      </c>
      <c r="D1076">
        <v>77.5</v>
      </c>
      <c r="E1076">
        <v>10</v>
      </c>
      <c r="F1076">
        <v>1</v>
      </c>
      <c r="G1076">
        <v>9.8000000000000004E-2</v>
      </c>
      <c r="H1076">
        <v>5.4899999999999997E-2</v>
      </c>
      <c r="I1076">
        <v>0.32950000000000002</v>
      </c>
      <c r="J1076" s="274" t="str">
        <f>HYPERLINK(SetRGB(J1076,G1076*255,H1076*255,I1076*255),"HOVER!")</f>
        <v>HOVER!</v>
      </c>
      <c r="K1076">
        <f>E1076/F1076</f>
        <v>10</v>
      </c>
    </row>
    <row r="1077" spans="1:11" ht="15" x14ac:dyDescent="0.35">
      <c r="A1077">
        <f t="shared" si="32"/>
        <v>7</v>
      </c>
      <c r="B1077">
        <f t="shared" si="33"/>
        <v>7.5</v>
      </c>
      <c r="C1077" s="199" t="str">
        <f>B1077&amp;LOOKUP(A1077, Sheet2!$A$2:$A$11, Sheet2!$B$2:$B$11)</f>
        <v>7.5PB</v>
      </c>
      <c r="D1077">
        <v>77.5</v>
      </c>
      <c r="E1077">
        <v>12</v>
      </c>
      <c r="F1077">
        <v>1</v>
      </c>
      <c r="G1077">
        <v>0.10970000000000001</v>
      </c>
      <c r="H1077">
        <v>1.9E-2</v>
      </c>
      <c r="I1077">
        <v>0.3624</v>
      </c>
      <c r="J1077" s="51" t="str">
        <f>HYPERLINK(SetRGB(J1077,G1077*255,H1077*255,I1077*255),"HOVER!")</f>
        <v>HOVER!</v>
      </c>
      <c r="K1077">
        <f>E1077/F1077</f>
        <v>12</v>
      </c>
    </row>
    <row r="1078" spans="1:11" ht="15" x14ac:dyDescent="0.35">
      <c r="A1078">
        <f t="shared" si="32"/>
        <v>7</v>
      </c>
      <c r="B1078">
        <f t="shared" si="33"/>
        <v>7.5</v>
      </c>
      <c r="C1078" s="199" t="str">
        <f>B1078&amp;LOOKUP(A1078, Sheet2!$A$2:$A$11, Sheet2!$B$2:$B$11)</f>
        <v>7.5PB</v>
      </c>
      <c r="D1078">
        <v>77.5</v>
      </c>
      <c r="E1078">
        <v>2</v>
      </c>
      <c r="F1078">
        <v>2</v>
      </c>
      <c r="G1078">
        <v>0.18440000000000001</v>
      </c>
      <c r="H1078">
        <v>0.18959999999999999</v>
      </c>
      <c r="I1078">
        <v>0.25</v>
      </c>
      <c r="J1078" s="1" t="str">
        <f>HYPERLINK(SetRGB(J1078,G1078*255,H1078*255,I1078*255),"HOVER!")</f>
        <v>HOVER!</v>
      </c>
      <c r="K1078">
        <f>E1078/F1078</f>
        <v>1</v>
      </c>
    </row>
    <row r="1079" spans="1:11" ht="15" x14ac:dyDescent="0.35">
      <c r="A1079">
        <f t="shared" si="32"/>
        <v>7</v>
      </c>
      <c r="B1079">
        <f t="shared" si="33"/>
        <v>7.5</v>
      </c>
      <c r="C1079" s="199" t="str">
        <f>B1079&amp;LOOKUP(A1079, Sheet2!$A$2:$A$11, Sheet2!$B$2:$B$11)</f>
        <v>7.5PB</v>
      </c>
      <c r="D1079">
        <v>77.5</v>
      </c>
      <c r="E1079">
        <v>4</v>
      </c>
      <c r="F1079">
        <v>2</v>
      </c>
      <c r="G1079">
        <v>0.17299999999999999</v>
      </c>
      <c r="H1079">
        <v>0.18459999999999999</v>
      </c>
      <c r="I1079">
        <v>0.29859999999999998</v>
      </c>
      <c r="J1079" s="275" t="str">
        <f>HYPERLINK(SetRGB(J1079,G1079*255,H1079*255,I1079*255),"HOVER!")</f>
        <v>HOVER!</v>
      </c>
      <c r="K1079">
        <f>E1079/F1079</f>
        <v>2</v>
      </c>
    </row>
    <row r="1080" spans="1:11" ht="15" x14ac:dyDescent="0.35">
      <c r="A1080">
        <f t="shared" si="32"/>
        <v>7</v>
      </c>
      <c r="B1080">
        <f t="shared" si="33"/>
        <v>7.5</v>
      </c>
      <c r="C1080" s="199" t="str">
        <f>B1080&amp;LOOKUP(A1080, Sheet2!$A$2:$A$11, Sheet2!$B$2:$B$11)</f>
        <v>7.5PB</v>
      </c>
      <c r="D1080">
        <v>77.5</v>
      </c>
      <c r="E1080">
        <v>6</v>
      </c>
      <c r="F1080">
        <v>2</v>
      </c>
      <c r="G1080">
        <v>0.16089999999999999</v>
      </c>
      <c r="H1080">
        <v>0.1779</v>
      </c>
      <c r="I1080">
        <v>0.34599999999999997</v>
      </c>
      <c r="J1080" s="265" t="str">
        <f>HYPERLINK(SetRGB(J1080,G1080*255,H1080*255,I1080*255),"HOVER!")</f>
        <v>HOVER!</v>
      </c>
      <c r="K1080">
        <f>E1080/F1080</f>
        <v>3</v>
      </c>
    </row>
    <row r="1081" spans="1:11" ht="15" x14ac:dyDescent="0.35">
      <c r="A1081">
        <f t="shared" si="32"/>
        <v>7</v>
      </c>
      <c r="B1081">
        <f t="shared" si="33"/>
        <v>7.5</v>
      </c>
      <c r="C1081" s="199" t="str">
        <f>B1081&amp;LOOKUP(A1081, Sheet2!$A$2:$A$11, Sheet2!$B$2:$B$11)</f>
        <v>7.5PB</v>
      </c>
      <c r="D1081">
        <v>77.5</v>
      </c>
      <c r="E1081">
        <v>8</v>
      </c>
      <c r="F1081">
        <v>2</v>
      </c>
      <c r="G1081">
        <v>0.14749999999999999</v>
      </c>
      <c r="H1081">
        <v>0.16900000000000001</v>
      </c>
      <c r="I1081">
        <v>0.39350000000000002</v>
      </c>
      <c r="J1081" s="264" t="str">
        <f>HYPERLINK(SetRGB(J1081,G1081*255,H1081*255,I1081*255),"HOVER!")</f>
        <v>HOVER!</v>
      </c>
      <c r="K1081">
        <f>E1081/F1081</f>
        <v>4</v>
      </c>
    </row>
    <row r="1082" spans="1:11" ht="15" x14ac:dyDescent="0.35">
      <c r="A1082">
        <f t="shared" si="32"/>
        <v>7</v>
      </c>
      <c r="B1082">
        <f t="shared" si="33"/>
        <v>7.5</v>
      </c>
      <c r="C1082" s="199" t="str">
        <f>B1082&amp;LOOKUP(A1082, Sheet2!$A$2:$A$11, Sheet2!$B$2:$B$11)</f>
        <v>7.5PB</v>
      </c>
      <c r="D1082">
        <v>77.5</v>
      </c>
      <c r="E1082">
        <v>10</v>
      </c>
      <c r="F1082">
        <v>2</v>
      </c>
      <c r="G1082">
        <v>0.14149999999999999</v>
      </c>
      <c r="H1082">
        <v>0.15559999999999999</v>
      </c>
      <c r="I1082">
        <v>0.4395</v>
      </c>
      <c r="J1082" s="263" t="str">
        <f>HYPERLINK(SetRGB(J1082,G1082*255,H1082*255,I1082*255),"HOVER!")</f>
        <v>HOVER!</v>
      </c>
      <c r="K1082">
        <f>E1082/F1082</f>
        <v>5</v>
      </c>
    </row>
    <row r="1083" spans="1:11" ht="15" x14ac:dyDescent="0.35">
      <c r="A1083">
        <f t="shared" si="32"/>
        <v>7</v>
      </c>
      <c r="B1083">
        <f t="shared" si="33"/>
        <v>7.5</v>
      </c>
      <c r="C1083" s="199" t="str">
        <f>B1083&amp;LOOKUP(A1083, Sheet2!$A$2:$A$11, Sheet2!$B$2:$B$11)</f>
        <v>7.5PB</v>
      </c>
      <c r="D1083">
        <v>77.5</v>
      </c>
      <c r="E1083">
        <v>12</v>
      </c>
      <c r="F1083">
        <v>2</v>
      </c>
      <c r="G1083">
        <v>0.14360000000000001</v>
      </c>
      <c r="H1083">
        <v>0.1396</v>
      </c>
      <c r="I1083">
        <v>0.47770000000000001</v>
      </c>
      <c r="J1083" s="262" t="str">
        <f>HYPERLINK(SetRGB(J1083,G1083*255,H1083*255,I1083*255),"HOVER!")</f>
        <v>HOVER!</v>
      </c>
      <c r="K1083">
        <f>E1083/F1083</f>
        <v>6</v>
      </c>
    </row>
    <row r="1084" spans="1:11" ht="15" x14ac:dyDescent="0.35">
      <c r="A1084">
        <f t="shared" si="32"/>
        <v>7</v>
      </c>
      <c r="B1084">
        <f t="shared" si="33"/>
        <v>7.5</v>
      </c>
      <c r="C1084" s="199" t="str">
        <f>B1084&amp;LOOKUP(A1084, Sheet2!$A$2:$A$11, Sheet2!$B$2:$B$11)</f>
        <v>7.5PB</v>
      </c>
      <c r="D1084">
        <v>77.5</v>
      </c>
      <c r="E1084">
        <v>14</v>
      </c>
      <c r="F1084">
        <v>2</v>
      </c>
      <c r="G1084">
        <v>0.15010000000000001</v>
      </c>
      <c r="H1084">
        <v>0.1177</v>
      </c>
      <c r="I1084">
        <v>0.51600000000000001</v>
      </c>
      <c r="J1084" s="261" t="str">
        <f>HYPERLINK(SetRGB(J1084,G1084*255,H1084*255,I1084*255),"HOVER!")</f>
        <v>HOVER!</v>
      </c>
      <c r="K1084">
        <f>E1084/F1084</f>
        <v>7</v>
      </c>
    </row>
    <row r="1085" spans="1:11" ht="15" x14ac:dyDescent="0.35">
      <c r="A1085">
        <f t="shared" si="32"/>
        <v>7</v>
      </c>
      <c r="B1085">
        <f t="shared" si="33"/>
        <v>7.5</v>
      </c>
      <c r="C1085" s="199" t="str">
        <f>B1085&amp;LOOKUP(A1085, Sheet2!$A$2:$A$11, Sheet2!$B$2:$B$11)</f>
        <v>7.5PB</v>
      </c>
      <c r="D1085">
        <v>77.5</v>
      </c>
      <c r="E1085">
        <v>16</v>
      </c>
      <c r="F1085">
        <v>2</v>
      </c>
      <c r="G1085">
        <v>0.16170000000000001</v>
      </c>
      <c r="H1085">
        <v>8.5999999999999993E-2</v>
      </c>
      <c r="I1085">
        <v>0.55359999999999998</v>
      </c>
      <c r="J1085" s="260" t="str">
        <f>HYPERLINK(SetRGB(J1085,G1085*255,H1085*255,I1085*255),"HOVER!")</f>
        <v>HOVER!</v>
      </c>
      <c r="K1085">
        <f>E1085/F1085</f>
        <v>8</v>
      </c>
    </row>
    <row r="1086" spans="1:11" ht="15" x14ac:dyDescent="0.35">
      <c r="A1086">
        <f t="shared" si="32"/>
        <v>7</v>
      </c>
      <c r="B1086">
        <f t="shared" si="33"/>
        <v>7.5</v>
      </c>
      <c r="C1086" s="199" t="str">
        <f>B1086&amp;LOOKUP(A1086, Sheet2!$A$2:$A$11, Sheet2!$B$2:$B$11)</f>
        <v>7.5PB</v>
      </c>
      <c r="D1086">
        <v>77.5</v>
      </c>
      <c r="E1086">
        <v>18</v>
      </c>
      <c r="F1086">
        <v>2</v>
      </c>
      <c r="G1086">
        <v>0.1741</v>
      </c>
      <c r="H1086">
        <v>3.2500000000000001E-2</v>
      </c>
      <c r="I1086">
        <v>0.5907</v>
      </c>
      <c r="J1086" s="256" t="str">
        <f>HYPERLINK(SetRGB(J1086,G1086*255,H1086*255,I1086*255),"HOVER!")</f>
        <v>HOVER!</v>
      </c>
      <c r="K1086">
        <f>E1086/F1086</f>
        <v>9</v>
      </c>
    </row>
    <row r="1087" spans="1:11" ht="15" x14ac:dyDescent="0.35">
      <c r="A1087">
        <f t="shared" si="32"/>
        <v>7</v>
      </c>
      <c r="B1087">
        <f t="shared" si="33"/>
        <v>7.5</v>
      </c>
      <c r="C1087" s="199" t="str">
        <f>B1087&amp;LOOKUP(A1087, Sheet2!$A$2:$A$11, Sheet2!$B$2:$B$11)</f>
        <v>7.5PB</v>
      </c>
      <c r="D1087">
        <v>77.5</v>
      </c>
      <c r="E1087">
        <v>2</v>
      </c>
      <c r="F1087">
        <v>3</v>
      </c>
      <c r="G1087">
        <v>0.2727</v>
      </c>
      <c r="H1087">
        <v>0.27960000000000002</v>
      </c>
      <c r="I1087">
        <v>0.3458</v>
      </c>
      <c r="J1087" s="266" t="str">
        <f>HYPERLINK(SetRGB(J1087,G1087*255,H1087*255,I1087*255),"HOVER!")</f>
        <v>HOVER!</v>
      </c>
      <c r="K1087">
        <f>E1087/F1087</f>
        <v>0.66666666666666663</v>
      </c>
    </row>
    <row r="1088" spans="1:11" ht="15" x14ac:dyDescent="0.35">
      <c r="A1088">
        <f t="shared" si="32"/>
        <v>7</v>
      </c>
      <c r="B1088">
        <f t="shared" si="33"/>
        <v>7.5</v>
      </c>
      <c r="C1088" s="199" t="str">
        <f>B1088&amp;LOOKUP(A1088, Sheet2!$A$2:$A$11, Sheet2!$B$2:$B$11)</f>
        <v>7.5PB</v>
      </c>
      <c r="D1088">
        <v>77.5</v>
      </c>
      <c r="E1088">
        <v>4</v>
      </c>
      <c r="F1088">
        <v>3</v>
      </c>
      <c r="G1088">
        <v>0.2586</v>
      </c>
      <c r="H1088">
        <v>0.2752</v>
      </c>
      <c r="I1088">
        <v>0.39950000000000002</v>
      </c>
      <c r="J1088" s="267" t="str">
        <f>HYPERLINK(SetRGB(J1088,G1088*255,H1088*255,I1088*255),"HOVER!")</f>
        <v>HOVER!</v>
      </c>
      <c r="K1088">
        <f>E1088/F1088</f>
        <v>1.3333333333333333</v>
      </c>
    </row>
    <row r="1089" spans="1:11" ht="15" x14ac:dyDescent="0.35">
      <c r="A1089">
        <f t="shared" si="32"/>
        <v>7</v>
      </c>
      <c r="B1089">
        <f t="shared" si="33"/>
        <v>7.5</v>
      </c>
      <c r="C1089" s="199" t="str">
        <f>B1089&amp;LOOKUP(A1089, Sheet2!$A$2:$A$11, Sheet2!$B$2:$B$11)</f>
        <v>7.5PB</v>
      </c>
      <c r="D1089">
        <v>77.5</v>
      </c>
      <c r="E1089">
        <v>6</v>
      </c>
      <c r="F1089">
        <v>3</v>
      </c>
      <c r="G1089">
        <v>0.2437</v>
      </c>
      <c r="H1089">
        <v>0.2697</v>
      </c>
      <c r="I1089">
        <v>0.4506</v>
      </c>
      <c r="J1089" s="258" t="str">
        <f>HYPERLINK(SetRGB(J1089,G1089*255,H1089*255,I1089*255),"HOVER!")</f>
        <v>HOVER!</v>
      </c>
      <c r="K1089">
        <f>E1089/F1089</f>
        <v>2</v>
      </c>
    </row>
    <row r="1090" spans="1:11" ht="15" x14ac:dyDescent="0.35">
      <c r="A1090">
        <f t="shared" si="32"/>
        <v>7</v>
      </c>
      <c r="B1090">
        <f t="shared" si="33"/>
        <v>7.5</v>
      </c>
      <c r="C1090" s="199" t="str">
        <f>B1090&amp;LOOKUP(A1090, Sheet2!$A$2:$A$11, Sheet2!$B$2:$B$11)</f>
        <v>7.5PB</v>
      </c>
      <c r="D1090">
        <v>77.5</v>
      </c>
      <c r="E1090">
        <v>8</v>
      </c>
      <c r="F1090">
        <v>3</v>
      </c>
      <c r="G1090">
        <v>0.22919999999999999</v>
      </c>
      <c r="H1090">
        <v>0.2631</v>
      </c>
      <c r="I1090">
        <v>0.49759999999999999</v>
      </c>
      <c r="J1090" s="259" t="str">
        <f>HYPERLINK(SetRGB(J1090,G1090*255,H1090*255,I1090*255),"HOVER!")</f>
        <v>HOVER!</v>
      </c>
      <c r="K1090">
        <f>E1090/F1090</f>
        <v>2.6666666666666665</v>
      </c>
    </row>
    <row r="1091" spans="1:11" ht="15" x14ac:dyDescent="0.35">
      <c r="A1091">
        <f t="shared" si="32"/>
        <v>7</v>
      </c>
      <c r="B1091">
        <f t="shared" si="33"/>
        <v>7.5</v>
      </c>
      <c r="C1091" s="199" t="str">
        <f>B1091&amp;LOOKUP(A1091, Sheet2!$A$2:$A$11, Sheet2!$B$2:$B$11)</f>
        <v>7.5PB</v>
      </c>
      <c r="D1091">
        <v>77.5</v>
      </c>
      <c r="E1091">
        <v>10</v>
      </c>
      <c r="F1091">
        <v>3</v>
      </c>
      <c r="G1091">
        <v>0.21179999999999999</v>
      </c>
      <c r="H1091">
        <v>0.25480000000000003</v>
      </c>
      <c r="I1091">
        <v>0.54669999999999996</v>
      </c>
      <c r="J1091" s="268" t="str">
        <f>HYPERLINK(SetRGB(J1091,G1091*255,H1091*255,I1091*255),"HOVER!")</f>
        <v>HOVER!</v>
      </c>
      <c r="K1091">
        <f>E1091/F1091</f>
        <v>3.3333333333333335</v>
      </c>
    </row>
    <row r="1092" spans="1:11" ht="15" x14ac:dyDescent="0.35">
      <c r="A1092">
        <f t="shared" si="32"/>
        <v>7</v>
      </c>
      <c r="B1092">
        <f t="shared" si="33"/>
        <v>7.5</v>
      </c>
      <c r="C1092" s="199" t="str">
        <f>B1092&amp;LOOKUP(A1092, Sheet2!$A$2:$A$11, Sheet2!$B$2:$B$11)</f>
        <v>7.5PB</v>
      </c>
      <c r="D1092">
        <v>77.5</v>
      </c>
      <c r="E1092">
        <v>12</v>
      </c>
      <c r="F1092">
        <v>3</v>
      </c>
      <c r="G1092">
        <v>0.20039999999999999</v>
      </c>
      <c r="H1092">
        <v>0.2437</v>
      </c>
      <c r="I1092">
        <v>0.59260000000000002</v>
      </c>
      <c r="J1092" s="277" t="str">
        <f>HYPERLINK(SetRGB(J1092,G1092*255,H1092*255,I1092*255),"HOVER!")</f>
        <v>HOVER!</v>
      </c>
      <c r="K1092">
        <f>E1092/F1092</f>
        <v>4</v>
      </c>
    </row>
    <row r="1093" spans="1:11" ht="15" x14ac:dyDescent="0.35">
      <c r="A1093">
        <f t="shared" si="32"/>
        <v>7</v>
      </c>
      <c r="B1093">
        <f t="shared" si="33"/>
        <v>7.5</v>
      </c>
      <c r="C1093" s="199" t="str">
        <f>B1093&amp;LOOKUP(A1093, Sheet2!$A$2:$A$11, Sheet2!$B$2:$B$11)</f>
        <v>7.5PB</v>
      </c>
      <c r="D1093">
        <v>77.5</v>
      </c>
      <c r="E1093">
        <v>14</v>
      </c>
      <c r="F1093">
        <v>3</v>
      </c>
      <c r="G1093">
        <v>0.19520000000000001</v>
      </c>
      <c r="H1093">
        <v>0.22800000000000001</v>
      </c>
      <c r="I1093">
        <v>0.64049999999999996</v>
      </c>
      <c r="J1093" s="276" t="str">
        <f>HYPERLINK(SetRGB(J1093,G1093*255,H1093*255,I1093*255),"HOVER!")</f>
        <v>HOVER!</v>
      </c>
      <c r="K1093">
        <f>E1093/F1093</f>
        <v>4.666666666666667</v>
      </c>
    </row>
    <row r="1094" spans="1:11" ht="15" x14ac:dyDescent="0.35">
      <c r="A1094">
        <f t="shared" si="32"/>
        <v>7</v>
      </c>
      <c r="B1094">
        <f t="shared" si="33"/>
        <v>7.5</v>
      </c>
      <c r="C1094" s="199" t="str">
        <f>B1094&amp;LOOKUP(A1094, Sheet2!$A$2:$A$11, Sheet2!$B$2:$B$11)</f>
        <v>7.5PB</v>
      </c>
      <c r="D1094">
        <v>77.5</v>
      </c>
      <c r="E1094">
        <v>16</v>
      </c>
      <c r="F1094">
        <v>3</v>
      </c>
      <c r="G1094">
        <v>0.1956</v>
      </c>
      <c r="H1094">
        <v>0.2077</v>
      </c>
      <c r="I1094">
        <v>0.68769999999999998</v>
      </c>
      <c r="J1094" s="1" t="str">
        <f>HYPERLINK(SetRGB(J1094,G1094*255,H1094*255,I1094*255),"HOVER!")</f>
        <v>HOVER!</v>
      </c>
      <c r="K1094">
        <f>E1094/F1094</f>
        <v>5.333333333333333</v>
      </c>
    </row>
    <row r="1095" spans="1:11" ht="15" x14ac:dyDescent="0.35">
      <c r="A1095">
        <f t="shared" si="32"/>
        <v>7</v>
      </c>
      <c r="B1095">
        <f t="shared" si="33"/>
        <v>7.5</v>
      </c>
      <c r="C1095" s="199" t="str">
        <f>B1095&amp;LOOKUP(A1095, Sheet2!$A$2:$A$11, Sheet2!$B$2:$B$11)</f>
        <v>7.5PB</v>
      </c>
      <c r="D1095">
        <v>77.5</v>
      </c>
      <c r="E1095">
        <v>18</v>
      </c>
      <c r="F1095">
        <v>3</v>
      </c>
      <c r="G1095">
        <v>0.2019</v>
      </c>
      <c r="H1095">
        <v>0.1857</v>
      </c>
      <c r="I1095">
        <v>0.72640000000000005</v>
      </c>
      <c r="J1095" s="1" t="str">
        <f>HYPERLINK(SetRGB(J1095,G1095*255,H1095*255,I1095*255),"HOVER!")</f>
        <v>HOVER!</v>
      </c>
      <c r="K1095">
        <f>E1095/F1095</f>
        <v>6</v>
      </c>
    </row>
    <row r="1096" spans="1:11" ht="15" x14ac:dyDescent="0.35">
      <c r="A1096">
        <f t="shared" si="32"/>
        <v>7</v>
      </c>
      <c r="B1096">
        <f t="shared" si="33"/>
        <v>7.5</v>
      </c>
      <c r="C1096" s="199" t="str">
        <f>B1096&amp;LOOKUP(A1096, Sheet2!$A$2:$A$11, Sheet2!$B$2:$B$11)</f>
        <v>7.5PB</v>
      </c>
      <c r="D1096">
        <v>77.5</v>
      </c>
      <c r="E1096">
        <v>20</v>
      </c>
      <c r="F1096">
        <v>3</v>
      </c>
      <c r="G1096">
        <v>0.2082</v>
      </c>
      <c r="H1096">
        <v>0.16089999999999999</v>
      </c>
      <c r="I1096">
        <v>0.76190000000000002</v>
      </c>
      <c r="J1096" s="1" t="str">
        <f>HYPERLINK(SetRGB(J1096,G1096*255,H1096*255,I1096*255),"HOVER!")</f>
        <v>HOVER!</v>
      </c>
      <c r="K1096">
        <f>E1096/F1096</f>
        <v>6.666666666666667</v>
      </c>
    </row>
    <row r="1097" spans="1:11" ht="15" x14ac:dyDescent="0.35">
      <c r="A1097">
        <f t="shared" si="32"/>
        <v>7</v>
      </c>
      <c r="B1097">
        <f t="shared" si="33"/>
        <v>7.5</v>
      </c>
      <c r="C1097" s="199" t="str">
        <f>B1097&amp;LOOKUP(A1097, Sheet2!$A$2:$A$11, Sheet2!$B$2:$B$11)</f>
        <v>7.5PB</v>
      </c>
      <c r="D1097">
        <v>77.5</v>
      </c>
      <c r="E1097">
        <v>22</v>
      </c>
      <c r="F1097">
        <v>3</v>
      </c>
      <c r="G1097">
        <v>0.22</v>
      </c>
      <c r="H1097">
        <v>0.12</v>
      </c>
      <c r="I1097">
        <v>0.80389999999999995</v>
      </c>
      <c r="J1097" s="1" t="str">
        <f>HYPERLINK(SetRGB(J1097,G1097*255,H1097*255,I1097*255),"HOVER!")</f>
        <v>HOVER!</v>
      </c>
      <c r="K1097">
        <f>E1097/F1097</f>
        <v>7.333333333333333</v>
      </c>
    </row>
    <row r="1098" spans="1:11" ht="15" x14ac:dyDescent="0.35">
      <c r="A1098">
        <f t="shared" si="32"/>
        <v>7</v>
      </c>
      <c r="B1098">
        <f t="shared" si="33"/>
        <v>7.5</v>
      </c>
      <c r="C1098" s="199" t="str">
        <f>B1098&amp;LOOKUP(A1098, Sheet2!$A$2:$A$11, Sheet2!$B$2:$B$11)</f>
        <v>7.5PB</v>
      </c>
      <c r="D1098">
        <v>77.5</v>
      </c>
      <c r="E1098">
        <v>24</v>
      </c>
      <c r="F1098">
        <v>3</v>
      </c>
      <c r="G1098">
        <v>0.23300000000000001</v>
      </c>
      <c r="H1098">
        <v>5.3600000000000002E-2</v>
      </c>
      <c r="I1098">
        <v>0.84379999999999999</v>
      </c>
      <c r="J1098" s="1" t="str">
        <f>HYPERLINK(SetRGB(J1098,G1098*255,H1098*255,I1098*255),"HOVER!")</f>
        <v>HOVER!</v>
      </c>
      <c r="K1098">
        <f>E1098/F1098</f>
        <v>8</v>
      </c>
    </row>
    <row r="1099" spans="1:11" ht="15" x14ac:dyDescent="0.35">
      <c r="A1099">
        <f t="shared" si="32"/>
        <v>7</v>
      </c>
      <c r="B1099">
        <f t="shared" si="33"/>
        <v>7.5</v>
      </c>
      <c r="C1099" s="199" t="str">
        <f>B1099&amp;LOOKUP(A1099, Sheet2!$A$2:$A$11, Sheet2!$B$2:$B$11)</f>
        <v>7.5PB</v>
      </c>
      <c r="D1099">
        <v>77.5</v>
      </c>
      <c r="E1099">
        <v>2</v>
      </c>
      <c r="F1099">
        <v>4</v>
      </c>
      <c r="G1099">
        <v>0.36969999999999997</v>
      </c>
      <c r="H1099">
        <v>0.37759999999999999</v>
      </c>
      <c r="I1099">
        <v>0.438</v>
      </c>
      <c r="J1099" s="1" t="str">
        <f>HYPERLINK(SetRGB(J1099,G1099*255,H1099*255,I1099*255),"HOVER!")</f>
        <v>HOVER!</v>
      </c>
      <c r="K1099">
        <f>E1099/F1099</f>
        <v>0.5</v>
      </c>
    </row>
    <row r="1100" spans="1:11" ht="15" x14ac:dyDescent="0.35">
      <c r="A1100">
        <f t="shared" si="32"/>
        <v>7</v>
      </c>
      <c r="B1100">
        <f t="shared" si="33"/>
        <v>7.5</v>
      </c>
      <c r="C1100" s="199" t="str">
        <f>B1100&amp;LOOKUP(A1100, Sheet2!$A$2:$A$11, Sheet2!$B$2:$B$11)</f>
        <v>7.5PB</v>
      </c>
      <c r="D1100">
        <v>77.5</v>
      </c>
      <c r="E1100">
        <v>4</v>
      </c>
      <c r="F1100">
        <v>4</v>
      </c>
      <c r="G1100">
        <v>0.3569</v>
      </c>
      <c r="H1100">
        <v>0.37390000000000001</v>
      </c>
      <c r="I1100">
        <v>0.49</v>
      </c>
      <c r="J1100" s="1" t="str">
        <f>HYPERLINK(SetRGB(J1100,G1100*255,H1100*255,I1100*255),"HOVER!")</f>
        <v>HOVER!</v>
      </c>
      <c r="K1100">
        <f>E1100/F1100</f>
        <v>1</v>
      </c>
    </row>
    <row r="1101" spans="1:11" ht="15" x14ac:dyDescent="0.35">
      <c r="A1101">
        <f t="shared" si="32"/>
        <v>7</v>
      </c>
      <c r="B1101">
        <f t="shared" si="33"/>
        <v>7.5</v>
      </c>
      <c r="C1101" s="199" t="str">
        <f>B1101&amp;LOOKUP(A1101, Sheet2!$A$2:$A$11, Sheet2!$B$2:$B$11)</f>
        <v>7.5PB</v>
      </c>
      <c r="D1101">
        <v>77.5</v>
      </c>
      <c r="E1101">
        <v>6</v>
      </c>
      <c r="F1101">
        <v>4</v>
      </c>
      <c r="G1101">
        <v>0.34110000000000001</v>
      </c>
      <c r="H1101">
        <v>0.36980000000000002</v>
      </c>
      <c r="I1101">
        <v>0.54110000000000003</v>
      </c>
      <c r="J1101" s="1" t="str">
        <f>HYPERLINK(SetRGB(J1101,G1101*255,H1101*255,I1101*255),"HOVER!")</f>
        <v>HOVER!</v>
      </c>
      <c r="K1101">
        <f>E1101/F1101</f>
        <v>1.5</v>
      </c>
    </row>
    <row r="1102" spans="1:11" ht="15" x14ac:dyDescent="0.35">
      <c r="A1102">
        <f t="shared" ref="A1102:A1165" si="34">IF(FLOOR(D1102/10,1)=0,10,FLOOR(D1102/10,1))</f>
        <v>7</v>
      </c>
      <c r="B1102">
        <f t="shared" ref="B1102:B1165" si="35">IF(MOD(D1102,10)=0,10,MOD(D1102,10))</f>
        <v>7.5</v>
      </c>
      <c r="C1102" s="199" t="str">
        <f>B1102&amp;LOOKUP(A1102, Sheet2!$A$2:$A$11, Sheet2!$B$2:$B$11)</f>
        <v>7.5PB</v>
      </c>
      <c r="D1102">
        <v>77.5</v>
      </c>
      <c r="E1102">
        <v>8</v>
      </c>
      <c r="F1102">
        <v>4</v>
      </c>
      <c r="G1102">
        <v>0.32390000000000002</v>
      </c>
      <c r="H1102">
        <v>0.36459999999999998</v>
      </c>
      <c r="I1102">
        <v>0.59319999999999995</v>
      </c>
      <c r="J1102" s="1" t="str">
        <f>HYPERLINK(SetRGB(J1102,G1102*255,H1102*255,I1102*255),"HOVER!")</f>
        <v>HOVER!</v>
      </c>
      <c r="K1102">
        <f>E1102/F1102</f>
        <v>2</v>
      </c>
    </row>
    <row r="1103" spans="1:11" ht="15" x14ac:dyDescent="0.35">
      <c r="A1103">
        <f t="shared" si="34"/>
        <v>7</v>
      </c>
      <c r="B1103">
        <f t="shared" si="35"/>
        <v>7.5</v>
      </c>
      <c r="C1103" s="199" t="str">
        <f>B1103&amp;LOOKUP(A1103, Sheet2!$A$2:$A$11, Sheet2!$B$2:$B$11)</f>
        <v>7.5PB</v>
      </c>
      <c r="D1103">
        <v>77.5</v>
      </c>
      <c r="E1103">
        <v>10</v>
      </c>
      <c r="F1103">
        <v>4</v>
      </c>
      <c r="G1103">
        <v>0.30359999999999998</v>
      </c>
      <c r="H1103">
        <v>0.35870000000000002</v>
      </c>
      <c r="I1103">
        <v>0.64419999999999999</v>
      </c>
      <c r="J1103" s="1" t="str">
        <f>HYPERLINK(SetRGB(J1103,G1103*255,H1103*255,I1103*255),"HOVER!")</f>
        <v>HOVER!</v>
      </c>
      <c r="K1103">
        <f>E1103/F1103</f>
        <v>2.5</v>
      </c>
    </row>
    <row r="1104" spans="1:11" ht="15" x14ac:dyDescent="0.35">
      <c r="A1104">
        <f t="shared" si="34"/>
        <v>7</v>
      </c>
      <c r="B1104">
        <f t="shared" si="35"/>
        <v>7.5</v>
      </c>
      <c r="C1104" s="199" t="str">
        <f>B1104&amp;LOOKUP(A1104, Sheet2!$A$2:$A$11, Sheet2!$B$2:$B$11)</f>
        <v>7.5PB</v>
      </c>
      <c r="D1104">
        <v>77.5</v>
      </c>
      <c r="E1104">
        <v>12</v>
      </c>
      <c r="F1104">
        <v>4</v>
      </c>
      <c r="G1104">
        <v>0.28260000000000002</v>
      </c>
      <c r="H1104">
        <v>0.3518</v>
      </c>
      <c r="I1104">
        <v>0.69310000000000005</v>
      </c>
      <c r="J1104" s="1" t="str">
        <f>HYPERLINK(SetRGB(J1104,G1104*255,H1104*255,I1104*255),"HOVER!")</f>
        <v>HOVER!</v>
      </c>
      <c r="K1104">
        <f>E1104/F1104</f>
        <v>3</v>
      </c>
    </row>
    <row r="1105" spans="1:11" ht="15" x14ac:dyDescent="0.35">
      <c r="A1105">
        <f t="shared" si="34"/>
        <v>7</v>
      </c>
      <c r="B1105">
        <f t="shared" si="35"/>
        <v>7.5</v>
      </c>
      <c r="C1105" s="199" t="str">
        <f>B1105&amp;LOOKUP(A1105, Sheet2!$A$2:$A$11, Sheet2!$B$2:$B$11)</f>
        <v>7.5PB</v>
      </c>
      <c r="D1105">
        <v>77.5</v>
      </c>
      <c r="E1105">
        <v>14</v>
      </c>
      <c r="F1105">
        <v>4</v>
      </c>
      <c r="G1105">
        <v>0.26540000000000002</v>
      </c>
      <c r="H1105">
        <v>0.34250000000000003</v>
      </c>
      <c r="I1105">
        <v>0.74129999999999996</v>
      </c>
      <c r="J1105" s="1" t="str">
        <f>HYPERLINK(SetRGB(J1105,G1105*255,H1105*255,I1105*255),"HOVER!")</f>
        <v>HOVER!</v>
      </c>
      <c r="K1105">
        <f>E1105/F1105</f>
        <v>3.5</v>
      </c>
    </row>
    <row r="1106" spans="1:11" ht="15" x14ac:dyDescent="0.35">
      <c r="A1106">
        <f t="shared" si="34"/>
        <v>7</v>
      </c>
      <c r="B1106">
        <f t="shared" si="35"/>
        <v>7.5</v>
      </c>
      <c r="C1106" s="199" t="str">
        <f>B1106&amp;LOOKUP(A1106, Sheet2!$A$2:$A$11, Sheet2!$B$2:$B$11)</f>
        <v>7.5PB</v>
      </c>
      <c r="D1106">
        <v>77.5</v>
      </c>
      <c r="E1106">
        <v>16</v>
      </c>
      <c r="F1106">
        <v>4</v>
      </c>
      <c r="G1106">
        <v>0.25259999999999999</v>
      </c>
      <c r="H1106">
        <v>0.32950000000000002</v>
      </c>
      <c r="I1106">
        <v>0.79239999999999999</v>
      </c>
      <c r="J1106" s="1" t="str">
        <f>HYPERLINK(SetRGB(J1106,G1106*255,H1106*255,I1106*255),"HOVER!")</f>
        <v>HOVER!</v>
      </c>
      <c r="K1106">
        <f>E1106/F1106</f>
        <v>4</v>
      </c>
    </row>
    <row r="1107" spans="1:11" ht="15" x14ac:dyDescent="0.35">
      <c r="A1107">
        <f t="shared" si="34"/>
        <v>7</v>
      </c>
      <c r="B1107">
        <f t="shared" si="35"/>
        <v>7.5</v>
      </c>
      <c r="C1107" s="199" t="str">
        <f>B1107&amp;LOOKUP(A1107, Sheet2!$A$2:$A$11, Sheet2!$B$2:$B$11)</f>
        <v>7.5PB</v>
      </c>
      <c r="D1107">
        <v>77.5</v>
      </c>
      <c r="E1107">
        <v>18</v>
      </c>
      <c r="F1107">
        <v>4</v>
      </c>
      <c r="G1107">
        <v>0.24399999999999999</v>
      </c>
      <c r="H1107">
        <v>0.31359999999999999</v>
      </c>
      <c r="I1107">
        <v>0.84219999999999995</v>
      </c>
      <c r="J1107" s="1" t="str">
        <f>HYPERLINK(SetRGB(J1107,G1107*255,H1107*255,I1107*255),"HOVER!")</f>
        <v>HOVER!</v>
      </c>
      <c r="K1107">
        <f>E1107/F1107</f>
        <v>4.5</v>
      </c>
    </row>
    <row r="1108" spans="1:11" ht="15" x14ac:dyDescent="0.35">
      <c r="A1108">
        <f t="shared" si="34"/>
        <v>7</v>
      </c>
      <c r="B1108">
        <f t="shared" si="35"/>
        <v>7.5</v>
      </c>
      <c r="C1108" s="199" t="str">
        <f>B1108&amp;LOOKUP(A1108, Sheet2!$A$2:$A$11, Sheet2!$B$2:$B$11)</f>
        <v>7.5PB</v>
      </c>
      <c r="D1108">
        <v>77.5</v>
      </c>
      <c r="E1108">
        <v>20</v>
      </c>
      <c r="F1108">
        <v>4</v>
      </c>
      <c r="G1108">
        <v>0.2389</v>
      </c>
      <c r="H1108">
        <v>0.29189999999999999</v>
      </c>
      <c r="I1108">
        <v>0.89729999999999999</v>
      </c>
      <c r="J1108" s="1" t="str">
        <f>HYPERLINK(SetRGB(J1108,G1108*255,H1108*255,I1108*255),"HOVER!")</f>
        <v>HOVER!</v>
      </c>
      <c r="K1108">
        <f>E1108/F1108</f>
        <v>5</v>
      </c>
    </row>
    <row r="1109" spans="1:11" ht="15" x14ac:dyDescent="0.35">
      <c r="A1109">
        <f t="shared" si="34"/>
        <v>7</v>
      </c>
      <c r="B1109">
        <f t="shared" si="35"/>
        <v>7.5</v>
      </c>
      <c r="C1109" s="199" t="str">
        <f>B1109&amp;LOOKUP(A1109, Sheet2!$A$2:$A$11, Sheet2!$B$2:$B$11)</f>
        <v>7.5PB</v>
      </c>
      <c r="D1109">
        <v>77.5</v>
      </c>
      <c r="E1109">
        <v>22</v>
      </c>
      <c r="F1109">
        <v>4</v>
      </c>
      <c r="G1109">
        <v>0.24160000000000001</v>
      </c>
      <c r="H1109">
        <v>0.27289999999999998</v>
      </c>
      <c r="I1109">
        <v>0.93520000000000003</v>
      </c>
      <c r="J1109" s="255" t="str">
        <f>HYPERLINK(SetRGB(J1109,G1109*255,H1109*255,I1109*255),"HOVER!")</f>
        <v>HOVER!</v>
      </c>
      <c r="K1109">
        <f>E1109/F1109</f>
        <v>5.5</v>
      </c>
    </row>
    <row r="1110" spans="1:11" ht="15" x14ac:dyDescent="0.35">
      <c r="A1110">
        <f t="shared" si="34"/>
        <v>7</v>
      </c>
      <c r="B1110">
        <f t="shared" si="35"/>
        <v>7.5</v>
      </c>
      <c r="C1110" s="199" t="str">
        <f>B1110&amp;LOOKUP(A1110, Sheet2!$A$2:$A$11, Sheet2!$B$2:$B$11)</f>
        <v>7.5PB</v>
      </c>
      <c r="D1110">
        <v>77.5</v>
      </c>
      <c r="E1110">
        <v>24</v>
      </c>
      <c r="F1110">
        <v>4</v>
      </c>
      <c r="G1110">
        <v>0.24610000000000001</v>
      </c>
      <c r="H1110">
        <v>0.247</v>
      </c>
      <c r="I1110">
        <v>0.97889999999999999</v>
      </c>
      <c r="J1110" s="254" t="str">
        <f>HYPERLINK(SetRGB(J1110,G1110*255,H1110*255,I1110*255),"HOVER!")</f>
        <v>HOVER!</v>
      </c>
      <c r="K1110">
        <f>E1110/F1110</f>
        <v>6</v>
      </c>
    </row>
    <row r="1111" spans="1:11" ht="15" x14ac:dyDescent="0.35">
      <c r="A1111">
        <f t="shared" si="34"/>
        <v>7</v>
      </c>
      <c r="B1111">
        <f t="shared" si="35"/>
        <v>7.5</v>
      </c>
      <c r="C1111" s="199" t="str">
        <f>B1111&amp;LOOKUP(A1111, Sheet2!$A$2:$A$11, Sheet2!$B$2:$B$11)</f>
        <v>7.5PB</v>
      </c>
      <c r="D1111">
        <v>77.5</v>
      </c>
      <c r="E1111">
        <v>26</v>
      </c>
      <c r="F1111">
        <v>4</v>
      </c>
      <c r="G1111">
        <v>0.253</v>
      </c>
      <c r="H1111">
        <v>0.21410000000000001</v>
      </c>
      <c r="I1111">
        <v>1</v>
      </c>
      <c r="J1111" s="253" t="str">
        <f>HYPERLINK(SetRGB(J1111,G1111*255,H1111*255,I1111*255),"HOVER!")</f>
        <v>HOVER!</v>
      </c>
      <c r="K1111">
        <f>E1111/F1111</f>
        <v>6.5</v>
      </c>
    </row>
    <row r="1112" spans="1:11" ht="15" x14ac:dyDescent="0.35">
      <c r="A1112">
        <f t="shared" si="34"/>
        <v>7</v>
      </c>
      <c r="B1112">
        <f t="shared" si="35"/>
        <v>7.5</v>
      </c>
      <c r="C1112" s="199" t="str">
        <f>B1112&amp;LOOKUP(A1112, Sheet2!$A$2:$A$11, Sheet2!$B$2:$B$11)</f>
        <v>7.5PB</v>
      </c>
      <c r="D1112">
        <v>77.5</v>
      </c>
      <c r="E1112">
        <v>2</v>
      </c>
      <c r="F1112">
        <v>5</v>
      </c>
      <c r="G1112">
        <v>0.47039999999999998</v>
      </c>
      <c r="H1112">
        <v>0.4793</v>
      </c>
      <c r="I1112">
        <v>0.53369999999999995</v>
      </c>
      <c r="J1112" s="252" t="str">
        <f>HYPERLINK(SetRGB(J1112,G1112*255,H1112*255,I1112*255),"HOVER!")</f>
        <v>HOVER!</v>
      </c>
      <c r="K1112">
        <f>E1112/F1112</f>
        <v>0.4</v>
      </c>
    </row>
    <row r="1113" spans="1:11" ht="15" x14ac:dyDescent="0.35">
      <c r="A1113">
        <f t="shared" si="34"/>
        <v>7</v>
      </c>
      <c r="B1113">
        <f t="shared" si="35"/>
        <v>7.5</v>
      </c>
      <c r="C1113" s="199" t="str">
        <f>B1113&amp;LOOKUP(A1113, Sheet2!$A$2:$A$11, Sheet2!$B$2:$B$11)</f>
        <v>7.5PB</v>
      </c>
      <c r="D1113">
        <v>77.5</v>
      </c>
      <c r="E1113">
        <v>4</v>
      </c>
      <c r="F1113">
        <v>5</v>
      </c>
      <c r="G1113">
        <v>0.45519999999999999</v>
      </c>
      <c r="H1113">
        <v>0.47660000000000002</v>
      </c>
      <c r="I1113">
        <v>0.58589999999999998</v>
      </c>
      <c r="J1113" s="249" t="str">
        <f>HYPERLINK(SetRGB(J1113,G1113*255,H1113*255,I1113*255),"HOVER!")</f>
        <v>HOVER!</v>
      </c>
      <c r="K1113">
        <f>E1113/F1113</f>
        <v>0.8</v>
      </c>
    </row>
    <row r="1114" spans="1:11" ht="15" x14ac:dyDescent="0.35">
      <c r="A1114">
        <f t="shared" si="34"/>
        <v>7</v>
      </c>
      <c r="B1114">
        <f t="shared" si="35"/>
        <v>7.5</v>
      </c>
      <c r="C1114" s="199" t="str">
        <f>B1114&amp;LOOKUP(A1114, Sheet2!$A$2:$A$11, Sheet2!$B$2:$B$11)</f>
        <v>7.5PB</v>
      </c>
      <c r="D1114">
        <v>77.5</v>
      </c>
      <c r="E1114">
        <v>6</v>
      </c>
      <c r="F1114">
        <v>5</v>
      </c>
      <c r="G1114">
        <v>0.43869999999999998</v>
      </c>
      <c r="H1114">
        <v>0.47260000000000002</v>
      </c>
      <c r="I1114">
        <v>0.64280000000000004</v>
      </c>
      <c r="J1114" s="248" t="str">
        <f>HYPERLINK(SetRGB(J1114,G1114*255,H1114*255,I1114*255),"HOVER!")</f>
        <v>HOVER!</v>
      </c>
      <c r="K1114">
        <f>E1114/F1114</f>
        <v>1.2</v>
      </c>
    </row>
    <row r="1115" spans="1:11" ht="15" x14ac:dyDescent="0.35">
      <c r="A1115">
        <f t="shared" si="34"/>
        <v>7</v>
      </c>
      <c r="B1115">
        <f t="shared" si="35"/>
        <v>7.5</v>
      </c>
      <c r="C1115" s="199" t="str">
        <f>B1115&amp;LOOKUP(A1115, Sheet2!$A$2:$A$11, Sheet2!$B$2:$B$11)</f>
        <v>7.5PB</v>
      </c>
      <c r="D1115">
        <v>77.5</v>
      </c>
      <c r="E1115">
        <v>8</v>
      </c>
      <c r="F1115">
        <v>5</v>
      </c>
      <c r="G1115">
        <v>0.42280000000000001</v>
      </c>
      <c r="H1115">
        <v>0.46779999999999999</v>
      </c>
      <c r="I1115">
        <v>0.69530000000000003</v>
      </c>
      <c r="J1115" s="250" t="str">
        <f>HYPERLINK(SetRGB(J1115,G1115*255,H1115*255,I1115*255),"HOVER!")</f>
        <v>HOVER!</v>
      </c>
      <c r="K1115">
        <f>E1115/F1115</f>
        <v>1.6</v>
      </c>
    </row>
    <row r="1116" spans="1:11" ht="15" x14ac:dyDescent="0.35">
      <c r="A1116">
        <f t="shared" si="34"/>
        <v>7</v>
      </c>
      <c r="B1116">
        <f t="shared" si="35"/>
        <v>7.5</v>
      </c>
      <c r="C1116" s="199" t="str">
        <f>B1116&amp;LOOKUP(A1116, Sheet2!$A$2:$A$11, Sheet2!$B$2:$B$11)</f>
        <v>7.5PB</v>
      </c>
      <c r="D1116">
        <v>77.5</v>
      </c>
      <c r="E1116">
        <v>10</v>
      </c>
      <c r="F1116">
        <v>5</v>
      </c>
      <c r="G1116">
        <v>0.40250000000000002</v>
      </c>
      <c r="H1116">
        <v>0.46350000000000002</v>
      </c>
      <c r="I1116">
        <v>0.745</v>
      </c>
      <c r="J1116" s="251" t="str">
        <f>HYPERLINK(SetRGB(J1116,G1116*255,H1116*255,I1116*255),"HOVER!")</f>
        <v>HOVER!</v>
      </c>
      <c r="K1116">
        <f>E1116/F1116</f>
        <v>2</v>
      </c>
    </row>
    <row r="1117" spans="1:11" ht="15" x14ac:dyDescent="0.35">
      <c r="A1117">
        <f t="shared" si="34"/>
        <v>7</v>
      </c>
      <c r="B1117">
        <f t="shared" si="35"/>
        <v>7.5</v>
      </c>
      <c r="C1117" s="199" t="str">
        <f>B1117&amp;LOOKUP(A1117, Sheet2!$A$2:$A$11, Sheet2!$B$2:$B$11)</f>
        <v>7.5PB</v>
      </c>
      <c r="D1117">
        <v>77.5</v>
      </c>
      <c r="E1117">
        <v>12</v>
      </c>
      <c r="F1117">
        <v>5</v>
      </c>
      <c r="G1117">
        <v>0.3805</v>
      </c>
      <c r="H1117">
        <v>0.45700000000000002</v>
      </c>
      <c r="I1117">
        <v>0.80079999999999996</v>
      </c>
      <c r="J1117" s="237" t="str">
        <f>HYPERLINK(SetRGB(J1117,G1117*255,H1117*255,I1117*255),"HOVER!")</f>
        <v>HOVER!</v>
      </c>
      <c r="K1117">
        <f>E1117/F1117</f>
        <v>2.4</v>
      </c>
    </row>
    <row r="1118" spans="1:11" ht="15" x14ac:dyDescent="0.35">
      <c r="A1118">
        <f t="shared" si="34"/>
        <v>7</v>
      </c>
      <c r="B1118">
        <f t="shared" si="35"/>
        <v>7.5</v>
      </c>
      <c r="C1118" s="199" t="str">
        <f>B1118&amp;LOOKUP(A1118, Sheet2!$A$2:$A$11, Sheet2!$B$2:$B$11)</f>
        <v>7.5PB</v>
      </c>
      <c r="D1118">
        <v>77.5</v>
      </c>
      <c r="E1118">
        <v>14</v>
      </c>
      <c r="F1118">
        <v>5</v>
      </c>
      <c r="G1118">
        <v>0.35399999999999998</v>
      </c>
      <c r="H1118">
        <v>0.45</v>
      </c>
      <c r="I1118">
        <v>0.85589999999999999</v>
      </c>
      <c r="J1118" s="236" t="str">
        <f>HYPERLINK(SetRGB(J1118,G1118*255,H1118*255,I1118*255),"HOVER!")</f>
        <v>HOVER!</v>
      </c>
      <c r="K1118">
        <f>E1118/F1118</f>
        <v>2.8</v>
      </c>
    </row>
    <row r="1119" spans="1:11" ht="15" x14ac:dyDescent="0.35">
      <c r="A1119">
        <f t="shared" si="34"/>
        <v>7</v>
      </c>
      <c r="B1119">
        <f t="shared" si="35"/>
        <v>7.5</v>
      </c>
      <c r="C1119" s="199" t="str">
        <f>B1119&amp;LOOKUP(A1119, Sheet2!$A$2:$A$11, Sheet2!$B$2:$B$11)</f>
        <v>7.5PB</v>
      </c>
      <c r="D1119">
        <v>77.5</v>
      </c>
      <c r="E1119">
        <v>16</v>
      </c>
      <c r="F1119">
        <v>5</v>
      </c>
      <c r="G1119">
        <v>0.3271</v>
      </c>
      <c r="H1119">
        <v>0.4415</v>
      </c>
      <c r="I1119">
        <v>0.91020000000000001</v>
      </c>
      <c r="J1119" s="235" t="str">
        <f>HYPERLINK(SetRGB(J1119,G1119*255,H1119*255,I1119*255),"HOVER!")</f>
        <v>HOVER!</v>
      </c>
      <c r="K1119">
        <f>E1119/F1119</f>
        <v>3.2</v>
      </c>
    </row>
    <row r="1120" spans="1:11" ht="15" x14ac:dyDescent="0.35">
      <c r="A1120">
        <f t="shared" si="34"/>
        <v>7</v>
      </c>
      <c r="B1120">
        <f t="shared" si="35"/>
        <v>7.5</v>
      </c>
      <c r="C1120" s="199" t="str">
        <f>B1120&amp;LOOKUP(A1120, Sheet2!$A$2:$A$11, Sheet2!$B$2:$B$11)</f>
        <v>7.5PB</v>
      </c>
      <c r="D1120">
        <v>77.5</v>
      </c>
      <c r="E1120">
        <v>18</v>
      </c>
      <c r="F1120">
        <v>5</v>
      </c>
      <c r="G1120">
        <v>0.3039</v>
      </c>
      <c r="H1120">
        <v>0.4289</v>
      </c>
      <c r="I1120">
        <v>0.96860000000000002</v>
      </c>
      <c r="J1120" s="234" t="str">
        <f>HYPERLINK(SetRGB(J1120,G1120*255,H1120*255,I1120*255),"HOVER!")</f>
        <v>HOVER!</v>
      </c>
      <c r="K1120">
        <f>E1120/F1120</f>
        <v>3.6</v>
      </c>
    </row>
    <row r="1121" spans="1:11" ht="15" x14ac:dyDescent="0.35">
      <c r="A1121">
        <f t="shared" si="34"/>
        <v>7</v>
      </c>
      <c r="B1121">
        <f t="shared" si="35"/>
        <v>7.5</v>
      </c>
      <c r="C1121" s="199" t="str">
        <f>B1121&amp;LOOKUP(A1121, Sheet2!$A$2:$A$11, Sheet2!$B$2:$B$11)</f>
        <v>7.5PB</v>
      </c>
      <c r="D1121">
        <v>77.5</v>
      </c>
      <c r="E1121">
        <v>20</v>
      </c>
      <c r="F1121">
        <v>5</v>
      </c>
      <c r="G1121">
        <v>0.28170000000000001</v>
      </c>
      <c r="H1121">
        <v>0.4143</v>
      </c>
      <c r="I1121">
        <v>1</v>
      </c>
      <c r="J1121" s="233" t="str">
        <f>HYPERLINK(SetRGB(J1121,G1121*255,H1121*255,I1121*255),"HOVER!")</f>
        <v>HOVER!</v>
      </c>
      <c r="K1121">
        <f>E1121/F1121</f>
        <v>4</v>
      </c>
    </row>
    <row r="1122" spans="1:11" ht="15" x14ac:dyDescent="0.35">
      <c r="A1122">
        <f t="shared" si="34"/>
        <v>7</v>
      </c>
      <c r="B1122">
        <f t="shared" si="35"/>
        <v>7.5</v>
      </c>
      <c r="C1122" s="199" t="str">
        <f>B1122&amp;LOOKUP(A1122, Sheet2!$A$2:$A$11, Sheet2!$B$2:$B$11)</f>
        <v>7.5PB</v>
      </c>
      <c r="D1122">
        <v>77.5</v>
      </c>
      <c r="E1122">
        <v>2</v>
      </c>
      <c r="F1122">
        <v>6</v>
      </c>
      <c r="G1122">
        <v>0.57279999999999998</v>
      </c>
      <c r="H1122">
        <v>0.58209999999999995</v>
      </c>
      <c r="I1122">
        <v>0.63249999999999995</v>
      </c>
      <c r="J1122" s="232" t="str">
        <f>HYPERLINK(SetRGB(J1122,G1122*255,H1122*255,I1122*255),"HOVER!")</f>
        <v>HOVER!</v>
      </c>
      <c r="K1122">
        <f>E1122/F1122</f>
        <v>0.33333333333333331</v>
      </c>
    </row>
    <row r="1123" spans="1:11" ht="15" x14ac:dyDescent="0.35">
      <c r="A1123">
        <f t="shared" si="34"/>
        <v>7</v>
      </c>
      <c r="B1123">
        <f t="shared" si="35"/>
        <v>7.5</v>
      </c>
      <c r="C1123" s="199" t="str">
        <f>B1123&amp;LOOKUP(A1123, Sheet2!$A$2:$A$11, Sheet2!$B$2:$B$11)</f>
        <v>7.5PB</v>
      </c>
      <c r="D1123">
        <v>77.5</v>
      </c>
      <c r="E1123">
        <v>4</v>
      </c>
      <c r="F1123">
        <v>6</v>
      </c>
      <c r="G1123">
        <v>0.5575</v>
      </c>
      <c r="H1123">
        <v>0.5796</v>
      </c>
      <c r="I1123">
        <v>0.68600000000000005</v>
      </c>
      <c r="J1123" s="231" t="str">
        <f>HYPERLINK(SetRGB(J1123,G1123*255,H1123*255,I1123*255),"HOVER!")</f>
        <v>HOVER!</v>
      </c>
      <c r="K1123">
        <f>E1123/F1123</f>
        <v>0.66666666666666663</v>
      </c>
    </row>
    <row r="1124" spans="1:11" ht="15" x14ac:dyDescent="0.35">
      <c r="A1124">
        <f t="shared" si="34"/>
        <v>7</v>
      </c>
      <c r="B1124">
        <f t="shared" si="35"/>
        <v>7.5</v>
      </c>
      <c r="C1124" s="199" t="str">
        <f>B1124&amp;LOOKUP(A1124, Sheet2!$A$2:$A$11, Sheet2!$B$2:$B$11)</f>
        <v>7.5PB</v>
      </c>
      <c r="D1124">
        <v>77.5</v>
      </c>
      <c r="E1124">
        <v>6</v>
      </c>
      <c r="F1124">
        <v>6</v>
      </c>
      <c r="G1124">
        <v>0.53990000000000005</v>
      </c>
      <c r="H1124">
        <v>0.57609999999999995</v>
      </c>
      <c r="I1124">
        <v>0.74460000000000004</v>
      </c>
      <c r="J1124" s="230" t="str">
        <f>HYPERLINK(SetRGB(J1124,G1124*255,H1124*255,I1124*255),"HOVER!")</f>
        <v>HOVER!</v>
      </c>
      <c r="K1124">
        <f>E1124/F1124</f>
        <v>1</v>
      </c>
    </row>
    <row r="1125" spans="1:11" ht="15" x14ac:dyDescent="0.35">
      <c r="A1125">
        <f t="shared" si="34"/>
        <v>7</v>
      </c>
      <c r="B1125">
        <f t="shared" si="35"/>
        <v>7.5</v>
      </c>
      <c r="C1125" s="199" t="str">
        <f>B1125&amp;LOOKUP(A1125, Sheet2!$A$2:$A$11, Sheet2!$B$2:$B$11)</f>
        <v>7.5PB</v>
      </c>
      <c r="D1125">
        <v>77.5</v>
      </c>
      <c r="E1125">
        <v>8</v>
      </c>
      <c r="F1125">
        <v>6</v>
      </c>
      <c r="G1125">
        <v>0.52210000000000001</v>
      </c>
      <c r="H1125">
        <v>0.5726</v>
      </c>
      <c r="I1125">
        <v>0.79649999999999999</v>
      </c>
      <c r="J1125" s="229" t="str">
        <f>HYPERLINK(SetRGB(J1125,G1125*255,H1125*255,I1125*255),"HOVER!")</f>
        <v>HOVER!</v>
      </c>
      <c r="K1125">
        <f>E1125/F1125</f>
        <v>1.3333333333333333</v>
      </c>
    </row>
    <row r="1126" spans="1:11" ht="15" x14ac:dyDescent="0.35">
      <c r="A1126">
        <f t="shared" si="34"/>
        <v>7</v>
      </c>
      <c r="B1126">
        <f t="shared" si="35"/>
        <v>7.5</v>
      </c>
      <c r="C1126" s="199" t="str">
        <f>B1126&amp;LOOKUP(A1126, Sheet2!$A$2:$A$11, Sheet2!$B$2:$B$11)</f>
        <v>7.5PB</v>
      </c>
      <c r="D1126">
        <v>77.5</v>
      </c>
      <c r="E1126">
        <v>10</v>
      </c>
      <c r="F1126">
        <v>6</v>
      </c>
      <c r="G1126">
        <v>0.50229999999999997</v>
      </c>
      <c r="H1126">
        <v>0.56820000000000004</v>
      </c>
      <c r="I1126">
        <v>0.85040000000000004</v>
      </c>
      <c r="J1126" s="228" t="str">
        <f>HYPERLINK(SetRGB(J1126,G1126*255,H1126*255,I1126*255),"HOVER!")</f>
        <v>HOVER!</v>
      </c>
      <c r="K1126">
        <f>E1126/F1126</f>
        <v>1.6666666666666667</v>
      </c>
    </row>
    <row r="1127" spans="1:11" ht="15" x14ac:dyDescent="0.35">
      <c r="A1127">
        <f t="shared" si="34"/>
        <v>7</v>
      </c>
      <c r="B1127">
        <f t="shared" si="35"/>
        <v>7.5</v>
      </c>
      <c r="C1127" s="199" t="str">
        <f>B1127&amp;LOOKUP(A1127, Sheet2!$A$2:$A$11, Sheet2!$B$2:$B$11)</f>
        <v>7.5PB</v>
      </c>
      <c r="D1127">
        <v>77.5</v>
      </c>
      <c r="E1127">
        <v>12</v>
      </c>
      <c r="F1127">
        <v>6</v>
      </c>
      <c r="G1127">
        <v>0.4753</v>
      </c>
      <c r="H1127">
        <v>0.56269999999999998</v>
      </c>
      <c r="I1127">
        <v>0.91349999999999998</v>
      </c>
      <c r="J1127" s="227" t="str">
        <f>HYPERLINK(SetRGB(J1127,G1127*255,H1127*255,I1127*255),"HOVER!")</f>
        <v>HOVER!</v>
      </c>
      <c r="K1127">
        <f>E1127/F1127</f>
        <v>2</v>
      </c>
    </row>
    <row r="1128" spans="1:11" ht="15" x14ac:dyDescent="0.35">
      <c r="A1128">
        <f t="shared" si="34"/>
        <v>7</v>
      </c>
      <c r="B1128">
        <f t="shared" si="35"/>
        <v>7.5</v>
      </c>
      <c r="C1128" s="199" t="str">
        <f>B1128&amp;LOOKUP(A1128, Sheet2!$A$2:$A$11, Sheet2!$B$2:$B$11)</f>
        <v>7.5PB</v>
      </c>
      <c r="D1128">
        <v>77.5</v>
      </c>
      <c r="E1128">
        <v>14</v>
      </c>
      <c r="F1128">
        <v>6</v>
      </c>
      <c r="G1128">
        <v>0.44540000000000002</v>
      </c>
      <c r="H1128">
        <v>0.55589999999999995</v>
      </c>
      <c r="I1128">
        <v>0.97660000000000002</v>
      </c>
      <c r="J1128" s="238" t="str">
        <f>HYPERLINK(SetRGB(J1128,G1128*255,H1128*255,I1128*255),"HOVER!")</f>
        <v>HOVER!</v>
      </c>
      <c r="K1128">
        <f>E1128/F1128</f>
        <v>2.3333333333333335</v>
      </c>
    </row>
    <row r="1129" spans="1:11" ht="15" x14ac:dyDescent="0.35">
      <c r="A1129">
        <f t="shared" si="34"/>
        <v>7</v>
      </c>
      <c r="B1129">
        <f t="shared" si="35"/>
        <v>7.5</v>
      </c>
      <c r="C1129" s="199" t="str">
        <f>B1129&amp;LOOKUP(A1129, Sheet2!$A$2:$A$11, Sheet2!$B$2:$B$11)</f>
        <v>7.5PB</v>
      </c>
      <c r="D1129">
        <v>77.5</v>
      </c>
      <c r="E1129">
        <v>2</v>
      </c>
      <c r="F1129">
        <v>7</v>
      </c>
      <c r="G1129">
        <v>0.67630000000000001</v>
      </c>
      <c r="H1129">
        <v>0.68589999999999995</v>
      </c>
      <c r="I1129">
        <v>0.73240000000000005</v>
      </c>
      <c r="J1129" s="239" t="str">
        <f>HYPERLINK(SetRGB(J1129,G1129*255,H1129*255,I1129*255),"HOVER!")</f>
        <v>HOVER!</v>
      </c>
      <c r="K1129">
        <f>E1129/F1129</f>
        <v>0.2857142857142857</v>
      </c>
    </row>
    <row r="1130" spans="1:11" ht="15" x14ac:dyDescent="0.35">
      <c r="A1130">
        <f t="shared" si="34"/>
        <v>7</v>
      </c>
      <c r="B1130">
        <f t="shared" si="35"/>
        <v>7.5</v>
      </c>
      <c r="C1130" s="199" t="str">
        <f>B1130&amp;LOOKUP(A1130, Sheet2!$A$2:$A$11, Sheet2!$B$2:$B$11)</f>
        <v>7.5PB</v>
      </c>
      <c r="D1130">
        <v>77.5</v>
      </c>
      <c r="E1130">
        <v>4</v>
      </c>
      <c r="F1130">
        <v>7</v>
      </c>
      <c r="G1130">
        <v>0.65849999999999997</v>
      </c>
      <c r="H1130">
        <v>0.68389999999999995</v>
      </c>
      <c r="I1130">
        <v>0.7893</v>
      </c>
      <c r="J1130" s="240" t="str">
        <f>HYPERLINK(SetRGB(J1130,G1130*255,H1130*255,I1130*255),"HOVER!")</f>
        <v>HOVER!</v>
      </c>
      <c r="K1130">
        <f>E1130/F1130</f>
        <v>0.5714285714285714</v>
      </c>
    </row>
    <row r="1131" spans="1:11" ht="15" x14ac:dyDescent="0.35">
      <c r="A1131">
        <f t="shared" si="34"/>
        <v>7</v>
      </c>
      <c r="B1131">
        <f t="shared" si="35"/>
        <v>7.5</v>
      </c>
      <c r="C1131" s="199" t="str">
        <f>B1131&amp;LOOKUP(A1131, Sheet2!$A$2:$A$11, Sheet2!$B$2:$B$11)</f>
        <v>7.5PB</v>
      </c>
      <c r="D1131">
        <v>77.5</v>
      </c>
      <c r="E1131">
        <v>6</v>
      </c>
      <c r="F1131">
        <v>7</v>
      </c>
      <c r="G1131">
        <v>0.63949999999999996</v>
      </c>
      <c r="H1131">
        <v>0.68089999999999995</v>
      </c>
      <c r="I1131">
        <v>0.84919999999999995</v>
      </c>
      <c r="J1131" s="247" t="str">
        <f>HYPERLINK(SetRGB(J1131,G1131*255,H1131*255,I1131*255),"HOVER!")</f>
        <v>HOVER!</v>
      </c>
      <c r="K1131">
        <f>E1131/F1131</f>
        <v>0.8571428571428571</v>
      </c>
    </row>
    <row r="1132" spans="1:11" ht="15" x14ac:dyDescent="0.35">
      <c r="A1132">
        <f t="shared" si="34"/>
        <v>7</v>
      </c>
      <c r="B1132">
        <f t="shared" si="35"/>
        <v>7.5</v>
      </c>
      <c r="C1132" s="199" t="str">
        <f>B1132&amp;LOOKUP(A1132, Sheet2!$A$2:$A$11, Sheet2!$B$2:$B$11)</f>
        <v>7.5PB</v>
      </c>
      <c r="D1132">
        <v>77.5</v>
      </c>
      <c r="E1132">
        <v>8</v>
      </c>
      <c r="F1132">
        <v>7</v>
      </c>
      <c r="G1132">
        <v>0.61829999999999996</v>
      </c>
      <c r="H1132">
        <v>0.67710000000000004</v>
      </c>
      <c r="I1132">
        <v>0.9113</v>
      </c>
      <c r="J1132" s="246" t="str">
        <f>HYPERLINK(SetRGB(J1132,G1132*255,H1132*255,I1132*255),"HOVER!")</f>
        <v>HOVER!</v>
      </c>
      <c r="K1132">
        <f>E1132/F1132</f>
        <v>1.1428571428571428</v>
      </c>
    </row>
    <row r="1133" spans="1:11" ht="15" x14ac:dyDescent="0.35">
      <c r="A1133">
        <f t="shared" si="34"/>
        <v>7</v>
      </c>
      <c r="B1133">
        <f t="shared" si="35"/>
        <v>7.5</v>
      </c>
      <c r="C1133" s="199" t="str">
        <f>B1133&amp;LOOKUP(A1133, Sheet2!$A$2:$A$11, Sheet2!$B$2:$B$11)</f>
        <v>7.5PB</v>
      </c>
      <c r="D1133">
        <v>77.5</v>
      </c>
      <c r="E1133">
        <v>10</v>
      </c>
      <c r="F1133">
        <v>7</v>
      </c>
      <c r="G1133">
        <v>0.59530000000000005</v>
      </c>
      <c r="H1133">
        <v>0.67179999999999995</v>
      </c>
      <c r="I1133">
        <v>0.97729999999999995</v>
      </c>
      <c r="J1133" s="245" t="str">
        <f>HYPERLINK(SetRGB(J1133,G1133*255,H1133*255,I1133*255),"HOVER!")</f>
        <v>HOVER!</v>
      </c>
      <c r="K1133">
        <f>E1133/F1133</f>
        <v>1.4285714285714286</v>
      </c>
    </row>
    <row r="1134" spans="1:11" ht="15" x14ac:dyDescent="0.35">
      <c r="A1134">
        <f t="shared" si="34"/>
        <v>7</v>
      </c>
      <c r="B1134">
        <f t="shared" si="35"/>
        <v>7.5</v>
      </c>
      <c r="C1134" s="199" t="str">
        <f>B1134&amp;LOOKUP(A1134, Sheet2!$A$2:$A$11, Sheet2!$B$2:$B$11)</f>
        <v>7.5PB</v>
      </c>
      <c r="D1134">
        <v>77.5</v>
      </c>
      <c r="E1134">
        <v>2</v>
      </c>
      <c r="F1134">
        <v>8</v>
      </c>
      <c r="G1134">
        <v>0.78110000000000002</v>
      </c>
      <c r="H1134">
        <v>0.79110000000000003</v>
      </c>
      <c r="I1134">
        <v>0.83360000000000001</v>
      </c>
      <c r="J1134" s="244" t="str">
        <f>HYPERLINK(SetRGB(J1134,G1134*255,H1134*255,I1134*255),"HOVER!")</f>
        <v>HOVER!</v>
      </c>
      <c r="K1134">
        <f>E1134/F1134</f>
        <v>0.25</v>
      </c>
    </row>
    <row r="1135" spans="1:11" ht="15" x14ac:dyDescent="0.35">
      <c r="A1135">
        <f t="shared" si="34"/>
        <v>7</v>
      </c>
      <c r="B1135">
        <f t="shared" si="35"/>
        <v>7.5</v>
      </c>
      <c r="C1135" s="199" t="str">
        <f>B1135&amp;LOOKUP(A1135, Sheet2!$A$2:$A$11, Sheet2!$B$2:$B$11)</f>
        <v>7.5PB</v>
      </c>
      <c r="D1135">
        <v>77.5</v>
      </c>
      <c r="E1135">
        <v>4</v>
      </c>
      <c r="F1135">
        <v>8</v>
      </c>
      <c r="G1135">
        <v>0.76060000000000005</v>
      </c>
      <c r="H1135">
        <v>0.7893</v>
      </c>
      <c r="I1135">
        <v>0.89639999999999997</v>
      </c>
      <c r="J1135" s="243" t="str">
        <f>HYPERLINK(SetRGB(J1135,G1135*255,H1135*255,I1135*255),"HOVER!")</f>
        <v>HOVER!</v>
      </c>
      <c r="K1135">
        <f>E1135/F1135</f>
        <v>0.5</v>
      </c>
    </row>
    <row r="1136" spans="1:11" ht="15" x14ac:dyDescent="0.35">
      <c r="A1136">
        <f t="shared" si="34"/>
        <v>7</v>
      </c>
      <c r="B1136">
        <f t="shared" si="35"/>
        <v>7.5</v>
      </c>
      <c r="C1136" s="199" t="str">
        <f>B1136&amp;LOOKUP(A1136, Sheet2!$A$2:$A$11, Sheet2!$B$2:$B$11)</f>
        <v>7.5PB</v>
      </c>
      <c r="D1136">
        <v>77.5</v>
      </c>
      <c r="E1136">
        <v>6</v>
      </c>
      <c r="F1136">
        <v>8</v>
      </c>
      <c r="G1136">
        <v>0.73529999999999995</v>
      </c>
      <c r="H1136">
        <v>0.78700000000000003</v>
      </c>
      <c r="I1136">
        <v>0.96509999999999996</v>
      </c>
      <c r="J1136" s="242" t="str">
        <f>HYPERLINK(SetRGB(J1136,G1136*255,H1136*255,I1136*255),"HOVER!")</f>
        <v>HOVER!</v>
      </c>
      <c r="K1136">
        <f>E1136/F1136</f>
        <v>0.75</v>
      </c>
    </row>
    <row r="1137" spans="1:11" ht="15" x14ac:dyDescent="0.35">
      <c r="A1137">
        <f t="shared" si="34"/>
        <v>7</v>
      </c>
      <c r="B1137">
        <f t="shared" si="35"/>
        <v>7.5</v>
      </c>
      <c r="C1137" s="199" t="str">
        <f>B1137&amp;LOOKUP(A1137, Sheet2!$A$2:$A$11, Sheet2!$B$2:$B$11)</f>
        <v>7.5PB</v>
      </c>
      <c r="D1137">
        <v>77.5</v>
      </c>
      <c r="E1137">
        <v>2</v>
      </c>
      <c r="F1137">
        <v>9</v>
      </c>
      <c r="G1137">
        <v>0.88790000000000002</v>
      </c>
      <c r="H1137">
        <v>0.89859999999999995</v>
      </c>
      <c r="I1137">
        <v>0.93959999999999999</v>
      </c>
      <c r="J1137" s="241" t="str">
        <f>HYPERLINK(SetRGB(J1137,G1137*255,H1137*255,I1137*255),"HOVER!")</f>
        <v>HOVER!</v>
      </c>
      <c r="K1137">
        <f>E1137/F1137</f>
        <v>0.22222222222222221</v>
      </c>
    </row>
    <row r="1138" spans="1:11" ht="15" x14ac:dyDescent="0.35">
      <c r="A1138">
        <f t="shared" si="34"/>
        <v>8</v>
      </c>
      <c r="B1138">
        <f t="shared" si="35"/>
        <v>10</v>
      </c>
      <c r="C1138" s="199" t="str">
        <f>B1138&amp;LOOKUP(A1138, Sheet2!$A$2:$A$11, Sheet2!$B$2:$B$11)</f>
        <v>10P</v>
      </c>
      <c r="D1138">
        <v>80</v>
      </c>
      <c r="E1138">
        <v>2</v>
      </c>
      <c r="F1138">
        <v>1</v>
      </c>
      <c r="G1138">
        <v>0.1208</v>
      </c>
      <c r="H1138">
        <v>0.1018</v>
      </c>
      <c r="I1138">
        <v>0.1694</v>
      </c>
      <c r="J1138" s="52" t="str">
        <f>HYPERLINK(SetRGB(J1138,G1138*255,H1138*255,I1138*255),"HOVER!")</f>
        <v>HOVER!</v>
      </c>
      <c r="K1138">
        <f>E1138/F1138</f>
        <v>2</v>
      </c>
    </row>
    <row r="1139" spans="1:11" ht="15" x14ac:dyDescent="0.35">
      <c r="A1139">
        <f t="shared" si="34"/>
        <v>8</v>
      </c>
      <c r="B1139">
        <f t="shared" si="35"/>
        <v>10</v>
      </c>
      <c r="C1139" s="199" t="str">
        <f>B1139&amp;LOOKUP(A1139, Sheet2!$A$2:$A$11, Sheet2!$B$2:$B$11)</f>
        <v>10P</v>
      </c>
      <c r="D1139">
        <v>80</v>
      </c>
      <c r="E1139">
        <v>4</v>
      </c>
      <c r="F1139">
        <v>1</v>
      </c>
      <c r="G1139">
        <v>0.1275</v>
      </c>
      <c r="H1139">
        <v>9.1300000000000006E-2</v>
      </c>
      <c r="I1139">
        <v>0.20680000000000001</v>
      </c>
      <c r="J1139" s="53" t="str">
        <f>HYPERLINK(SetRGB(J1139,G1139*255,H1139*255,I1139*255),"HOVER!")</f>
        <v>HOVER!</v>
      </c>
      <c r="K1139">
        <f>E1139/F1139</f>
        <v>4</v>
      </c>
    </row>
    <row r="1140" spans="1:11" ht="15" x14ac:dyDescent="0.35">
      <c r="A1140">
        <f t="shared" si="34"/>
        <v>8</v>
      </c>
      <c r="B1140">
        <f t="shared" si="35"/>
        <v>10</v>
      </c>
      <c r="C1140" s="199" t="str">
        <f>B1140&amp;LOOKUP(A1140, Sheet2!$A$2:$A$11, Sheet2!$B$2:$B$11)</f>
        <v>10P</v>
      </c>
      <c r="D1140">
        <v>80</v>
      </c>
      <c r="E1140">
        <v>6</v>
      </c>
      <c r="F1140">
        <v>1</v>
      </c>
      <c r="G1140">
        <v>0.1358</v>
      </c>
      <c r="H1140">
        <v>7.6499999999999999E-2</v>
      </c>
      <c r="I1140">
        <v>0.24429999999999999</v>
      </c>
      <c r="J1140" s="1" t="str">
        <f>HYPERLINK(SetRGB(J1140,G1140*255,H1140*255,I1140*255),"HOVER!")</f>
        <v>HOVER!</v>
      </c>
      <c r="K1140">
        <f>E1140/F1140</f>
        <v>6</v>
      </c>
    </row>
    <row r="1141" spans="1:11" ht="15" x14ac:dyDescent="0.35">
      <c r="A1141">
        <f t="shared" si="34"/>
        <v>8</v>
      </c>
      <c r="B1141">
        <f t="shared" si="35"/>
        <v>10</v>
      </c>
      <c r="C1141" s="199" t="str">
        <f>B1141&amp;LOOKUP(A1141, Sheet2!$A$2:$A$11, Sheet2!$B$2:$B$11)</f>
        <v>10P</v>
      </c>
      <c r="D1141">
        <v>80</v>
      </c>
      <c r="E1141">
        <v>8</v>
      </c>
      <c r="F1141">
        <v>1</v>
      </c>
      <c r="G1141">
        <v>0.14599999999999999</v>
      </c>
      <c r="H1141">
        <v>5.74E-2</v>
      </c>
      <c r="I1141">
        <v>0.27600000000000002</v>
      </c>
      <c r="J1141" s="1" t="str">
        <f>HYPERLINK(SetRGB(J1141,G1141*255,H1141*255,I1141*255),"HOVER!")</f>
        <v>HOVER!</v>
      </c>
      <c r="K1141">
        <f>E1141/F1141</f>
        <v>8</v>
      </c>
    </row>
    <row r="1142" spans="1:11" ht="15" x14ac:dyDescent="0.35">
      <c r="A1142">
        <f t="shared" si="34"/>
        <v>8</v>
      </c>
      <c r="B1142">
        <f t="shared" si="35"/>
        <v>10</v>
      </c>
      <c r="C1142" s="199" t="str">
        <f>B1142&amp;LOOKUP(A1142, Sheet2!$A$2:$A$11, Sheet2!$B$2:$B$11)</f>
        <v>10P</v>
      </c>
      <c r="D1142">
        <v>80</v>
      </c>
      <c r="E1142">
        <v>10</v>
      </c>
      <c r="F1142">
        <v>1</v>
      </c>
      <c r="G1142">
        <v>0.15939999999999999</v>
      </c>
      <c r="H1142">
        <v>2.3900000000000001E-2</v>
      </c>
      <c r="I1142">
        <v>0.30830000000000002</v>
      </c>
      <c r="J1142" s="1" t="str">
        <f>HYPERLINK(SetRGB(J1142,G1142*255,H1142*255,I1142*255),"HOVER!")</f>
        <v>HOVER!</v>
      </c>
      <c r="K1142">
        <f>E1142/F1142</f>
        <v>10</v>
      </c>
    </row>
    <row r="1143" spans="1:11" ht="15" x14ac:dyDescent="0.35">
      <c r="A1143">
        <f t="shared" si="34"/>
        <v>8</v>
      </c>
      <c r="B1143">
        <f t="shared" si="35"/>
        <v>10</v>
      </c>
      <c r="C1143" s="199" t="str">
        <f>B1143&amp;LOOKUP(A1143, Sheet2!$A$2:$A$11, Sheet2!$B$2:$B$11)</f>
        <v>10P</v>
      </c>
      <c r="D1143">
        <v>80</v>
      </c>
      <c r="E1143">
        <v>2</v>
      </c>
      <c r="F1143">
        <v>2</v>
      </c>
      <c r="G1143">
        <v>0.1996</v>
      </c>
      <c r="H1143">
        <v>0.18509999999999999</v>
      </c>
      <c r="I1143">
        <v>0.2487</v>
      </c>
      <c r="J1143" s="1" t="str">
        <f>HYPERLINK(SetRGB(J1143,G1143*255,H1143*255,I1143*255),"HOVER!")</f>
        <v>HOVER!</v>
      </c>
      <c r="K1143">
        <f>E1143/F1143</f>
        <v>1</v>
      </c>
    </row>
    <row r="1144" spans="1:11" ht="15" x14ac:dyDescent="0.35">
      <c r="A1144">
        <f t="shared" si="34"/>
        <v>8</v>
      </c>
      <c r="B1144">
        <f t="shared" si="35"/>
        <v>10</v>
      </c>
      <c r="C1144" s="199" t="str">
        <f>B1144&amp;LOOKUP(A1144, Sheet2!$A$2:$A$11, Sheet2!$B$2:$B$11)</f>
        <v>10P</v>
      </c>
      <c r="D1144">
        <v>80</v>
      </c>
      <c r="E1144">
        <v>4</v>
      </c>
      <c r="F1144">
        <v>2</v>
      </c>
      <c r="G1144">
        <v>0.2049</v>
      </c>
      <c r="H1144">
        <v>0.1757</v>
      </c>
      <c r="I1144">
        <v>0.29220000000000002</v>
      </c>
      <c r="J1144" s="1" t="str">
        <f>HYPERLINK(SetRGB(J1144,G1144*255,H1144*255,I1144*255),"HOVER!")</f>
        <v>HOVER!</v>
      </c>
      <c r="K1144">
        <f>E1144/F1144</f>
        <v>2</v>
      </c>
    </row>
    <row r="1145" spans="1:11" ht="15" x14ac:dyDescent="0.35">
      <c r="A1145">
        <f t="shared" si="34"/>
        <v>8</v>
      </c>
      <c r="B1145">
        <f t="shared" si="35"/>
        <v>10</v>
      </c>
      <c r="C1145" s="199" t="str">
        <f>B1145&amp;LOOKUP(A1145, Sheet2!$A$2:$A$11, Sheet2!$B$2:$B$11)</f>
        <v>10P</v>
      </c>
      <c r="D1145">
        <v>80</v>
      </c>
      <c r="E1145">
        <v>6</v>
      </c>
      <c r="F1145">
        <v>2</v>
      </c>
      <c r="G1145">
        <v>0.2109</v>
      </c>
      <c r="H1145">
        <v>0.1646</v>
      </c>
      <c r="I1145">
        <v>0.33279999999999998</v>
      </c>
      <c r="J1145" s="1" t="str">
        <f>HYPERLINK(SetRGB(J1145,G1145*255,H1145*255,I1145*255),"HOVER!")</f>
        <v>HOVER!</v>
      </c>
      <c r="K1145">
        <f>E1145/F1145</f>
        <v>3</v>
      </c>
    </row>
    <row r="1146" spans="1:11" ht="15" x14ac:dyDescent="0.35">
      <c r="A1146">
        <f t="shared" si="34"/>
        <v>8</v>
      </c>
      <c r="B1146">
        <f t="shared" si="35"/>
        <v>10</v>
      </c>
      <c r="C1146" s="199" t="str">
        <f>B1146&amp;LOOKUP(A1146, Sheet2!$A$2:$A$11, Sheet2!$B$2:$B$11)</f>
        <v>10P</v>
      </c>
      <c r="D1146">
        <v>80</v>
      </c>
      <c r="E1146">
        <v>8</v>
      </c>
      <c r="F1146">
        <v>2</v>
      </c>
      <c r="G1146">
        <v>0.2177</v>
      </c>
      <c r="H1146">
        <v>0.1497</v>
      </c>
      <c r="I1146">
        <v>0.3765</v>
      </c>
      <c r="J1146" s="1" t="str">
        <f>HYPERLINK(SetRGB(J1146,G1146*255,H1146*255,I1146*255),"HOVER!")</f>
        <v>HOVER!</v>
      </c>
      <c r="K1146">
        <f>E1146/F1146</f>
        <v>4</v>
      </c>
    </row>
    <row r="1147" spans="1:11" ht="15" x14ac:dyDescent="0.35">
      <c r="A1147">
        <f t="shared" si="34"/>
        <v>8</v>
      </c>
      <c r="B1147">
        <f t="shared" si="35"/>
        <v>10</v>
      </c>
      <c r="C1147" s="199" t="str">
        <f>B1147&amp;LOOKUP(A1147, Sheet2!$A$2:$A$11, Sheet2!$B$2:$B$11)</f>
        <v>10P</v>
      </c>
      <c r="D1147">
        <v>80</v>
      </c>
      <c r="E1147">
        <v>10</v>
      </c>
      <c r="F1147">
        <v>2</v>
      </c>
      <c r="G1147">
        <v>0.22889999999999999</v>
      </c>
      <c r="H1147">
        <v>0.12989999999999999</v>
      </c>
      <c r="I1147">
        <v>0.41639999999999999</v>
      </c>
      <c r="J1147" s="1" t="str">
        <f>HYPERLINK(SetRGB(J1147,G1147*255,H1147*255,I1147*255),"HOVER!")</f>
        <v>HOVER!</v>
      </c>
      <c r="K1147">
        <f>E1147/F1147</f>
        <v>5</v>
      </c>
    </row>
    <row r="1148" spans="1:11" ht="15" x14ac:dyDescent="0.35">
      <c r="A1148">
        <f t="shared" si="34"/>
        <v>8</v>
      </c>
      <c r="B1148">
        <f t="shared" si="35"/>
        <v>10</v>
      </c>
      <c r="C1148" s="199" t="str">
        <f>B1148&amp;LOOKUP(A1148, Sheet2!$A$2:$A$11, Sheet2!$B$2:$B$11)</f>
        <v>10P</v>
      </c>
      <c r="D1148">
        <v>80</v>
      </c>
      <c r="E1148">
        <v>12</v>
      </c>
      <c r="F1148">
        <v>2</v>
      </c>
      <c r="G1148">
        <v>0.24099999999999999</v>
      </c>
      <c r="H1148">
        <v>0.10639999999999999</v>
      </c>
      <c r="I1148">
        <v>0.45040000000000002</v>
      </c>
      <c r="J1148" s="1" t="str">
        <f>HYPERLINK(SetRGB(J1148,G1148*255,H1148*255,I1148*255),"HOVER!")</f>
        <v>HOVER!</v>
      </c>
      <c r="K1148">
        <f>E1148/F1148</f>
        <v>6</v>
      </c>
    </row>
    <row r="1149" spans="1:11" ht="15" x14ac:dyDescent="0.35">
      <c r="A1149">
        <f t="shared" si="34"/>
        <v>8</v>
      </c>
      <c r="B1149">
        <f t="shared" si="35"/>
        <v>10</v>
      </c>
      <c r="C1149" s="199" t="str">
        <f>B1149&amp;LOOKUP(A1149, Sheet2!$A$2:$A$11, Sheet2!$B$2:$B$11)</f>
        <v>10P</v>
      </c>
      <c r="D1149">
        <v>80</v>
      </c>
      <c r="E1149">
        <v>14</v>
      </c>
      <c r="F1149">
        <v>2</v>
      </c>
      <c r="G1149">
        <v>0.25509999999999999</v>
      </c>
      <c r="H1149">
        <v>7.0199999999999999E-2</v>
      </c>
      <c r="I1149">
        <v>0.48630000000000001</v>
      </c>
      <c r="J1149" s="1" t="str">
        <f>HYPERLINK(SetRGB(J1149,G1149*255,H1149*255,I1149*255),"HOVER!")</f>
        <v>HOVER!</v>
      </c>
      <c r="K1149">
        <f>E1149/F1149</f>
        <v>7</v>
      </c>
    </row>
    <row r="1150" spans="1:11" ht="15" x14ac:dyDescent="0.35">
      <c r="A1150">
        <f t="shared" si="34"/>
        <v>8</v>
      </c>
      <c r="B1150">
        <f t="shared" si="35"/>
        <v>10</v>
      </c>
      <c r="C1150" s="199" t="str">
        <f>B1150&amp;LOOKUP(A1150, Sheet2!$A$2:$A$11, Sheet2!$B$2:$B$11)</f>
        <v>10P</v>
      </c>
      <c r="D1150">
        <v>80</v>
      </c>
      <c r="E1150">
        <v>2</v>
      </c>
      <c r="F1150">
        <v>3</v>
      </c>
      <c r="G1150">
        <v>0.28860000000000002</v>
      </c>
      <c r="H1150">
        <v>0.27479999999999999</v>
      </c>
      <c r="I1150">
        <v>0.34510000000000002</v>
      </c>
      <c r="J1150" s="1" t="str">
        <f>HYPERLINK(SetRGB(J1150,G1150*255,H1150*255,I1150*255),"HOVER!")</f>
        <v>HOVER!</v>
      </c>
      <c r="K1150">
        <f>E1150/F1150</f>
        <v>0.66666666666666663</v>
      </c>
    </row>
    <row r="1151" spans="1:11" ht="15" x14ac:dyDescent="0.35">
      <c r="A1151">
        <f t="shared" si="34"/>
        <v>8</v>
      </c>
      <c r="B1151">
        <f t="shared" si="35"/>
        <v>10</v>
      </c>
      <c r="C1151" s="199" t="str">
        <f>B1151&amp;LOOKUP(A1151, Sheet2!$A$2:$A$11, Sheet2!$B$2:$B$11)</f>
        <v>10P</v>
      </c>
      <c r="D1151">
        <v>80</v>
      </c>
      <c r="E1151">
        <v>4</v>
      </c>
      <c r="F1151">
        <v>3</v>
      </c>
      <c r="G1151">
        <v>0.29170000000000001</v>
      </c>
      <c r="H1151">
        <v>0.26590000000000003</v>
      </c>
      <c r="I1151">
        <v>0.39429999999999998</v>
      </c>
      <c r="J1151" s="1" t="str">
        <f>HYPERLINK(SetRGB(J1151,G1151*255,H1151*255,I1151*255),"HOVER!")</f>
        <v>HOVER!</v>
      </c>
      <c r="K1151">
        <f>E1151/F1151</f>
        <v>1.3333333333333333</v>
      </c>
    </row>
    <row r="1152" spans="1:11" ht="15" x14ac:dyDescent="0.35">
      <c r="A1152">
        <f t="shared" si="34"/>
        <v>8</v>
      </c>
      <c r="B1152">
        <f t="shared" si="35"/>
        <v>10</v>
      </c>
      <c r="C1152" s="199" t="str">
        <f>B1152&amp;LOOKUP(A1152, Sheet2!$A$2:$A$11, Sheet2!$B$2:$B$11)</f>
        <v>10P</v>
      </c>
      <c r="D1152">
        <v>80</v>
      </c>
      <c r="E1152">
        <v>6</v>
      </c>
      <c r="F1152">
        <v>3</v>
      </c>
      <c r="G1152">
        <v>0.29609999999999997</v>
      </c>
      <c r="H1152">
        <v>0.25559999999999999</v>
      </c>
      <c r="I1152">
        <v>0.44</v>
      </c>
      <c r="J1152" s="1" t="str">
        <f>HYPERLINK(SetRGB(J1152,G1152*255,H1152*255,I1152*255),"HOVER!")</f>
        <v>HOVER!</v>
      </c>
      <c r="K1152">
        <f>E1152/F1152</f>
        <v>2</v>
      </c>
    </row>
    <row r="1153" spans="1:11" ht="15" x14ac:dyDescent="0.35">
      <c r="A1153">
        <f t="shared" si="34"/>
        <v>8</v>
      </c>
      <c r="B1153">
        <f t="shared" si="35"/>
        <v>10</v>
      </c>
      <c r="C1153" s="199" t="str">
        <f>B1153&amp;LOOKUP(A1153, Sheet2!$A$2:$A$11, Sheet2!$B$2:$B$11)</f>
        <v>10P</v>
      </c>
      <c r="D1153">
        <v>80</v>
      </c>
      <c r="E1153">
        <v>8</v>
      </c>
      <c r="F1153">
        <v>3</v>
      </c>
      <c r="G1153">
        <v>0.30159999999999998</v>
      </c>
      <c r="H1153">
        <v>0.24329999999999999</v>
      </c>
      <c r="I1153">
        <v>0.48420000000000002</v>
      </c>
      <c r="J1153" s="1" t="str">
        <f>HYPERLINK(SetRGB(J1153,G1153*255,H1153*255,I1153*255),"HOVER!")</f>
        <v>HOVER!</v>
      </c>
      <c r="K1153">
        <f>E1153/F1153</f>
        <v>2.6666666666666665</v>
      </c>
    </row>
    <row r="1154" spans="1:11" ht="15" x14ac:dyDescent="0.35">
      <c r="A1154">
        <f t="shared" si="34"/>
        <v>8</v>
      </c>
      <c r="B1154">
        <f t="shared" si="35"/>
        <v>10</v>
      </c>
      <c r="C1154" s="199" t="str">
        <f>B1154&amp;LOOKUP(A1154, Sheet2!$A$2:$A$11, Sheet2!$B$2:$B$11)</f>
        <v>10P</v>
      </c>
      <c r="D1154">
        <v>80</v>
      </c>
      <c r="E1154">
        <v>10</v>
      </c>
      <c r="F1154">
        <v>3</v>
      </c>
      <c r="G1154">
        <v>0.30880000000000002</v>
      </c>
      <c r="H1154">
        <v>0.2276</v>
      </c>
      <c r="I1154">
        <v>0.5302</v>
      </c>
      <c r="J1154" s="1" t="str">
        <f>HYPERLINK(SetRGB(J1154,G1154*255,H1154*255,I1154*255),"HOVER!")</f>
        <v>HOVER!</v>
      </c>
      <c r="K1154">
        <f>E1154/F1154</f>
        <v>3.3333333333333335</v>
      </c>
    </row>
    <row r="1155" spans="1:11" ht="15" x14ac:dyDescent="0.35">
      <c r="A1155">
        <f t="shared" si="34"/>
        <v>8</v>
      </c>
      <c r="B1155">
        <f t="shared" si="35"/>
        <v>10</v>
      </c>
      <c r="C1155" s="199" t="str">
        <f>B1155&amp;LOOKUP(A1155, Sheet2!$A$2:$A$11, Sheet2!$B$2:$B$11)</f>
        <v>10P</v>
      </c>
      <c r="D1155">
        <v>80</v>
      </c>
      <c r="E1155">
        <v>12</v>
      </c>
      <c r="F1155">
        <v>3</v>
      </c>
      <c r="G1155">
        <v>0.31709999999999999</v>
      </c>
      <c r="H1155">
        <v>0.2114</v>
      </c>
      <c r="I1155">
        <v>0.56769999999999998</v>
      </c>
      <c r="J1155" s="1" t="str">
        <f>HYPERLINK(SetRGB(J1155,G1155*255,H1155*255,I1155*255),"HOVER!")</f>
        <v>HOVER!</v>
      </c>
      <c r="K1155">
        <f>E1155/F1155</f>
        <v>4</v>
      </c>
    </row>
    <row r="1156" spans="1:11" ht="15" x14ac:dyDescent="0.35">
      <c r="A1156">
        <f t="shared" si="34"/>
        <v>8</v>
      </c>
      <c r="B1156">
        <f t="shared" si="35"/>
        <v>10</v>
      </c>
      <c r="C1156" s="199" t="str">
        <f>B1156&amp;LOOKUP(A1156, Sheet2!$A$2:$A$11, Sheet2!$B$2:$B$11)</f>
        <v>10P</v>
      </c>
      <c r="D1156">
        <v>80</v>
      </c>
      <c r="E1156">
        <v>14</v>
      </c>
      <c r="F1156">
        <v>3</v>
      </c>
      <c r="G1156">
        <v>0.32979999999999998</v>
      </c>
      <c r="H1156">
        <v>0.18770000000000001</v>
      </c>
      <c r="I1156">
        <v>0.61009999999999998</v>
      </c>
      <c r="J1156" s="1" t="str">
        <f>HYPERLINK(SetRGB(J1156,G1156*255,H1156*255,I1156*255),"HOVER!")</f>
        <v>HOVER!</v>
      </c>
      <c r="K1156">
        <f>E1156/F1156</f>
        <v>4.666666666666667</v>
      </c>
    </row>
    <row r="1157" spans="1:11" ht="15" x14ac:dyDescent="0.35">
      <c r="A1157">
        <f t="shared" si="34"/>
        <v>8</v>
      </c>
      <c r="B1157">
        <f t="shared" si="35"/>
        <v>10</v>
      </c>
      <c r="C1157" s="199" t="str">
        <f>B1157&amp;LOOKUP(A1157, Sheet2!$A$2:$A$11, Sheet2!$B$2:$B$11)</f>
        <v>10P</v>
      </c>
      <c r="D1157">
        <v>80</v>
      </c>
      <c r="E1157">
        <v>16</v>
      </c>
      <c r="F1157">
        <v>3</v>
      </c>
      <c r="G1157">
        <v>0.34399999999999997</v>
      </c>
      <c r="H1157">
        <v>0.15740000000000001</v>
      </c>
      <c r="I1157">
        <v>0.65100000000000002</v>
      </c>
      <c r="J1157" s="1" t="str">
        <f>HYPERLINK(SetRGB(J1157,G1157*255,H1157*255,I1157*255),"HOVER!")</f>
        <v>HOVER!</v>
      </c>
      <c r="K1157">
        <f>E1157/F1157</f>
        <v>5.333333333333333</v>
      </c>
    </row>
    <row r="1158" spans="1:11" ht="15" x14ac:dyDescent="0.35">
      <c r="A1158">
        <f t="shared" si="34"/>
        <v>8</v>
      </c>
      <c r="B1158">
        <f t="shared" si="35"/>
        <v>10</v>
      </c>
      <c r="C1158" s="199" t="str">
        <f>B1158&amp;LOOKUP(A1158, Sheet2!$A$2:$A$11, Sheet2!$B$2:$B$11)</f>
        <v>10P</v>
      </c>
      <c r="D1158">
        <v>80</v>
      </c>
      <c r="E1158">
        <v>18</v>
      </c>
      <c r="F1158">
        <v>3</v>
      </c>
      <c r="G1158">
        <v>0.3584</v>
      </c>
      <c r="H1158">
        <v>0.1216</v>
      </c>
      <c r="I1158">
        <v>0.68530000000000002</v>
      </c>
      <c r="J1158" s="1" t="str">
        <f>HYPERLINK(SetRGB(J1158,G1158*255,H1158*255,I1158*255),"HOVER!")</f>
        <v>HOVER!</v>
      </c>
      <c r="K1158">
        <f>E1158/F1158</f>
        <v>6</v>
      </c>
    </row>
    <row r="1159" spans="1:11" ht="15" x14ac:dyDescent="0.35">
      <c r="A1159">
        <f t="shared" si="34"/>
        <v>8</v>
      </c>
      <c r="B1159">
        <f t="shared" si="35"/>
        <v>10</v>
      </c>
      <c r="C1159" s="199" t="str">
        <f>B1159&amp;LOOKUP(A1159, Sheet2!$A$2:$A$11, Sheet2!$B$2:$B$11)</f>
        <v>10P</v>
      </c>
      <c r="D1159">
        <v>80</v>
      </c>
      <c r="E1159">
        <v>20</v>
      </c>
      <c r="F1159">
        <v>3</v>
      </c>
      <c r="G1159">
        <v>0.37330000000000002</v>
      </c>
      <c r="H1159">
        <v>6.4000000000000001E-2</v>
      </c>
      <c r="I1159">
        <v>0.72070000000000001</v>
      </c>
      <c r="J1159" s="1" t="str">
        <f>HYPERLINK(SetRGB(J1159,G1159*255,H1159*255,I1159*255),"HOVER!")</f>
        <v>HOVER!</v>
      </c>
      <c r="K1159">
        <f>E1159/F1159</f>
        <v>6.666666666666667</v>
      </c>
    </row>
    <row r="1160" spans="1:11" ht="15" x14ac:dyDescent="0.35">
      <c r="A1160">
        <f t="shared" si="34"/>
        <v>8</v>
      </c>
      <c r="B1160">
        <f t="shared" si="35"/>
        <v>10</v>
      </c>
      <c r="C1160" s="199" t="str">
        <f>B1160&amp;LOOKUP(A1160, Sheet2!$A$2:$A$11, Sheet2!$B$2:$B$11)</f>
        <v>10P</v>
      </c>
      <c r="D1160">
        <v>80</v>
      </c>
      <c r="E1160">
        <v>2</v>
      </c>
      <c r="F1160">
        <v>4</v>
      </c>
      <c r="G1160">
        <v>0.38400000000000001</v>
      </c>
      <c r="H1160">
        <v>0.37330000000000002</v>
      </c>
      <c r="I1160">
        <v>0.43759999999999999</v>
      </c>
      <c r="J1160" s="1" t="str">
        <f>HYPERLINK(SetRGB(J1160,G1160*255,H1160*255,I1160*255),"HOVER!")</f>
        <v>HOVER!</v>
      </c>
      <c r="K1160">
        <f>E1160/F1160</f>
        <v>0.5</v>
      </c>
    </row>
    <row r="1161" spans="1:11" ht="15" x14ac:dyDescent="0.35">
      <c r="A1161">
        <f t="shared" si="34"/>
        <v>8</v>
      </c>
      <c r="B1161">
        <f t="shared" si="35"/>
        <v>10</v>
      </c>
      <c r="C1161" s="199" t="str">
        <f>B1161&amp;LOOKUP(A1161, Sheet2!$A$2:$A$11, Sheet2!$B$2:$B$11)</f>
        <v>10P</v>
      </c>
      <c r="D1161">
        <v>80</v>
      </c>
      <c r="E1161">
        <v>4</v>
      </c>
      <c r="F1161">
        <v>4</v>
      </c>
      <c r="G1161">
        <v>0.38619999999999999</v>
      </c>
      <c r="H1161">
        <v>0.36559999999999998</v>
      </c>
      <c r="I1161">
        <v>0.4859</v>
      </c>
      <c r="J1161" s="1" t="str">
        <f>HYPERLINK(SetRGB(J1161,G1161*255,H1161*255,I1161*255),"HOVER!")</f>
        <v>HOVER!</v>
      </c>
      <c r="K1161">
        <f>E1161/F1161</f>
        <v>1</v>
      </c>
    </row>
    <row r="1162" spans="1:11" ht="15" x14ac:dyDescent="0.35">
      <c r="A1162">
        <f t="shared" si="34"/>
        <v>8</v>
      </c>
      <c r="B1162">
        <f t="shared" si="35"/>
        <v>10</v>
      </c>
      <c r="C1162" s="199" t="str">
        <f>B1162&amp;LOOKUP(A1162, Sheet2!$A$2:$A$11, Sheet2!$B$2:$B$11)</f>
        <v>10P</v>
      </c>
      <c r="D1162">
        <v>80</v>
      </c>
      <c r="E1162">
        <v>6</v>
      </c>
      <c r="F1162">
        <v>4</v>
      </c>
      <c r="G1162">
        <v>0.38819999999999999</v>
      </c>
      <c r="H1162">
        <v>0.35680000000000001</v>
      </c>
      <c r="I1162">
        <v>0.53449999999999998</v>
      </c>
      <c r="J1162" s="1" t="str">
        <f>HYPERLINK(SetRGB(J1162,G1162*255,H1162*255,I1162*255),"HOVER!")</f>
        <v>HOVER!</v>
      </c>
      <c r="K1162">
        <f>E1162/F1162</f>
        <v>1.5</v>
      </c>
    </row>
    <row r="1163" spans="1:11" ht="15" x14ac:dyDescent="0.35">
      <c r="A1163">
        <f t="shared" si="34"/>
        <v>8</v>
      </c>
      <c r="B1163">
        <f t="shared" si="35"/>
        <v>10</v>
      </c>
      <c r="C1163" s="199" t="str">
        <f>B1163&amp;LOOKUP(A1163, Sheet2!$A$2:$A$11, Sheet2!$B$2:$B$11)</f>
        <v>10P</v>
      </c>
      <c r="D1163">
        <v>80</v>
      </c>
      <c r="E1163">
        <v>8</v>
      </c>
      <c r="F1163">
        <v>4</v>
      </c>
      <c r="G1163">
        <v>0.39079999999999998</v>
      </c>
      <c r="H1163">
        <v>0.3468</v>
      </c>
      <c r="I1163">
        <v>0.58109999999999995</v>
      </c>
      <c r="J1163" s="1" t="str">
        <f>HYPERLINK(SetRGB(J1163,G1163*255,H1163*255,I1163*255),"HOVER!")</f>
        <v>HOVER!</v>
      </c>
      <c r="K1163">
        <f>E1163/F1163</f>
        <v>2</v>
      </c>
    </row>
    <row r="1164" spans="1:11" ht="15" x14ac:dyDescent="0.35">
      <c r="A1164">
        <f t="shared" si="34"/>
        <v>8</v>
      </c>
      <c r="B1164">
        <f t="shared" si="35"/>
        <v>10</v>
      </c>
      <c r="C1164" s="199" t="str">
        <f>B1164&amp;LOOKUP(A1164, Sheet2!$A$2:$A$11, Sheet2!$B$2:$B$11)</f>
        <v>10P</v>
      </c>
      <c r="D1164">
        <v>80</v>
      </c>
      <c r="E1164">
        <v>10</v>
      </c>
      <c r="F1164">
        <v>4</v>
      </c>
      <c r="G1164">
        <v>0.39340000000000003</v>
      </c>
      <c r="H1164">
        <v>0.33539999999999998</v>
      </c>
      <c r="I1164">
        <v>0.62739999999999996</v>
      </c>
      <c r="J1164" s="1" t="str">
        <f>HYPERLINK(SetRGB(J1164,G1164*255,H1164*255,I1164*255),"HOVER!")</f>
        <v>HOVER!</v>
      </c>
      <c r="K1164">
        <f>E1164/F1164</f>
        <v>2.5</v>
      </c>
    </row>
    <row r="1165" spans="1:11" ht="15" x14ac:dyDescent="0.35">
      <c r="A1165">
        <f t="shared" si="34"/>
        <v>8</v>
      </c>
      <c r="B1165">
        <f t="shared" si="35"/>
        <v>10</v>
      </c>
      <c r="C1165" s="199" t="str">
        <f>B1165&amp;LOOKUP(A1165, Sheet2!$A$2:$A$11, Sheet2!$B$2:$B$11)</f>
        <v>10P</v>
      </c>
      <c r="D1165">
        <v>80</v>
      </c>
      <c r="E1165">
        <v>12</v>
      </c>
      <c r="F1165">
        <v>4</v>
      </c>
      <c r="G1165">
        <v>0.3987</v>
      </c>
      <c r="H1165">
        <v>0.32169999999999999</v>
      </c>
      <c r="I1165">
        <v>0.67300000000000004</v>
      </c>
      <c r="J1165" s="1" t="str">
        <f>HYPERLINK(SetRGB(J1165,G1165*255,H1165*255,I1165*255),"HOVER!")</f>
        <v>HOVER!</v>
      </c>
      <c r="K1165">
        <f>E1165/F1165</f>
        <v>3</v>
      </c>
    </row>
    <row r="1166" spans="1:11" ht="15" x14ac:dyDescent="0.35">
      <c r="A1166">
        <f t="shared" ref="A1166:A1229" si="36">IF(FLOOR(D1166/10,1)=0,10,FLOOR(D1166/10,1))</f>
        <v>8</v>
      </c>
      <c r="B1166">
        <f t="shared" ref="B1166:B1229" si="37">IF(MOD(D1166,10)=0,10,MOD(D1166,10))</f>
        <v>10</v>
      </c>
      <c r="C1166" s="199" t="str">
        <f>B1166&amp;LOOKUP(A1166, Sheet2!$A$2:$A$11, Sheet2!$B$2:$B$11)</f>
        <v>10P</v>
      </c>
      <c r="D1166">
        <v>80</v>
      </c>
      <c r="E1166">
        <v>14</v>
      </c>
      <c r="F1166">
        <v>4</v>
      </c>
      <c r="G1166">
        <v>0.4047</v>
      </c>
      <c r="H1166">
        <v>0.30599999999999999</v>
      </c>
      <c r="I1166">
        <v>0.71760000000000002</v>
      </c>
      <c r="J1166" s="1" t="str">
        <f>HYPERLINK(SetRGB(J1166,G1166*255,H1166*255,I1166*255),"HOVER!")</f>
        <v>HOVER!</v>
      </c>
      <c r="K1166">
        <f>E1166/F1166</f>
        <v>3.5</v>
      </c>
    </row>
    <row r="1167" spans="1:11" ht="15" x14ac:dyDescent="0.35">
      <c r="A1167">
        <f t="shared" si="36"/>
        <v>8</v>
      </c>
      <c r="B1167">
        <f t="shared" si="37"/>
        <v>10</v>
      </c>
      <c r="C1167" s="199" t="str">
        <f>B1167&amp;LOOKUP(A1167, Sheet2!$A$2:$A$11, Sheet2!$B$2:$B$11)</f>
        <v>10P</v>
      </c>
      <c r="D1167">
        <v>80</v>
      </c>
      <c r="E1167">
        <v>16</v>
      </c>
      <c r="F1167">
        <v>4</v>
      </c>
      <c r="G1167">
        <v>0.4173</v>
      </c>
      <c r="H1167">
        <v>0.2863</v>
      </c>
      <c r="I1167">
        <v>0.75839999999999996</v>
      </c>
      <c r="J1167" s="1" t="str">
        <f>HYPERLINK(SetRGB(J1167,G1167*255,H1167*255,I1167*255),"HOVER!")</f>
        <v>HOVER!</v>
      </c>
      <c r="K1167">
        <f>E1167/F1167</f>
        <v>4</v>
      </c>
    </row>
    <row r="1168" spans="1:11" ht="15" x14ac:dyDescent="0.35">
      <c r="A1168">
        <f t="shared" si="36"/>
        <v>8</v>
      </c>
      <c r="B1168">
        <f t="shared" si="37"/>
        <v>10</v>
      </c>
      <c r="C1168" s="199" t="str">
        <f>B1168&amp;LOOKUP(A1168, Sheet2!$A$2:$A$11, Sheet2!$B$2:$B$11)</f>
        <v>10P</v>
      </c>
      <c r="D1168">
        <v>80</v>
      </c>
      <c r="E1168">
        <v>18</v>
      </c>
      <c r="F1168">
        <v>4</v>
      </c>
      <c r="G1168">
        <v>0.42809999999999998</v>
      </c>
      <c r="H1168">
        <v>0.26429999999999998</v>
      </c>
      <c r="I1168">
        <v>0.79969999999999997</v>
      </c>
      <c r="J1168" s="1" t="str">
        <f>HYPERLINK(SetRGB(J1168,G1168*255,H1168*255,I1168*255),"HOVER!")</f>
        <v>HOVER!</v>
      </c>
      <c r="K1168">
        <f>E1168/F1168</f>
        <v>4.5</v>
      </c>
    </row>
    <row r="1169" spans="1:11" ht="15" x14ac:dyDescent="0.35">
      <c r="A1169">
        <f t="shared" si="36"/>
        <v>8</v>
      </c>
      <c r="B1169">
        <f t="shared" si="37"/>
        <v>10</v>
      </c>
      <c r="C1169" s="199" t="str">
        <f>B1169&amp;LOOKUP(A1169, Sheet2!$A$2:$A$11, Sheet2!$B$2:$B$11)</f>
        <v>10P</v>
      </c>
      <c r="D1169">
        <v>80</v>
      </c>
      <c r="E1169">
        <v>20</v>
      </c>
      <c r="F1169">
        <v>4</v>
      </c>
      <c r="G1169">
        <v>0.44269999999999998</v>
      </c>
      <c r="H1169">
        <v>0.23350000000000001</v>
      </c>
      <c r="I1169">
        <v>0.84530000000000005</v>
      </c>
      <c r="J1169" s="1" t="str">
        <f>HYPERLINK(SetRGB(J1169,G1169*255,H1169*255,I1169*255),"HOVER!")</f>
        <v>HOVER!</v>
      </c>
      <c r="K1169">
        <f>E1169/F1169</f>
        <v>5</v>
      </c>
    </row>
    <row r="1170" spans="1:11" ht="15" x14ac:dyDescent="0.35">
      <c r="A1170">
        <f t="shared" si="36"/>
        <v>8</v>
      </c>
      <c r="B1170">
        <f t="shared" si="37"/>
        <v>10</v>
      </c>
      <c r="C1170" s="199" t="str">
        <f>B1170&amp;LOOKUP(A1170, Sheet2!$A$2:$A$11, Sheet2!$B$2:$B$11)</f>
        <v>10P</v>
      </c>
      <c r="D1170">
        <v>80</v>
      </c>
      <c r="E1170">
        <v>22</v>
      </c>
      <c r="F1170">
        <v>4</v>
      </c>
      <c r="G1170">
        <v>0.45500000000000002</v>
      </c>
      <c r="H1170">
        <v>0.20519999999999999</v>
      </c>
      <c r="I1170">
        <v>0.87829999999999997</v>
      </c>
      <c r="J1170" s="1" t="str">
        <f>HYPERLINK(SetRGB(J1170,G1170*255,H1170*255,I1170*255),"HOVER!")</f>
        <v>HOVER!</v>
      </c>
      <c r="K1170">
        <f>E1170/F1170</f>
        <v>5.5</v>
      </c>
    </row>
    <row r="1171" spans="1:11" ht="15" x14ac:dyDescent="0.35">
      <c r="A1171">
        <f t="shared" si="36"/>
        <v>8</v>
      </c>
      <c r="B1171">
        <f t="shared" si="37"/>
        <v>10</v>
      </c>
      <c r="C1171" s="199" t="str">
        <f>B1171&amp;LOOKUP(A1171, Sheet2!$A$2:$A$11, Sheet2!$B$2:$B$11)</f>
        <v>10P</v>
      </c>
      <c r="D1171">
        <v>80</v>
      </c>
      <c r="E1171">
        <v>24</v>
      </c>
      <c r="F1171">
        <v>4</v>
      </c>
      <c r="G1171">
        <v>0.46920000000000001</v>
      </c>
      <c r="H1171">
        <v>0.1641</v>
      </c>
      <c r="I1171">
        <v>0.91600000000000004</v>
      </c>
      <c r="J1171" s="1" t="str">
        <f>HYPERLINK(SetRGB(J1171,G1171*255,H1171*255,I1171*255),"HOVER!")</f>
        <v>HOVER!</v>
      </c>
      <c r="K1171">
        <f>E1171/F1171</f>
        <v>6</v>
      </c>
    </row>
    <row r="1172" spans="1:11" ht="15" x14ac:dyDescent="0.35">
      <c r="A1172">
        <f t="shared" si="36"/>
        <v>8</v>
      </c>
      <c r="B1172">
        <f t="shared" si="37"/>
        <v>10</v>
      </c>
      <c r="C1172" s="199" t="str">
        <f>B1172&amp;LOOKUP(A1172, Sheet2!$A$2:$A$11, Sheet2!$B$2:$B$11)</f>
        <v>10P</v>
      </c>
      <c r="D1172">
        <v>80</v>
      </c>
      <c r="E1172">
        <v>26</v>
      </c>
      <c r="F1172">
        <v>4</v>
      </c>
      <c r="G1172">
        <v>0.48720000000000002</v>
      </c>
      <c r="H1172">
        <v>8.9200000000000002E-2</v>
      </c>
      <c r="I1172">
        <v>0.95879999999999999</v>
      </c>
      <c r="J1172" s="1" t="str">
        <f>HYPERLINK(SetRGB(J1172,G1172*255,H1172*255,I1172*255),"HOVER!")</f>
        <v>HOVER!</v>
      </c>
      <c r="K1172">
        <f>E1172/F1172</f>
        <v>6.5</v>
      </c>
    </row>
    <row r="1173" spans="1:11" ht="15" x14ac:dyDescent="0.35">
      <c r="A1173">
        <f t="shared" si="36"/>
        <v>8</v>
      </c>
      <c r="B1173">
        <f t="shared" si="37"/>
        <v>10</v>
      </c>
      <c r="C1173" s="199" t="str">
        <f>B1173&amp;LOOKUP(A1173, Sheet2!$A$2:$A$11, Sheet2!$B$2:$B$11)</f>
        <v>10P</v>
      </c>
      <c r="D1173">
        <v>80</v>
      </c>
      <c r="E1173">
        <v>2</v>
      </c>
      <c r="F1173">
        <v>5</v>
      </c>
      <c r="G1173">
        <v>0.48280000000000001</v>
      </c>
      <c r="H1173">
        <v>0.4758</v>
      </c>
      <c r="I1173">
        <v>0.53169999999999995</v>
      </c>
      <c r="J1173" s="1" t="str">
        <f>HYPERLINK(SetRGB(J1173,G1173*255,H1173*255,I1173*255),"HOVER!")</f>
        <v>HOVER!</v>
      </c>
      <c r="K1173">
        <f>E1173/F1173</f>
        <v>0.4</v>
      </c>
    </row>
    <row r="1174" spans="1:11" ht="15" x14ac:dyDescent="0.35">
      <c r="A1174">
        <f t="shared" si="36"/>
        <v>8</v>
      </c>
      <c r="B1174">
        <f t="shared" si="37"/>
        <v>10</v>
      </c>
      <c r="C1174" s="199" t="str">
        <f>B1174&amp;LOOKUP(A1174, Sheet2!$A$2:$A$11, Sheet2!$B$2:$B$11)</f>
        <v>10P</v>
      </c>
      <c r="D1174">
        <v>80</v>
      </c>
      <c r="E1174">
        <v>4</v>
      </c>
      <c r="F1174">
        <v>5</v>
      </c>
      <c r="G1174">
        <v>0.48309999999999997</v>
      </c>
      <c r="H1174">
        <v>0.46879999999999999</v>
      </c>
      <c r="I1174">
        <v>0.58220000000000005</v>
      </c>
      <c r="J1174" s="1" t="str">
        <f>HYPERLINK(SetRGB(J1174,G1174*255,H1174*255,I1174*255),"HOVER!")</f>
        <v>HOVER!</v>
      </c>
      <c r="K1174">
        <f>E1174/F1174</f>
        <v>0.8</v>
      </c>
    </row>
    <row r="1175" spans="1:11" ht="15" x14ac:dyDescent="0.35">
      <c r="A1175">
        <f t="shared" si="36"/>
        <v>8</v>
      </c>
      <c r="B1175">
        <f t="shared" si="37"/>
        <v>10</v>
      </c>
      <c r="C1175" s="199" t="str">
        <f>B1175&amp;LOOKUP(A1175, Sheet2!$A$2:$A$11, Sheet2!$B$2:$B$11)</f>
        <v>10P</v>
      </c>
      <c r="D1175">
        <v>80</v>
      </c>
      <c r="E1175">
        <v>6</v>
      </c>
      <c r="F1175">
        <v>5</v>
      </c>
      <c r="G1175">
        <v>0.48470000000000002</v>
      </c>
      <c r="H1175">
        <v>0.45989999999999998</v>
      </c>
      <c r="I1175">
        <v>0.63649999999999995</v>
      </c>
      <c r="J1175" s="1" t="str">
        <f>HYPERLINK(SetRGB(J1175,G1175*255,H1175*255,I1175*255),"HOVER!")</f>
        <v>HOVER!</v>
      </c>
      <c r="K1175">
        <f>E1175/F1175</f>
        <v>1.2</v>
      </c>
    </row>
    <row r="1176" spans="1:11" ht="15" x14ac:dyDescent="0.35">
      <c r="A1176">
        <f t="shared" si="36"/>
        <v>8</v>
      </c>
      <c r="B1176">
        <f t="shared" si="37"/>
        <v>10</v>
      </c>
      <c r="C1176" s="199" t="str">
        <f>B1176&amp;LOOKUP(A1176, Sheet2!$A$2:$A$11, Sheet2!$B$2:$B$11)</f>
        <v>10P</v>
      </c>
      <c r="D1176">
        <v>80</v>
      </c>
      <c r="E1176">
        <v>8</v>
      </c>
      <c r="F1176">
        <v>5</v>
      </c>
      <c r="G1176">
        <v>0.48459999999999998</v>
      </c>
      <c r="H1176">
        <v>0.45140000000000002</v>
      </c>
      <c r="I1176">
        <v>0.68469999999999998</v>
      </c>
      <c r="J1176" s="1" t="str">
        <f>HYPERLINK(SetRGB(J1176,G1176*255,H1176*255,I1176*255),"HOVER!")</f>
        <v>HOVER!</v>
      </c>
      <c r="K1176">
        <f>E1176/F1176</f>
        <v>1.6</v>
      </c>
    </row>
    <row r="1177" spans="1:11" ht="15" x14ac:dyDescent="0.35">
      <c r="A1177">
        <f t="shared" si="36"/>
        <v>8</v>
      </c>
      <c r="B1177">
        <f t="shared" si="37"/>
        <v>10</v>
      </c>
      <c r="C1177" s="199" t="str">
        <f>B1177&amp;LOOKUP(A1177, Sheet2!$A$2:$A$11, Sheet2!$B$2:$B$11)</f>
        <v>10P</v>
      </c>
      <c r="D1177">
        <v>80</v>
      </c>
      <c r="E1177">
        <v>10</v>
      </c>
      <c r="F1177">
        <v>5</v>
      </c>
      <c r="G1177">
        <v>0.48809999999999998</v>
      </c>
      <c r="H1177">
        <v>0.441</v>
      </c>
      <c r="I1177">
        <v>0.73119999999999996</v>
      </c>
      <c r="J1177" s="1" t="str">
        <f>HYPERLINK(SetRGB(J1177,G1177*255,H1177*255,I1177*255),"HOVER!")</f>
        <v>HOVER!</v>
      </c>
      <c r="K1177">
        <f>E1177/F1177</f>
        <v>2</v>
      </c>
    </row>
    <row r="1178" spans="1:11" ht="15" x14ac:dyDescent="0.35">
      <c r="A1178">
        <f t="shared" si="36"/>
        <v>8</v>
      </c>
      <c r="B1178">
        <f t="shared" si="37"/>
        <v>10</v>
      </c>
      <c r="C1178" s="199" t="str">
        <f>B1178&amp;LOOKUP(A1178, Sheet2!$A$2:$A$11, Sheet2!$B$2:$B$11)</f>
        <v>10P</v>
      </c>
      <c r="D1178">
        <v>80</v>
      </c>
      <c r="E1178">
        <v>12</v>
      </c>
      <c r="F1178">
        <v>5</v>
      </c>
      <c r="G1178">
        <v>0.49030000000000001</v>
      </c>
      <c r="H1178">
        <v>0.4294</v>
      </c>
      <c r="I1178">
        <v>0.7802</v>
      </c>
      <c r="J1178" s="1" t="str">
        <f>HYPERLINK(SetRGB(J1178,G1178*255,H1178*255,I1178*255),"HOVER!")</f>
        <v>HOVER!</v>
      </c>
      <c r="K1178">
        <f>E1178/F1178</f>
        <v>2.4</v>
      </c>
    </row>
    <row r="1179" spans="1:11" ht="15" x14ac:dyDescent="0.35">
      <c r="A1179">
        <f t="shared" si="36"/>
        <v>8</v>
      </c>
      <c r="B1179">
        <f t="shared" si="37"/>
        <v>10</v>
      </c>
      <c r="C1179" s="199" t="str">
        <f>B1179&amp;LOOKUP(A1179, Sheet2!$A$2:$A$11, Sheet2!$B$2:$B$11)</f>
        <v>10P</v>
      </c>
      <c r="D1179">
        <v>80</v>
      </c>
      <c r="E1179">
        <v>14</v>
      </c>
      <c r="F1179">
        <v>5</v>
      </c>
      <c r="G1179">
        <v>0.49320000000000003</v>
      </c>
      <c r="H1179">
        <v>0.41589999999999999</v>
      </c>
      <c r="I1179">
        <v>0.8296</v>
      </c>
      <c r="J1179" s="1" t="str">
        <f>HYPERLINK(SetRGB(J1179,G1179*255,H1179*255,I1179*255),"HOVER!")</f>
        <v>HOVER!</v>
      </c>
      <c r="K1179">
        <f>E1179/F1179</f>
        <v>2.8</v>
      </c>
    </row>
    <row r="1180" spans="1:11" ht="15" x14ac:dyDescent="0.35">
      <c r="A1180">
        <f t="shared" si="36"/>
        <v>8</v>
      </c>
      <c r="B1180">
        <f t="shared" si="37"/>
        <v>10</v>
      </c>
      <c r="C1180" s="199" t="str">
        <f>B1180&amp;LOOKUP(A1180, Sheet2!$A$2:$A$11, Sheet2!$B$2:$B$11)</f>
        <v>10P</v>
      </c>
      <c r="D1180">
        <v>80</v>
      </c>
      <c r="E1180">
        <v>16</v>
      </c>
      <c r="F1180">
        <v>5</v>
      </c>
      <c r="G1180">
        <v>0.49719999999999998</v>
      </c>
      <c r="H1180">
        <v>0.40060000000000001</v>
      </c>
      <c r="I1180">
        <v>0.87860000000000005</v>
      </c>
      <c r="J1180" s="1" t="str">
        <f>HYPERLINK(SetRGB(J1180,G1180*255,H1180*255,I1180*255),"HOVER!")</f>
        <v>HOVER!</v>
      </c>
      <c r="K1180">
        <f>E1180/F1180</f>
        <v>3.2</v>
      </c>
    </row>
    <row r="1181" spans="1:11" ht="15" x14ac:dyDescent="0.35">
      <c r="A1181">
        <f t="shared" si="36"/>
        <v>8</v>
      </c>
      <c r="B1181">
        <f t="shared" si="37"/>
        <v>10</v>
      </c>
      <c r="C1181" s="199" t="str">
        <f>B1181&amp;LOOKUP(A1181, Sheet2!$A$2:$A$11, Sheet2!$B$2:$B$11)</f>
        <v>10P</v>
      </c>
      <c r="D1181">
        <v>80</v>
      </c>
      <c r="E1181">
        <v>18</v>
      </c>
      <c r="F1181">
        <v>5</v>
      </c>
      <c r="G1181">
        <v>0.50519999999999998</v>
      </c>
      <c r="H1181">
        <v>0.38419999999999999</v>
      </c>
      <c r="I1181">
        <v>0.91990000000000005</v>
      </c>
      <c r="J1181" s="1" t="str">
        <f>HYPERLINK(SetRGB(J1181,G1181*255,H1181*255,I1181*255),"HOVER!")</f>
        <v>HOVER!</v>
      </c>
      <c r="K1181">
        <f>E1181/F1181</f>
        <v>3.6</v>
      </c>
    </row>
    <row r="1182" spans="1:11" ht="15" x14ac:dyDescent="0.35">
      <c r="A1182">
        <f t="shared" si="36"/>
        <v>8</v>
      </c>
      <c r="B1182">
        <f t="shared" si="37"/>
        <v>10</v>
      </c>
      <c r="C1182" s="199" t="str">
        <f>B1182&amp;LOOKUP(A1182, Sheet2!$A$2:$A$11, Sheet2!$B$2:$B$11)</f>
        <v>10P</v>
      </c>
      <c r="D1182">
        <v>80</v>
      </c>
      <c r="E1182">
        <v>20</v>
      </c>
      <c r="F1182">
        <v>5</v>
      </c>
      <c r="G1182">
        <v>0.5141</v>
      </c>
      <c r="H1182">
        <v>0.3634</v>
      </c>
      <c r="I1182">
        <v>0.96689999999999998</v>
      </c>
      <c r="J1182" s="1" t="str">
        <f>HYPERLINK(SetRGB(J1182,G1182*255,H1182*255,I1182*255),"HOVER!")</f>
        <v>HOVER!</v>
      </c>
      <c r="K1182">
        <f>E1182/F1182</f>
        <v>4</v>
      </c>
    </row>
    <row r="1183" spans="1:11" ht="15" x14ac:dyDescent="0.35">
      <c r="A1183">
        <f t="shared" si="36"/>
        <v>8</v>
      </c>
      <c r="B1183">
        <f t="shared" si="37"/>
        <v>10</v>
      </c>
      <c r="C1183" s="199" t="str">
        <f>B1183&amp;LOOKUP(A1183, Sheet2!$A$2:$A$11, Sheet2!$B$2:$B$11)</f>
        <v>10P</v>
      </c>
      <c r="D1183">
        <v>80</v>
      </c>
      <c r="E1183">
        <v>22</v>
      </c>
      <c r="F1183">
        <v>5</v>
      </c>
      <c r="G1183">
        <v>0.52880000000000005</v>
      </c>
      <c r="H1183">
        <v>0.33679999999999999</v>
      </c>
      <c r="I1183">
        <v>1</v>
      </c>
      <c r="J1183" s="1" t="str">
        <f>HYPERLINK(SetRGB(J1183,G1183*255,H1183*255,I1183*255),"HOVER!")</f>
        <v>HOVER!</v>
      </c>
      <c r="K1183">
        <f>E1183/F1183</f>
        <v>4.4000000000000004</v>
      </c>
    </row>
    <row r="1184" spans="1:11" ht="15" x14ac:dyDescent="0.35">
      <c r="A1184">
        <f t="shared" si="36"/>
        <v>8</v>
      </c>
      <c r="B1184">
        <f t="shared" si="37"/>
        <v>10</v>
      </c>
      <c r="C1184" s="199" t="str">
        <f>B1184&amp;LOOKUP(A1184, Sheet2!$A$2:$A$11, Sheet2!$B$2:$B$11)</f>
        <v>10P</v>
      </c>
      <c r="D1184">
        <v>80</v>
      </c>
      <c r="E1184">
        <v>2</v>
      </c>
      <c r="F1184">
        <v>6</v>
      </c>
      <c r="G1184">
        <v>0.58440000000000003</v>
      </c>
      <c r="H1184">
        <v>0.57889999999999997</v>
      </c>
      <c r="I1184">
        <v>0.63039999999999996</v>
      </c>
      <c r="J1184" s="2" t="str">
        <f>HYPERLINK(SetRGB(J1184,G1184*255,H1184*255,I1184*255),"HOVER!")</f>
        <v>HOVER!</v>
      </c>
      <c r="K1184">
        <f>E1184/F1184</f>
        <v>0.33333333333333331</v>
      </c>
    </row>
    <row r="1185" spans="1:11" ht="15" x14ac:dyDescent="0.35">
      <c r="A1185">
        <f t="shared" si="36"/>
        <v>8</v>
      </c>
      <c r="B1185">
        <f t="shared" si="37"/>
        <v>10</v>
      </c>
      <c r="C1185" s="199" t="str">
        <f>B1185&amp;LOOKUP(A1185, Sheet2!$A$2:$A$11, Sheet2!$B$2:$B$11)</f>
        <v>10P</v>
      </c>
      <c r="D1185">
        <v>80</v>
      </c>
      <c r="E1185">
        <v>4</v>
      </c>
      <c r="F1185">
        <v>6</v>
      </c>
      <c r="G1185">
        <v>0.58289999999999997</v>
      </c>
      <c r="H1185">
        <v>0.5726</v>
      </c>
      <c r="I1185">
        <v>0.68230000000000002</v>
      </c>
      <c r="J1185" s="2" t="str">
        <f>HYPERLINK(SetRGB(J1185,G1185*255,H1185*255,I1185*255),"HOVER!")</f>
        <v>HOVER!</v>
      </c>
      <c r="K1185">
        <f>E1185/F1185</f>
        <v>0.66666666666666663</v>
      </c>
    </row>
    <row r="1186" spans="1:11" ht="15" x14ac:dyDescent="0.35">
      <c r="A1186">
        <f t="shared" si="36"/>
        <v>8</v>
      </c>
      <c r="B1186">
        <f t="shared" si="37"/>
        <v>10</v>
      </c>
      <c r="C1186" s="199" t="str">
        <f>B1186&amp;LOOKUP(A1186, Sheet2!$A$2:$A$11, Sheet2!$B$2:$B$11)</f>
        <v>10P</v>
      </c>
      <c r="D1186">
        <v>80</v>
      </c>
      <c r="E1186">
        <v>6</v>
      </c>
      <c r="F1186">
        <v>6</v>
      </c>
      <c r="G1186">
        <v>0.58179999999999998</v>
      </c>
      <c r="H1186">
        <v>0.56489999999999996</v>
      </c>
      <c r="I1186">
        <v>0.7369</v>
      </c>
      <c r="J1186" s="2" t="str">
        <f>HYPERLINK(SetRGB(J1186,G1186*255,H1186*255,I1186*255),"HOVER!")</f>
        <v>HOVER!</v>
      </c>
      <c r="K1186">
        <f>E1186/F1186</f>
        <v>1</v>
      </c>
    </row>
    <row r="1187" spans="1:11" ht="15" x14ac:dyDescent="0.35">
      <c r="A1187">
        <f t="shared" si="36"/>
        <v>8</v>
      </c>
      <c r="B1187">
        <f t="shared" si="37"/>
        <v>10</v>
      </c>
      <c r="C1187" s="199" t="str">
        <f>B1187&amp;LOOKUP(A1187, Sheet2!$A$2:$A$11, Sheet2!$B$2:$B$11)</f>
        <v>10P</v>
      </c>
      <c r="D1187">
        <v>80</v>
      </c>
      <c r="E1187">
        <v>8</v>
      </c>
      <c r="F1187">
        <v>6</v>
      </c>
      <c r="G1187">
        <v>0.58120000000000005</v>
      </c>
      <c r="H1187">
        <v>0.55710000000000004</v>
      </c>
      <c r="I1187">
        <v>0.78600000000000003</v>
      </c>
      <c r="J1187" s="2" t="str">
        <f>HYPERLINK(SetRGB(J1187,G1187*255,H1187*255,I1187*255),"HOVER!")</f>
        <v>HOVER!</v>
      </c>
      <c r="K1187">
        <f>E1187/F1187</f>
        <v>1.3333333333333333</v>
      </c>
    </row>
    <row r="1188" spans="1:11" ht="15" x14ac:dyDescent="0.35">
      <c r="A1188">
        <f t="shared" si="36"/>
        <v>8</v>
      </c>
      <c r="B1188">
        <f t="shared" si="37"/>
        <v>10</v>
      </c>
      <c r="C1188" s="199" t="str">
        <f>B1188&amp;LOOKUP(A1188, Sheet2!$A$2:$A$11, Sheet2!$B$2:$B$11)</f>
        <v>10P</v>
      </c>
      <c r="D1188">
        <v>80</v>
      </c>
      <c r="E1188">
        <v>10</v>
      </c>
      <c r="F1188">
        <v>6</v>
      </c>
      <c r="G1188">
        <v>0.58189999999999997</v>
      </c>
      <c r="H1188">
        <v>0.54759999999999998</v>
      </c>
      <c r="I1188">
        <v>0.83699999999999997</v>
      </c>
      <c r="J1188" s="2" t="str">
        <f>HYPERLINK(SetRGB(J1188,G1188*255,H1188*255,I1188*255),"HOVER!")</f>
        <v>HOVER!</v>
      </c>
      <c r="K1188">
        <f>E1188/F1188</f>
        <v>1.6666666666666667</v>
      </c>
    </row>
    <row r="1189" spans="1:11" ht="15" x14ac:dyDescent="0.35">
      <c r="A1189">
        <f t="shared" si="36"/>
        <v>8</v>
      </c>
      <c r="B1189">
        <f t="shared" si="37"/>
        <v>10</v>
      </c>
      <c r="C1189" s="199" t="str">
        <f>B1189&amp;LOOKUP(A1189, Sheet2!$A$2:$A$11, Sheet2!$B$2:$B$11)</f>
        <v>10P</v>
      </c>
      <c r="D1189">
        <v>80</v>
      </c>
      <c r="E1189">
        <v>12</v>
      </c>
      <c r="F1189">
        <v>6</v>
      </c>
      <c r="G1189">
        <v>0.58189999999999997</v>
      </c>
      <c r="H1189">
        <v>0.53639999999999999</v>
      </c>
      <c r="I1189">
        <v>0.89290000000000003</v>
      </c>
      <c r="J1189" s="2" t="str">
        <f>HYPERLINK(SetRGB(J1189,G1189*255,H1189*255,I1189*255),"HOVER!")</f>
        <v>HOVER!</v>
      </c>
      <c r="K1189">
        <f>E1189/F1189</f>
        <v>2</v>
      </c>
    </row>
    <row r="1190" spans="1:11" ht="15" x14ac:dyDescent="0.35">
      <c r="A1190">
        <f t="shared" si="36"/>
        <v>8</v>
      </c>
      <c r="B1190">
        <f t="shared" si="37"/>
        <v>10</v>
      </c>
      <c r="C1190" s="199" t="str">
        <f>B1190&amp;LOOKUP(A1190, Sheet2!$A$2:$A$11, Sheet2!$B$2:$B$11)</f>
        <v>10P</v>
      </c>
      <c r="D1190">
        <v>80</v>
      </c>
      <c r="E1190">
        <v>14</v>
      </c>
      <c r="F1190">
        <v>6</v>
      </c>
      <c r="G1190">
        <v>0.58260000000000001</v>
      </c>
      <c r="H1190">
        <v>0.52390000000000003</v>
      </c>
      <c r="I1190">
        <v>0.94730000000000003</v>
      </c>
      <c r="J1190" s="2" t="str">
        <f>HYPERLINK(SetRGB(J1190,G1190*255,H1190*255,I1190*255),"HOVER!")</f>
        <v>HOVER!</v>
      </c>
      <c r="K1190">
        <f>E1190/F1190</f>
        <v>2.3333333333333335</v>
      </c>
    </row>
    <row r="1191" spans="1:11" ht="15" x14ac:dyDescent="0.35">
      <c r="A1191">
        <f t="shared" si="36"/>
        <v>8</v>
      </c>
      <c r="B1191">
        <f t="shared" si="37"/>
        <v>10</v>
      </c>
      <c r="C1191" s="199" t="str">
        <f>B1191&amp;LOOKUP(A1191, Sheet2!$A$2:$A$11, Sheet2!$B$2:$B$11)</f>
        <v>10P</v>
      </c>
      <c r="D1191">
        <v>80</v>
      </c>
      <c r="E1191">
        <v>16</v>
      </c>
      <c r="F1191">
        <v>6</v>
      </c>
      <c r="G1191">
        <v>0.58699999999999997</v>
      </c>
      <c r="H1191">
        <v>0.50649999999999995</v>
      </c>
      <c r="I1191">
        <v>1</v>
      </c>
      <c r="J1191" s="2" t="str">
        <f>HYPERLINK(SetRGB(J1191,G1191*255,H1191*255,I1191*255),"HOVER!")</f>
        <v>HOVER!</v>
      </c>
      <c r="K1191">
        <f>E1191/F1191</f>
        <v>2.6666666666666665</v>
      </c>
    </row>
    <row r="1192" spans="1:11" ht="15" x14ac:dyDescent="0.35">
      <c r="A1192">
        <f t="shared" si="36"/>
        <v>8</v>
      </c>
      <c r="B1192">
        <f t="shared" si="37"/>
        <v>10</v>
      </c>
      <c r="C1192" s="199" t="str">
        <f>B1192&amp;LOOKUP(A1192, Sheet2!$A$2:$A$11, Sheet2!$B$2:$B$11)</f>
        <v>10P</v>
      </c>
      <c r="D1192">
        <v>80</v>
      </c>
      <c r="E1192">
        <v>2</v>
      </c>
      <c r="F1192">
        <v>7</v>
      </c>
      <c r="G1192">
        <v>0.68589999999999995</v>
      </c>
      <c r="H1192">
        <v>0.68320000000000003</v>
      </c>
      <c r="I1192">
        <v>0.73109999999999997</v>
      </c>
      <c r="J1192" s="2" t="str">
        <f>HYPERLINK(SetRGB(J1192,G1192*255,H1192*255,I1192*255),"HOVER!")</f>
        <v>HOVER!</v>
      </c>
      <c r="K1192">
        <f>E1192/F1192</f>
        <v>0.2857142857142857</v>
      </c>
    </row>
    <row r="1193" spans="1:11" ht="15" x14ac:dyDescent="0.35">
      <c r="A1193">
        <f t="shared" si="36"/>
        <v>8</v>
      </c>
      <c r="B1193">
        <f t="shared" si="37"/>
        <v>10</v>
      </c>
      <c r="C1193" s="199" t="str">
        <f>B1193&amp;LOOKUP(A1193, Sheet2!$A$2:$A$11, Sheet2!$B$2:$B$11)</f>
        <v>10P</v>
      </c>
      <c r="D1193">
        <v>80</v>
      </c>
      <c r="E1193">
        <v>4</v>
      </c>
      <c r="F1193">
        <v>7</v>
      </c>
      <c r="G1193">
        <v>0.68289999999999995</v>
      </c>
      <c r="H1193">
        <v>0.67700000000000005</v>
      </c>
      <c r="I1193">
        <v>0.78669999999999995</v>
      </c>
      <c r="J1193" s="2" t="str">
        <f>HYPERLINK(SetRGB(J1193,G1193*255,H1193*255,I1193*255),"HOVER!")</f>
        <v>HOVER!</v>
      </c>
      <c r="K1193">
        <f>E1193/F1193</f>
        <v>0.5714285714285714</v>
      </c>
    </row>
    <row r="1194" spans="1:11" ht="15" x14ac:dyDescent="0.35">
      <c r="A1194">
        <f t="shared" si="36"/>
        <v>8</v>
      </c>
      <c r="B1194">
        <f t="shared" si="37"/>
        <v>10</v>
      </c>
      <c r="C1194" s="199" t="str">
        <f>B1194&amp;LOOKUP(A1194, Sheet2!$A$2:$A$11, Sheet2!$B$2:$B$11)</f>
        <v>10P</v>
      </c>
      <c r="D1194">
        <v>80</v>
      </c>
      <c r="E1194">
        <v>6</v>
      </c>
      <c r="F1194">
        <v>7</v>
      </c>
      <c r="G1194">
        <v>0.68100000000000005</v>
      </c>
      <c r="H1194">
        <v>0.66979999999999995</v>
      </c>
      <c r="I1194">
        <v>0.84179999999999999</v>
      </c>
      <c r="J1194" s="2" t="str">
        <f>HYPERLINK(SetRGB(J1194,G1194*255,H1194*255,I1194*255),"HOVER!")</f>
        <v>HOVER!</v>
      </c>
      <c r="K1194">
        <f>E1194/F1194</f>
        <v>0.8571428571428571</v>
      </c>
    </row>
    <row r="1195" spans="1:11" ht="15" x14ac:dyDescent="0.35">
      <c r="A1195">
        <f t="shared" si="36"/>
        <v>8</v>
      </c>
      <c r="B1195">
        <f t="shared" si="37"/>
        <v>10</v>
      </c>
      <c r="C1195" s="199" t="str">
        <f>B1195&amp;LOOKUP(A1195, Sheet2!$A$2:$A$11, Sheet2!$B$2:$B$11)</f>
        <v>10P</v>
      </c>
      <c r="D1195">
        <v>80</v>
      </c>
      <c r="E1195">
        <v>8</v>
      </c>
      <c r="F1195">
        <v>7</v>
      </c>
      <c r="G1195">
        <v>0.68020000000000003</v>
      </c>
      <c r="H1195">
        <v>0.66110000000000002</v>
      </c>
      <c r="I1195">
        <v>0.89929999999999999</v>
      </c>
      <c r="J1195" s="2" t="str">
        <f>HYPERLINK(SetRGB(J1195,G1195*255,H1195*255,I1195*255),"HOVER!")</f>
        <v>HOVER!</v>
      </c>
      <c r="K1195">
        <f>E1195/F1195</f>
        <v>1.1428571428571428</v>
      </c>
    </row>
    <row r="1196" spans="1:11" ht="15" x14ac:dyDescent="0.35">
      <c r="A1196">
        <f t="shared" si="36"/>
        <v>8</v>
      </c>
      <c r="B1196">
        <f t="shared" si="37"/>
        <v>10</v>
      </c>
      <c r="C1196" s="199" t="str">
        <f>B1196&amp;LOOKUP(A1196, Sheet2!$A$2:$A$11, Sheet2!$B$2:$B$11)</f>
        <v>10P</v>
      </c>
      <c r="D1196">
        <v>80</v>
      </c>
      <c r="E1196">
        <v>10</v>
      </c>
      <c r="F1196">
        <v>7</v>
      </c>
      <c r="G1196">
        <v>0.67820000000000003</v>
      </c>
      <c r="H1196">
        <v>0.6512</v>
      </c>
      <c r="I1196">
        <v>0.96020000000000005</v>
      </c>
      <c r="J1196" s="2" t="str">
        <f>HYPERLINK(SetRGB(J1196,G1196*255,H1196*255,I1196*255),"HOVER!")</f>
        <v>HOVER!</v>
      </c>
      <c r="K1196">
        <f>E1196/F1196</f>
        <v>1.4285714285714286</v>
      </c>
    </row>
    <row r="1197" spans="1:11" ht="15" x14ac:dyDescent="0.35">
      <c r="A1197">
        <f t="shared" si="36"/>
        <v>8</v>
      </c>
      <c r="B1197">
        <f t="shared" si="37"/>
        <v>10</v>
      </c>
      <c r="C1197" s="199" t="str">
        <f>B1197&amp;LOOKUP(A1197, Sheet2!$A$2:$A$11, Sheet2!$B$2:$B$11)</f>
        <v>10P</v>
      </c>
      <c r="D1197">
        <v>80</v>
      </c>
      <c r="E1197">
        <v>12</v>
      </c>
      <c r="F1197">
        <v>7</v>
      </c>
      <c r="G1197">
        <v>0.67989999999999995</v>
      </c>
      <c r="H1197">
        <v>0.63819999999999999</v>
      </c>
      <c r="I1197">
        <v>1</v>
      </c>
      <c r="J1197" s="2" t="str">
        <f>HYPERLINK(SetRGB(J1197,G1197*255,H1197*255,I1197*255),"HOVER!")</f>
        <v>HOVER!</v>
      </c>
      <c r="K1197">
        <f>E1197/F1197</f>
        <v>1.7142857142857142</v>
      </c>
    </row>
    <row r="1198" spans="1:11" ht="15" x14ac:dyDescent="0.35">
      <c r="A1198">
        <f t="shared" si="36"/>
        <v>8</v>
      </c>
      <c r="B1198">
        <f t="shared" si="37"/>
        <v>10</v>
      </c>
      <c r="C1198" s="199" t="str">
        <f>B1198&amp;LOOKUP(A1198, Sheet2!$A$2:$A$11, Sheet2!$B$2:$B$11)</f>
        <v>10P</v>
      </c>
      <c r="D1198">
        <v>80</v>
      </c>
      <c r="E1198">
        <v>2</v>
      </c>
      <c r="F1198">
        <v>8</v>
      </c>
      <c r="G1198">
        <v>0.79139999999999999</v>
      </c>
      <c r="H1198">
        <v>0.7883</v>
      </c>
      <c r="I1198">
        <v>0.83089999999999997</v>
      </c>
      <c r="J1198" s="2" t="str">
        <f>HYPERLINK(SetRGB(J1198,G1198*255,H1198*255,I1198*255),"HOVER!")</f>
        <v>HOVER!</v>
      </c>
      <c r="K1198">
        <f>E1198/F1198</f>
        <v>0.25</v>
      </c>
    </row>
    <row r="1199" spans="1:11" ht="15" x14ac:dyDescent="0.35">
      <c r="A1199">
        <f t="shared" si="36"/>
        <v>8</v>
      </c>
      <c r="B1199">
        <f t="shared" si="37"/>
        <v>10</v>
      </c>
      <c r="C1199" s="199" t="str">
        <f>B1199&amp;LOOKUP(A1199, Sheet2!$A$2:$A$11, Sheet2!$B$2:$B$11)</f>
        <v>10P</v>
      </c>
      <c r="D1199">
        <v>80</v>
      </c>
      <c r="E1199">
        <v>4</v>
      </c>
      <c r="F1199">
        <v>8</v>
      </c>
      <c r="G1199">
        <v>0.78639999999999999</v>
      </c>
      <c r="H1199">
        <v>0.78239999999999998</v>
      </c>
      <c r="I1199">
        <v>0.89049999999999996</v>
      </c>
      <c r="J1199" s="2" t="str">
        <f>HYPERLINK(SetRGB(J1199,G1199*255,H1199*255,I1199*255),"HOVER!")</f>
        <v>HOVER!</v>
      </c>
      <c r="K1199">
        <f>E1199/F1199</f>
        <v>0.5</v>
      </c>
    </row>
    <row r="1200" spans="1:11" ht="15" x14ac:dyDescent="0.35">
      <c r="A1200">
        <f t="shared" si="36"/>
        <v>8</v>
      </c>
      <c r="B1200">
        <f t="shared" si="37"/>
        <v>10</v>
      </c>
      <c r="C1200" s="199" t="str">
        <f>B1200&amp;LOOKUP(A1200, Sheet2!$A$2:$A$11, Sheet2!$B$2:$B$11)</f>
        <v>10P</v>
      </c>
      <c r="D1200">
        <v>80</v>
      </c>
      <c r="E1200">
        <v>6</v>
      </c>
      <c r="F1200">
        <v>8</v>
      </c>
      <c r="G1200">
        <v>0.78249999999999997</v>
      </c>
      <c r="H1200">
        <v>0.77449999999999997</v>
      </c>
      <c r="I1200">
        <v>0.95630000000000004</v>
      </c>
      <c r="J1200" s="2" t="str">
        <f>HYPERLINK(SetRGB(J1200,G1200*255,H1200*255,I1200*255),"HOVER!")</f>
        <v>HOVER!</v>
      </c>
      <c r="K1200">
        <f>E1200/F1200</f>
        <v>0.75</v>
      </c>
    </row>
    <row r="1201" spans="1:11" ht="15" x14ac:dyDescent="0.35">
      <c r="A1201">
        <f t="shared" si="36"/>
        <v>8</v>
      </c>
      <c r="B1201">
        <f t="shared" si="37"/>
        <v>10</v>
      </c>
      <c r="C1201" s="199" t="str">
        <f>B1201&amp;LOOKUP(A1201, Sheet2!$A$2:$A$11, Sheet2!$B$2:$B$11)</f>
        <v>10P</v>
      </c>
      <c r="D1201">
        <v>80</v>
      </c>
      <c r="E1201">
        <v>8</v>
      </c>
      <c r="F1201">
        <v>8</v>
      </c>
      <c r="G1201">
        <v>0.7823</v>
      </c>
      <c r="H1201">
        <v>0.76359999999999995</v>
      </c>
      <c r="I1201">
        <v>1</v>
      </c>
      <c r="J1201" s="2" t="str">
        <f>HYPERLINK(SetRGB(J1201,G1201*255,H1201*255,I1201*255),"HOVER!")</f>
        <v>HOVER!</v>
      </c>
      <c r="K1201">
        <f>E1201/F1201</f>
        <v>1</v>
      </c>
    </row>
    <row r="1202" spans="1:11" ht="15" x14ac:dyDescent="0.35">
      <c r="A1202">
        <f t="shared" si="36"/>
        <v>8</v>
      </c>
      <c r="B1202">
        <f t="shared" si="37"/>
        <v>10</v>
      </c>
      <c r="C1202" s="199" t="str">
        <f>B1202&amp;LOOKUP(A1202, Sheet2!$A$2:$A$11, Sheet2!$B$2:$B$11)</f>
        <v>10P</v>
      </c>
      <c r="D1202">
        <v>80</v>
      </c>
      <c r="E1202">
        <v>2</v>
      </c>
      <c r="F1202">
        <v>9</v>
      </c>
      <c r="G1202">
        <v>0.89870000000000005</v>
      </c>
      <c r="H1202">
        <v>0.89570000000000005</v>
      </c>
      <c r="I1202">
        <v>0.93640000000000001</v>
      </c>
      <c r="J1202" s="2" t="str">
        <f>HYPERLINK(SetRGB(J1202,G1202*255,H1202*255,I1202*255),"HOVER!")</f>
        <v>HOVER!</v>
      </c>
      <c r="K1202">
        <f>E1202/F1202</f>
        <v>0.22222222222222221</v>
      </c>
    </row>
    <row r="1203" spans="1:11" ht="15" x14ac:dyDescent="0.35">
      <c r="A1203">
        <f t="shared" si="36"/>
        <v>8</v>
      </c>
      <c r="B1203">
        <f t="shared" si="37"/>
        <v>10</v>
      </c>
      <c r="C1203" s="199" t="str">
        <f>B1203&amp;LOOKUP(A1203, Sheet2!$A$2:$A$11, Sheet2!$B$2:$B$11)</f>
        <v>10P</v>
      </c>
      <c r="D1203">
        <v>80</v>
      </c>
      <c r="E1203">
        <v>4</v>
      </c>
      <c r="F1203">
        <v>9</v>
      </c>
      <c r="G1203">
        <v>0.89170000000000005</v>
      </c>
      <c r="H1203">
        <v>0.88880000000000003</v>
      </c>
      <c r="I1203">
        <v>1</v>
      </c>
      <c r="J1203" s="2" t="str">
        <f>HYPERLINK(SetRGB(J1203,G1203*255,H1203*255,I1203*255),"HOVER!")</f>
        <v>HOVER!</v>
      </c>
      <c r="K1203">
        <f>E1203/F1203</f>
        <v>0.44444444444444442</v>
      </c>
    </row>
    <row r="1204" spans="1:11" ht="15" x14ac:dyDescent="0.35">
      <c r="A1204">
        <f t="shared" si="36"/>
        <v>8</v>
      </c>
      <c r="B1204">
        <f t="shared" si="37"/>
        <v>2.5</v>
      </c>
      <c r="C1204" s="199" t="str">
        <f>B1204&amp;LOOKUP(A1204, Sheet2!$A$2:$A$11, Sheet2!$B$2:$B$11)</f>
        <v>2.5P</v>
      </c>
      <c r="D1204">
        <v>82.5</v>
      </c>
      <c r="E1204">
        <v>2</v>
      </c>
      <c r="F1204">
        <v>1</v>
      </c>
      <c r="G1204">
        <v>0.1331</v>
      </c>
      <c r="H1204">
        <v>9.7799999999999998E-2</v>
      </c>
      <c r="I1204">
        <v>0.16589999999999999</v>
      </c>
      <c r="J1204" s="1" t="str">
        <f>HYPERLINK(SetRGB(J1204,G1204*255,H1204*255,I1204*255),"HOVER!")</f>
        <v>HOVER!</v>
      </c>
      <c r="K1204">
        <f>E1204/F1204</f>
        <v>2</v>
      </c>
    </row>
    <row r="1205" spans="1:11" ht="15" x14ac:dyDescent="0.35">
      <c r="A1205">
        <f t="shared" si="36"/>
        <v>8</v>
      </c>
      <c r="B1205">
        <f t="shared" si="37"/>
        <v>2.5</v>
      </c>
      <c r="C1205" s="199" t="str">
        <f>B1205&amp;LOOKUP(A1205, Sheet2!$A$2:$A$11, Sheet2!$B$2:$B$11)</f>
        <v>2.5P</v>
      </c>
      <c r="D1205">
        <v>82.5</v>
      </c>
      <c r="E1205">
        <v>4</v>
      </c>
      <c r="F1205">
        <v>1</v>
      </c>
      <c r="G1205">
        <v>0.14810000000000001</v>
      </c>
      <c r="H1205">
        <v>8.3799999999999999E-2</v>
      </c>
      <c r="I1205">
        <v>0.19900000000000001</v>
      </c>
      <c r="J1205" s="1" t="str">
        <f>HYPERLINK(SetRGB(J1205,G1205*255,H1205*255,I1205*255),"HOVER!")</f>
        <v>HOVER!</v>
      </c>
      <c r="K1205">
        <f>E1205/F1205</f>
        <v>4</v>
      </c>
    </row>
    <row r="1206" spans="1:11" ht="15" x14ac:dyDescent="0.35">
      <c r="A1206">
        <f t="shared" si="36"/>
        <v>8</v>
      </c>
      <c r="B1206">
        <f t="shared" si="37"/>
        <v>2.5</v>
      </c>
      <c r="C1206" s="199" t="str">
        <f>B1206&amp;LOOKUP(A1206, Sheet2!$A$2:$A$11, Sheet2!$B$2:$B$11)</f>
        <v>2.5P</v>
      </c>
      <c r="D1206">
        <v>82.5</v>
      </c>
      <c r="E1206">
        <v>6</v>
      </c>
      <c r="F1206">
        <v>1</v>
      </c>
      <c r="G1206">
        <v>0.1638</v>
      </c>
      <c r="H1206">
        <v>6.5199999999999994E-2</v>
      </c>
      <c r="I1206">
        <v>0.22939999999999999</v>
      </c>
      <c r="J1206" s="1" t="str">
        <f>HYPERLINK(SetRGB(J1206,G1206*255,H1206*255,I1206*255),"HOVER!")</f>
        <v>HOVER!</v>
      </c>
      <c r="K1206">
        <f>E1206/F1206</f>
        <v>6</v>
      </c>
    </row>
    <row r="1207" spans="1:11" ht="15" x14ac:dyDescent="0.35">
      <c r="A1207">
        <f t="shared" si="36"/>
        <v>8</v>
      </c>
      <c r="B1207">
        <f t="shared" si="37"/>
        <v>2.5</v>
      </c>
      <c r="C1207" s="199" t="str">
        <f>B1207&amp;LOOKUP(A1207, Sheet2!$A$2:$A$11, Sheet2!$B$2:$B$11)</f>
        <v>2.5P</v>
      </c>
      <c r="D1207">
        <v>82.5</v>
      </c>
      <c r="E1207">
        <v>8</v>
      </c>
      <c r="F1207">
        <v>1</v>
      </c>
      <c r="G1207">
        <v>0.18099999999999999</v>
      </c>
      <c r="H1207">
        <v>3.5499999999999997E-2</v>
      </c>
      <c r="I1207">
        <v>0.25990000000000002</v>
      </c>
      <c r="J1207" s="1" t="str">
        <f>HYPERLINK(SetRGB(J1207,G1207*255,H1207*255,I1207*255),"HOVER!")</f>
        <v>HOVER!</v>
      </c>
      <c r="K1207">
        <f>E1207/F1207</f>
        <v>8</v>
      </c>
    </row>
    <row r="1208" spans="1:11" ht="15" x14ac:dyDescent="0.35">
      <c r="A1208">
        <f t="shared" si="36"/>
        <v>8</v>
      </c>
      <c r="B1208">
        <f t="shared" si="37"/>
        <v>2.5</v>
      </c>
      <c r="C1208" s="199" t="str">
        <f>B1208&amp;LOOKUP(A1208, Sheet2!$A$2:$A$11, Sheet2!$B$2:$B$11)</f>
        <v>2.5P</v>
      </c>
      <c r="D1208">
        <v>82.5</v>
      </c>
      <c r="E1208">
        <v>2</v>
      </c>
      <c r="F1208">
        <v>2</v>
      </c>
      <c r="G1208">
        <v>0.21079999999999999</v>
      </c>
      <c r="H1208">
        <v>0.18179999999999999</v>
      </c>
      <c r="I1208">
        <v>0.24490000000000001</v>
      </c>
      <c r="J1208" s="1" t="str">
        <f>HYPERLINK(SetRGB(J1208,G1208*255,H1208*255,I1208*255),"HOVER!")</f>
        <v>HOVER!</v>
      </c>
      <c r="K1208">
        <f>E1208/F1208</f>
        <v>1</v>
      </c>
    </row>
    <row r="1209" spans="1:11" ht="15" x14ac:dyDescent="0.35">
      <c r="A1209">
        <f t="shared" si="36"/>
        <v>8</v>
      </c>
      <c r="B1209">
        <f t="shared" si="37"/>
        <v>2.5</v>
      </c>
      <c r="C1209" s="199" t="str">
        <f>B1209&amp;LOOKUP(A1209, Sheet2!$A$2:$A$11, Sheet2!$B$2:$B$11)</f>
        <v>2.5P</v>
      </c>
      <c r="D1209">
        <v>82.5</v>
      </c>
      <c r="E1209">
        <v>4</v>
      </c>
      <c r="F1209">
        <v>2</v>
      </c>
      <c r="G1209">
        <v>0.22539999999999999</v>
      </c>
      <c r="H1209">
        <v>0.1696</v>
      </c>
      <c r="I1209">
        <v>0.28310000000000002</v>
      </c>
      <c r="J1209" s="1" t="str">
        <f>HYPERLINK(SetRGB(J1209,G1209*255,H1209*255,I1209*255),"HOVER!")</f>
        <v>HOVER!</v>
      </c>
      <c r="K1209">
        <f>E1209/F1209</f>
        <v>2</v>
      </c>
    </row>
    <row r="1210" spans="1:11" ht="15" x14ac:dyDescent="0.35">
      <c r="A1210">
        <f t="shared" si="36"/>
        <v>8</v>
      </c>
      <c r="B1210">
        <f t="shared" si="37"/>
        <v>2.5</v>
      </c>
      <c r="C1210" s="199" t="str">
        <f>B1210&amp;LOOKUP(A1210, Sheet2!$A$2:$A$11, Sheet2!$B$2:$B$11)</f>
        <v>2.5P</v>
      </c>
      <c r="D1210">
        <v>82.5</v>
      </c>
      <c r="E1210">
        <v>6</v>
      </c>
      <c r="F1210">
        <v>2</v>
      </c>
      <c r="G1210">
        <v>0.24030000000000001</v>
      </c>
      <c r="H1210">
        <v>0.15570000000000001</v>
      </c>
      <c r="I1210">
        <v>0.31690000000000002</v>
      </c>
      <c r="J1210" s="1" t="str">
        <f>HYPERLINK(SetRGB(J1210,G1210*255,H1210*255,I1210*255),"HOVER!")</f>
        <v>HOVER!</v>
      </c>
      <c r="K1210">
        <f>E1210/F1210</f>
        <v>3</v>
      </c>
    </row>
    <row r="1211" spans="1:11" ht="15" x14ac:dyDescent="0.35">
      <c r="A1211">
        <f t="shared" si="36"/>
        <v>8</v>
      </c>
      <c r="B1211">
        <f t="shared" si="37"/>
        <v>2.5</v>
      </c>
      <c r="C1211" s="199" t="str">
        <f>B1211&amp;LOOKUP(A1211, Sheet2!$A$2:$A$11, Sheet2!$B$2:$B$11)</f>
        <v>2.5P</v>
      </c>
      <c r="D1211">
        <v>82.5</v>
      </c>
      <c r="E1211">
        <v>8</v>
      </c>
      <c r="F1211">
        <v>2</v>
      </c>
      <c r="G1211">
        <v>0.25969999999999999</v>
      </c>
      <c r="H1211">
        <v>0.13400000000000001</v>
      </c>
      <c r="I1211">
        <v>0.35630000000000001</v>
      </c>
      <c r="J1211" s="1" t="str">
        <f>HYPERLINK(SetRGB(J1211,G1211*255,H1211*255,I1211*255),"HOVER!")</f>
        <v>HOVER!</v>
      </c>
      <c r="K1211">
        <f>E1211/F1211</f>
        <v>4</v>
      </c>
    </row>
    <row r="1212" spans="1:11" ht="15" x14ac:dyDescent="0.35">
      <c r="A1212">
        <f t="shared" si="36"/>
        <v>8</v>
      </c>
      <c r="B1212">
        <f t="shared" si="37"/>
        <v>2.5</v>
      </c>
      <c r="C1212" s="199" t="str">
        <f>B1212&amp;LOOKUP(A1212, Sheet2!$A$2:$A$11, Sheet2!$B$2:$B$11)</f>
        <v>2.5P</v>
      </c>
      <c r="D1212">
        <v>82.5</v>
      </c>
      <c r="E1212">
        <v>10</v>
      </c>
      <c r="F1212">
        <v>2</v>
      </c>
      <c r="G1212">
        <v>0.27750000000000002</v>
      </c>
      <c r="H1212">
        <v>0.108</v>
      </c>
      <c r="I1212">
        <v>0.39119999999999999</v>
      </c>
      <c r="J1212" s="1" t="str">
        <f>HYPERLINK(SetRGB(J1212,G1212*255,H1212*255,I1212*255),"HOVER!")</f>
        <v>HOVER!</v>
      </c>
      <c r="K1212">
        <f>E1212/F1212</f>
        <v>5</v>
      </c>
    </row>
    <row r="1213" spans="1:11" ht="15" x14ac:dyDescent="0.35">
      <c r="A1213">
        <f t="shared" si="36"/>
        <v>8</v>
      </c>
      <c r="B1213">
        <f t="shared" si="37"/>
        <v>2.5</v>
      </c>
      <c r="C1213" s="199" t="str">
        <f>B1213&amp;LOOKUP(A1213, Sheet2!$A$2:$A$11, Sheet2!$B$2:$B$11)</f>
        <v>2.5P</v>
      </c>
      <c r="D1213">
        <v>82.5</v>
      </c>
      <c r="E1213">
        <v>12</v>
      </c>
      <c r="F1213">
        <v>2</v>
      </c>
      <c r="G1213">
        <v>0.29649999999999999</v>
      </c>
      <c r="H1213">
        <v>6.9599999999999995E-2</v>
      </c>
      <c r="I1213">
        <v>0.42530000000000001</v>
      </c>
      <c r="J1213" s="1" t="str">
        <f>HYPERLINK(SetRGB(J1213,G1213*255,H1213*255,I1213*255),"HOVER!")</f>
        <v>HOVER!</v>
      </c>
      <c r="K1213">
        <f>E1213/F1213</f>
        <v>6</v>
      </c>
    </row>
    <row r="1214" spans="1:11" ht="15" x14ac:dyDescent="0.35">
      <c r="A1214">
        <f t="shared" si="36"/>
        <v>8</v>
      </c>
      <c r="B1214">
        <f t="shared" si="37"/>
        <v>2.5</v>
      </c>
      <c r="C1214" s="199" t="str">
        <f>B1214&amp;LOOKUP(A1214, Sheet2!$A$2:$A$11, Sheet2!$B$2:$B$11)</f>
        <v>2.5P</v>
      </c>
      <c r="D1214">
        <v>82.5</v>
      </c>
      <c r="E1214">
        <v>2</v>
      </c>
      <c r="F1214">
        <v>3</v>
      </c>
      <c r="G1214">
        <v>0.30159999999999998</v>
      </c>
      <c r="H1214">
        <v>0.27110000000000001</v>
      </c>
      <c r="I1214">
        <v>0.34100000000000003</v>
      </c>
      <c r="J1214" s="1" t="str">
        <f>HYPERLINK(SetRGB(J1214,G1214*255,H1214*255,I1214*255),"HOVER!")</f>
        <v>HOVER!</v>
      </c>
      <c r="K1214">
        <f>E1214/F1214</f>
        <v>0.66666666666666663</v>
      </c>
    </row>
    <row r="1215" spans="1:11" ht="15" x14ac:dyDescent="0.35">
      <c r="A1215">
        <f t="shared" si="36"/>
        <v>8</v>
      </c>
      <c r="B1215">
        <f t="shared" si="37"/>
        <v>2.5</v>
      </c>
      <c r="C1215" s="199" t="str">
        <f>B1215&amp;LOOKUP(A1215, Sheet2!$A$2:$A$11, Sheet2!$B$2:$B$11)</f>
        <v>2.5P</v>
      </c>
      <c r="D1215">
        <v>82.5</v>
      </c>
      <c r="E1215">
        <v>4</v>
      </c>
      <c r="F1215">
        <v>3</v>
      </c>
      <c r="G1215">
        <v>0.31640000000000001</v>
      </c>
      <c r="H1215">
        <v>0.25850000000000001</v>
      </c>
      <c r="I1215">
        <v>0.38640000000000002</v>
      </c>
      <c r="J1215" s="1" t="str">
        <f>HYPERLINK(SetRGB(J1215,G1215*255,H1215*255,I1215*255),"HOVER!")</f>
        <v>HOVER!</v>
      </c>
      <c r="K1215">
        <f>E1215/F1215</f>
        <v>1.3333333333333333</v>
      </c>
    </row>
    <row r="1216" spans="1:11" ht="15" x14ac:dyDescent="0.35">
      <c r="A1216">
        <f t="shared" si="36"/>
        <v>8</v>
      </c>
      <c r="B1216">
        <f t="shared" si="37"/>
        <v>2.5</v>
      </c>
      <c r="C1216" s="199" t="str">
        <f>B1216&amp;LOOKUP(A1216, Sheet2!$A$2:$A$11, Sheet2!$B$2:$B$11)</f>
        <v>2.5P</v>
      </c>
      <c r="D1216">
        <v>82.5</v>
      </c>
      <c r="E1216">
        <v>6</v>
      </c>
      <c r="F1216">
        <v>3</v>
      </c>
      <c r="G1216">
        <v>0.33139999999999997</v>
      </c>
      <c r="H1216">
        <v>0.24440000000000001</v>
      </c>
      <c r="I1216">
        <v>0.42709999999999998</v>
      </c>
      <c r="J1216" s="1" t="str">
        <f>HYPERLINK(SetRGB(J1216,G1216*255,H1216*255,I1216*255),"HOVER!")</f>
        <v>HOVER!</v>
      </c>
      <c r="K1216">
        <f>E1216/F1216</f>
        <v>2</v>
      </c>
    </row>
    <row r="1217" spans="1:11" ht="15" x14ac:dyDescent="0.35">
      <c r="A1217">
        <f t="shared" si="36"/>
        <v>8</v>
      </c>
      <c r="B1217">
        <f t="shared" si="37"/>
        <v>2.5</v>
      </c>
      <c r="C1217" s="199" t="str">
        <f>B1217&amp;LOOKUP(A1217, Sheet2!$A$2:$A$11, Sheet2!$B$2:$B$11)</f>
        <v>2.5P</v>
      </c>
      <c r="D1217">
        <v>82.5</v>
      </c>
      <c r="E1217">
        <v>8</v>
      </c>
      <c r="F1217">
        <v>3</v>
      </c>
      <c r="G1217">
        <v>0.34860000000000002</v>
      </c>
      <c r="H1217">
        <v>0.22750000000000001</v>
      </c>
      <c r="I1217">
        <v>0.46550000000000002</v>
      </c>
      <c r="J1217" s="1" t="str">
        <f>HYPERLINK(SetRGB(J1217,G1217*255,H1217*255,I1217*255),"HOVER!")</f>
        <v>HOVER!</v>
      </c>
      <c r="K1217">
        <f>E1217/F1217</f>
        <v>2.6666666666666665</v>
      </c>
    </row>
    <row r="1218" spans="1:11" ht="15" x14ac:dyDescent="0.35">
      <c r="A1218">
        <f t="shared" si="36"/>
        <v>8</v>
      </c>
      <c r="B1218">
        <f t="shared" si="37"/>
        <v>2.5</v>
      </c>
      <c r="C1218" s="199" t="str">
        <f>B1218&amp;LOOKUP(A1218, Sheet2!$A$2:$A$11, Sheet2!$B$2:$B$11)</f>
        <v>2.5P</v>
      </c>
      <c r="D1218">
        <v>82.5</v>
      </c>
      <c r="E1218">
        <v>10</v>
      </c>
      <c r="F1218">
        <v>3</v>
      </c>
      <c r="G1218">
        <v>0.36780000000000002</v>
      </c>
      <c r="H1218">
        <v>0.2056</v>
      </c>
      <c r="I1218">
        <v>0.50519999999999998</v>
      </c>
      <c r="J1218" s="1" t="str">
        <f>HYPERLINK(SetRGB(J1218,G1218*255,H1218*255,I1218*255),"HOVER!")</f>
        <v>HOVER!</v>
      </c>
      <c r="K1218">
        <f>E1218/F1218</f>
        <v>3.3333333333333335</v>
      </c>
    </row>
    <row r="1219" spans="1:11" ht="15" x14ac:dyDescent="0.35">
      <c r="A1219">
        <f t="shared" si="36"/>
        <v>8</v>
      </c>
      <c r="B1219">
        <f t="shared" si="37"/>
        <v>2.5</v>
      </c>
      <c r="C1219" s="199" t="str">
        <f>B1219&amp;LOOKUP(A1219, Sheet2!$A$2:$A$11, Sheet2!$B$2:$B$11)</f>
        <v>2.5P</v>
      </c>
      <c r="D1219">
        <v>82.5</v>
      </c>
      <c r="E1219">
        <v>12</v>
      </c>
      <c r="F1219">
        <v>3</v>
      </c>
      <c r="G1219">
        <v>0.38519999999999999</v>
      </c>
      <c r="H1219">
        <v>0.18190000000000001</v>
      </c>
      <c r="I1219">
        <v>0.53959999999999997</v>
      </c>
      <c r="J1219" s="1" t="str">
        <f>HYPERLINK(SetRGB(J1219,G1219*255,H1219*255,I1219*255),"HOVER!")</f>
        <v>HOVER!</v>
      </c>
      <c r="K1219">
        <f>E1219/F1219</f>
        <v>4</v>
      </c>
    </row>
    <row r="1220" spans="1:11" ht="15" x14ac:dyDescent="0.35">
      <c r="A1220">
        <f t="shared" si="36"/>
        <v>8</v>
      </c>
      <c r="B1220">
        <f t="shared" si="37"/>
        <v>2.5</v>
      </c>
      <c r="C1220" s="199" t="str">
        <f>B1220&amp;LOOKUP(A1220, Sheet2!$A$2:$A$11, Sheet2!$B$2:$B$11)</f>
        <v>2.5P</v>
      </c>
      <c r="D1220">
        <v>82.5</v>
      </c>
      <c r="E1220">
        <v>14</v>
      </c>
      <c r="F1220">
        <v>3</v>
      </c>
      <c r="G1220">
        <v>0.4052</v>
      </c>
      <c r="H1220">
        <v>0.14779999999999999</v>
      </c>
      <c r="I1220">
        <v>0.57799999999999996</v>
      </c>
      <c r="J1220" s="1" t="str">
        <f>HYPERLINK(SetRGB(J1220,G1220*255,H1220*255,I1220*255),"HOVER!")</f>
        <v>HOVER!</v>
      </c>
      <c r="K1220">
        <f>E1220/F1220</f>
        <v>4.666666666666667</v>
      </c>
    </row>
    <row r="1221" spans="1:11" ht="15" x14ac:dyDescent="0.35">
      <c r="A1221">
        <f t="shared" si="36"/>
        <v>8</v>
      </c>
      <c r="B1221">
        <f t="shared" si="37"/>
        <v>2.5</v>
      </c>
      <c r="C1221" s="199" t="str">
        <f>B1221&amp;LOOKUP(A1221, Sheet2!$A$2:$A$11, Sheet2!$B$2:$B$11)</f>
        <v>2.5P</v>
      </c>
      <c r="D1221">
        <v>82.5</v>
      </c>
      <c r="E1221">
        <v>16</v>
      </c>
      <c r="F1221">
        <v>3</v>
      </c>
      <c r="G1221">
        <v>0.42459999999999998</v>
      </c>
      <c r="H1221">
        <v>0.1017</v>
      </c>
      <c r="I1221">
        <v>0.61360000000000003</v>
      </c>
      <c r="J1221" s="1" t="str">
        <f>HYPERLINK(SetRGB(J1221,G1221*255,H1221*255,I1221*255),"HOVER!")</f>
        <v>HOVER!</v>
      </c>
      <c r="K1221">
        <f>E1221/F1221</f>
        <v>5.333333333333333</v>
      </c>
    </row>
    <row r="1222" spans="1:11" ht="15" x14ac:dyDescent="0.35">
      <c r="A1222">
        <f t="shared" si="36"/>
        <v>8</v>
      </c>
      <c r="B1222">
        <f t="shared" si="37"/>
        <v>2.5</v>
      </c>
      <c r="C1222" s="199" t="str">
        <f>B1222&amp;LOOKUP(A1222, Sheet2!$A$2:$A$11, Sheet2!$B$2:$B$11)</f>
        <v>2.5P</v>
      </c>
      <c r="D1222">
        <v>82.5</v>
      </c>
      <c r="E1222">
        <v>18</v>
      </c>
      <c r="F1222">
        <v>3</v>
      </c>
      <c r="G1222">
        <v>0.44330000000000003</v>
      </c>
      <c r="H1222">
        <v>1.38E-2</v>
      </c>
      <c r="I1222">
        <v>0.64649999999999996</v>
      </c>
      <c r="J1222" s="1" t="str">
        <f>HYPERLINK(SetRGB(J1222,G1222*255,H1222*255,I1222*255),"HOVER!")</f>
        <v>HOVER!</v>
      </c>
      <c r="K1222">
        <f>E1222/F1222</f>
        <v>6</v>
      </c>
    </row>
    <row r="1223" spans="1:11" ht="15" x14ac:dyDescent="0.35">
      <c r="A1223">
        <f t="shared" si="36"/>
        <v>8</v>
      </c>
      <c r="B1223">
        <f t="shared" si="37"/>
        <v>2.5</v>
      </c>
      <c r="C1223" s="199" t="str">
        <f>B1223&amp;LOOKUP(A1223, Sheet2!$A$2:$A$11, Sheet2!$B$2:$B$11)</f>
        <v>2.5P</v>
      </c>
      <c r="D1223">
        <v>82.5</v>
      </c>
      <c r="E1223">
        <v>2</v>
      </c>
      <c r="F1223">
        <v>4</v>
      </c>
      <c r="G1223">
        <v>0.39560000000000001</v>
      </c>
      <c r="H1223">
        <v>0.37</v>
      </c>
      <c r="I1223">
        <v>0.43459999999999999</v>
      </c>
      <c r="J1223" s="1" t="str">
        <f>HYPERLINK(SetRGB(J1223,G1223*255,H1223*255,I1223*255),"HOVER!")</f>
        <v>HOVER!</v>
      </c>
      <c r="K1223">
        <f>E1223/F1223</f>
        <v>0.5</v>
      </c>
    </row>
    <row r="1224" spans="1:11" ht="15" x14ac:dyDescent="0.35">
      <c r="A1224">
        <f t="shared" si="36"/>
        <v>8</v>
      </c>
      <c r="B1224">
        <f t="shared" si="37"/>
        <v>2.5</v>
      </c>
      <c r="C1224" s="199" t="str">
        <f>B1224&amp;LOOKUP(A1224, Sheet2!$A$2:$A$11, Sheet2!$B$2:$B$11)</f>
        <v>2.5P</v>
      </c>
      <c r="D1224">
        <v>82.5</v>
      </c>
      <c r="E1224">
        <v>4</v>
      </c>
      <c r="F1224">
        <v>4</v>
      </c>
      <c r="G1224">
        <v>0.4093</v>
      </c>
      <c r="H1224">
        <v>0.35880000000000001</v>
      </c>
      <c r="I1224">
        <v>0.47989999999999999</v>
      </c>
      <c r="J1224" s="1" t="str">
        <f>HYPERLINK(SetRGB(J1224,G1224*255,H1224*255,I1224*255),"HOVER!")</f>
        <v>HOVER!</v>
      </c>
      <c r="K1224">
        <f>E1224/F1224</f>
        <v>1</v>
      </c>
    </row>
    <row r="1225" spans="1:11" ht="15" x14ac:dyDescent="0.35">
      <c r="A1225">
        <f t="shared" si="36"/>
        <v>8</v>
      </c>
      <c r="B1225">
        <f t="shared" si="37"/>
        <v>2.5</v>
      </c>
      <c r="C1225" s="199" t="str">
        <f>B1225&amp;LOOKUP(A1225, Sheet2!$A$2:$A$11, Sheet2!$B$2:$B$11)</f>
        <v>2.5P</v>
      </c>
      <c r="D1225">
        <v>82.5</v>
      </c>
      <c r="E1225">
        <v>6</v>
      </c>
      <c r="F1225">
        <v>4</v>
      </c>
      <c r="G1225">
        <v>0.42209999999999998</v>
      </c>
      <c r="H1225">
        <v>0.34710000000000002</v>
      </c>
      <c r="I1225">
        <v>0.5212</v>
      </c>
      <c r="J1225" s="1" t="str">
        <f>HYPERLINK(SetRGB(J1225,G1225*255,H1225*255,I1225*255),"HOVER!")</f>
        <v>HOVER!</v>
      </c>
      <c r="K1225">
        <f>E1225/F1225</f>
        <v>1.5</v>
      </c>
    </row>
    <row r="1226" spans="1:11" ht="15" x14ac:dyDescent="0.35">
      <c r="A1226">
        <f t="shared" si="36"/>
        <v>8</v>
      </c>
      <c r="B1226">
        <f t="shared" si="37"/>
        <v>2.5</v>
      </c>
      <c r="C1226" s="199" t="str">
        <f>B1226&amp;LOOKUP(A1226, Sheet2!$A$2:$A$11, Sheet2!$B$2:$B$11)</f>
        <v>2.5P</v>
      </c>
      <c r="D1226">
        <v>82.5</v>
      </c>
      <c r="E1226">
        <v>8</v>
      </c>
      <c r="F1226">
        <v>4</v>
      </c>
      <c r="G1226">
        <v>0.43740000000000001</v>
      </c>
      <c r="H1226">
        <v>0.33289999999999997</v>
      </c>
      <c r="I1226">
        <v>0.56230000000000002</v>
      </c>
      <c r="J1226" s="1" t="str">
        <f>HYPERLINK(SetRGB(J1226,G1226*255,H1226*255,I1226*255),"HOVER!")</f>
        <v>HOVER!</v>
      </c>
      <c r="K1226">
        <f>E1226/F1226</f>
        <v>2</v>
      </c>
    </row>
    <row r="1227" spans="1:11" ht="15" x14ac:dyDescent="0.35">
      <c r="A1227">
        <f t="shared" si="36"/>
        <v>8</v>
      </c>
      <c r="B1227">
        <f t="shared" si="37"/>
        <v>2.5</v>
      </c>
      <c r="C1227" s="199" t="str">
        <f>B1227&amp;LOOKUP(A1227, Sheet2!$A$2:$A$11, Sheet2!$B$2:$B$11)</f>
        <v>2.5P</v>
      </c>
      <c r="D1227">
        <v>82.5</v>
      </c>
      <c r="E1227">
        <v>10</v>
      </c>
      <c r="F1227">
        <v>4</v>
      </c>
      <c r="G1227">
        <v>0.45379999999999998</v>
      </c>
      <c r="H1227">
        <v>0.31659999999999999</v>
      </c>
      <c r="I1227">
        <v>0.60209999999999997</v>
      </c>
      <c r="J1227" s="1" t="str">
        <f>HYPERLINK(SetRGB(J1227,G1227*255,H1227*255,I1227*255),"HOVER!")</f>
        <v>HOVER!</v>
      </c>
      <c r="K1227">
        <f>E1227/F1227</f>
        <v>2.5</v>
      </c>
    </row>
    <row r="1228" spans="1:11" ht="15" x14ac:dyDescent="0.35">
      <c r="A1228">
        <f t="shared" si="36"/>
        <v>8</v>
      </c>
      <c r="B1228">
        <f t="shared" si="37"/>
        <v>2.5</v>
      </c>
      <c r="C1228" s="199" t="str">
        <f>B1228&amp;LOOKUP(A1228, Sheet2!$A$2:$A$11, Sheet2!$B$2:$B$11)</f>
        <v>2.5P</v>
      </c>
      <c r="D1228">
        <v>82.5</v>
      </c>
      <c r="E1228">
        <v>12</v>
      </c>
      <c r="F1228">
        <v>4</v>
      </c>
      <c r="G1228">
        <v>0.4718</v>
      </c>
      <c r="H1228">
        <v>0.29680000000000001</v>
      </c>
      <c r="I1228">
        <v>0.6431</v>
      </c>
      <c r="J1228" s="1" t="str">
        <f>HYPERLINK(SetRGB(J1228,G1228*255,H1228*255,I1228*255),"HOVER!")</f>
        <v>HOVER!</v>
      </c>
      <c r="K1228">
        <f>E1228/F1228</f>
        <v>3</v>
      </c>
    </row>
    <row r="1229" spans="1:11" ht="15" x14ac:dyDescent="0.35">
      <c r="A1229">
        <f t="shared" si="36"/>
        <v>8</v>
      </c>
      <c r="B1229">
        <f t="shared" si="37"/>
        <v>2.5</v>
      </c>
      <c r="C1229" s="199" t="str">
        <f>B1229&amp;LOOKUP(A1229, Sheet2!$A$2:$A$11, Sheet2!$B$2:$B$11)</f>
        <v>2.5P</v>
      </c>
      <c r="D1229">
        <v>82.5</v>
      </c>
      <c r="E1229">
        <v>14</v>
      </c>
      <c r="F1229">
        <v>4</v>
      </c>
      <c r="G1229">
        <v>0.48920000000000002</v>
      </c>
      <c r="H1229">
        <v>0.27510000000000001</v>
      </c>
      <c r="I1229">
        <v>0.68110000000000004</v>
      </c>
      <c r="J1229" s="1" t="str">
        <f>HYPERLINK(SetRGB(J1229,G1229*255,H1229*255,I1229*255),"HOVER!")</f>
        <v>HOVER!</v>
      </c>
      <c r="K1229">
        <f>E1229/F1229</f>
        <v>3.5</v>
      </c>
    </row>
    <row r="1230" spans="1:11" ht="15" x14ac:dyDescent="0.35">
      <c r="A1230">
        <f t="shared" ref="A1230:A1293" si="38">IF(FLOOR(D1230/10,1)=0,10,FLOOR(D1230/10,1))</f>
        <v>8</v>
      </c>
      <c r="B1230">
        <f t="shared" ref="B1230:B1293" si="39">IF(MOD(D1230,10)=0,10,MOD(D1230,10))</f>
        <v>2.5</v>
      </c>
      <c r="C1230" s="199" t="str">
        <f>B1230&amp;LOOKUP(A1230, Sheet2!$A$2:$A$11, Sheet2!$B$2:$B$11)</f>
        <v>2.5P</v>
      </c>
      <c r="D1230">
        <v>82.5</v>
      </c>
      <c r="E1230">
        <v>16</v>
      </c>
      <c r="F1230">
        <v>4</v>
      </c>
      <c r="G1230">
        <v>0.50849999999999995</v>
      </c>
      <c r="H1230">
        <v>0.248</v>
      </c>
      <c r="I1230">
        <v>0.71960000000000002</v>
      </c>
      <c r="J1230" s="1" t="str">
        <f>HYPERLINK(SetRGB(J1230,G1230*255,H1230*255,I1230*255),"HOVER!")</f>
        <v>HOVER!</v>
      </c>
      <c r="K1230">
        <f>E1230/F1230</f>
        <v>4</v>
      </c>
    </row>
    <row r="1231" spans="1:11" ht="15" x14ac:dyDescent="0.35">
      <c r="A1231">
        <f t="shared" si="38"/>
        <v>8</v>
      </c>
      <c r="B1231">
        <f t="shared" si="39"/>
        <v>2.5</v>
      </c>
      <c r="C1231" s="199" t="str">
        <f>B1231&amp;LOOKUP(A1231, Sheet2!$A$2:$A$11, Sheet2!$B$2:$B$11)</f>
        <v>2.5P</v>
      </c>
      <c r="D1231">
        <v>82.5</v>
      </c>
      <c r="E1231">
        <v>18</v>
      </c>
      <c r="F1231">
        <v>4</v>
      </c>
      <c r="G1231">
        <v>0.52869999999999995</v>
      </c>
      <c r="H1231">
        <v>0.21429999999999999</v>
      </c>
      <c r="I1231">
        <v>0.7581</v>
      </c>
      <c r="J1231" s="1" t="str">
        <f>HYPERLINK(SetRGB(J1231,G1231*255,H1231*255,I1231*255),"HOVER!")</f>
        <v>HOVER!</v>
      </c>
      <c r="K1231">
        <f>E1231/F1231</f>
        <v>4.5</v>
      </c>
    </row>
    <row r="1232" spans="1:11" ht="15" x14ac:dyDescent="0.35">
      <c r="A1232">
        <f t="shared" si="38"/>
        <v>8</v>
      </c>
      <c r="B1232">
        <f t="shared" si="39"/>
        <v>2.5</v>
      </c>
      <c r="C1232" s="199" t="str">
        <f>B1232&amp;LOOKUP(A1232, Sheet2!$A$2:$A$11, Sheet2!$B$2:$B$11)</f>
        <v>2.5P</v>
      </c>
      <c r="D1232">
        <v>82.5</v>
      </c>
      <c r="E1232">
        <v>20</v>
      </c>
      <c r="F1232">
        <v>4</v>
      </c>
      <c r="G1232">
        <v>0.54910000000000003</v>
      </c>
      <c r="H1232">
        <v>0.16930000000000001</v>
      </c>
      <c r="I1232">
        <v>0.79769999999999996</v>
      </c>
      <c r="J1232" s="1" t="str">
        <f>HYPERLINK(SetRGB(J1232,G1232*255,H1232*255,I1232*255),"HOVER!")</f>
        <v>HOVER!</v>
      </c>
      <c r="K1232">
        <f>E1232/F1232</f>
        <v>5</v>
      </c>
    </row>
    <row r="1233" spans="1:11" ht="15" x14ac:dyDescent="0.35">
      <c r="A1233">
        <f t="shared" si="38"/>
        <v>8</v>
      </c>
      <c r="B1233">
        <f t="shared" si="39"/>
        <v>2.5</v>
      </c>
      <c r="C1233" s="199" t="str">
        <f>B1233&amp;LOOKUP(A1233, Sheet2!$A$2:$A$11, Sheet2!$B$2:$B$11)</f>
        <v>2.5P</v>
      </c>
      <c r="D1233">
        <v>82.5</v>
      </c>
      <c r="E1233">
        <v>22</v>
      </c>
      <c r="F1233">
        <v>4</v>
      </c>
      <c r="G1233">
        <v>0.56599999999999995</v>
      </c>
      <c r="H1233">
        <v>0.11840000000000001</v>
      </c>
      <c r="I1233">
        <v>0.82820000000000005</v>
      </c>
      <c r="J1233" s="1" t="str">
        <f>HYPERLINK(SetRGB(J1233,G1233*255,H1233*255,I1233*255),"HOVER!")</f>
        <v>HOVER!</v>
      </c>
      <c r="K1233">
        <f>E1233/F1233</f>
        <v>5.5</v>
      </c>
    </row>
    <row r="1234" spans="1:11" ht="15" x14ac:dyDescent="0.35">
      <c r="A1234">
        <f t="shared" si="38"/>
        <v>8</v>
      </c>
      <c r="B1234">
        <f t="shared" si="39"/>
        <v>2.5</v>
      </c>
      <c r="C1234" s="199" t="str">
        <f>B1234&amp;LOOKUP(A1234, Sheet2!$A$2:$A$11, Sheet2!$B$2:$B$11)</f>
        <v>2.5P</v>
      </c>
      <c r="D1234">
        <v>82.5</v>
      </c>
      <c r="E1234">
        <v>2</v>
      </c>
      <c r="F1234">
        <v>5</v>
      </c>
      <c r="G1234">
        <v>0.49330000000000002</v>
      </c>
      <c r="H1234">
        <v>0.47299999999999998</v>
      </c>
      <c r="I1234">
        <v>0.52790000000000004</v>
      </c>
      <c r="J1234" s="1" t="str">
        <f>HYPERLINK(SetRGB(J1234,G1234*255,H1234*255,I1234*255),"HOVER!")</f>
        <v>HOVER!</v>
      </c>
      <c r="K1234">
        <f>E1234/F1234</f>
        <v>0.4</v>
      </c>
    </row>
    <row r="1235" spans="1:11" ht="15" x14ac:dyDescent="0.35">
      <c r="A1235">
        <f t="shared" si="38"/>
        <v>8</v>
      </c>
      <c r="B1235">
        <f t="shared" si="39"/>
        <v>2.5</v>
      </c>
      <c r="C1235" s="199" t="str">
        <f>B1235&amp;LOOKUP(A1235, Sheet2!$A$2:$A$11, Sheet2!$B$2:$B$11)</f>
        <v>2.5P</v>
      </c>
      <c r="D1235">
        <v>82.5</v>
      </c>
      <c r="E1235">
        <v>4</v>
      </c>
      <c r="F1235">
        <v>5</v>
      </c>
      <c r="G1235">
        <v>0.50519999999999998</v>
      </c>
      <c r="H1235">
        <v>0.46260000000000001</v>
      </c>
      <c r="I1235">
        <v>0.57609999999999995</v>
      </c>
      <c r="J1235" s="1" t="str">
        <f>HYPERLINK(SetRGB(J1235,G1235*255,H1235*255,I1235*255),"HOVER!")</f>
        <v>HOVER!</v>
      </c>
      <c r="K1235">
        <f>E1235/F1235</f>
        <v>0.8</v>
      </c>
    </row>
    <row r="1236" spans="1:11" ht="15" x14ac:dyDescent="0.35">
      <c r="A1236">
        <f t="shared" si="38"/>
        <v>8</v>
      </c>
      <c r="B1236">
        <f t="shared" si="39"/>
        <v>2.5</v>
      </c>
      <c r="C1236" s="199" t="str">
        <f>B1236&amp;LOOKUP(A1236, Sheet2!$A$2:$A$11, Sheet2!$B$2:$B$11)</f>
        <v>2.5P</v>
      </c>
      <c r="D1236">
        <v>82.5</v>
      </c>
      <c r="E1236">
        <v>6</v>
      </c>
      <c r="F1236">
        <v>5</v>
      </c>
      <c r="G1236">
        <v>0.51790000000000003</v>
      </c>
      <c r="H1236">
        <v>0.45090000000000002</v>
      </c>
      <c r="I1236">
        <v>0.62309999999999999</v>
      </c>
      <c r="J1236" s="1" t="str">
        <f>HYPERLINK(SetRGB(J1236,G1236*255,H1236*255,I1236*255),"HOVER!")</f>
        <v>HOVER!</v>
      </c>
      <c r="K1236">
        <f>E1236/F1236</f>
        <v>1.2</v>
      </c>
    </row>
    <row r="1237" spans="1:11" ht="15" x14ac:dyDescent="0.35">
      <c r="A1237">
        <f t="shared" si="38"/>
        <v>8</v>
      </c>
      <c r="B1237">
        <f t="shared" si="39"/>
        <v>2.5</v>
      </c>
      <c r="C1237" s="199" t="str">
        <f>B1237&amp;LOOKUP(A1237, Sheet2!$A$2:$A$11, Sheet2!$B$2:$B$11)</f>
        <v>2.5P</v>
      </c>
      <c r="D1237">
        <v>82.5</v>
      </c>
      <c r="E1237">
        <v>8</v>
      </c>
      <c r="F1237">
        <v>5</v>
      </c>
      <c r="G1237">
        <v>0.5333</v>
      </c>
      <c r="H1237">
        <v>0.437</v>
      </c>
      <c r="I1237">
        <v>0.66910000000000003</v>
      </c>
      <c r="J1237" s="1" t="str">
        <f>HYPERLINK(SetRGB(J1237,G1237*255,H1237*255,I1237*255),"HOVER!")</f>
        <v>HOVER!</v>
      </c>
      <c r="K1237">
        <f>E1237/F1237</f>
        <v>1.6</v>
      </c>
    </row>
    <row r="1238" spans="1:11" ht="15" x14ac:dyDescent="0.35">
      <c r="A1238">
        <f t="shared" si="38"/>
        <v>8</v>
      </c>
      <c r="B1238">
        <f t="shared" si="39"/>
        <v>2.5</v>
      </c>
      <c r="C1238" s="199" t="str">
        <f>B1238&amp;LOOKUP(A1238, Sheet2!$A$2:$A$11, Sheet2!$B$2:$B$11)</f>
        <v>2.5P</v>
      </c>
      <c r="D1238">
        <v>82.5</v>
      </c>
      <c r="E1238">
        <v>10</v>
      </c>
      <c r="F1238">
        <v>5</v>
      </c>
      <c r="G1238">
        <v>0.54759999999999998</v>
      </c>
      <c r="H1238">
        <v>0.42320000000000002</v>
      </c>
      <c r="I1238">
        <v>0.70950000000000002</v>
      </c>
      <c r="J1238" s="1" t="str">
        <f>HYPERLINK(SetRGB(J1238,G1238*255,H1238*255,I1238*255),"HOVER!")</f>
        <v>HOVER!</v>
      </c>
      <c r="K1238">
        <f>E1238/F1238</f>
        <v>2</v>
      </c>
    </row>
    <row r="1239" spans="1:11" ht="15" x14ac:dyDescent="0.35">
      <c r="A1239">
        <f t="shared" si="38"/>
        <v>8</v>
      </c>
      <c r="B1239">
        <f t="shared" si="39"/>
        <v>2.5</v>
      </c>
      <c r="C1239" s="199" t="str">
        <f>B1239&amp;LOOKUP(A1239, Sheet2!$A$2:$A$11, Sheet2!$B$2:$B$11)</f>
        <v>2.5P</v>
      </c>
      <c r="D1239">
        <v>82.5</v>
      </c>
      <c r="E1239">
        <v>12</v>
      </c>
      <c r="F1239">
        <v>5</v>
      </c>
      <c r="G1239">
        <v>0.56510000000000005</v>
      </c>
      <c r="H1239">
        <v>0.40589999999999998</v>
      </c>
      <c r="I1239">
        <v>0.75219999999999998</v>
      </c>
      <c r="J1239" s="1" t="str">
        <f>HYPERLINK(SetRGB(J1239,G1239*255,H1239*255,I1239*255),"HOVER!")</f>
        <v>HOVER!</v>
      </c>
      <c r="K1239">
        <f>E1239/F1239</f>
        <v>2.4</v>
      </c>
    </row>
    <row r="1240" spans="1:11" ht="15" x14ac:dyDescent="0.35">
      <c r="A1240">
        <f t="shared" si="38"/>
        <v>8</v>
      </c>
      <c r="B1240">
        <f t="shared" si="39"/>
        <v>2.5</v>
      </c>
      <c r="C1240" s="199" t="str">
        <f>B1240&amp;LOOKUP(A1240, Sheet2!$A$2:$A$11, Sheet2!$B$2:$B$11)</f>
        <v>2.5P</v>
      </c>
      <c r="D1240">
        <v>82.5</v>
      </c>
      <c r="E1240">
        <v>14</v>
      </c>
      <c r="F1240">
        <v>5</v>
      </c>
      <c r="G1240">
        <v>0.58240000000000003</v>
      </c>
      <c r="H1240">
        <v>0.38740000000000002</v>
      </c>
      <c r="I1240">
        <v>0.79200000000000004</v>
      </c>
      <c r="J1240" s="1" t="str">
        <f>HYPERLINK(SetRGB(J1240,G1240*255,H1240*255,I1240*255),"HOVER!")</f>
        <v>HOVER!</v>
      </c>
      <c r="K1240">
        <f>E1240/F1240</f>
        <v>2.8</v>
      </c>
    </row>
    <row r="1241" spans="1:11" ht="15" x14ac:dyDescent="0.35">
      <c r="A1241">
        <f t="shared" si="38"/>
        <v>8</v>
      </c>
      <c r="B1241">
        <f t="shared" si="39"/>
        <v>2.5</v>
      </c>
      <c r="C1241" s="199" t="str">
        <f>B1241&amp;LOOKUP(A1241, Sheet2!$A$2:$A$11, Sheet2!$B$2:$B$11)</f>
        <v>2.5P</v>
      </c>
      <c r="D1241">
        <v>82.5</v>
      </c>
      <c r="E1241">
        <v>16</v>
      </c>
      <c r="F1241">
        <v>5</v>
      </c>
      <c r="G1241">
        <v>0.60050000000000003</v>
      </c>
      <c r="H1241">
        <v>0.3659</v>
      </c>
      <c r="I1241">
        <v>0.83260000000000001</v>
      </c>
      <c r="J1241" s="1" t="str">
        <f>HYPERLINK(SetRGB(J1241,G1241*255,H1241*255,I1241*255),"HOVER!")</f>
        <v>HOVER!</v>
      </c>
      <c r="K1241">
        <f>E1241/F1241</f>
        <v>3.2</v>
      </c>
    </row>
    <row r="1242" spans="1:11" ht="15" x14ac:dyDescent="0.35">
      <c r="A1242">
        <f t="shared" si="38"/>
        <v>8</v>
      </c>
      <c r="B1242">
        <f t="shared" si="39"/>
        <v>2.5</v>
      </c>
      <c r="C1242" s="199" t="str">
        <f>B1242&amp;LOOKUP(A1242, Sheet2!$A$2:$A$11, Sheet2!$B$2:$B$11)</f>
        <v>2.5P</v>
      </c>
      <c r="D1242">
        <v>82.5</v>
      </c>
      <c r="E1242">
        <v>18</v>
      </c>
      <c r="F1242">
        <v>5</v>
      </c>
      <c r="G1242">
        <v>0.61770000000000003</v>
      </c>
      <c r="H1242">
        <v>0.34300000000000003</v>
      </c>
      <c r="I1242">
        <v>0.87060000000000004</v>
      </c>
      <c r="J1242" s="1" t="str">
        <f>HYPERLINK(SetRGB(J1242,G1242*255,H1242*255,I1242*255),"HOVER!")</f>
        <v>HOVER!</v>
      </c>
      <c r="K1242">
        <f>E1242/F1242</f>
        <v>3.6</v>
      </c>
    </row>
    <row r="1243" spans="1:11" ht="15" x14ac:dyDescent="0.35">
      <c r="A1243">
        <f t="shared" si="38"/>
        <v>8</v>
      </c>
      <c r="B1243">
        <f t="shared" si="39"/>
        <v>2.5</v>
      </c>
      <c r="C1243" s="199" t="str">
        <f>B1243&amp;LOOKUP(A1243, Sheet2!$A$2:$A$11, Sheet2!$B$2:$B$11)</f>
        <v>2.5P</v>
      </c>
      <c r="D1243">
        <v>82.5</v>
      </c>
      <c r="E1243">
        <v>20</v>
      </c>
      <c r="F1243">
        <v>5</v>
      </c>
      <c r="G1243">
        <v>0.63770000000000004</v>
      </c>
      <c r="H1243">
        <v>0.31319999999999998</v>
      </c>
      <c r="I1243">
        <v>0.91239999999999999</v>
      </c>
      <c r="J1243" s="1" t="str">
        <f>HYPERLINK(SetRGB(J1243,G1243*255,H1243*255,I1243*255),"HOVER!")</f>
        <v>HOVER!</v>
      </c>
      <c r="K1243">
        <f>E1243/F1243</f>
        <v>4</v>
      </c>
    </row>
    <row r="1244" spans="1:11" ht="15" x14ac:dyDescent="0.35">
      <c r="A1244">
        <f t="shared" si="38"/>
        <v>8</v>
      </c>
      <c r="B1244">
        <f t="shared" si="39"/>
        <v>2.5</v>
      </c>
      <c r="C1244" s="199" t="str">
        <f>B1244&amp;LOOKUP(A1244, Sheet2!$A$2:$A$11, Sheet2!$B$2:$B$11)</f>
        <v>2.5P</v>
      </c>
      <c r="D1244">
        <v>82.5</v>
      </c>
      <c r="E1244">
        <v>22</v>
      </c>
      <c r="F1244">
        <v>5</v>
      </c>
      <c r="G1244">
        <v>0.65780000000000005</v>
      </c>
      <c r="H1244">
        <v>0.27729999999999999</v>
      </c>
      <c r="I1244">
        <v>0.95469999999999999</v>
      </c>
      <c r="J1244" s="1" t="str">
        <f>HYPERLINK(SetRGB(J1244,G1244*255,H1244*255,I1244*255),"HOVER!")</f>
        <v>HOVER!</v>
      </c>
      <c r="K1244">
        <f>E1244/F1244</f>
        <v>4.4000000000000004</v>
      </c>
    </row>
    <row r="1245" spans="1:11" ht="15" x14ac:dyDescent="0.35">
      <c r="A1245">
        <f t="shared" si="38"/>
        <v>8</v>
      </c>
      <c r="B1245">
        <f t="shared" si="39"/>
        <v>2.5</v>
      </c>
      <c r="C1245" s="199" t="str">
        <f>B1245&amp;LOOKUP(A1245, Sheet2!$A$2:$A$11, Sheet2!$B$2:$B$11)</f>
        <v>2.5P</v>
      </c>
      <c r="D1245">
        <v>82.5</v>
      </c>
      <c r="E1245">
        <v>24</v>
      </c>
      <c r="F1245">
        <v>5</v>
      </c>
      <c r="G1245">
        <v>0.6784</v>
      </c>
      <c r="H1245">
        <v>0.2329</v>
      </c>
      <c r="I1245">
        <v>0.99550000000000005</v>
      </c>
      <c r="J1245" s="1" t="str">
        <f>HYPERLINK(SetRGB(J1245,G1245*255,H1245*255,I1245*255),"HOVER!")</f>
        <v>HOVER!</v>
      </c>
      <c r="K1245">
        <f>E1245/F1245</f>
        <v>4.8</v>
      </c>
    </row>
    <row r="1246" spans="1:11" ht="15" x14ac:dyDescent="0.35">
      <c r="A1246">
        <f t="shared" si="38"/>
        <v>8</v>
      </c>
      <c r="B1246">
        <f t="shared" si="39"/>
        <v>2.5</v>
      </c>
      <c r="C1246" s="199" t="str">
        <f>B1246&amp;LOOKUP(A1246, Sheet2!$A$2:$A$11, Sheet2!$B$2:$B$11)</f>
        <v>2.5P</v>
      </c>
      <c r="D1246">
        <v>82.5</v>
      </c>
      <c r="E1246">
        <v>26</v>
      </c>
      <c r="F1246">
        <v>5</v>
      </c>
      <c r="G1246">
        <v>0.70050000000000001</v>
      </c>
      <c r="H1246">
        <v>0.17100000000000001</v>
      </c>
      <c r="I1246">
        <v>1</v>
      </c>
      <c r="J1246" s="1" t="str">
        <f>HYPERLINK(SetRGB(J1246,G1246*255,H1246*255,I1246*255),"HOVER!")</f>
        <v>HOVER!</v>
      </c>
      <c r="K1246">
        <f>E1246/F1246</f>
        <v>5.2</v>
      </c>
    </row>
    <row r="1247" spans="1:11" ht="15" x14ac:dyDescent="0.35">
      <c r="A1247">
        <f t="shared" si="38"/>
        <v>8</v>
      </c>
      <c r="B1247">
        <f t="shared" si="39"/>
        <v>2.5</v>
      </c>
      <c r="C1247" s="199" t="str">
        <f>B1247&amp;LOOKUP(A1247, Sheet2!$A$2:$A$11, Sheet2!$B$2:$B$11)</f>
        <v>2.5P</v>
      </c>
      <c r="D1247">
        <v>82.5</v>
      </c>
      <c r="E1247">
        <v>2</v>
      </c>
      <c r="F1247">
        <v>6</v>
      </c>
      <c r="G1247">
        <v>0.59399999999999997</v>
      </c>
      <c r="H1247">
        <v>0.57609999999999995</v>
      </c>
      <c r="I1247">
        <v>0.62849999999999995</v>
      </c>
      <c r="J1247" s="2" t="str">
        <f>HYPERLINK(SetRGB(J1247,G1247*255,H1247*255,I1247*255),"HOVER!")</f>
        <v>HOVER!</v>
      </c>
      <c r="K1247">
        <f>E1247/F1247</f>
        <v>0.33333333333333331</v>
      </c>
    </row>
    <row r="1248" spans="1:11" ht="15" x14ac:dyDescent="0.35">
      <c r="A1248">
        <f t="shared" si="38"/>
        <v>8</v>
      </c>
      <c r="B1248">
        <f t="shared" si="39"/>
        <v>2.5</v>
      </c>
      <c r="C1248" s="199" t="str">
        <f>B1248&amp;LOOKUP(A1248, Sheet2!$A$2:$A$11, Sheet2!$B$2:$B$11)</f>
        <v>2.5P</v>
      </c>
      <c r="D1248">
        <v>82.5</v>
      </c>
      <c r="E1248">
        <v>4</v>
      </c>
      <c r="F1248">
        <v>6</v>
      </c>
      <c r="G1248">
        <v>0.60489999999999999</v>
      </c>
      <c r="H1248">
        <v>0.56659999999999999</v>
      </c>
      <c r="I1248">
        <v>0.67469999999999997</v>
      </c>
      <c r="J1248" s="2" t="str">
        <f>HYPERLINK(SetRGB(J1248,G1248*255,H1248*255,I1248*255),"HOVER!")</f>
        <v>HOVER!</v>
      </c>
      <c r="K1248">
        <f>E1248/F1248</f>
        <v>0.66666666666666663</v>
      </c>
    </row>
    <row r="1249" spans="1:11" ht="15" x14ac:dyDescent="0.35">
      <c r="A1249">
        <f t="shared" si="38"/>
        <v>8</v>
      </c>
      <c r="B1249">
        <f t="shared" si="39"/>
        <v>2.5</v>
      </c>
      <c r="C1249" s="199" t="str">
        <f>B1249&amp;LOOKUP(A1249, Sheet2!$A$2:$A$11, Sheet2!$B$2:$B$11)</f>
        <v>2.5P</v>
      </c>
      <c r="D1249">
        <v>82.5</v>
      </c>
      <c r="E1249">
        <v>6</v>
      </c>
      <c r="F1249">
        <v>6</v>
      </c>
      <c r="G1249">
        <v>0.61680000000000001</v>
      </c>
      <c r="H1249">
        <v>0.55520000000000003</v>
      </c>
      <c r="I1249">
        <v>0.7258</v>
      </c>
      <c r="J1249" s="2" t="str">
        <f>HYPERLINK(SetRGB(J1249,G1249*255,H1249*255,I1249*255),"HOVER!")</f>
        <v>HOVER!</v>
      </c>
      <c r="K1249">
        <f>E1249/F1249</f>
        <v>1</v>
      </c>
    </row>
    <row r="1250" spans="1:11" ht="15" x14ac:dyDescent="0.35">
      <c r="A1250">
        <f t="shared" si="38"/>
        <v>8</v>
      </c>
      <c r="B1250">
        <f t="shared" si="39"/>
        <v>2.5</v>
      </c>
      <c r="C1250" s="199" t="str">
        <f>B1250&amp;LOOKUP(A1250, Sheet2!$A$2:$A$11, Sheet2!$B$2:$B$11)</f>
        <v>2.5P</v>
      </c>
      <c r="D1250">
        <v>82.5</v>
      </c>
      <c r="E1250">
        <v>8</v>
      </c>
      <c r="F1250">
        <v>6</v>
      </c>
      <c r="G1250">
        <v>0.63009999999999999</v>
      </c>
      <c r="H1250">
        <v>0.54290000000000005</v>
      </c>
      <c r="I1250">
        <v>0.77180000000000004</v>
      </c>
      <c r="J1250" s="2" t="str">
        <f>HYPERLINK(SetRGB(J1250,G1250*255,H1250*255,I1250*255),"HOVER!")</f>
        <v>HOVER!</v>
      </c>
      <c r="K1250">
        <f>E1250/F1250</f>
        <v>1.3333333333333333</v>
      </c>
    </row>
    <row r="1251" spans="1:11" ht="15" x14ac:dyDescent="0.35">
      <c r="A1251">
        <f t="shared" si="38"/>
        <v>8</v>
      </c>
      <c r="B1251">
        <f t="shared" si="39"/>
        <v>2.5</v>
      </c>
      <c r="C1251" s="199" t="str">
        <f>B1251&amp;LOOKUP(A1251, Sheet2!$A$2:$A$11, Sheet2!$B$2:$B$11)</f>
        <v>2.5P</v>
      </c>
      <c r="D1251">
        <v>82.5</v>
      </c>
      <c r="E1251">
        <v>10</v>
      </c>
      <c r="F1251">
        <v>6</v>
      </c>
      <c r="G1251">
        <v>0.64449999999999996</v>
      </c>
      <c r="H1251">
        <v>0.52900000000000003</v>
      </c>
      <c r="I1251">
        <v>0.81810000000000005</v>
      </c>
      <c r="J1251" s="2" t="str">
        <f>HYPERLINK(SetRGB(J1251,G1251*255,H1251*255,I1251*255),"HOVER!")</f>
        <v>HOVER!</v>
      </c>
      <c r="K1251">
        <f>E1251/F1251</f>
        <v>1.6666666666666667</v>
      </c>
    </row>
    <row r="1252" spans="1:11" ht="15" x14ac:dyDescent="0.35">
      <c r="A1252">
        <f t="shared" si="38"/>
        <v>8</v>
      </c>
      <c r="B1252">
        <f t="shared" si="39"/>
        <v>2.5</v>
      </c>
      <c r="C1252" s="199" t="str">
        <f>B1252&amp;LOOKUP(A1252, Sheet2!$A$2:$A$11, Sheet2!$B$2:$B$11)</f>
        <v>2.5P</v>
      </c>
      <c r="D1252">
        <v>82.5</v>
      </c>
      <c r="E1252">
        <v>12</v>
      </c>
      <c r="F1252">
        <v>6</v>
      </c>
      <c r="G1252">
        <v>0.66120000000000001</v>
      </c>
      <c r="H1252">
        <v>0.51319999999999999</v>
      </c>
      <c r="I1252">
        <v>0.8629</v>
      </c>
      <c r="J1252" s="2" t="str">
        <f>HYPERLINK(SetRGB(J1252,G1252*255,H1252*255,I1252*255),"HOVER!")</f>
        <v>HOVER!</v>
      </c>
      <c r="K1252">
        <f>E1252/F1252</f>
        <v>2</v>
      </c>
    </row>
    <row r="1253" spans="1:11" ht="15" x14ac:dyDescent="0.35">
      <c r="A1253">
        <f t="shared" si="38"/>
        <v>8</v>
      </c>
      <c r="B1253">
        <f t="shared" si="39"/>
        <v>2.5</v>
      </c>
      <c r="C1253" s="199" t="str">
        <f>B1253&amp;LOOKUP(A1253, Sheet2!$A$2:$A$11, Sheet2!$B$2:$B$11)</f>
        <v>2.5P</v>
      </c>
      <c r="D1253">
        <v>82.5</v>
      </c>
      <c r="E1253">
        <v>14</v>
      </c>
      <c r="F1253">
        <v>6</v>
      </c>
      <c r="G1253">
        <v>0.67800000000000005</v>
      </c>
      <c r="H1253">
        <v>0.4955</v>
      </c>
      <c r="I1253">
        <v>0.9083</v>
      </c>
      <c r="J1253" s="2" t="str">
        <f>HYPERLINK(SetRGB(J1253,G1253*255,H1253*255,I1253*255),"HOVER!")</f>
        <v>HOVER!</v>
      </c>
      <c r="K1253">
        <f>E1253/F1253</f>
        <v>2.3333333333333335</v>
      </c>
    </row>
    <row r="1254" spans="1:11" ht="15" x14ac:dyDescent="0.35">
      <c r="A1254">
        <f t="shared" si="38"/>
        <v>8</v>
      </c>
      <c r="B1254">
        <f t="shared" si="39"/>
        <v>2.5</v>
      </c>
      <c r="C1254" s="199" t="str">
        <f>B1254&amp;LOOKUP(A1254, Sheet2!$A$2:$A$11, Sheet2!$B$2:$B$11)</f>
        <v>2.5P</v>
      </c>
      <c r="D1254">
        <v>82.5</v>
      </c>
      <c r="E1254">
        <v>16</v>
      </c>
      <c r="F1254">
        <v>6</v>
      </c>
      <c r="G1254">
        <v>0.70040000000000002</v>
      </c>
      <c r="H1254">
        <v>0.47260000000000002</v>
      </c>
      <c r="I1254">
        <v>0.95630000000000004</v>
      </c>
      <c r="J1254" s="2" t="str">
        <f>HYPERLINK(SetRGB(J1254,G1254*255,H1254*255,I1254*255),"HOVER!")</f>
        <v>HOVER!</v>
      </c>
      <c r="K1254">
        <f>E1254/F1254</f>
        <v>2.6666666666666665</v>
      </c>
    </row>
    <row r="1255" spans="1:11" ht="15" x14ac:dyDescent="0.35">
      <c r="A1255">
        <f t="shared" si="38"/>
        <v>8</v>
      </c>
      <c r="B1255">
        <f t="shared" si="39"/>
        <v>2.5</v>
      </c>
      <c r="C1255" s="199" t="str">
        <f>B1255&amp;LOOKUP(A1255, Sheet2!$A$2:$A$11, Sheet2!$B$2:$B$11)</f>
        <v>2.5P</v>
      </c>
      <c r="D1255">
        <v>82.5</v>
      </c>
      <c r="E1255">
        <v>18</v>
      </c>
      <c r="F1255">
        <v>6</v>
      </c>
      <c r="G1255">
        <v>0.7157</v>
      </c>
      <c r="H1255">
        <v>0.45279999999999998</v>
      </c>
      <c r="I1255">
        <v>0.99750000000000005</v>
      </c>
      <c r="J1255" s="2" t="str">
        <f>HYPERLINK(SetRGB(J1255,G1255*255,H1255*255,I1255*255),"HOVER!")</f>
        <v>HOVER!</v>
      </c>
      <c r="K1255">
        <f>E1255/F1255</f>
        <v>3</v>
      </c>
    </row>
    <row r="1256" spans="1:11" ht="15" x14ac:dyDescent="0.35">
      <c r="A1256">
        <f t="shared" si="38"/>
        <v>8</v>
      </c>
      <c r="B1256">
        <f t="shared" si="39"/>
        <v>2.5</v>
      </c>
      <c r="C1256" s="199" t="str">
        <f>B1256&amp;LOOKUP(A1256, Sheet2!$A$2:$A$11, Sheet2!$B$2:$B$11)</f>
        <v>2.5P</v>
      </c>
      <c r="D1256">
        <v>82.5</v>
      </c>
      <c r="E1256">
        <v>2</v>
      </c>
      <c r="F1256">
        <v>7</v>
      </c>
      <c r="G1256">
        <v>0.69589999999999996</v>
      </c>
      <c r="H1256">
        <v>0.6804</v>
      </c>
      <c r="I1256">
        <v>0.7288</v>
      </c>
      <c r="J1256" s="2" t="str">
        <f>HYPERLINK(SetRGB(J1256,G1256*255,H1256*255,I1256*255),"HOVER!")</f>
        <v>HOVER!</v>
      </c>
      <c r="K1256">
        <f>E1256/F1256</f>
        <v>0.2857142857142857</v>
      </c>
    </row>
    <row r="1257" spans="1:11" ht="15" x14ac:dyDescent="0.35">
      <c r="A1257">
        <f t="shared" si="38"/>
        <v>8</v>
      </c>
      <c r="B1257">
        <f t="shared" si="39"/>
        <v>2.5</v>
      </c>
      <c r="C1257" s="199" t="str">
        <f>B1257&amp;LOOKUP(A1257, Sheet2!$A$2:$A$11, Sheet2!$B$2:$B$11)</f>
        <v>2.5P</v>
      </c>
      <c r="D1257">
        <v>82.5</v>
      </c>
      <c r="E1257">
        <v>4</v>
      </c>
      <c r="F1257">
        <v>7</v>
      </c>
      <c r="G1257">
        <v>0.70689999999999997</v>
      </c>
      <c r="H1257">
        <v>0.67049999999999998</v>
      </c>
      <c r="I1257">
        <v>0.7792</v>
      </c>
      <c r="J1257" s="2" t="str">
        <f>HYPERLINK(SetRGB(J1257,G1257*255,H1257*255,I1257*255),"HOVER!")</f>
        <v>HOVER!</v>
      </c>
      <c r="K1257">
        <f>E1257/F1257</f>
        <v>0.5714285714285714</v>
      </c>
    </row>
    <row r="1258" spans="1:11" ht="15" x14ac:dyDescent="0.35">
      <c r="A1258">
        <f t="shared" si="38"/>
        <v>8</v>
      </c>
      <c r="B1258">
        <f t="shared" si="39"/>
        <v>2.5</v>
      </c>
      <c r="C1258" s="199" t="str">
        <f>B1258&amp;LOOKUP(A1258, Sheet2!$A$2:$A$11, Sheet2!$B$2:$B$11)</f>
        <v>2.5P</v>
      </c>
      <c r="D1258">
        <v>82.5</v>
      </c>
      <c r="E1258">
        <v>6</v>
      </c>
      <c r="F1258">
        <v>7</v>
      </c>
      <c r="G1258">
        <v>0.7177</v>
      </c>
      <c r="H1258">
        <v>0.66</v>
      </c>
      <c r="I1258">
        <v>0.82840000000000003</v>
      </c>
      <c r="J1258" s="2" t="str">
        <f>HYPERLINK(SetRGB(J1258,G1258*255,H1258*255,I1258*255),"HOVER!")</f>
        <v>HOVER!</v>
      </c>
      <c r="K1258">
        <f>E1258/F1258</f>
        <v>0.8571428571428571</v>
      </c>
    </row>
    <row r="1259" spans="1:11" ht="15" x14ac:dyDescent="0.35">
      <c r="A1259">
        <f t="shared" si="38"/>
        <v>8</v>
      </c>
      <c r="B1259">
        <f t="shared" si="39"/>
        <v>2.5</v>
      </c>
      <c r="C1259" s="199" t="str">
        <f>B1259&amp;LOOKUP(A1259, Sheet2!$A$2:$A$11, Sheet2!$B$2:$B$11)</f>
        <v>2.5P</v>
      </c>
      <c r="D1259">
        <v>82.5</v>
      </c>
      <c r="E1259">
        <v>8</v>
      </c>
      <c r="F1259">
        <v>7</v>
      </c>
      <c r="G1259">
        <v>0.73040000000000005</v>
      </c>
      <c r="H1259">
        <v>0.64770000000000005</v>
      </c>
      <c r="I1259">
        <v>0.87939999999999996</v>
      </c>
      <c r="J1259" s="2" t="str">
        <f>HYPERLINK(SetRGB(J1259,G1259*255,H1259*255,I1259*255),"HOVER!")</f>
        <v>HOVER!</v>
      </c>
      <c r="K1259">
        <f>E1259/F1259</f>
        <v>1.1428571428571428</v>
      </c>
    </row>
    <row r="1260" spans="1:11" ht="15" x14ac:dyDescent="0.35">
      <c r="A1260">
        <f t="shared" si="38"/>
        <v>8</v>
      </c>
      <c r="B1260">
        <f t="shared" si="39"/>
        <v>2.5</v>
      </c>
      <c r="C1260" s="199" t="str">
        <f>B1260&amp;LOOKUP(A1260, Sheet2!$A$2:$A$11, Sheet2!$B$2:$B$11)</f>
        <v>2.5P</v>
      </c>
      <c r="D1260">
        <v>82.5</v>
      </c>
      <c r="E1260">
        <v>10</v>
      </c>
      <c r="F1260">
        <v>7</v>
      </c>
      <c r="G1260">
        <v>0.74529999999999996</v>
      </c>
      <c r="H1260">
        <v>0.63319999999999999</v>
      </c>
      <c r="I1260">
        <v>0.93230000000000002</v>
      </c>
      <c r="J1260" s="2" t="str">
        <f>HYPERLINK(SetRGB(J1260,G1260*255,H1260*255,I1260*255),"HOVER!")</f>
        <v>HOVER!</v>
      </c>
      <c r="K1260">
        <f>E1260/F1260</f>
        <v>1.4285714285714286</v>
      </c>
    </row>
    <row r="1261" spans="1:11" ht="15" x14ac:dyDescent="0.35">
      <c r="A1261">
        <f t="shared" si="38"/>
        <v>8</v>
      </c>
      <c r="B1261">
        <f t="shared" si="39"/>
        <v>2.5</v>
      </c>
      <c r="C1261" s="199" t="str">
        <f>B1261&amp;LOOKUP(A1261, Sheet2!$A$2:$A$11, Sheet2!$B$2:$B$11)</f>
        <v>2.5P</v>
      </c>
      <c r="D1261">
        <v>82.5</v>
      </c>
      <c r="E1261">
        <v>12</v>
      </c>
      <c r="F1261">
        <v>7</v>
      </c>
      <c r="G1261">
        <v>0.7621</v>
      </c>
      <c r="H1261">
        <v>0.61639999999999995</v>
      </c>
      <c r="I1261">
        <v>0.98609999999999998</v>
      </c>
      <c r="J1261" s="2" t="str">
        <f>HYPERLINK(SetRGB(J1261,G1261*255,H1261*255,I1261*255),"HOVER!")</f>
        <v>HOVER!</v>
      </c>
      <c r="K1261">
        <f>E1261/F1261</f>
        <v>1.7142857142857142</v>
      </c>
    </row>
    <row r="1262" spans="1:11" ht="15" x14ac:dyDescent="0.35">
      <c r="A1262">
        <f t="shared" si="38"/>
        <v>8</v>
      </c>
      <c r="B1262">
        <f t="shared" si="39"/>
        <v>2.5</v>
      </c>
      <c r="C1262" s="199" t="str">
        <f>B1262&amp;LOOKUP(A1262, Sheet2!$A$2:$A$11, Sheet2!$B$2:$B$11)</f>
        <v>2.5P</v>
      </c>
      <c r="D1262">
        <v>82.5</v>
      </c>
      <c r="E1262">
        <v>2</v>
      </c>
      <c r="F1262">
        <v>8</v>
      </c>
      <c r="G1262">
        <v>0.79930000000000001</v>
      </c>
      <c r="H1262">
        <v>0.7863</v>
      </c>
      <c r="I1262">
        <v>0.8276</v>
      </c>
      <c r="J1262" s="2" t="str">
        <f>HYPERLINK(SetRGB(J1262,G1262*255,H1262*255,I1262*255),"HOVER!")</f>
        <v>HOVER!</v>
      </c>
      <c r="K1262">
        <f>E1262/F1262</f>
        <v>0.25</v>
      </c>
    </row>
    <row r="1263" spans="1:11" ht="15" x14ac:dyDescent="0.35">
      <c r="A1263">
        <f t="shared" si="38"/>
        <v>8</v>
      </c>
      <c r="B1263">
        <f t="shared" si="39"/>
        <v>2.5</v>
      </c>
      <c r="C1263" s="199" t="str">
        <f>B1263&amp;LOOKUP(A1263, Sheet2!$A$2:$A$11, Sheet2!$B$2:$B$11)</f>
        <v>2.5P</v>
      </c>
      <c r="D1263">
        <v>82.5</v>
      </c>
      <c r="E1263">
        <v>4</v>
      </c>
      <c r="F1263">
        <v>8</v>
      </c>
      <c r="G1263">
        <v>0.80930000000000002</v>
      </c>
      <c r="H1263">
        <v>0.77600000000000002</v>
      </c>
      <c r="I1263">
        <v>0.88500000000000001</v>
      </c>
      <c r="J1263" s="2" t="str">
        <f>HYPERLINK(SetRGB(J1263,G1263*255,H1263*255,I1263*255),"HOVER!")</f>
        <v>HOVER!</v>
      </c>
      <c r="K1263">
        <f>E1263/F1263</f>
        <v>0.5</v>
      </c>
    </row>
    <row r="1264" spans="1:11" ht="15" x14ac:dyDescent="0.35">
      <c r="A1264">
        <f t="shared" si="38"/>
        <v>8</v>
      </c>
      <c r="B1264">
        <f t="shared" si="39"/>
        <v>2.5</v>
      </c>
      <c r="C1264" s="199" t="str">
        <f>B1264&amp;LOOKUP(A1264, Sheet2!$A$2:$A$11, Sheet2!$B$2:$B$11)</f>
        <v>2.5P</v>
      </c>
      <c r="D1264">
        <v>82.5</v>
      </c>
      <c r="E1264">
        <v>6</v>
      </c>
      <c r="F1264">
        <v>8</v>
      </c>
      <c r="G1264">
        <v>0.81989999999999996</v>
      </c>
      <c r="H1264">
        <v>0.76480000000000004</v>
      </c>
      <c r="I1264">
        <v>0.9415</v>
      </c>
      <c r="J1264" s="2" t="str">
        <f>HYPERLINK(SetRGB(J1264,G1264*255,H1264*255,I1264*255),"HOVER!")</f>
        <v>HOVER!</v>
      </c>
      <c r="K1264">
        <f>E1264/F1264</f>
        <v>0.75</v>
      </c>
    </row>
    <row r="1265" spans="1:11" ht="15" x14ac:dyDescent="0.35">
      <c r="A1265">
        <f t="shared" si="38"/>
        <v>8</v>
      </c>
      <c r="B1265">
        <f t="shared" si="39"/>
        <v>2.5</v>
      </c>
      <c r="C1265" s="199" t="str">
        <f>B1265&amp;LOOKUP(A1265, Sheet2!$A$2:$A$11, Sheet2!$B$2:$B$11)</f>
        <v>2.5P</v>
      </c>
      <c r="D1265">
        <v>82.5</v>
      </c>
      <c r="E1265">
        <v>8</v>
      </c>
      <c r="F1265">
        <v>8</v>
      </c>
      <c r="G1265">
        <v>0.83299999999999996</v>
      </c>
      <c r="H1265">
        <v>0.75109999999999999</v>
      </c>
      <c r="I1265">
        <v>1</v>
      </c>
      <c r="J1265" s="2" t="str">
        <f>HYPERLINK(SetRGB(J1265,G1265*255,H1265*255,I1265*255),"HOVER!")</f>
        <v>HOVER!</v>
      </c>
      <c r="K1265">
        <f>E1265/F1265</f>
        <v>1</v>
      </c>
    </row>
    <row r="1266" spans="1:11" ht="15" x14ac:dyDescent="0.35">
      <c r="A1266">
        <f t="shared" si="38"/>
        <v>8</v>
      </c>
      <c r="B1266">
        <f t="shared" si="39"/>
        <v>2.5</v>
      </c>
      <c r="C1266" s="199" t="str">
        <f>B1266&amp;LOOKUP(A1266, Sheet2!$A$2:$A$11, Sheet2!$B$2:$B$11)</f>
        <v>2.5P</v>
      </c>
      <c r="D1266">
        <v>82.5</v>
      </c>
      <c r="E1266">
        <v>2</v>
      </c>
      <c r="F1266">
        <v>9</v>
      </c>
      <c r="G1266">
        <v>0.90529999999999999</v>
      </c>
      <c r="H1266">
        <v>0.89370000000000005</v>
      </c>
      <c r="I1266">
        <v>0.93589999999999995</v>
      </c>
      <c r="J1266" s="2" t="str">
        <f>HYPERLINK(SetRGB(J1266,G1266*255,H1266*255,I1266*255),"HOVER!")</f>
        <v>HOVER!</v>
      </c>
      <c r="K1266">
        <f>E1266/F1266</f>
        <v>0.22222222222222221</v>
      </c>
    </row>
    <row r="1267" spans="1:11" ht="15" x14ac:dyDescent="0.35">
      <c r="A1267">
        <f t="shared" si="38"/>
        <v>8</v>
      </c>
      <c r="B1267">
        <f t="shared" si="39"/>
        <v>2.5</v>
      </c>
      <c r="C1267" s="199" t="str">
        <f>B1267&amp;LOOKUP(A1267, Sheet2!$A$2:$A$11, Sheet2!$B$2:$B$11)</f>
        <v>2.5P</v>
      </c>
      <c r="D1267">
        <v>82.5</v>
      </c>
      <c r="E1267">
        <v>4</v>
      </c>
      <c r="F1267">
        <v>9</v>
      </c>
      <c r="G1267">
        <v>0.91479999999999995</v>
      </c>
      <c r="H1267">
        <v>0.88300000000000001</v>
      </c>
      <c r="I1267">
        <v>0.99929999999999997</v>
      </c>
      <c r="J1267" s="2" t="str">
        <f>HYPERLINK(SetRGB(J1267,G1267*255,H1267*255,I1267*255),"HOVER!")</f>
        <v>HOVER!</v>
      </c>
      <c r="K1267">
        <f>E1267/F1267</f>
        <v>0.44444444444444442</v>
      </c>
    </row>
    <row r="1268" spans="1:11" ht="15" x14ac:dyDescent="0.35">
      <c r="A1268">
        <f t="shared" si="38"/>
        <v>8</v>
      </c>
      <c r="B1268">
        <f t="shared" si="39"/>
        <v>5</v>
      </c>
      <c r="C1268" s="199" t="str">
        <f>B1268&amp;LOOKUP(A1268, Sheet2!$A$2:$A$11, Sheet2!$B$2:$B$11)</f>
        <v>5P</v>
      </c>
      <c r="D1268">
        <v>85</v>
      </c>
      <c r="E1268">
        <v>2</v>
      </c>
      <c r="F1268">
        <v>1</v>
      </c>
      <c r="G1268">
        <v>0.1429</v>
      </c>
      <c r="H1268">
        <v>9.4600000000000004E-2</v>
      </c>
      <c r="I1268">
        <v>0.1613</v>
      </c>
      <c r="J1268" s="1" t="str">
        <f>HYPERLINK(SetRGB(J1268,G1268*255,H1268*255,I1268*255),"HOVER!")</f>
        <v>HOVER!</v>
      </c>
      <c r="K1268">
        <f>E1268/F1268</f>
        <v>2</v>
      </c>
    </row>
    <row r="1269" spans="1:11" ht="15" x14ac:dyDescent="0.35">
      <c r="A1269">
        <f t="shared" si="38"/>
        <v>8</v>
      </c>
      <c r="B1269">
        <f t="shared" si="39"/>
        <v>5</v>
      </c>
      <c r="C1269" s="199" t="str">
        <f>B1269&amp;LOOKUP(A1269, Sheet2!$A$2:$A$11, Sheet2!$B$2:$B$11)</f>
        <v>5P</v>
      </c>
      <c r="D1269">
        <v>85</v>
      </c>
      <c r="E1269">
        <v>4</v>
      </c>
      <c r="F1269">
        <v>1</v>
      </c>
      <c r="G1269">
        <v>0.16270000000000001</v>
      </c>
      <c r="H1269">
        <v>7.7700000000000005E-2</v>
      </c>
      <c r="I1269">
        <v>0.19120000000000001</v>
      </c>
      <c r="J1269" s="1" t="str">
        <f>HYPERLINK(SetRGB(J1269,G1269*255,H1269*255,I1269*255),"HOVER!")</f>
        <v>HOVER!</v>
      </c>
      <c r="K1269">
        <f>E1269/F1269</f>
        <v>4</v>
      </c>
    </row>
    <row r="1270" spans="1:11" ht="15" x14ac:dyDescent="0.35">
      <c r="A1270">
        <f t="shared" si="38"/>
        <v>8</v>
      </c>
      <c r="B1270">
        <f t="shared" si="39"/>
        <v>5</v>
      </c>
      <c r="C1270" s="199" t="str">
        <f>B1270&amp;LOOKUP(A1270, Sheet2!$A$2:$A$11, Sheet2!$B$2:$B$11)</f>
        <v>5P</v>
      </c>
      <c r="D1270">
        <v>85</v>
      </c>
      <c r="E1270">
        <v>6</v>
      </c>
      <c r="F1270">
        <v>1</v>
      </c>
      <c r="G1270">
        <v>0.18140000000000001</v>
      </c>
      <c r="H1270">
        <v>5.5599999999999997E-2</v>
      </c>
      <c r="I1270">
        <v>0.21820000000000001</v>
      </c>
      <c r="J1270" s="1" t="str">
        <f>HYPERLINK(SetRGB(J1270,G1270*255,H1270*255,I1270*255),"HOVER!")</f>
        <v>HOVER!</v>
      </c>
      <c r="K1270">
        <f>E1270/F1270</f>
        <v>6</v>
      </c>
    </row>
    <row r="1271" spans="1:11" ht="15" x14ac:dyDescent="0.35">
      <c r="A1271">
        <f t="shared" si="38"/>
        <v>8</v>
      </c>
      <c r="B1271">
        <f t="shared" si="39"/>
        <v>5</v>
      </c>
      <c r="C1271" s="199" t="str">
        <f>B1271&amp;LOOKUP(A1271, Sheet2!$A$2:$A$11, Sheet2!$B$2:$B$11)</f>
        <v>5P</v>
      </c>
      <c r="D1271">
        <v>85</v>
      </c>
      <c r="E1271">
        <v>8</v>
      </c>
      <c r="F1271">
        <v>1</v>
      </c>
      <c r="G1271">
        <v>0.2011</v>
      </c>
      <c r="H1271">
        <v>1.6799999999999999E-2</v>
      </c>
      <c r="I1271">
        <v>0.246</v>
      </c>
      <c r="J1271" s="1" t="str">
        <f>HYPERLINK(SetRGB(J1271,G1271*255,H1271*255,I1271*255),"HOVER!")</f>
        <v>HOVER!</v>
      </c>
      <c r="K1271">
        <f>E1271/F1271</f>
        <v>8</v>
      </c>
    </row>
    <row r="1272" spans="1:11" ht="15" x14ac:dyDescent="0.35">
      <c r="A1272">
        <f t="shared" si="38"/>
        <v>8</v>
      </c>
      <c r="B1272">
        <f t="shared" si="39"/>
        <v>5</v>
      </c>
      <c r="C1272" s="199" t="str">
        <f>B1272&amp;LOOKUP(A1272, Sheet2!$A$2:$A$11, Sheet2!$B$2:$B$11)</f>
        <v>5P</v>
      </c>
      <c r="D1272">
        <v>85</v>
      </c>
      <c r="E1272">
        <v>2</v>
      </c>
      <c r="F1272">
        <v>2</v>
      </c>
      <c r="G1272">
        <v>0.22070000000000001</v>
      </c>
      <c r="H1272">
        <v>0.17899999999999999</v>
      </c>
      <c r="I1272">
        <v>0.23980000000000001</v>
      </c>
      <c r="J1272" s="1" t="str">
        <f>HYPERLINK(SetRGB(J1272,G1272*255,H1272*255,I1272*255),"HOVER!")</f>
        <v>HOVER!</v>
      </c>
      <c r="K1272">
        <f>E1272/F1272</f>
        <v>1</v>
      </c>
    </row>
    <row r="1273" spans="1:11" ht="15" x14ac:dyDescent="0.35">
      <c r="A1273">
        <f t="shared" si="38"/>
        <v>8</v>
      </c>
      <c r="B1273">
        <f t="shared" si="39"/>
        <v>5</v>
      </c>
      <c r="C1273" s="199" t="str">
        <f>B1273&amp;LOOKUP(A1273, Sheet2!$A$2:$A$11, Sheet2!$B$2:$B$11)</f>
        <v>5P</v>
      </c>
      <c r="D1273">
        <v>85</v>
      </c>
      <c r="E1273">
        <v>4</v>
      </c>
      <c r="F1273">
        <v>2</v>
      </c>
      <c r="G1273">
        <v>0.24160000000000001</v>
      </c>
      <c r="H1273">
        <v>0.16450000000000001</v>
      </c>
      <c r="I1273">
        <v>0.27360000000000001</v>
      </c>
      <c r="J1273" s="1" t="str">
        <f>HYPERLINK(SetRGB(J1273,G1273*255,H1273*255,I1273*255),"HOVER!")</f>
        <v>HOVER!</v>
      </c>
      <c r="K1273">
        <f>E1273/F1273</f>
        <v>2</v>
      </c>
    </row>
    <row r="1274" spans="1:11" ht="15" x14ac:dyDescent="0.35">
      <c r="A1274">
        <f t="shared" si="38"/>
        <v>8</v>
      </c>
      <c r="B1274">
        <f t="shared" si="39"/>
        <v>5</v>
      </c>
      <c r="C1274" s="199" t="str">
        <f>B1274&amp;LOOKUP(A1274, Sheet2!$A$2:$A$11, Sheet2!$B$2:$B$11)</f>
        <v>5P</v>
      </c>
      <c r="D1274">
        <v>85</v>
      </c>
      <c r="E1274">
        <v>6</v>
      </c>
      <c r="F1274">
        <v>2</v>
      </c>
      <c r="G1274">
        <v>0.26069999999999999</v>
      </c>
      <c r="H1274">
        <v>0.1484</v>
      </c>
      <c r="I1274">
        <v>0.3034</v>
      </c>
      <c r="J1274" s="1" t="str">
        <f>HYPERLINK(SetRGB(J1274,G1274*255,H1274*255,I1274*255),"HOVER!")</f>
        <v>HOVER!</v>
      </c>
      <c r="K1274">
        <f>E1274/F1274</f>
        <v>3</v>
      </c>
    </row>
    <row r="1275" spans="1:11" ht="15" x14ac:dyDescent="0.35">
      <c r="A1275">
        <f t="shared" si="38"/>
        <v>8</v>
      </c>
      <c r="B1275">
        <f t="shared" si="39"/>
        <v>5</v>
      </c>
      <c r="C1275" s="199" t="str">
        <f>B1275&amp;LOOKUP(A1275, Sheet2!$A$2:$A$11, Sheet2!$B$2:$B$11)</f>
        <v>5P</v>
      </c>
      <c r="D1275">
        <v>85</v>
      </c>
      <c r="E1275">
        <v>8</v>
      </c>
      <c r="F1275">
        <v>2</v>
      </c>
      <c r="G1275">
        <v>0.28539999999999999</v>
      </c>
      <c r="H1275">
        <v>0.12189999999999999</v>
      </c>
      <c r="I1275">
        <v>0.33989999999999998</v>
      </c>
      <c r="J1275" s="1" t="str">
        <f>HYPERLINK(SetRGB(J1275,G1275*255,H1275*255,I1275*255),"HOVER!")</f>
        <v>HOVER!</v>
      </c>
      <c r="K1275">
        <f>E1275/F1275</f>
        <v>4</v>
      </c>
    </row>
    <row r="1276" spans="1:11" ht="15" x14ac:dyDescent="0.35">
      <c r="A1276">
        <f t="shared" si="38"/>
        <v>8</v>
      </c>
      <c r="B1276">
        <f t="shared" si="39"/>
        <v>5</v>
      </c>
      <c r="C1276" s="199" t="str">
        <f>B1276&amp;LOOKUP(A1276, Sheet2!$A$2:$A$11, Sheet2!$B$2:$B$11)</f>
        <v>5P</v>
      </c>
      <c r="D1276">
        <v>85</v>
      </c>
      <c r="E1276">
        <v>10</v>
      </c>
      <c r="F1276">
        <v>2</v>
      </c>
      <c r="G1276">
        <v>0.30709999999999998</v>
      </c>
      <c r="H1276">
        <v>8.9700000000000002E-2</v>
      </c>
      <c r="I1276">
        <v>0.37119999999999997</v>
      </c>
      <c r="J1276" s="1" t="str">
        <f>HYPERLINK(SetRGB(J1276,G1276*255,H1276*255,I1276*255),"HOVER!")</f>
        <v>HOVER!</v>
      </c>
      <c r="K1276">
        <f>E1276/F1276</f>
        <v>5</v>
      </c>
    </row>
    <row r="1277" spans="1:11" ht="15" x14ac:dyDescent="0.35">
      <c r="A1277">
        <f t="shared" si="38"/>
        <v>8</v>
      </c>
      <c r="B1277">
        <f t="shared" si="39"/>
        <v>5</v>
      </c>
      <c r="C1277" s="199" t="str">
        <f>B1277&amp;LOOKUP(A1277, Sheet2!$A$2:$A$11, Sheet2!$B$2:$B$11)</f>
        <v>5P</v>
      </c>
      <c r="D1277">
        <v>85</v>
      </c>
      <c r="E1277">
        <v>12</v>
      </c>
      <c r="F1277">
        <v>2</v>
      </c>
      <c r="G1277">
        <v>0.32919999999999999</v>
      </c>
      <c r="H1277">
        <v>3.3399999999999999E-2</v>
      </c>
      <c r="I1277">
        <v>0.40300000000000002</v>
      </c>
      <c r="J1277" s="1" t="str">
        <f>HYPERLINK(SetRGB(J1277,G1277*255,H1277*255,I1277*255),"HOVER!")</f>
        <v>HOVER!</v>
      </c>
      <c r="K1277">
        <f>E1277/F1277</f>
        <v>6</v>
      </c>
    </row>
    <row r="1278" spans="1:11" ht="15" x14ac:dyDescent="0.35">
      <c r="A1278">
        <f t="shared" si="38"/>
        <v>8</v>
      </c>
      <c r="B1278">
        <f t="shared" si="39"/>
        <v>5</v>
      </c>
      <c r="C1278" s="199" t="str">
        <f>B1278&amp;LOOKUP(A1278, Sheet2!$A$2:$A$11, Sheet2!$B$2:$B$11)</f>
        <v>5P</v>
      </c>
      <c r="D1278">
        <v>85</v>
      </c>
      <c r="E1278">
        <v>2</v>
      </c>
      <c r="F1278">
        <v>3</v>
      </c>
      <c r="G1278">
        <v>0.31290000000000001</v>
      </c>
      <c r="H1278">
        <v>0.26790000000000003</v>
      </c>
      <c r="I1278">
        <v>0.33589999999999998</v>
      </c>
      <c r="J1278" s="1" t="str">
        <f>HYPERLINK(SetRGB(J1278,G1278*255,H1278*255,I1278*255),"HOVER!")</f>
        <v>HOVER!</v>
      </c>
      <c r="K1278">
        <f>E1278/F1278</f>
        <v>0.66666666666666663</v>
      </c>
    </row>
    <row r="1279" spans="1:11" ht="15" x14ac:dyDescent="0.35">
      <c r="A1279">
        <f t="shared" si="38"/>
        <v>8</v>
      </c>
      <c r="B1279">
        <f t="shared" si="39"/>
        <v>5</v>
      </c>
      <c r="C1279" s="199" t="str">
        <f>B1279&amp;LOOKUP(A1279, Sheet2!$A$2:$A$11, Sheet2!$B$2:$B$11)</f>
        <v>5P</v>
      </c>
      <c r="D1279">
        <v>85</v>
      </c>
      <c r="E1279">
        <v>4</v>
      </c>
      <c r="F1279">
        <v>3</v>
      </c>
      <c r="G1279">
        <v>0.3367</v>
      </c>
      <c r="H1279">
        <v>0.25219999999999998</v>
      </c>
      <c r="I1279">
        <v>0.3755</v>
      </c>
      <c r="J1279" s="1" t="str">
        <f>HYPERLINK(SetRGB(J1279,G1279*255,H1279*255,I1279*255),"HOVER!")</f>
        <v>HOVER!</v>
      </c>
      <c r="K1279">
        <f>E1279/F1279</f>
        <v>1.3333333333333333</v>
      </c>
    </row>
    <row r="1280" spans="1:11" ht="15" x14ac:dyDescent="0.35">
      <c r="A1280">
        <f t="shared" si="38"/>
        <v>8</v>
      </c>
      <c r="B1280">
        <f t="shared" si="39"/>
        <v>5</v>
      </c>
      <c r="C1280" s="199" t="str">
        <f>B1280&amp;LOOKUP(A1280, Sheet2!$A$2:$A$11, Sheet2!$B$2:$B$11)</f>
        <v>5P</v>
      </c>
      <c r="D1280">
        <v>85</v>
      </c>
      <c r="E1280">
        <v>6</v>
      </c>
      <c r="F1280">
        <v>3</v>
      </c>
      <c r="G1280">
        <v>0.3584</v>
      </c>
      <c r="H1280">
        <v>0.2354</v>
      </c>
      <c r="I1280">
        <v>0.41110000000000002</v>
      </c>
      <c r="J1280" s="1" t="str">
        <f>HYPERLINK(SetRGB(J1280,G1280*255,H1280*255,I1280*255),"HOVER!")</f>
        <v>HOVER!</v>
      </c>
      <c r="K1280">
        <f>E1280/F1280</f>
        <v>2</v>
      </c>
    </row>
    <row r="1281" spans="1:11" ht="15" x14ac:dyDescent="0.35">
      <c r="A1281">
        <f t="shared" si="38"/>
        <v>8</v>
      </c>
      <c r="B1281">
        <f t="shared" si="39"/>
        <v>5</v>
      </c>
      <c r="C1281" s="199" t="str">
        <f>B1281&amp;LOOKUP(A1281, Sheet2!$A$2:$A$11, Sheet2!$B$2:$B$11)</f>
        <v>5P</v>
      </c>
      <c r="D1281">
        <v>85</v>
      </c>
      <c r="E1281">
        <v>8</v>
      </c>
      <c r="F1281">
        <v>3</v>
      </c>
      <c r="G1281">
        <v>0.38109999999999999</v>
      </c>
      <c r="H1281">
        <v>0.2147</v>
      </c>
      <c r="I1281">
        <v>0.44690000000000002</v>
      </c>
      <c r="J1281" s="1" t="str">
        <f>HYPERLINK(SetRGB(J1281,G1281*255,H1281*255,I1281*255),"HOVER!")</f>
        <v>HOVER!</v>
      </c>
      <c r="K1281">
        <f>E1281/F1281</f>
        <v>2.6666666666666665</v>
      </c>
    </row>
    <row r="1282" spans="1:11" ht="15" x14ac:dyDescent="0.35">
      <c r="A1282">
        <f t="shared" si="38"/>
        <v>8</v>
      </c>
      <c r="B1282">
        <f t="shared" si="39"/>
        <v>5</v>
      </c>
      <c r="C1282" s="199" t="str">
        <f>B1282&amp;LOOKUP(A1282, Sheet2!$A$2:$A$11, Sheet2!$B$2:$B$11)</f>
        <v>5P</v>
      </c>
      <c r="D1282">
        <v>85</v>
      </c>
      <c r="E1282">
        <v>10</v>
      </c>
      <c r="F1282">
        <v>3</v>
      </c>
      <c r="G1282">
        <v>0.40460000000000002</v>
      </c>
      <c r="H1282">
        <v>0.18840000000000001</v>
      </c>
      <c r="I1282">
        <v>0.4834</v>
      </c>
      <c r="J1282" s="1" t="str">
        <f>HYPERLINK(SetRGB(J1282,G1282*255,H1282*255,I1282*255),"HOVER!")</f>
        <v>HOVER!</v>
      </c>
      <c r="K1282">
        <f>E1282/F1282</f>
        <v>3.3333333333333335</v>
      </c>
    </row>
    <row r="1283" spans="1:11" ht="15" x14ac:dyDescent="0.35">
      <c r="A1283">
        <f t="shared" si="38"/>
        <v>8</v>
      </c>
      <c r="B1283">
        <f t="shared" si="39"/>
        <v>5</v>
      </c>
      <c r="C1283" s="199" t="str">
        <f>B1283&amp;LOOKUP(A1283, Sheet2!$A$2:$A$11, Sheet2!$B$2:$B$11)</f>
        <v>5P</v>
      </c>
      <c r="D1283">
        <v>85</v>
      </c>
      <c r="E1283">
        <v>12</v>
      </c>
      <c r="F1283">
        <v>3</v>
      </c>
      <c r="G1283">
        <v>0.4284</v>
      </c>
      <c r="H1283">
        <v>0.15540000000000001</v>
      </c>
      <c r="I1283">
        <v>0.51739999999999997</v>
      </c>
      <c r="J1283" s="1" t="str">
        <f>HYPERLINK(SetRGB(J1283,G1283*255,H1283*255,I1283*255),"HOVER!")</f>
        <v>HOVER!</v>
      </c>
      <c r="K1283">
        <f>E1283/F1283</f>
        <v>4</v>
      </c>
    </row>
    <row r="1284" spans="1:11" ht="15" x14ac:dyDescent="0.35">
      <c r="A1284">
        <f t="shared" si="38"/>
        <v>8</v>
      </c>
      <c r="B1284">
        <f t="shared" si="39"/>
        <v>5</v>
      </c>
      <c r="C1284" s="199" t="str">
        <f>B1284&amp;LOOKUP(A1284, Sheet2!$A$2:$A$11, Sheet2!$B$2:$B$11)</f>
        <v>5P</v>
      </c>
      <c r="D1284">
        <v>85</v>
      </c>
      <c r="E1284">
        <v>14</v>
      </c>
      <c r="F1284">
        <v>3</v>
      </c>
      <c r="G1284">
        <v>0.45050000000000001</v>
      </c>
      <c r="H1284">
        <v>0.1123</v>
      </c>
      <c r="I1284">
        <v>0.54990000000000006</v>
      </c>
      <c r="J1284" s="1" t="str">
        <f>HYPERLINK(SetRGB(J1284,G1284*255,H1284*255,I1284*255),"HOVER!")</f>
        <v>HOVER!</v>
      </c>
      <c r="K1284">
        <f>E1284/F1284</f>
        <v>4.666666666666667</v>
      </c>
    </row>
    <row r="1285" spans="1:11" ht="15" x14ac:dyDescent="0.35">
      <c r="A1285">
        <f t="shared" si="38"/>
        <v>8</v>
      </c>
      <c r="B1285">
        <f t="shared" si="39"/>
        <v>5</v>
      </c>
      <c r="C1285" s="199" t="str">
        <f>B1285&amp;LOOKUP(A1285, Sheet2!$A$2:$A$11, Sheet2!$B$2:$B$11)</f>
        <v>5P</v>
      </c>
      <c r="D1285">
        <v>85</v>
      </c>
      <c r="E1285">
        <v>16</v>
      </c>
      <c r="F1285">
        <v>3</v>
      </c>
      <c r="G1285">
        <v>0.47289999999999999</v>
      </c>
      <c r="H1285">
        <v>3.2899999999999999E-2</v>
      </c>
      <c r="I1285">
        <v>0.58199999999999996</v>
      </c>
      <c r="J1285" s="1" t="str">
        <f>HYPERLINK(SetRGB(J1285,G1285*255,H1285*255,I1285*255),"HOVER!")</f>
        <v>HOVER!</v>
      </c>
      <c r="K1285">
        <f>E1285/F1285</f>
        <v>5.333333333333333</v>
      </c>
    </row>
    <row r="1286" spans="1:11" ht="15" x14ac:dyDescent="0.35">
      <c r="A1286">
        <f t="shared" si="38"/>
        <v>8</v>
      </c>
      <c r="B1286">
        <f t="shared" si="39"/>
        <v>5</v>
      </c>
      <c r="C1286" s="199" t="str">
        <f>B1286&amp;LOOKUP(A1286, Sheet2!$A$2:$A$11, Sheet2!$B$2:$B$11)</f>
        <v>5P</v>
      </c>
      <c r="D1286">
        <v>85</v>
      </c>
      <c r="E1286">
        <v>2</v>
      </c>
      <c r="F1286">
        <v>4</v>
      </c>
      <c r="G1286">
        <v>0.40679999999999999</v>
      </c>
      <c r="H1286">
        <v>0.36699999999999999</v>
      </c>
      <c r="I1286">
        <v>0.42909999999999998</v>
      </c>
      <c r="J1286" s="1" t="str">
        <f>HYPERLINK(SetRGB(J1286,G1286*255,H1286*255,I1286*255),"HOVER!")</f>
        <v>HOVER!</v>
      </c>
      <c r="K1286">
        <f>E1286/F1286</f>
        <v>0.5</v>
      </c>
    </row>
    <row r="1287" spans="1:11" ht="15" x14ac:dyDescent="0.35">
      <c r="A1287">
        <f t="shared" si="38"/>
        <v>8</v>
      </c>
      <c r="B1287">
        <f t="shared" si="39"/>
        <v>5</v>
      </c>
      <c r="C1287" s="199" t="str">
        <f>B1287&amp;LOOKUP(A1287, Sheet2!$A$2:$A$11, Sheet2!$B$2:$B$11)</f>
        <v>5P</v>
      </c>
      <c r="D1287">
        <v>85</v>
      </c>
      <c r="E1287">
        <v>4</v>
      </c>
      <c r="F1287">
        <v>4</v>
      </c>
      <c r="G1287">
        <v>0.42870000000000003</v>
      </c>
      <c r="H1287">
        <v>0.35320000000000001</v>
      </c>
      <c r="I1287">
        <v>0.46960000000000002</v>
      </c>
      <c r="J1287" s="1" t="str">
        <f>HYPERLINK(SetRGB(J1287,G1287*255,H1287*255,I1287*255),"HOVER!")</f>
        <v>HOVER!</v>
      </c>
      <c r="K1287">
        <f>E1287/F1287</f>
        <v>1</v>
      </c>
    </row>
    <row r="1288" spans="1:11" ht="15" x14ac:dyDescent="0.35">
      <c r="A1288">
        <f t="shared" si="38"/>
        <v>8</v>
      </c>
      <c r="B1288">
        <f t="shared" si="39"/>
        <v>5</v>
      </c>
      <c r="C1288" s="199" t="str">
        <f>B1288&amp;LOOKUP(A1288, Sheet2!$A$2:$A$11, Sheet2!$B$2:$B$11)</f>
        <v>5P</v>
      </c>
      <c r="D1288">
        <v>85</v>
      </c>
      <c r="E1288">
        <v>6</v>
      </c>
      <c r="F1288">
        <v>4</v>
      </c>
      <c r="G1288">
        <v>0.44929999999999998</v>
      </c>
      <c r="H1288">
        <v>0.33879999999999999</v>
      </c>
      <c r="I1288">
        <v>0.50649999999999995</v>
      </c>
      <c r="J1288" s="1" t="str">
        <f>HYPERLINK(SetRGB(J1288,G1288*255,H1288*255,I1288*255),"HOVER!")</f>
        <v>HOVER!</v>
      </c>
      <c r="K1288">
        <f>E1288/F1288</f>
        <v>1.5</v>
      </c>
    </row>
    <row r="1289" spans="1:11" ht="15" x14ac:dyDescent="0.35">
      <c r="A1289">
        <f t="shared" si="38"/>
        <v>8</v>
      </c>
      <c r="B1289">
        <f t="shared" si="39"/>
        <v>5</v>
      </c>
      <c r="C1289" s="199" t="str">
        <f>B1289&amp;LOOKUP(A1289, Sheet2!$A$2:$A$11, Sheet2!$B$2:$B$11)</f>
        <v>5P</v>
      </c>
      <c r="D1289">
        <v>85</v>
      </c>
      <c r="E1289">
        <v>8</v>
      </c>
      <c r="F1289">
        <v>4</v>
      </c>
      <c r="G1289">
        <v>0.47060000000000002</v>
      </c>
      <c r="H1289">
        <v>0.3221</v>
      </c>
      <c r="I1289">
        <v>0.54269999999999996</v>
      </c>
      <c r="J1289" s="1" t="str">
        <f>HYPERLINK(SetRGB(J1289,G1289*255,H1289*255,I1289*255),"HOVER!")</f>
        <v>HOVER!</v>
      </c>
      <c r="K1289">
        <f>E1289/F1289</f>
        <v>2</v>
      </c>
    </row>
    <row r="1290" spans="1:11" ht="15" x14ac:dyDescent="0.35">
      <c r="A1290">
        <f t="shared" si="38"/>
        <v>8</v>
      </c>
      <c r="B1290">
        <f t="shared" si="39"/>
        <v>5</v>
      </c>
      <c r="C1290" s="199" t="str">
        <f>B1290&amp;LOOKUP(A1290, Sheet2!$A$2:$A$11, Sheet2!$B$2:$B$11)</f>
        <v>5P</v>
      </c>
      <c r="D1290">
        <v>85</v>
      </c>
      <c r="E1290">
        <v>10</v>
      </c>
      <c r="F1290">
        <v>4</v>
      </c>
      <c r="G1290">
        <v>0.49370000000000003</v>
      </c>
      <c r="H1290">
        <v>0.3019</v>
      </c>
      <c r="I1290">
        <v>0.57940000000000003</v>
      </c>
      <c r="J1290" s="1" t="str">
        <f>HYPERLINK(SetRGB(J1290,G1290*255,H1290*255,I1290*255),"HOVER!")</f>
        <v>HOVER!</v>
      </c>
      <c r="K1290">
        <f>E1290/F1290</f>
        <v>2.5</v>
      </c>
    </row>
    <row r="1291" spans="1:11" ht="15" x14ac:dyDescent="0.35">
      <c r="A1291">
        <f t="shared" si="38"/>
        <v>8</v>
      </c>
      <c r="B1291">
        <f t="shared" si="39"/>
        <v>5</v>
      </c>
      <c r="C1291" s="199" t="str">
        <f>B1291&amp;LOOKUP(A1291, Sheet2!$A$2:$A$11, Sheet2!$B$2:$B$11)</f>
        <v>5P</v>
      </c>
      <c r="D1291">
        <v>85</v>
      </c>
      <c r="E1291">
        <v>12</v>
      </c>
      <c r="F1291">
        <v>4</v>
      </c>
      <c r="G1291">
        <v>0.51619999999999999</v>
      </c>
      <c r="H1291">
        <v>0.2792</v>
      </c>
      <c r="I1291">
        <v>0.61450000000000005</v>
      </c>
      <c r="J1291" s="1" t="str">
        <f>HYPERLINK(SetRGB(J1291,G1291*255,H1291*255,I1291*255),"HOVER!")</f>
        <v>HOVER!</v>
      </c>
      <c r="K1291">
        <f>E1291/F1291</f>
        <v>3</v>
      </c>
    </row>
    <row r="1292" spans="1:11" ht="15" x14ac:dyDescent="0.35">
      <c r="A1292">
        <f t="shared" si="38"/>
        <v>8</v>
      </c>
      <c r="B1292">
        <f t="shared" si="39"/>
        <v>5</v>
      </c>
      <c r="C1292" s="199" t="str">
        <f>B1292&amp;LOOKUP(A1292, Sheet2!$A$2:$A$11, Sheet2!$B$2:$B$11)</f>
        <v>5P</v>
      </c>
      <c r="D1292">
        <v>85</v>
      </c>
      <c r="E1292">
        <v>14</v>
      </c>
      <c r="F1292">
        <v>4</v>
      </c>
      <c r="G1292">
        <v>0.5403</v>
      </c>
      <c r="H1292">
        <v>0.25090000000000001</v>
      </c>
      <c r="I1292">
        <v>0.6502</v>
      </c>
      <c r="J1292" s="1" t="str">
        <f>HYPERLINK(SetRGB(J1292,G1292*255,H1292*255,I1292*255),"HOVER!")</f>
        <v>HOVER!</v>
      </c>
      <c r="K1292">
        <f>E1292/F1292</f>
        <v>3.5</v>
      </c>
    </row>
    <row r="1293" spans="1:11" ht="15" x14ac:dyDescent="0.35">
      <c r="A1293">
        <f t="shared" si="38"/>
        <v>8</v>
      </c>
      <c r="B1293">
        <f t="shared" si="39"/>
        <v>5</v>
      </c>
      <c r="C1293" s="199" t="str">
        <f>B1293&amp;LOOKUP(A1293, Sheet2!$A$2:$A$11, Sheet2!$B$2:$B$11)</f>
        <v>5P</v>
      </c>
      <c r="D1293">
        <v>85</v>
      </c>
      <c r="E1293">
        <v>16</v>
      </c>
      <c r="F1293">
        <v>4</v>
      </c>
      <c r="G1293">
        <v>0.56599999999999995</v>
      </c>
      <c r="H1293">
        <v>0.21379999999999999</v>
      </c>
      <c r="I1293">
        <v>0.68759999999999999</v>
      </c>
      <c r="J1293" s="1" t="str">
        <f>HYPERLINK(SetRGB(J1293,G1293*255,H1293*255,I1293*255),"HOVER!")</f>
        <v>HOVER!</v>
      </c>
      <c r="K1293">
        <f>E1293/F1293</f>
        <v>4</v>
      </c>
    </row>
    <row r="1294" spans="1:11" ht="15" x14ac:dyDescent="0.35">
      <c r="A1294">
        <f t="shared" ref="A1294:A1357" si="40">IF(FLOOR(D1294/10,1)=0,10,FLOOR(D1294/10,1))</f>
        <v>8</v>
      </c>
      <c r="B1294">
        <f t="shared" ref="B1294:B1357" si="41">IF(MOD(D1294,10)=0,10,MOD(D1294,10))</f>
        <v>5</v>
      </c>
      <c r="C1294" s="199" t="str">
        <f>B1294&amp;LOOKUP(A1294, Sheet2!$A$2:$A$11, Sheet2!$B$2:$B$11)</f>
        <v>5P</v>
      </c>
      <c r="D1294">
        <v>85</v>
      </c>
      <c r="E1294">
        <v>18</v>
      </c>
      <c r="F1294">
        <v>4</v>
      </c>
      <c r="G1294">
        <v>0.58840000000000003</v>
      </c>
      <c r="H1294">
        <v>0.17130000000000001</v>
      </c>
      <c r="I1294">
        <v>0.72070000000000001</v>
      </c>
      <c r="J1294" s="1" t="str">
        <f>HYPERLINK(SetRGB(J1294,G1294*255,H1294*255,I1294*255),"HOVER!")</f>
        <v>HOVER!</v>
      </c>
      <c r="K1294">
        <f>E1294/F1294</f>
        <v>4.5</v>
      </c>
    </row>
    <row r="1295" spans="1:11" ht="15" x14ac:dyDescent="0.35">
      <c r="A1295">
        <f t="shared" si="40"/>
        <v>8</v>
      </c>
      <c r="B1295">
        <f t="shared" si="41"/>
        <v>5</v>
      </c>
      <c r="C1295" s="199" t="str">
        <f>B1295&amp;LOOKUP(A1295, Sheet2!$A$2:$A$11, Sheet2!$B$2:$B$11)</f>
        <v>5P</v>
      </c>
      <c r="D1295">
        <v>85</v>
      </c>
      <c r="E1295">
        <v>20</v>
      </c>
      <c r="F1295">
        <v>4</v>
      </c>
      <c r="G1295">
        <v>0.61280000000000001</v>
      </c>
      <c r="H1295">
        <v>0.1024</v>
      </c>
      <c r="I1295">
        <v>0.75570000000000004</v>
      </c>
      <c r="J1295" s="1" t="str">
        <f>HYPERLINK(SetRGB(J1295,G1295*255,H1295*255,I1295*255),"HOVER!")</f>
        <v>HOVER!</v>
      </c>
      <c r="K1295">
        <f>E1295/F1295</f>
        <v>5</v>
      </c>
    </row>
    <row r="1296" spans="1:11" ht="15" x14ac:dyDescent="0.35">
      <c r="A1296">
        <f t="shared" si="40"/>
        <v>8</v>
      </c>
      <c r="B1296">
        <f t="shared" si="41"/>
        <v>5</v>
      </c>
      <c r="C1296" s="199" t="str">
        <f>B1296&amp;LOOKUP(A1296, Sheet2!$A$2:$A$11, Sheet2!$B$2:$B$11)</f>
        <v>5P</v>
      </c>
      <c r="D1296">
        <v>85</v>
      </c>
      <c r="E1296">
        <v>2</v>
      </c>
      <c r="F1296">
        <v>5</v>
      </c>
      <c r="G1296">
        <v>0.50309999999999999</v>
      </c>
      <c r="H1296">
        <v>0.47049999999999997</v>
      </c>
      <c r="I1296">
        <v>0.52249999999999996</v>
      </c>
      <c r="J1296" s="1" t="str">
        <f>HYPERLINK(SetRGB(J1296,G1296*255,H1296*255,I1296*255),"HOVER!")</f>
        <v>HOVER!</v>
      </c>
      <c r="K1296">
        <f>E1296/F1296</f>
        <v>0.4</v>
      </c>
    </row>
    <row r="1297" spans="1:11" ht="15" x14ac:dyDescent="0.35">
      <c r="A1297">
        <f t="shared" si="40"/>
        <v>8</v>
      </c>
      <c r="B1297">
        <f t="shared" si="41"/>
        <v>5</v>
      </c>
      <c r="C1297" s="199" t="str">
        <f>B1297&amp;LOOKUP(A1297, Sheet2!$A$2:$A$11, Sheet2!$B$2:$B$11)</f>
        <v>5P</v>
      </c>
      <c r="D1297">
        <v>85</v>
      </c>
      <c r="E1297">
        <v>4</v>
      </c>
      <c r="F1297">
        <v>5</v>
      </c>
      <c r="G1297">
        <v>0.52490000000000003</v>
      </c>
      <c r="H1297">
        <v>0.45729999999999998</v>
      </c>
      <c r="I1297">
        <v>0.56499999999999995</v>
      </c>
      <c r="J1297" s="1" t="str">
        <f>HYPERLINK(SetRGB(J1297,G1297*255,H1297*255,I1297*255),"HOVER!")</f>
        <v>HOVER!</v>
      </c>
      <c r="K1297">
        <f>E1297/F1297</f>
        <v>0.8</v>
      </c>
    </row>
    <row r="1298" spans="1:11" ht="15" x14ac:dyDescent="0.35">
      <c r="A1298">
        <f t="shared" si="40"/>
        <v>8</v>
      </c>
      <c r="B1298">
        <f t="shared" si="41"/>
        <v>5</v>
      </c>
      <c r="C1298" s="199" t="str">
        <f>B1298&amp;LOOKUP(A1298, Sheet2!$A$2:$A$11, Sheet2!$B$2:$B$11)</f>
        <v>5P</v>
      </c>
      <c r="D1298">
        <v>85</v>
      </c>
      <c r="E1298">
        <v>6</v>
      </c>
      <c r="F1298">
        <v>5</v>
      </c>
      <c r="G1298">
        <v>0.54749999999999999</v>
      </c>
      <c r="H1298">
        <v>0.44240000000000002</v>
      </c>
      <c r="I1298">
        <v>0.60709999999999997</v>
      </c>
      <c r="J1298" s="1" t="str">
        <f>HYPERLINK(SetRGB(J1298,G1298*255,H1298*255,I1298*255),"HOVER!")</f>
        <v>HOVER!</v>
      </c>
      <c r="K1298">
        <f>E1298/F1298</f>
        <v>1.2</v>
      </c>
    </row>
    <row r="1299" spans="1:11" ht="15" x14ac:dyDescent="0.35">
      <c r="A1299">
        <f t="shared" si="40"/>
        <v>8</v>
      </c>
      <c r="B1299">
        <f t="shared" si="41"/>
        <v>5</v>
      </c>
      <c r="C1299" s="199" t="str">
        <f>B1299&amp;LOOKUP(A1299, Sheet2!$A$2:$A$11, Sheet2!$B$2:$B$11)</f>
        <v>5P</v>
      </c>
      <c r="D1299">
        <v>85</v>
      </c>
      <c r="E1299">
        <v>8</v>
      </c>
      <c r="F1299">
        <v>5</v>
      </c>
      <c r="G1299">
        <v>0.57069999999999999</v>
      </c>
      <c r="H1299">
        <v>0.42559999999999998</v>
      </c>
      <c r="I1299">
        <v>0.64790000000000003</v>
      </c>
      <c r="J1299" s="1" t="str">
        <f>HYPERLINK(SetRGB(J1299,G1299*255,H1299*255,I1299*255),"HOVER!")</f>
        <v>HOVER!</v>
      </c>
      <c r="K1299">
        <f>E1299/F1299</f>
        <v>1.6</v>
      </c>
    </row>
    <row r="1300" spans="1:11" ht="15" x14ac:dyDescent="0.35">
      <c r="A1300">
        <f t="shared" si="40"/>
        <v>8</v>
      </c>
      <c r="B1300">
        <f t="shared" si="41"/>
        <v>5</v>
      </c>
      <c r="C1300" s="199" t="str">
        <f>B1300&amp;LOOKUP(A1300, Sheet2!$A$2:$A$11, Sheet2!$B$2:$B$11)</f>
        <v>5P</v>
      </c>
      <c r="D1300">
        <v>85</v>
      </c>
      <c r="E1300">
        <v>10</v>
      </c>
      <c r="F1300">
        <v>5</v>
      </c>
      <c r="G1300">
        <v>0.59189999999999998</v>
      </c>
      <c r="H1300">
        <v>0.40870000000000001</v>
      </c>
      <c r="I1300">
        <v>0.6845</v>
      </c>
      <c r="J1300" s="1" t="str">
        <f>HYPERLINK(SetRGB(J1300,G1300*255,H1300*255,I1300*255),"HOVER!")</f>
        <v>HOVER!</v>
      </c>
      <c r="K1300">
        <f>E1300/F1300</f>
        <v>2</v>
      </c>
    </row>
    <row r="1301" spans="1:11" ht="15" x14ac:dyDescent="0.35">
      <c r="A1301">
        <f t="shared" si="40"/>
        <v>8</v>
      </c>
      <c r="B1301">
        <f t="shared" si="41"/>
        <v>5</v>
      </c>
      <c r="C1301" s="199" t="str">
        <f>B1301&amp;LOOKUP(A1301, Sheet2!$A$2:$A$11, Sheet2!$B$2:$B$11)</f>
        <v>5P</v>
      </c>
      <c r="D1301">
        <v>85</v>
      </c>
      <c r="E1301">
        <v>12</v>
      </c>
      <c r="F1301">
        <v>5</v>
      </c>
      <c r="G1301">
        <v>0.61580000000000001</v>
      </c>
      <c r="H1301">
        <v>0.38750000000000001</v>
      </c>
      <c r="I1301">
        <v>0.72419999999999995</v>
      </c>
      <c r="J1301" s="1" t="str">
        <f>HYPERLINK(SetRGB(J1301,G1301*255,H1301*255,I1301*255),"HOVER!")</f>
        <v>HOVER!</v>
      </c>
      <c r="K1301">
        <f>E1301/F1301</f>
        <v>2.4</v>
      </c>
    </row>
    <row r="1302" spans="1:11" ht="15" x14ac:dyDescent="0.35">
      <c r="A1302">
        <f t="shared" si="40"/>
        <v>8</v>
      </c>
      <c r="B1302">
        <f t="shared" si="41"/>
        <v>5</v>
      </c>
      <c r="C1302" s="199" t="str">
        <f>B1302&amp;LOOKUP(A1302, Sheet2!$A$2:$A$11, Sheet2!$B$2:$B$11)</f>
        <v>5P</v>
      </c>
      <c r="D1302">
        <v>85</v>
      </c>
      <c r="E1302">
        <v>14</v>
      </c>
      <c r="F1302">
        <v>5</v>
      </c>
      <c r="G1302">
        <v>0.63749999999999996</v>
      </c>
      <c r="H1302">
        <v>0.36609999999999998</v>
      </c>
      <c r="I1302">
        <v>0.75900000000000001</v>
      </c>
      <c r="J1302" s="1" t="str">
        <f>HYPERLINK(SetRGB(J1302,G1302*255,H1302*255,I1302*255),"HOVER!")</f>
        <v>HOVER!</v>
      </c>
      <c r="K1302">
        <f>E1302/F1302</f>
        <v>2.8</v>
      </c>
    </row>
    <row r="1303" spans="1:11" ht="15" x14ac:dyDescent="0.35">
      <c r="A1303">
        <f t="shared" si="40"/>
        <v>8</v>
      </c>
      <c r="B1303">
        <f t="shared" si="41"/>
        <v>5</v>
      </c>
      <c r="C1303" s="199" t="str">
        <f>B1303&amp;LOOKUP(A1303, Sheet2!$A$2:$A$11, Sheet2!$B$2:$B$11)</f>
        <v>5P</v>
      </c>
      <c r="D1303">
        <v>85</v>
      </c>
      <c r="E1303">
        <v>16</v>
      </c>
      <c r="F1303">
        <v>5</v>
      </c>
      <c r="G1303">
        <v>0.66110000000000002</v>
      </c>
      <c r="H1303">
        <v>0.33960000000000001</v>
      </c>
      <c r="I1303">
        <v>0.79649999999999999</v>
      </c>
      <c r="J1303" s="1" t="str">
        <f>HYPERLINK(SetRGB(J1303,G1303*255,H1303*255,I1303*255),"HOVER!")</f>
        <v>HOVER!</v>
      </c>
      <c r="K1303">
        <f>E1303/F1303</f>
        <v>3.2</v>
      </c>
    </row>
    <row r="1304" spans="1:11" ht="15" x14ac:dyDescent="0.35">
      <c r="A1304">
        <f t="shared" si="40"/>
        <v>8</v>
      </c>
      <c r="B1304">
        <f t="shared" si="41"/>
        <v>5</v>
      </c>
      <c r="C1304" s="199" t="str">
        <f>B1304&amp;LOOKUP(A1304, Sheet2!$A$2:$A$11, Sheet2!$B$2:$B$11)</f>
        <v>5P</v>
      </c>
      <c r="D1304">
        <v>85</v>
      </c>
      <c r="E1304">
        <v>18</v>
      </c>
      <c r="F1304">
        <v>5</v>
      </c>
      <c r="G1304">
        <v>0.68440000000000001</v>
      </c>
      <c r="H1304">
        <v>0.30959999999999999</v>
      </c>
      <c r="I1304">
        <v>0.83220000000000005</v>
      </c>
      <c r="J1304" s="1" t="str">
        <f>HYPERLINK(SetRGB(J1304,G1304*255,H1304*255,I1304*255),"HOVER!")</f>
        <v>HOVER!</v>
      </c>
      <c r="K1304">
        <f>E1304/F1304</f>
        <v>3.6</v>
      </c>
    </row>
    <row r="1305" spans="1:11" ht="15" x14ac:dyDescent="0.35">
      <c r="A1305">
        <f t="shared" si="40"/>
        <v>8</v>
      </c>
      <c r="B1305">
        <f t="shared" si="41"/>
        <v>5</v>
      </c>
      <c r="C1305" s="199" t="str">
        <f>B1305&amp;LOOKUP(A1305, Sheet2!$A$2:$A$11, Sheet2!$B$2:$B$11)</f>
        <v>5P</v>
      </c>
      <c r="D1305">
        <v>85</v>
      </c>
      <c r="E1305">
        <v>20</v>
      </c>
      <c r="F1305">
        <v>5</v>
      </c>
      <c r="G1305">
        <v>0.70799999999999996</v>
      </c>
      <c r="H1305">
        <v>0.27360000000000001</v>
      </c>
      <c r="I1305">
        <v>0.8679</v>
      </c>
      <c r="J1305" s="1" t="str">
        <f>HYPERLINK(SetRGB(J1305,G1305*255,H1305*255,I1305*255),"HOVER!")</f>
        <v>HOVER!</v>
      </c>
      <c r="K1305">
        <f>E1305/F1305</f>
        <v>4</v>
      </c>
    </row>
    <row r="1306" spans="1:11" ht="15" x14ac:dyDescent="0.35">
      <c r="A1306">
        <f t="shared" si="40"/>
        <v>8</v>
      </c>
      <c r="B1306">
        <f t="shared" si="41"/>
        <v>5</v>
      </c>
      <c r="C1306" s="199" t="str">
        <f>B1306&amp;LOOKUP(A1306, Sheet2!$A$2:$A$11, Sheet2!$B$2:$B$11)</f>
        <v>5P</v>
      </c>
      <c r="D1306">
        <v>85</v>
      </c>
      <c r="E1306">
        <v>22</v>
      </c>
      <c r="F1306">
        <v>5</v>
      </c>
      <c r="G1306">
        <v>0.73370000000000002</v>
      </c>
      <c r="H1306">
        <v>0.22509999999999999</v>
      </c>
      <c r="I1306">
        <v>0.90510000000000002</v>
      </c>
      <c r="J1306" s="1" t="str">
        <f>HYPERLINK(SetRGB(J1306,G1306*255,H1306*255,I1306*255),"HOVER!")</f>
        <v>HOVER!</v>
      </c>
      <c r="K1306">
        <f>E1306/F1306</f>
        <v>4.4000000000000004</v>
      </c>
    </row>
    <row r="1307" spans="1:11" ht="15" x14ac:dyDescent="0.35">
      <c r="A1307">
        <f t="shared" si="40"/>
        <v>8</v>
      </c>
      <c r="B1307">
        <f t="shared" si="41"/>
        <v>5</v>
      </c>
      <c r="C1307" s="199" t="str">
        <f>B1307&amp;LOOKUP(A1307, Sheet2!$A$2:$A$11, Sheet2!$B$2:$B$11)</f>
        <v>5P</v>
      </c>
      <c r="D1307">
        <v>85</v>
      </c>
      <c r="E1307">
        <v>24</v>
      </c>
      <c r="F1307">
        <v>5</v>
      </c>
      <c r="G1307">
        <v>0.75929999999999997</v>
      </c>
      <c r="H1307">
        <v>0.156</v>
      </c>
      <c r="I1307">
        <v>0.94279999999999997</v>
      </c>
      <c r="J1307" s="1" t="str">
        <f>HYPERLINK(SetRGB(J1307,G1307*255,H1307*255,I1307*255),"HOVER!")</f>
        <v>HOVER!</v>
      </c>
      <c r="K1307">
        <f>E1307/F1307</f>
        <v>4.8</v>
      </c>
    </row>
    <row r="1308" spans="1:11" ht="15" x14ac:dyDescent="0.35">
      <c r="A1308">
        <f t="shared" si="40"/>
        <v>8</v>
      </c>
      <c r="B1308">
        <f t="shared" si="41"/>
        <v>5</v>
      </c>
      <c r="C1308" s="199" t="str">
        <f>B1308&amp;LOOKUP(A1308, Sheet2!$A$2:$A$11, Sheet2!$B$2:$B$11)</f>
        <v>5P</v>
      </c>
      <c r="D1308">
        <v>85</v>
      </c>
      <c r="E1308">
        <v>26</v>
      </c>
      <c r="F1308">
        <v>5</v>
      </c>
      <c r="G1308">
        <v>0.78359999999999996</v>
      </c>
      <c r="H1308">
        <v>3.5999999999999999E-3</v>
      </c>
      <c r="I1308">
        <v>0.97760000000000002</v>
      </c>
      <c r="J1308" s="1" t="str">
        <f>HYPERLINK(SetRGB(J1308,G1308*255,H1308*255,I1308*255),"HOVER!")</f>
        <v>HOVER!</v>
      </c>
      <c r="K1308">
        <f>E1308/F1308</f>
        <v>5.2</v>
      </c>
    </row>
    <row r="1309" spans="1:11" ht="15" x14ac:dyDescent="0.35">
      <c r="A1309">
        <f t="shared" si="40"/>
        <v>8</v>
      </c>
      <c r="B1309">
        <f t="shared" si="41"/>
        <v>5</v>
      </c>
      <c r="C1309" s="199" t="str">
        <f>B1309&amp;LOOKUP(A1309, Sheet2!$A$2:$A$11, Sheet2!$B$2:$B$11)</f>
        <v>5P</v>
      </c>
      <c r="D1309">
        <v>85</v>
      </c>
      <c r="E1309">
        <v>2</v>
      </c>
      <c r="F1309">
        <v>6</v>
      </c>
      <c r="G1309">
        <v>0.60370000000000001</v>
      </c>
      <c r="H1309">
        <v>0.57350000000000001</v>
      </c>
      <c r="I1309">
        <v>0.62460000000000004</v>
      </c>
      <c r="J1309" s="2" t="str">
        <f>HYPERLINK(SetRGB(J1309,G1309*255,H1309*255,I1309*255),"HOVER!")</f>
        <v>HOVER!</v>
      </c>
      <c r="K1309">
        <f>E1309/F1309</f>
        <v>0.33333333333333331</v>
      </c>
    </row>
    <row r="1310" spans="1:11" ht="15" x14ac:dyDescent="0.35">
      <c r="A1310">
        <f t="shared" si="40"/>
        <v>8</v>
      </c>
      <c r="B1310">
        <f t="shared" si="41"/>
        <v>5</v>
      </c>
      <c r="C1310" s="199" t="str">
        <f>B1310&amp;LOOKUP(A1310, Sheet2!$A$2:$A$11, Sheet2!$B$2:$B$11)</f>
        <v>5P</v>
      </c>
      <c r="D1310">
        <v>85</v>
      </c>
      <c r="E1310">
        <v>4</v>
      </c>
      <c r="F1310">
        <v>6</v>
      </c>
      <c r="G1310">
        <v>0.62439999999999996</v>
      </c>
      <c r="H1310">
        <v>0.56130000000000002</v>
      </c>
      <c r="I1310">
        <v>0.66579999999999995</v>
      </c>
      <c r="J1310" s="2" t="str">
        <f>HYPERLINK(SetRGB(J1310,G1310*255,H1310*255,I1310*255),"HOVER!")</f>
        <v>HOVER!</v>
      </c>
      <c r="K1310">
        <f>E1310/F1310</f>
        <v>0.66666666666666663</v>
      </c>
    </row>
    <row r="1311" spans="1:11" ht="15" x14ac:dyDescent="0.35">
      <c r="A1311">
        <f t="shared" si="40"/>
        <v>8</v>
      </c>
      <c r="B1311">
        <f t="shared" si="41"/>
        <v>5</v>
      </c>
      <c r="C1311" s="199" t="str">
        <f>B1311&amp;LOOKUP(A1311, Sheet2!$A$2:$A$11, Sheet2!$B$2:$B$11)</f>
        <v>5P</v>
      </c>
      <c r="D1311">
        <v>85</v>
      </c>
      <c r="E1311">
        <v>6</v>
      </c>
      <c r="F1311">
        <v>6</v>
      </c>
      <c r="G1311">
        <v>0.64710000000000001</v>
      </c>
      <c r="H1311">
        <v>0.54669999999999996</v>
      </c>
      <c r="I1311">
        <v>0.71020000000000005</v>
      </c>
      <c r="J1311" s="2" t="str">
        <f>HYPERLINK(SetRGB(J1311,G1311*255,H1311*255,I1311*255),"HOVER!")</f>
        <v>HOVER!</v>
      </c>
      <c r="K1311">
        <f>E1311/F1311</f>
        <v>1</v>
      </c>
    </row>
    <row r="1312" spans="1:11" ht="15" x14ac:dyDescent="0.35">
      <c r="A1312">
        <f t="shared" si="40"/>
        <v>8</v>
      </c>
      <c r="B1312">
        <f t="shared" si="41"/>
        <v>5</v>
      </c>
      <c r="C1312" s="199" t="str">
        <f>B1312&amp;LOOKUP(A1312, Sheet2!$A$2:$A$11, Sheet2!$B$2:$B$11)</f>
        <v>5P</v>
      </c>
      <c r="D1312">
        <v>85</v>
      </c>
      <c r="E1312">
        <v>8</v>
      </c>
      <c r="F1312">
        <v>6</v>
      </c>
      <c r="G1312">
        <v>0.66779999999999995</v>
      </c>
      <c r="H1312">
        <v>0.53210000000000002</v>
      </c>
      <c r="I1312">
        <v>0.75049999999999994</v>
      </c>
      <c r="J1312" s="2" t="str">
        <f>HYPERLINK(SetRGB(J1312,G1312*255,H1312*255,I1312*255),"HOVER!")</f>
        <v>HOVER!</v>
      </c>
      <c r="K1312">
        <f>E1312/F1312</f>
        <v>1.3333333333333333</v>
      </c>
    </row>
    <row r="1313" spans="1:11" ht="15" x14ac:dyDescent="0.35">
      <c r="A1313">
        <f t="shared" si="40"/>
        <v>8</v>
      </c>
      <c r="B1313">
        <f t="shared" si="41"/>
        <v>5</v>
      </c>
      <c r="C1313" s="199" t="str">
        <f>B1313&amp;LOOKUP(A1313, Sheet2!$A$2:$A$11, Sheet2!$B$2:$B$11)</f>
        <v>5P</v>
      </c>
      <c r="D1313">
        <v>85</v>
      </c>
      <c r="E1313">
        <v>10</v>
      </c>
      <c r="F1313">
        <v>6</v>
      </c>
      <c r="G1313">
        <v>0.6905</v>
      </c>
      <c r="H1313">
        <v>0.51500000000000001</v>
      </c>
      <c r="I1313">
        <v>0.79239999999999999</v>
      </c>
      <c r="J1313" s="2" t="str">
        <f>HYPERLINK(SetRGB(J1313,G1313*255,H1313*255,I1313*255),"HOVER!")</f>
        <v>HOVER!</v>
      </c>
      <c r="K1313">
        <f>E1313/F1313</f>
        <v>1.6666666666666667</v>
      </c>
    </row>
    <row r="1314" spans="1:11" ht="15" x14ac:dyDescent="0.35">
      <c r="A1314">
        <f t="shared" si="40"/>
        <v>8</v>
      </c>
      <c r="B1314">
        <f t="shared" si="41"/>
        <v>5</v>
      </c>
      <c r="C1314" s="199" t="str">
        <f>B1314&amp;LOOKUP(A1314, Sheet2!$A$2:$A$11, Sheet2!$B$2:$B$11)</f>
        <v>5P</v>
      </c>
      <c r="D1314">
        <v>85</v>
      </c>
      <c r="E1314">
        <v>12</v>
      </c>
      <c r="F1314">
        <v>6</v>
      </c>
      <c r="G1314">
        <v>0.71350000000000002</v>
      </c>
      <c r="H1314">
        <v>0.49669999999999997</v>
      </c>
      <c r="I1314">
        <v>0.83079999999999998</v>
      </c>
      <c r="J1314" s="2" t="str">
        <f>HYPERLINK(SetRGB(J1314,G1314*255,H1314*255,I1314*255),"HOVER!")</f>
        <v>HOVER!</v>
      </c>
      <c r="K1314">
        <f>E1314/F1314</f>
        <v>2</v>
      </c>
    </row>
    <row r="1315" spans="1:11" ht="15" x14ac:dyDescent="0.35">
      <c r="A1315">
        <f t="shared" si="40"/>
        <v>8</v>
      </c>
      <c r="B1315">
        <f t="shared" si="41"/>
        <v>5</v>
      </c>
      <c r="C1315" s="199" t="str">
        <f>B1315&amp;LOOKUP(A1315, Sheet2!$A$2:$A$11, Sheet2!$B$2:$B$11)</f>
        <v>5P</v>
      </c>
      <c r="D1315">
        <v>85</v>
      </c>
      <c r="E1315">
        <v>14</v>
      </c>
      <c r="F1315">
        <v>6</v>
      </c>
      <c r="G1315">
        <v>0.73870000000000002</v>
      </c>
      <c r="H1315">
        <v>0.47439999999999999</v>
      </c>
      <c r="I1315">
        <v>0.873</v>
      </c>
      <c r="J1315" s="2" t="str">
        <f>HYPERLINK(SetRGB(J1315,G1315*255,H1315*255,I1315*255),"HOVER!")</f>
        <v>HOVER!</v>
      </c>
      <c r="K1315">
        <f>E1315/F1315</f>
        <v>2.3333333333333335</v>
      </c>
    </row>
    <row r="1316" spans="1:11" ht="15" x14ac:dyDescent="0.35">
      <c r="A1316">
        <f t="shared" si="40"/>
        <v>8</v>
      </c>
      <c r="B1316">
        <f t="shared" si="41"/>
        <v>5</v>
      </c>
      <c r="C1316" s="199" t="str">
        <f>B1316&amp;LOOKUP(A1316, Sheet2!$A$2:$A$11, Sheet2!$B$2:$B$11)</f>
        <v>5P</v>
      </c>
      <c r="D1316">
        <v>85</v>
      </c>
      <c r="E1316">
        <v>16</v>
      </c>
      <c r="F1316">
        <v>6</v>
      </c>
      <c r="G1316">
        <v>0.76270000000000004</v>
      </c>
      <c r="H1316">
        <v>0.45050000000000001</v>
      </c>
      <c r="I1316">
        <v>0.91369999999999996</v>
      </c>
      <c r="J1316" s="2" t="str">
        <f>HYPERLINK(SetRGB(J1316,G1316*255,H1316*255,I1316*255),"HOVER!")</f>
        <v>HOVER!</v>
      </c>
      <c r="K1316">
        <f>E1316/F1316</f>
        <v>2.6666666666666665</v>
      </c>
    </row>
    <row r="1317" spans="1:11" ht="15" x14ac:dyDescent="0.35">
      <c r="A1317">
        <f t="shared" si="40"/>
        <v>8</v>
      </c>
      <c r="B1317">
        <f t="shared" si="41"/>
        <v>5</v>
      </c>
      <c r="C1317" s="199" t="str">
        <f>B1317&amp;LOOKUP(A1317, Sheet2!$A$2:$A$11, Sheet2!$B$2:$B$11)</f>
        <v>5P</v>
      </c>
      <c r="D1317">
        <v>85</v>
      </c>
      <c r="E1317">
        <v>18</v>
      </c>
      <c r="F1317">
        <v>6</v>
      </c>
      <c r="G1317">
        <v>0.78610000000000002</v>
      </c>
      <c r="H1317">
        <v>0.42449999999999999</v>
      </c>
      <c r="I1317">
        <v>0.95289999999999997</v>
      </c>
      <c r="J1317" s="2" t="str">
        <f>HYPERLINK(SetRGB(J1317,G1317*255,H1317*255,I1317*255),"HOVER!")</f>
        <v>HOVER!</v>
      </c>
      <c r="K1317">
        <f>E1317/F1317</f>
        <v>3</v>
      </c>
    </row>
    <row r="1318" spans="1:11" ht="15" x14ac:dyDescent="0.35">
      <c r="A1318">
        <f t="shared" si="40"/>
        <v>8</v>
      </c>
      <c r="B1318">
        <f t="shared" si="41"/>
        <v>5</v>
      </c>
      <c r="C1318" s="199" t="str">
        <f>B1318&amp;LOOKUP(A1318, Sheet2!$A$2:$A$11, Sheet2!$B$2:$B$11)</f>
        <v>5P</v>
      </c>
      <c r="D1318">
        <v>85</v>
      </c>
      <c r="E1318">
        <v>20</v>
      </c>
      <c r="F1318">
        <v>6</v>
      </c>
      <c r="G1318">
        <v>0.81310000000000004</v>
      </c>
      <c r="H1318">
        <v>0.3906</v>
      </c>
      <c r="I1318">
        <v>0.99629999999999996</v>
      </c>
      <c r="J1318" s="2" t="str">
        <f>HYPERLINK(SetRGB(J1318,G1318*255,H1318*255,I1318*255),"HOVER!")</f>
        <v>HOVER!</v>
      </c>
      <c r="K1318">
        <f>E1318/F1318</f>
        <v>3.3333333333333335</v>
      </c>
    </row>
    <row r="1319" spans="1:11" ht="15" x14ac:dyDescent="0.35">
      <c r="A1319">
        <f t="shared" si="40"/>
        <v>8</v>
      </c>
      <c r="B1319">
        <f t="shared" si="41"/>
        <v>5</v>
      </c>
      <c r="C1319" s="199" t="str">
        <f>B1319&amp;LOOKUP(A1319, Sheet2!$A$2:$A$11, Sheet2!$B$2:$B$11)</f>
        <v>5P</v>
      </c>
      <c r="D1319">
        <v>85</v>
      </c>
      <c r="E1319">
        <v>2</v>
      </c>
      <c r="F1319">
        <v>7</v>
      </c>
      <c r="G1319">
        <v>0.70430000000000004</v>
      </c>
      <c r="H1319">
        <v>0.67830000000000001</v>
      </c>
      <c r="I1319">
        <v>0.72409999999999997</v>
      </c>
      <c r="J1319" s="2" t="str">
        <f>HYPERLINK(SetRGB(J1319,G1319*255,H1319*255,I1319*255),"HOVER!")</f>
        <v>HOVER!</v>
      </c>
      <c r="K1319">
        <f>E1319/F1319</f>
        <v>0.2857142857142857</v>
      </c>
    </row>
    <row r="1320" spans="1:11" ht="15" x14ac:dyDescent="0.35">
      <c r="A1320">
        <f t="shared" si="40"/>
        <v>8</v>
      </c>
      <c r="B1320">
        <f t="shared" si="41"/>
        <v>5</v>
      </c>
      <c r="C1320" s="199" t="str">
        <f>B1320&amp;LOOKUP(A1320, Sheet2!$A$2:$A$11, Sheet2!$B$2:$B$11)</f>
        <v>5P</v>
      </c>
      <c r="D1320">
        <v>85</v>
      </c>
      <c r="E1320">
        <v>4</v>
      </c>
      <c r="F1320">
        <v>7</v>
      </c>
      <c r="G1320">
        <v>0.72509999999999997</v>
      </c>
      <c r="H1320">
        <v>0.66590000000000005</v>
      </c>
      <c r="I1320">
        <v>0.76919999999999999</v>
      </c>
      <c r="J1320" s="2" t="str">
        <f>HYPERLINK(SetRGB(J1320,G1320*255,H1320*255,I1320*255),"HOVER!")</f>
        <v>HOVER!</v>
      </c>
      <c r="K1320">
        <f>E1320/F1320</f>
        <v>0.5714285714285714</v>
      </c>
    </row>
    <row r="1321" spans="1:11" ht="15" x14ac:dyDescent="0.35">
      <c r="A1321">
        <f t="shared" si="40"/>
        <v>8</v>
      </c>
      <c r="B1321">
        <f t="shared" si="41"/>
        <v>5</v>
      </c>
      <c r="C1321" s="199" t="str">
        <f>B1321&amp;LOOKUP(A1321, Sheet2!$A$2:$A$11, Sheet2!$B$2:$B$11)</f>
        <v>5P</v>
      </c>
      <c r="D1321">
        <v>85</v>
      </c>
      <c r="E1321">
        <v>6</v>
      </c>
      <c r="F1321">
        <v>7</v>
      </c>
      <c r="G1321">
        <v>0.74590000000000001</v>
      </c>
      <c r="H1321">
        <v>0.65239999999999998</v>
      </c>
      <c r="I1321">
        <v>0.8135</v>
      </c>
      <c r="J1321" s="2" t="str">
        <f>HYPERLINK(SetRGB(J1321,G1321*255,H1321*255,I1321*255),"HOVER!")</f>
        <v>HOVER!</v>
      </c>
      <c r="K1321">
        <f>E1321/F1321</f>
        <v>0.8571428571428571</v>
      </c>
    </row>
    <row r="1322" spans="1:11" ht="15" x14ac:dyDescent="0.35">
      <c r="A1322">
        <f t="shared" si="40"/>
        <v>8</v>
      </c>
      <c r="B1322">
        <f t="shared" si="41"/>
        <v>5</v>
      </c>
      <c r="C1322" s="199" t="str">
        <f>B1322&amp;LOOKUP(A1322, Sheet2!$A$2:$A$11, Sheet2!$B$2:$B$11)</f>
        <v>5P</v>
      </c>
      <c r="D1322">
        <v>85</v>
      </c>
      <c r="E1322">
        <v>8</v>
      </c>
      <c r="F1322">
        <v>7</v>
      </c>
      <c r="G1322">
        <v>0.76839999999999997</v>
      </c>
      <c r="H1322">
        <v>0.63729999999999998</v>
      </c>
      <c r="I1322">
        <v>0.85750000000000004</v>
      </c>
      <c r="J1322" s="2" t="str">
        <f>HYPERLINK(SetRGB(J1322,G1322*255,H1322*255,I1322*255),"HOVER!")</f>
        <v>HOVER!</v>
      </c>
      <c r="K1322">
        <f>E1322/F1322</f>
        <v>1.1428571428571428</v>
      </c>
    </row>
    <row r="1323" spans="1:11" ht="15" x14ac:dyDescent="0.35">
      <c r="A1323">
        <f t="shared" si="40"/>
        <v>8</v>
      </c>
      <c r="B1323">
        <f t="shared" si="41"/>
        <v>5</v>
      </c>
      <c r="C1323" s="199" t="str">
        <f>B1323&amp;LOOKUP(A1323, Sheet2!$A$2:$A$11, Sheet2!$B$2:$B$11)</f>
        <v>5P</v>
      </c>
      <c r="D1323">
        <v>85</v>
      </c>
      <c r="E1323">
        <v>10</v>
      </c>
      <c r="F1323">
        <v>7</v>
      </c>
      <c r="G1323">
        <v>0.79220000000000002</v>
      </c>
      <c r="H1323">
        <v>0.61970000000000003</v>
      </c>
      <c r="I1323">
        <v>0.90500000000000003</v>
      </c>
      <c r="J1323" s="2" t="str">
        <f>HYPERLINK(SetRGB(J1323,G1323*255,H1323*255,I1323*255),"HOVER!")</f>
        <v>HOVER!</v>
      </c>
      <c r="K1323">
        <f>E1323/F1323</f>
        <v>1.4285714285714286</v>
      </c>
    </row>
    <row r="1324" spans="1:11" ht="15" x14ac:dyDescent="0.35">
      <c r="A1324">
        <f t="shared" si="40"/>
        <v>8</v>
      </c>
      <c r="B1324">
        <f t="shared" si="41"/>
        <v>5</v>
      </c>
      <c r="C1324" s="199" t="str">
        <f>B1324&amp;LOOKUP(A1324, Sheet2!$A$2:$A$11, Sheet2!$B$2:$B$11)</f>
        <v>5P</v>
      </c>
      <c r="D1324">
        <v>85</v>
      </c>
      <c r="E1324">
        <v>12</v>
      </c>
      <c r="F1324">
        <v>7</v>
      </c>
      <c r="G1324">
        <v>0.81699999999999995</v>
      </c>
      <c r="H1324">
        <v>0.60040000000000004</v>
      </c>
      <c r="I1324">
        <v>0.95050000000000001</v>
      </c>
      <c r="J1324" s="2" t="str">
        <f>HYPERLINK(SetRGB(J1324,G1324*255,H1324*255,I1324*255),"HOVER!")</f>
        <v>HOVER!</v>
      </c>
      <c r="K1324">
        <f>E1324/F1324</f>
        <v>1.7142857142857142</v>
      </c>
    </row>
    <row r="1325" spans="1:11" ht="15" x14ac:dyDescent="0.35">
      <c r="A1325">
        <f t="shared" si="40"/>
        <v>8</v>
      </c>
      <c r="B1325">
        <f t="shared" si="41"/>
        <v>5</v>
      </c>
      <c r="C1325" s="199" t="str">
        <f>B1325&amp;LOOKUP(A1325, Sheet2!$A$2:$A$11, Sheet2!$B$2:$B$11)</f>
        <v>5P</v>
      </c>
      <c r="D1325">
        <v>85</v>
      </c>
      <c r="E1325">
        <v>14</v>
      </c>
      <c r="F1325">
        <v>7</v>
      </c>
      <c r="G1325">
        <v>0.84199999999999997</v>
      </c>
      <c r="H1325">
        <v>0.57969999999999999</v>
      </c>
      <c r="I1325">
        <v>0.99319999999999997</v>
      </c>
      <c r="J1325" s="2" t="str">
        <f>HYPERLINK(SetRGB(J1325,G1325*255,H1325*255,I1325*255),"HOVER!")</f>
        <v>HOVER!</v>
      </c>
      <c r="K1325">
        <f>E1325/F1325</f>
        <v>2</v>
      </c>
    </row>
    <row r="1326" spans="1:11" ht="15" x14ac:dyDescent="0.35">
      <c r="A1326">
        <f t="shared" si="40"/>
        <v>8</v>
      </c>
      <c r="B1326">
        <f t="shared" si="41"/>
        <v>5</v>
      </c>
      <c r="C1326" s="199" t="str">
        <f>B1326&amp;LOOKUP(A1326, Sheet2!$A$2:$A$11, Sheet2!$B$2:$B$11)</f>
        <v>5P</v>
      </c>
      <c r="D1326">
        <v>85</v>
      </c>
      <c r="E1326">
        <v>2</v>
      </c>
      <c r="F1326">
        <v>8</v>
      </c>
      <c r="G1326">
        <v>0.80489999999999995</v>
      </c>
      <c r="H1326">
        <v>0.78500000000000003</v>
      </c>
      <c r="I1326">
        <v>0.82410000000000005</v>
      </c>
      <c r="J1326" s="2" t="str">
        <f>HYPERLINK(SetRGB(J1326,G1326*255,H1326*255,I1326*255),"HOVER!")</f>
        <v>HOVER!</v>
      </c>
      <c r="K1326">
        <f>E1326/F1326</f>
        <v>0.25</v>
      </c>
    </row>
    <row r="1327" spans="1:11" ht="15" x14ac:dyDescent="0.35">
      <c r="A1327">
        <f t="shared" si="40"/>
        <v>8</v>
      </c>
      <c r="B1327">
        <f t="shared" si="41"/>
        <v>5</v>
      </c>
      <c r="C1327" s="199" t="str">
        <f>B1327&amp;LOOKUP(A1327, Sheet2!$A$2:$A$11, Sheet2!$B$2:$B$11)</f>
        <v>5P</v>
      </c>
      <c r="D1327">
        <v>85</v>
      </c>
      <c r="E1327">
        <v>4</v>
      </c>
      <c r="F1327">
        <v>8</v>
      </c>
      <c r="G1327">
        <v>0.82679999999999998</v>
      </c>
      <c r="H1327">
        <v>0.77159999999999995</v>
      </c>
      <c r="I1327">
        <v>0.87529999999999997</v>
      </c>
      <c r="J1327" s="2" t="str">
        <f>HYPERLINK(SetRGB(J1327,G1327*255,H1327*255,I1327*255),"HOVER!")</f>
        <v>HOVER!</v>
      </c>
      <c r="K1327">
        <f>E1327/F1327</f>
        <v>0.5</v>
      </c>
    </row>
    <row r="1328" spans="1:11" ht="15" x14ac:dyDescent="0.35">
      <c r="A1328">
        <f t="shared" si="40"/>
        <v>8</v>
      </c>
      <c r="B1328">
        <f t="shared" si="41"/>
        <v>5</v>
      </c>
      <c r="C1328" s="199" t="str">
        <f>B1328&amp;LOOKUP(A1328, Sheet2!$A$2:$A$11, Sheet2!$B$2:$B$11)</f>
        <v>5P</v>
      </c>
      <c r="D1328">
        <v>85</v>
      </c>
      <c r="E1328">
        <v>6</v>
      </c>
      <c r="F1328">
        <v>8</v>
      </c>
      <c r="G1328">
        <v>0.84860000000000002</v>
      </c>
      <c r="H1328">
        <v>0.75749999999999995</v>
      </c>
      <c r="I1328">
        <v>0.9244</v>
      </c>
      <c r="J1328" s="2" t="str">
        <f>HYPERLINK(SetRGB(J1328,G1328*255,H1328*255,I1328*255),"HOVER!")</f>
        <v>HOVER!</v>
      </c>
      <c r="K1328">
        <f>E1328/F1328</f>
        <v>0.75</v>
      </c>
    </row>
    <row r="1329" spans="1:11" ht="15" x14ac:dyDescent="0.35">
      <c r="A1329">
        <f t="shared" si="40"/>
        <v>8</v>
      </c>
      <c r="B1329">
        <f t="shared" si="41"/>
        <v>5</v>
      </c>
      <c r="C1329" s="199" t="str">
        <f>B1329&amp;LOOKUP(A1329, Sheet2!$A$2:$A$11, Sheet2!$B$2:$B$11)</f>
        <v>5P</v>
      </c>
      <c r="D1329">
        <v>85</v>
      </c>
      <c r="E1329">
        <v>8</v>
      </c>
      <c r="F1329">
        <v>8</v>
      </c>
      <c r="G1329">
        <v>0.874</v>
      </c>
      <c r="H1329">
        <v>0.74029999999999996</v>
      </c>
      <c r="I1329">
        <v>0.97770000000000001</v>
      </c>
      <c r="J1329" s="2" t="str">
        <f>HYPERLINK(SetRGB(J1329,G1329*255,H1329*255,I1329*255),"HOVER!")</f>
        <v>HOVER!</v>
      </c>
      <c r="K1329">
        <f>E1329/F1329</f>
        <v>1</v>
      </c>
    </row>
    <row r="1330" spans="1:11" ht="15" x14ac:dyDescent="0.35">
      <c r="A1330">
        <f t="shared" si="40"/>
        <v>8</v>
      </c>
      <c r="B1330">
        <f t="shared" si="41"/>
        <v>5</v>
      </c>
      <c r="C1330" s="199" t="str">
        <f>B1330&amp;LOOKUP(A1330, Sheet2!$A$2:$A$11, Sheet2!$B$2:$B$11)</f>
        <v>5P</v>
      </c>
      <c r="D1330">
        <v>85</v>
      </c>
      <c r="E1330">
        <v>10</v>
      </c>
      <c r="F1330">
        <v>8</v>
      </c>
      <c r="G1330">
        <v>0.89929999999999999</v>
      </c>
      <c r="H1330">
        <v>0.72199999999999998</v>
      </c>
      <c r="I1330">
        <v>1</v>
      </c>
      <c r="J1330" s="2" t="str">
        <f>HYPERLINK(SetRGB(J1330,G1330*255,H1330*255,I1330*255),"HOVER!")</f>
        <v>HOVER!</v>
      </c>
      <c r="K1330">
        <f>E1330/F1330</f>
        <v>1.25</v>
      </c>
    </row>
    <row r="1331" spans="1:11" ht="15" x14ac:dyDescent="0.35">
      <c r="A1331">
        <f t="shared" si="40"/>
        <v>8</v>
      </c>
      <c r="B1331">
        <f t="shared" si="41"/>
        <v>5</v>
      </c>
      <c r="C1331" s="199" t="str">
        <f>B1331&amp;LOOKUP(A1331, Sheet2!$A$2:$A$11, Sheet2!$B$2:$B$11)</f>
        <v>5P</v>
      </c>
      <c r="D1331">
        <v>85</v>
      </c>
      <c r="E1331">
        <v>2</v>
      </c>
      <c r="F1331">
        <v>9</v>
      </c>
      <c r="G1331">
        <v>0.91100000000000003</v>
      </c>
      <c r="H1331">
        <v>0.89249999999999996</v>
      </c>
      <c r="I1331">
        <v>0.93140000000000001</v>
      </c>
      <c r="J1331" s="2" t="str">
        <f>HYPERLINK(SetRGB(J1331,G1331*255,H1331*255,I1331*255),"HOVER!")</f>
        <v>HOVER!</v>
      </c>
      <c r="K1331">
        <f>E1331/F1331</f>
        <v>0.22222222222222221</v>
      </c>
    </row>
    <row r="1332" spans="1:11" ht="15" x14ac:dyDescent="0.35">
      <c r="A1332">
        <f t="shared" si="40"/>
        <v>8</v>
      </c>
      <c r="B1332">
        <f t="shared" si="41"/>
        <v>5</v>
      </c>
      <c r="C1332" s="199" t="str">
        <f>B1332&amp;LOOKUP(A1332, Sheet2!$A$2:$A$11, Sheet2!$B$2:$B$11)</f>
        <v>5P</v>
      </c>
      <c r="D1332">
        <v>85</v>
      </c>
      <c r="E1332">
        <v>4</v>
      </c>
      <c r="F1332">
        <v>9</v>
      </c>
      <c r="G1332">
        <v>0.93340000000000001</v>
      </c>
      <c r="H1332">
        <v>0.87780000000000002</v>
      </c>
      <c r="I1332">
        <v>0.99339999999999995</v>
      </c>
      <c r="J1332" s="2" t="str">
        <f>HYPERLINK(SetRGB(J1332,G1332*255,H1332*255,I1332*255),"HOVER!")</f>
        <v>HOVER!</v>
      </c>
      <c r="K1332">
        <f>E1332/F1332</f>
        <v>0.44444444444444442</v>
      </c>
    </row>
    <row r="1333" spans="1:11" ht="15" x14ac:dyDescent="0.35">
      <c r="A1333">
        <f t="shared" si="40"/>
        <v>8</v>
      </c>
      <c r="B1333">
        <f t="shared" si="41"/>
        <v>7.5</v>
      </c>
      <c r="C1333" s="199" t="str">
        <f>B1333&amp;LOOKUP(A1333, Sheet2!$A$2:$A$11, Sheet2!$B$2:$B$11)</f>
        <v>7.5P</v>
      </c>
      <c r="D1333">
        <v>87.5</v>
      </c>
      <c r="E1333">
        <v>2</v>
      </c>
      <c r="F1333">
        <v>1</v>
      </c>
      <c r="G1333">
        <v>0.14910000000000001</v>
      </c>
      <c r="H1333">
        <v>9.2399999999999996E-2</v>
      </c>
      <c r="I1333">
        <v>0.1575</v>
      </c>
      <c r="J1333" s="1" t="str">
        <f>HYPERLINK(SetRGB(J1333,G1333*255,H1333*255,I1333*255),"HOVER!")</f>
        <v>HOVER!</v>
      </c>
      <c r="K1333">
        <f>E1333/F1333</f>
        <v>2</v>
      </c>
    </row>
    <row r="1334" spans="1:11" ht="15" x14ac:dyDescent="0.35">
      <c r="A1334">
        <f t="shared" si="40"/>
        <v>8</v>
      </c>
      <c r="B1334">
        <f t="shared" si="41"/>
        <v>7.5</v>
      </c>
      <c r="C1334" s="199" t="str">
        <f>B1334&amp;LOOKUP(A1334, Sheet2!$A$2:$A$11, Sheet2!$B$2:$B$11)</f>
        <v>7.5P</v>
      </c>
      <c r="D1334">
        <v>87.5</v>
      </c>
      <c r="E1334">
        <v>4</v>
      </c>
      <c r="F1334">
        <v>1</v>
      </c>
      <c r="G1334">
        <v>0.1716</v>
      </c>
      <c r="H1334">
        <v>7.3700000000000002E-2</v>
      </c>
      <c r="I1334">
        <v>0.18490000000000001</v>
      </c>
      <c r="J1334" s="1" t="str">
        <f>HYPERLINK(SetRGB(J1334,G1334*255,H1334*255,I1334*255),"HOVER!")</f>
        <v>HOVER!</v>
      </c>
      <c r="K1334">
        <f>E1334/F1334</f>
        <v>4</v>
      </c>
    </row>
    <row r="1335" spans="1:11" ht="15" x14ac:dyDescent="0.35">
      <c r="A1335">
        <f t="shared" si="40"/>
        <v>8</v>
      </c>
      <c r="B1335">
        <f t="shared" si="41"/>
        <v>7.5</v>
      </c>
      <c r="C1335" s="199" t="str">
        <f>B1335&amp;LOOKUP(A1335, Sheet2!$A$2:$A$11, Sheet2!$B$2:$B$11)</f>
        <v>7.5P</v>
      </c>
      <c r="D1335">
        <v>87.5</v>
      </c>
      <c r="E1335">
        <v>6</v>
      </c>
      <c r="F1335">
        <v>1</v>
      </c>
      <c r="G1335">
        <v>0.1923</v>
      </c>
      <c r="H1335">
        <v>4.87E-2</v>
      </c>
      <c r="I1335">
        <v>0.20979999999999999</v>
      </c>
      <c r="J1335" s="1" t="str">
        <f>HYPERLINK(SetRGB(J1335,G1335*255,H1335*255,I1335*255),"HOVER!")</f>
        <v>HOVER!</v>
      </c>
      <c r="K1335">
        <f>E1335/F1335</f>
        <v>6</v>
      </c>
    </row>
    <row r="1336" spans="1:11" ht="15" x14ac:dyDescent="0.35">
      <c r="A1336">
        <f t="shared" si="40"/>
        <v>8</v>
      </c>
      <c r="B1336">
        <f t="shared" si="41"/>
        <v>7.5</v>
      </c>
      <c r="C1336" s="199" t="str">
        <f>B1336&amp;LOOKUP(A1336, Sheet2!$A$2:$A$11, Sheet2!$B$2:$B$11)</f>
        <v>7.5P</v>
      </c>
      <c r="D1336">
        <v>87.5</v>
      </c>
      <c r="E1336">
        <v>2</v>
      </c>
      <c r="F1336">
        <v>2</v>
      </c>
      <c r="G1336">
        <v>0.22869999999999999</v>
      </c>
      <c r="H1336">
        <v>0.1767</v>
      </c>
      <c r="I1336">
        <v>0.23430000000000001</v>
      </c>
      <c r="J1336" s="1" t="str">
        <f>HYPERLINK(SetRGB(J1336,G1336*255,H1336*255,I1336*255),"HOVER!")</f>
        <v>HOVER!</v>
      </c>
      <c r="K1336">
        <f>E1336/F1336</f>
        <v>1</v>
      </c>
    </row>
    <row r="1337" spans="1:11" ht="15" x14ac:dyDescent="0.35">
      <c r="A1337">
        <f t="shared" si="40"/>
        <v>8</v>
      </c>
      <c r="B1337">
        <f t="shared" si="41"/>
        <v>7.5</v>
      </c>
      <c r="C1337" s="199" t="str">
        <f>B1337&amp;LOOKUP(A1337, Sheet2!$A$2:$A$11, Sheet2!$B$2:$B$11)</f>
        <v>7.5P</v>
      </c>
      <c r="D1337">
        <v>87.5</v>
      </c>
      <c r="E1337">
        <v>4</v>
      </c>
      <c r="F1337">
        <v>2</v>
      </c>
      <c r="G1337">
        <v>0.254</v>
      </c>
      <c r="H1337">
        <v>0.16039999999999999</v>
      </c>
      <c r="I1337">
        <v>0.26390000000000002</v>
      </c>
      <c r="J1337" s="1" t="str">
        <f>HYPERLINK(SetRGB(J1337,G1337*255,H1337*255,I1337*255),"HOVER!")</f>
        <v>HOVER!</v>
      </c>
      <c r="K1337">
        <f>E1337/F1337</f>
        <v>2</v>
      </c>
    </row>
    <row r="1338" spans="1:11" ht="15" x14ac:dyDescent="0.35">
      <c r="A1338">
        <f t="shared" si="40"/>
        <v>8</v>
      </c>
      <c r="B1338">
        <f t="shared" si="41"/>
        <v>7.5</v>
      </c>
      <c r="C1338" s="199" t="str">
        <f>B1338&amp;LOOKUP(A1338, Sheet2!$A$2:$A$11, Sheet2!$B$2:$B$11)</f>
        <v>7.5P</v>
      </c>
      <c r="D1338">
        <v>87.5</v>
      </c>
      <c r="E1338">
        <v>6</v>
      </c>
      <c r="F1338">
        <v>2</v>
      </c>
      <c r="G1338">
        <v>0.27689999999999998</v>
      </c>
      <c r="H1338">
        <v>0.14180000000000001</v>
      </c>
      <c r="I1338">
        <v>0.29110000000000003</v>
      </c>
      <c r="J1338" s="1" t="str">
        <f>HYPERLINK(SetRGB(J1338,G1338*255,H1338*255,I1338*255),"HOVER!")</f>
        <v>HOVER!</v>
      </c>
      <c r="K1338">
        <f>E1338/F1338</f>
        <v>3</v>
      </c>
    </row>
    <row r="1339" spans="1:11" ht="15" x14ac:dyDescent="0.35">
      <c r="A1339">
        <f t="shared" si="40"/>
        <v>8</v>
      </c>
      <c r="B1339">
        <f t="shared" si="41"/>
        <v>7.5</v>
      </c>
      <c r="C1339" s="199" t="str">
        <f>B1339&amp;LOOKUP(A1339, Sheet2!$A$2:$A$11, Sheet2!$B$2:$B$11)</f>
        <v>7.5P</v>
      </c>
      <c r="D1339">
        <v>87.5</v>
      </c>
      <c r="E1339">
        <v>8</v>
      </c>
      <c r="F1339">
        <v>2</v>
      </c>
      <c r="G1339">
        <v>0.30499999999999999</v>
      </c>
      <c r="H1339">
        <v>0.1113</v>
      </c>
      <c r="I1339">
        <v>0.3241</v>
      </c>
      <c r="J1339" s="1" t="str">
        <f>HYPERLINK(SetRGB(J1339,G1339*255,H1339*255,I1339*255),"HOVER!")</f>
        <v>HOVER!</v>
      </c>
      <c r="K1339">
        <f>E1339/F1339</f>
        <v>4</v>
      </c>
    </row>
    <row r="1340" spans="1:11" ht="15" x14ac:dyDescent="0.35">
      <c r="A1340">
        <f t="shared" si="40"/>
        <v>8</v>
      </c>
      <c r="B1340">
        <f t="shared" si="41"/>
        <v>7.5</v>
      </c>
      <c r="C1340" s="199" t="str">
        <f>B1340&amp;LOOKUP(A1340, Sheet2!$A$2:$A$11, Sheet2!$B$2:$B$11)</f>
        <v>7.5P</v>
      </c>
      <c r="D1340">
        <v>87.5</v>
      </c>
      <c r="E1340">
        <v>10</v>
      </c>
      <c r="F1340">
        <v>2</v>
      </c>
      <c r="G1340">
        <v>0.33019999999999999</v>
      </c>
      <c r="H1340">
        <v>7.0000000000000007E-2</v>
      </c>
      <c r="I1340">
        <v>0.35370000000000001</v>
      </c>
      <c r="J1340" s="1" t="str">
        <f>HYPERLINK(SetRGB(J1340,G1340*255,H1340*255,I1340*255),"HOVER!")</f>
        <v>HOVER!</v>
      </c>
      <c r="K1340">
        <f>E1340/F1340</f>
        <v>5</v>
      </c>
    </row>
    <row r="1341" spans="1:11" ht="15" x14ac:dyDescent="0.35">
      <c r="A1341">
        <f t="shared" si="40"/>
        <v>8</v>
      </c>
      <c r="B1341">
        <f t="shared" si="41"/>
        <v>7.5</v>
      </c>
      <c r="C1341" s="199" t="str">
        <f>B1341&amp;LOOKUP(A1341, Sheet2!$A$2:$A$11, Sheet2!$B$2:$B$11)</f>
        <v>7.5P</v>
      </c>
      <c r="D1341">
        <v>87.5</v>
      </c>
      <c r="E1341">
        <v>2</v>
      </c>
      <c r="F1341">
        <v>3</v>
      </c>
      <c r="G1341">
        <v>0.32400000000000001</v>
      </c>
      <c r="H1341">
        <v>0.26490000000000002</v>
      </c>
      <c r="I1341">
        <v>0.32790000000000002</v>
      </c>
      <c r="J1341" s="1" t="str">
        <f>HYPERLINK(SetRGB(J1341,G1341*255,H1341*255,I1341*255),"HOVER!")</f>
        <v>HOVER!</v>
      </c>
      <c r="K1341">
        <f>E1341/F1341</f>
        <v>0.66666666666666663</v>
      </c>
    </row>
    <row r="1342" spans="1:11" ht="15" x14ac:dyDescent="0.35">
      <c r="A1342">
        <f t="shared" si="40"/>
        <v>8</v>
      </c>
      <c r="B1342">
        <f t="shared" si="41"/>
        <v>7.5</v>
      </c>
      <c r="C1342" s="199" t="str">
        <f>B1342&amp;LOOKUP(A1342, Sheet2!$A$2:$A$11, Sheet2!$B$2:$B$11)</f>
        <v>7.5P</v>
      </c>
      <c r="D1342">
        <v>87.5</v>
      </c>
      <c r="E1342">
        <v>4</v>
      </c>
      <c r="F1342">
        <v>3</v>
      </c>
      <c r="G1342">
        <v>0.35420000000000001</v>
      </c>
      <c r="H1342">
        <v>0.24679999999999999</v>
      </c>
      <c r="I1342">
        <v>0.36220000000000002</v>
      </c>
      <c r="J1342" s="1" t="str">
        <f>HYPERLINK(SetRGB(J1342,G1342*255,H1342*255,I1342*255),"HOVER!")</f>
        <v>HOVER!</v>
      </c>
      <c r="K1342">
        <f>E1342/F1342</f>
        <v>1.3333333333333333</v>
      </c>
    </row>
    <row r="1343" spans="1:11" ht="15" x14ac:dyDescent="0.35">
      <c r="A1343">
        <f t="shared" si="40"/>
        <v>8</v>
      </c>
      <c r="B1343">
        <f t="shared" si="41"/>
        <v>7.5</v>
      </c>
      <c r="C1343" s="199" t="str">
        <f>B1343&amp;LOOKUP(A1343, Sheet2!$A$2:$A$11, Sheet2!$B$2:$B$11)</f>
        <v>7.5P</v>
      </c>
      <c r="D1343">
        <v>87.5</v>
      </c>
      <c r="E1343">
        <v>6</v>
      </c>
      <c r="F1343">
        <v>3</v>
      </c>
      <c r="G1343">
        <v>0.38169999999999998</v>
      </c>
      <c r="H1343">
        <v>0.22689999999999999</v>
      </c>
      <c r="I1343">
        <v>0.39369999999999999</v>
      </c>
      <c r="J1343" s="1" t="str">
        <f>HYPERLINK(SetRGB(J1343,G1343*255,H1343*255,I1343*255),"HOVER!")</f>
        <v>HOVER!</v>
      </c>
      <c r="K1343">
        <f>E1343/F1343</f>
        <v>2</v>
      </c>
    </row>
    <row r="1344" spans="1:11" ht="15" x14ac:dyDescent="0.35">
      <c r="A1344">
        <f t="shared" si="40"/>
        <v>8</v>
      </c>
      <c r="B1344">
        <f t="shared" si="41"/>
        <v>7.5</v>
      </c>
      <c r="C1344" s="199" t="str">
        <f>B1344&amp;LOOKUP(A1344, Sheet2!$A$2:$A$11, Sheet2!$B$2:$B$11)</f>
        <v>7.5P</v>
      </c>
      <c r="D1344">
        <v>87.5</v>
      </c>
      <c r="E1344">
        <v>8</v>
      </c>
      <c r="F1344">
        <v>3</v>
      </c>
      <c r="G1344">
        <v>0.41010000000000002</v>
      </c>
      <c r="H1344">
        <v>0.20130000000000001</v>
      </c>
      <c r="I1344">
        <v>0.42720000000000002</v>
      </c>
      <c r="J1344" s="1" t="str">
        <f>HYPERLINK(SetRGB(J1344,G1344*255,H1344*255,I1344*255),"HOVER!")</f>
        <v>HOVER!</v>
      </c>
      <c r="K1344">
        <f>E1344/F1344</f>
        <v>2.6666666666666665</v>
      </c>
    </row>
    <row r="1345" spans="1:11" ht="15" x14ac:dyDescent="0.35">
      <c r="A1345">
        <f t="shared" si="40"/>
        <v>8</v>
      </c>
      <c r="B1345">
        <f t="shared" si="41"/>
        <v>7.5</v>
      </c>
      <c r="C1345" s="199" t="str">
        <f>B1345&amp;LOOKUP(A1345, Sheet2!$A$2:$A$11, Sheet2!$B$2:$B$11)</f>
        <v>7.5P</v>
      </c>
      <c r="D1345">
        <v>87.5</v>
      </c>
      <c r="E1345">
        <v>10</v>
      </c>
      <c r="F1345">
        <v>3</v>
      </c>
      <c r="G1345">
        <v>0.4365</v>
      </c>
      <c r="H1345">
        <v>0.17119999999999999</v>
      </c>
      <c r="I1345">
        <v>0.45810000000000001</v>
      </c>
      <c r="J1345" s="1" t="str">
        <f>HYPERLINK(SetRGB(J1345,G1345*255,H1345*255,I1345*255),"HOVER!")</f>
        <v>HOVER!</v>
      </c>
      <c r="K1345">
        <f>E1345/F1345</f>
        <v>3.3333333333333335</v>
      </c>
    </row>
    <row r="1346" spans="1:11" ht="15" x14ac:dyDescent="0.35">
      <c r="A1346">
        <f t="shared" si="40"/>
        <v>8</v>
      </c>
      <c r="B1346">
        <f t="shared" si="41"/>
        <v>7.5</v>
      </c>
      <c r="C1346" s="199" t="str">
        <f>B1346&amp;LOOKUP(A1346, Sheet2!$A$2:$A$11, Sheet2!$B$2:$B$11)</f>
        <v>7.5P</v>
      </c>
      <c r="D1346">
        <v>87.5</v>
      </c>
      <c r="E1346">
        <v>12</v>
      </c>
      <c r="F1346">
        <v>3</v>
      </c>
      <c r="G1346">
        <v>0.46450000000000002</v>
      </c>
      <c r="H1346">
        <v>0.12770000000000001</v>
      </c>
      <c r="I1346">
        <v>0.49080000000000001</v>
      </c>
      <c r="J1346" s="1" t="str">
        <f>HYPERLINK(SetRGB(J1346,G1346*255,H1346*255,I1346*255),"HOVER!")</f>
        <v>HOVER!</v>
      </c>
      <c r="K1346">
        <f>E1346/F1346</f>
        <v>4</v>
      </c>
    </row>
    <row r="1347" spans="1:11" ht="15" x14ac:dyDescent="0.35">
      <c r="A1347">
        <f t="shared" si="40"/>
        <v>8</v>
      </c>
      <c r="B1347">
        <f t="shared" si="41"/>
        <v>7.5</v>
      </c>
      <c r="C1347" s="199" t="str">
        <f>B1347&amp;LOOKUP(A1347, Sheet2!$A$2:$A$11, Sheet2!$B$2:$B$11)</f>
        <v>7.5P</v>
      </c>
      <c r="D1347">
        <v>87.5</v>
      </c>
      <c r="E1347">
        <v>14</v>
      </c>
      <c r="F1347">
        <v>3</v>
      </c>
      <c r="G1347">
        <v>0.49080000000000001</v>
      </c>
      <c r="H1347">
        <v>6.0100000000000001E-2</v>
      </c>
      <c r="I1347">
        <v>0.52059999999999995</v>
      </c>
      <c r="J1347" s="1" t="str">
        <f>HYPERLINK(SetRGB(J1347,G1347*255,H1347*255,I1347*255),"HOVER!")</f>
        <v>HOVER!</v>
      </c>
      <c r="K1347">
        <f>E1347/F1347</f>
        <v>4.666666666666667</v>
      </c>
    </row>
    <row r="1348" spans="1:11" ht="15" x14ac:dyDescent="0.35">
      <c r="A1348">
        <f t="shared" si="40"/>
        <v>8</v>
      </c>
      <c r="B1348">
        <f t="shared" si="41"/>
        <v>7.5</v>
      </c>
      <c r="C1348" s="199" t="str">
        <f>B1348&amp;LOOKUP(A1348, Sheet2!$A$2:$A$11, Sheet2!$B$2:$B$11)</f>
        <v>7.5P</v>
      </c>
      <c r="D1348">
        <v>87.5</v>
      </c>
      <c r="E1348">
        <v>2</v>
      </c>
      <c r="F1348">
        <v>4</v>
      </c>
      <c r="G1348">
        <v>0.41770000000000002</v>
      </c>
      <c r="H1348">
        <v>0.36430000000000001</v>
      </c>
      <c r="I1348">
        <v>0.42080000000000001</v>
      </c>
      <c r="J1348" s="1" t="str">
        <f>HYPERLINK(SetRGB(J1348,G1348*255,H1348*255,I1348*255),"HOVER!")</f>
        <v>HOVER!</v>
      </c>
      <c r="K1348">
        <f>E1348/F1348</f>
        <v>0.5</v>
      </c>
    </row>
    <row r="1349" spans="1:11" ht="15" x14ac:dyDescent="0.35">
      <c r="A1349">
        <f t="shared" si="40"/>
        <v>8</v>
      </c>
      <c r="B1349">
        <f t="shared" si="41"/>
        <v>7.5</v>
      </c>
      <c r="C1349" s="199" t="str">
        <f>B1349&amp;LOOKUP(A1349, Sheet2!$A$2:$A$11, Sheet2!$B$2:$B$11)</f>
        <v>7.5P</v>
      </c>
      <c r="D1349">
        <v>87.5</v>
      </c>
      <c r="E1349">
        <v>4</v>
      </c>
      <c r="F1349">
        <v>4</v>
      </c>
      <c r="G1349">
        <v>0.44829999999999998</v>
      </c>
      <c r="H1349">
        <v>0.3478</v>
      </c>
      <c r="I1349">
        <v>0.45479999999999998</v>
      </c>
      <c r="J1349" s="1" t="str">
        <f>HYPERLINK(SetRGB(J1349,G1349*255,H1349*255,I1349*255),"HOVER!")</f>
        <v>HOVER!</v>
      </c>
      <c r="K1349">
        <f>E1349/F1349</f>
        <v>1</v>
      </c>
    </row>
    <row r="1350" spans="1:11" ht="15" x14ac:dyDescent="0.35">
      <c r="A1350">
        <f t="shared" si="40"/>
        <v>8</v>
      </c>
      <c r="B1350">
        <f t="shared" si="41"/>
        <v>7.5</v>
      </c>
      <c r="C1350" s="199" t="str">
        <f>B1350&amp;LOOKUP(A1350, Sheet2!$A$2:$A$11, Sheet2!$B$2:$B$11)</f>
        <v>7.5P</v>
      </c>
      <c r="D1350">
        <v>87.5</v>
      </c>
      <c r="E1350">
        <v>6</v>
      </c>
      <c r="F1350">
        <v>4</v>
      </c>
      <c r="G1350">
        <v>0.47720000000000001</v>
      </c>
      <c r="H1350">
        <v>0.32979999999999998</v>
      </c>
      <c r="I1350">
        <v>0.48659999999999998</v>
      </c>
      <c r="J1350" s="1" t="str">
        <f>HYPERLINK(SetRGB(J1350,G1350*255,H1350*255,I1350*255),"HOVER!")</f>
        <v>HOVER!</v>
      </c>
      <c r="K1350">
        <f>E1350/F1350</f>
        <v>1.5</v>
      </c>
    </row>
    <row r="1351" spans="1:11" ht="15" x14ac:dyDescent="0.35">
      <c r="A1351">
        <f t="shared" si="40"/>
        <v>8</v>
      </c>
      <c r="B1351">
        <f t="shared" si="41"/>
        <v>7.5</v>
      </c>
      <c r="C1351" s="199" t="str">
        <f>B1351&amp;LOOKUP(A1351, Sheet2!$A$2:$A$11, Sheet2!$B$2:$B$11)</f>
        <v>7.5P</v>
      </c>
      <c r="D1351">
        <v>87.5</v>
      </c>
      <c r="E1351">
        <v>8</v>
      </c>
      <c r="F1351">
        <v>4</v>
      </c>
      <c r="G1351">
        <v>0.50539999999999996</v>
      </c>
      <c r="H1351">
        <v>0.30930000000000002</v>
      </c>
      <c r="I1351">
        <v>0.51829999999999998</v>
      </c>
      <c r="J1351" s="1" t="str">
        <f>HYPERLINK(SetRGB(J1351,G1351*255,H1351*255,I1351*255),"HOVER!")</f>
        <v>HOVER!</v>
      </c>
      <c r="K1351">
        <f>E1351/F1351</f>
        <v>2</v>
      </c>
    </row>
    <row r="1352" spans="1:11" ht="15" x14ac:dyDescent="0.35">
      <c r="A1352">
        <f t="shared" si="40"/>
        <v>8</v>
      </c>
      <c r="B1352">
        <f t="shared" si="41"/>
        <v>7.5</v>
      </c>
      <c r="C1352" s="199" t="str">
        <f>B1352&amp;LOOKUP(A1352, Sheet2!$A$2:$A$11, Sheet2!$B$2:$B$11)</f>
        <v>7.5P</v>
      </c>
      <c r="D1352">
        <v>87.5</v>
      </c>
      <c r="E1352">
        <v>10</v>
      </c>
      <c r="F1352">
        <v>4</v>
      </c>
      <c r="G1352">
        <v>0.53280000000000005</v>
      </c>
      <c r="H1352">
        <v>0.28599999999999998</v>
      </c>
      <c r="I1352">
        <v>0.54920000000000002</v>
      </c>
      <c r="J1352" s="1" t="str">
        <f>HYPERLINK(SetRGB(J1352,G1352*255,H1352*255,I1352*255),"HOVER!")</f>
        <v>HOVER!</v>
      </c>
      <c r="K1352">
        <f>E1352/F1352</f>
        <v>2.5</v>
      </c>
    </row>
    <row r="1353" spans="1:11" ht="15" x14ac:dyDescent="0.35">
      <c r="A1353">
        <f t="shared" si="40"/>
        <v>8</v>
      </c>
      <c r="B1353">
        <f t="shared" si="41"/>
        <v>7.5</v>
      </c>
      <c r="C1353" s="199" t="str">
        <f>B1353&amp;LOOKUP(A1353, Sheet2!$A$2:$A$11, Sheet2!$B$2:$B$11)</f>
        <v>7.5P</v>
      </c>
      <c r="D1353">
        <v>87.5</v>
      </c>
      <c r="E1353">
        <v>12</v>
      </c>
      <c r="F1353">
        <v>4</v>
      </c>
      <c r="G1353">
        <v>0.56000000000000005</v>
      </c>
      <c r="H1353">
        <v>0.25850000000000001</v>
      </c>
      <c r="I1353">
        <v>0.58020000000000005</v>
      </c>
      <c r="J1353" s="1" t="str">
        <f>HYPERLINK(SetRGB(J1353,G1353*255,H1353*255,I1353*255),"HOVER!")</f>
        <v>HOVER!</v>
      </c>
      <c r="K1353">
        <f>E1353/F1353</f>
        <v>3</v>
      </c>
    </row>
    <row r="1354" spans="1:11" ht="15" x14ac:dyDescent="0.35">
      <c r="A1354">
        <f t="shared" si="40"/>
        <v>8</v>
      </c>
      <c r="B1354">
        <f t="shared" si="41"/>
        <v>7.5</v>
      </c>
      <c r="C1354" s="199" t="str">
        <f>B1354&amp;LOOKUP(A1354, Sheet2!$A$2:$A$11, Sheet2!$B$2:$B$11)</f>
        <v>7.5P</v>
      </c>
      <c r="D1354">
        <v>87.5</v>
      </c>
      <c r="E1354">
        <v>14</v>
      </c>
      <c r="F1354">
        <v>4</v>
      </c>
      <c r="G1354">
        <v>0.58919999999999995</v>
      </c>
      <c r="H1354">
        <v>0.22220000000000001</v>
      </c>
      <c r="I1354">
        <v>0.61309999999999998</v>
      </c>
      <c r="J1354" s="1" t="str">
        <f>HYPERLINK(SetRGB(J1354,G1354*255,H1354*255,I1354*255),"HOVER!")</f>
        <v>HOVER!</v>
      </c>
      <c r="K1354">
        <f>E1354/F1354</f>
        <v>3.5</v>
      </c>
    </row>
    <row r="1355" spans="1:11" ht="15" x14ac:dyDescent="0.35">
      <c r="A1355">
        <f t="shared" si="40"/>
        <v>8</v>
      </c>
      <c r="B1355">
        <f t="shared" si="41"/>
        <v>7.5</v>
      </c>
      <c r="C1355" s="199" t="str">
        <f>B1355&amp;LOOKUP(A1355, Sheet2!$A$2:$A$11, Sheet2!$B$2:$B$11)</f>
        <v>7.5P</v>
      </c>
      <c r="D1355">
        <v>87.5</v>
      </c>
      <c r="E1355">
        <v>16</v>
      </c>
      <c r="F1355">
        <v>4</v>
      </c>
      <c r="G1355">
        <v>0.61839999999999995</v>
      </c>
      <c r="H1355">
        <v>0.17449999999999999</v>
      </c>
      <c r="I1355">
        <v>0.6452</v>
      </c>
      <c r="J1355" s="1" t="str">
        <f>HYPERLINK(SetRGB(J1355,G1355*255,H1355*255,I1355*255),"HOVER!")</f>
        <v>HOVER!</v>
      </c>
      <c r="K1355">
        <f>E1355/F1355</f>
        <v>4</v>
      </c>
    </row>
    <row r="1356" spans="1:11" ht="15" x14ac:dyDescent="0.35">
      <c r="A1356">
        <f t="shared" si="40"/>
        <v>8</v>
      </c>
      <c r="B1356">
        <f t="shared" si="41"/>
        <v>7.5</v>
      </c>
      <c r="C1356" s="199" t="str">
        <f>B1356&amp;LOOKUP(A1356, Sheet2!$A$2:$A$11, Sheet2!$B$2:$B$11)</f>
        <v>7.5P</v>
      </c>
      <c r="D1356">
        <v>87.5</v>
      </c>
      <c r="E1356">
        <v>18</v>
      </c>
      <c r="F1356">
        <v>4</v>
      </c>
      <c r="G1356">
        <v>0.64610000000000001</v>
      </c>
      <c r="H1356">
        <v>0.1038</v>
      </c>
      <c r="I1356">
        <v>0.67730000000000001</v>
      </c>
      <c r="J1356" s="1" t="str">
        <f>HYPERLINK(SetRGB(J1356,G1356*255,H1356*255,I1356*255),"HOVER!")</f>
        <v>HOVER!</v>
      </c>
      <c r="K1356">
        <f>E1356/F1356</f>
        <v>4.5</v>
      </c>
    </row>
    <row r="1357" spans="1:11" ht="15" x14ac:dyDescent="0.35">
      <c r="A1357">
        <f t="shared" si="40"/>
        <v>8</v>
      </c>
      <c r="B1357">
        <f t="shared" si="41"/>
        <v>7.5</v>
      </c>
      <c r="C1357" s="199" t="str">
        <f>B1357&amp;LOOKUP(A1357, Sheet2!$A$2:$A$11, Sheet2!$B$2:$B$11)</f>
        <v>7.5P</v>
      </c>
      <c r="D1357">
        <v>87.5</v>
      </c>
      <c r="E1357">
        <v>2</v>
      </c>
      <c r="F1357">
        <v>5</v>
      </c>
      <c r="G1357">
        <v>0.51359999999999995</v>
      </c>
      <c r="H1357">
        <v>0.46810000000000002</v>
      </c>
      <c r="I1357">
        <v>0.51370000000000005</v>
      </c>
      <c r="J1357" s="1" t="str">
        <f>HYPERLINK(SetRGB(J1357,G1357*255,H1357*255,I1357*255),"HOVER!")</f>
        <v>HOVER!</v>
      </c>
      <c r="K1357">
        <f>E1357/F1357</f>
        <v>0.4</v>
      </c>
    </row>
    <row r="1358" spans="1:11" ht="15" x14ac:dyDescent="0.35">
      <c r="A1358">
        <f t="shared" ref="A1358:A1421" si="42">IF(FLOOR(D1358/10,1)=0,10,FLOOR(D1358/10,1))</f>
        <v>8</v>
      </c>
      <c r="B1358">
        <f t="shared" ref="B1358:B1421" si="43">IF(MOD(D1358,10)=0,10,MOD(D1358,10))</f>
        <v>7.5</v>
      </c>
      <c r="C1358" s="199" t="str">
        <f>B1358&amp;LOOKUP(A1358, Sheet2!$A$2:$A$11, Sheet2!$B$2:$B$11)</f>
        <v>7.5P</v>
      </c>
      <c r="D1358">
        <v>87.5</v>
      </c>
      <c r="E1358">
        <v>4</v>
      </c>
      <c r="F1358">
        <v>5</v>
      </c>
      <c r="G1358">
        <v>0.54679999999999995</v>
      </c>
      <c r="H1358">
        <v>0.45150000000000001</v>
      </c>
      <c r="I1358">
        <v>0.54900000000000004</v>
      </c>
      <c r="J1358" s="1" t="str">
        <f>HYPERLINK(SetRGB(J1358,G1358*255,H1358*255,I1358*255),"HOVER!")</f>
        <v>HOVER!</v>
      </c>
      <c r="K1358">
        <f>E1358/F1358</f>
        <v>0.8</v>
      </c>
    </row>
    <row r="1359" spans="1:11" ht="15" x14ac:dyDescent="0.35">
      <c r="A1359">
        <f t="shared" si="42"/>
        <v>8</v>
      </c>
      <c r="B1359">
        <f t="shared" si="43"/>
        <v>7.5</v>
      </c>
      <c r="C1359" s="199" t="str">
        <f>B1359&amp;LOOKUP(A1359, Sheet2!$A$2:$A$11, Sheet2!$B$2:$B$11)</f>
        <v>7.5P</v>
      </c>
      <c r="D1359">
        <v>87.5</v>
      </c>
      <c r="E1359">
        <v>6</v>
      </c>
      <c r="F1359">
        <v>5</v>
      </c>
      <c r="G1359">
        <v>0.57889999999999997</v>
      </c>
      <c r="H1359">
        <v>0.43309999999999998</v>
      </c>
      <c r="I1359">
        <v>0.58430000000000004</v>
      </c>
      <c r="J1359" s="1" t="str">
        <f>HYPERLINK(SetRGB(J1359,G1359*255,H1359*255,I1359*255),"HOVER!")</f>
        <v>HOVER!</v>
      </c>
      <c r="K1359">
        <f>E1359/F1359</f>
        <v>1.2</v>
      </c>
    </row>
    <row r="1360" spans="1:11" ht="15" x14ac:dyDescent="0.35">
      <c r="A1360">
        <f t="shared" si="42"/>
        <v>8</v>
      </c>
      <c r="B1360">
        <f t="shared" si="43"/>
        <v>7.5</v>
      </c>
      <c r="C1360" s="199" t="str">
        <f>B1360&amp;LOOKUP(A1360, Sheet2!$A$2:$A$11, Sheet2!$B$2:$B$11)</f>
        <v>7.5P</v>
      </c>
      <c r="D1360">
        <v>87.5</v>
      </c>
      <c r="E1360">
        <v>8</v>
      </c>
      <c r="F1360">
        <v>5</v>
      </c>
      <c r="G1360">
        <v>0.61099999999999999</v>
      </c>
      <c r="H1360">
        <v>0.41220000000000001</v>
      </c>
      <c r="I1360">
        <v>0.61929999999999996</v>
      </c>
      <c r="J1360" s="1" t="str">
        <f>HYPERLINK(SetRGB(J1360,G1360*255,H1360*255,I1360*255),"HOVER!")</f>
        <v>HOVER!</v>
      </c>
      <c r="K1360">
        <f>E1360/F1360</f>
        <v>1.6</v>
      </c>
    </row>
    <row r="1361" spans="1:11" ht="15" x14ac:dyDescent="0.35">
      <c r="A1361">
        <f t="shared" si="42"/>
        <v>8</v>
      </c>
      <c r="B1361">
        <f t="shared" si="43"/>
        <v>7.5</v>
      </c>
      <c r="C1361" s="199" t="str">
        <f>B1361&amp;LOOKUP(A1361, Sheet2!$A$2:$A$11, Sheet2!$B$2:$B$11)</f>
        <v>7.5P</v>
      </c>
      <c r="D1361">
        <v>87.5</v>
      </c>
      <c r="E1361">
        <v>10</v>
      </c>
      <c r="F1361">
        <v>5</v>
      </c>
      <c r="G1361">
        <v>0.63829999999999998</v>
      </c>
      <c r="H1361">
        <v>0.39200000000000002</v>
      </c>
      <c r="I1361">
        <v>0.64959999999999996</v>
      </c>
      <c r="J1361" s="1" t="str">
        <f>HYPERLINK(SetRGB(J1361,G1361*255,H1361*255,I1361*255),"HOVER!")</f>
        <v>HOVER!</v>
      </c>
      <c r="K1361">
        <f>E1361/F1361</f>
        <v>2</v>
      </c>
    </row>
    <row r="1362" spans="1:11" ht="15" x14ac:dyDescent="0.35">
      <c r="A1362">
        <f t="shared" si="42"/>
        <v>8</v>
      </c>
      <c r="B1362">
        <f t="shared" si="43"/>
        <v>7.5</v>
      </c>
      <c r="C1362" s="199" t="str">
        <f>B1362&amp;LOOKUP(A1362, Sheet2!$A$2:$A$11, Sheet2!$B$2:$B$11)</f>
        <v>7.5P</v>
      </c>
      <c r="D1362">
        <v>87.5</v>
      </c>
      <c r="E1362">
        <v>12</v>
      </c>
      <c r="F1362">
        <v>5</v>
      </c>
      <c r="G1362">
        <v>0.66820000000000002</v>
      </c>
      <c r="H1362">
        <v>0.36659999999999998</v>
      </c>
      <c r="I1362">
        <v>0.68330000000000002</v>
      </c>
      <c r="J1362" s="1" t="str">
        <f>HYPERLINK(SetRGB(J1362,G1362*255,H1362*255,I1362*255),"HOVER!")</f>
        <v>HOVER!</v>
      </c>
      <c r="K1362">
        <f>E1362/F1362</f>
        <v>2.4</v>
      </c>
    </row>
    <row r="1363" spans="1:11" ht="15" x14ac:dyDescent="0.35">
      <c r="A1363">
        <f t="shared" si="42"/>
        <v>8</v>
      </c>
      <c r="B1363">
        <f t="shared" si="43"/>
        <v>7.5</v>
      </c>
      <c r="C1363" s="199" t="str">
        <f>B1363&amp;LOOKUP(A1363, Sheet2!$A$2:$A$11, Sheet2!$B$2:$B$11)</f>
        <v>7.5P</v>
      </c>
      <c r="D1363">
        <v>87.5</v>
      </c>
      <c r="E1363">
        <v>14</v>
      </c>
      <c r="F1363">
        <v>5</v>
      </c>
      <c r="G1363">
        <v>0.69730000000000003</v>
      </c>
      <c r="H1363">
        <v>0.33839999999999998</v>
      </c>
      <c r="I1363">
        <v>0.71409999999999996</v>
      </c>
      <c r="J1363" s="1" t="str">
        <f>HYPERLINK(SetRGB(J1363,G1363*255,H1363*255,I1363*255),"HOVER!")</f>
        <v>HOVER!</v>
      </c>
      <c r="K1363">
        <f>E1363/F1363</f>
        <v>2.8</v>
      </c>
    </row>
    <row r="1364" spans="1:11" ht="15" x14ac:dyDescent="0.35">
      <c r="A1364">
        <f t="shared" si="42"/>
        <v>8</v>
      </c>
      <c r="B1364">
        <f t="shared" si="43"/>
        <v>7.5</v>
      </c>
      <c r="C1364" s="199" t="str">
        <f>B1364&amp;LOOKUP(A1364, Sheet2!$A$2:$A$11, Sheet2!$B$2:$B$11)</f>
        <v>7.5P</v>
      </c>
      <c r="D1364">
        <v>87.5</v>
      </c>
      <c r="E1364">
        <v>16</v>
      </c>
      <c r="F1364">
        <v>5</v>
      </c>
      <c r="G1364">
        <v>0.72519999999999996</v>
      </c>
      <c r="H1364">
        <v>0.30609999999999998</v>
      </c>
      <c r="I1364">
        <v>0.74560000000000004</v>
      </c>
      <c r="J1364" s="1" t="str">
        <f>HYPERLINK(SetRGB(J1364,G1364*255,H1364*255,I1364*255),"HOVER!")</f>
        <v>HOVER!</v>
      </c>
      <c r="K1364">
        <f>E1364/F1364</f>
        <v>3.2</v>
      </c>
    </row>
    <row r="1365" spans="1:11" ht="15" x14ac:dyDescent="0.35">
      <c r="A1365">
        <f t="shared" si="42"/>
        <v>8</v>
      </c>
      <c r="B1365">
        <f t="shared" si="43"/>
        <v>7.5</v>
      </c>
      <c r="C1365" s="199" t="str">
        <f>B1365&amp;LOOKUP(A1365, Sheet2!$A$2:$A$11, Sheet2!$B$2:$B$11)</f>
        <v>7.5P</v>
      </c>
      <c r="D1365">
        <v>87.5</v>
      </c>
      <c r="E1365">
        <v>18</v>
      </c>
      <c r="F1365">
        <v>5</v>
      </c>
      <c r="G1365">
        <v>0.75490000000000002</v>
      </c>
      <c r="H1365">
        <v>0.26429999999999998</v>
      </c>
      <c r="I1365">
        <v>0.77890000000000004</v>
      </c>
      <c r="J1365" s="1" t="str">
        <f>HYPERLINK(SetRGB(J1365,G1365*255,H1365*255,I1365*255),"HOVER!")</f>
        <v>HOVER!</v>
      </c>
      <c r="K1365">
        <f>E1365/F1365</f>
        <v>3.6</v>
      </c>
    </row>
    <row r="1366" spans="1:11" ht="15" x14ac:dyDescent="0.35">
      <c r="A1366">
        <f t="shared" si="42"/>
        <v>8</v>
      </c>
      <c r="B1366">
        <f t="shared" si="43"/>
        <v>7.5</v>
      </c>
      <c r="C1366" s="199" t="str">
        <f>B1366&amp;LOOKUP(A1366, Sheet2!$A$2:$A$11, Sheet2!$B$2:$B$11)</f>
        <v>7.5P</v>
      </c>
      <c r="D1366">
        <v>87.5</v>
      </c>
      <c r="E1366">
        <v>20</v>
      </c>
      <c r="F1366">
        <v>5</v>
      </c>
      <c r="G1366">
        <v>0.78249999999999997</v>
      </c>
      <c r="H1366">
        <v>0.2137</v>
      </c>
      <c r="I1366">
        <v>0.81079999999999997</v>
      </c>
      <c r="J1366" s="1" t="str">
        <f>HYPERLINK(SetRGB(J1366,G1366*255,H1366*255,I1366*255),"HOVER!")</f>
        <v>HOVER!</v>
      </c>
      <c r="K1366">
        <f>E1366/F1366</f>
        <v>4</v>
      </c>
    </row>
    <row r="1367" spans="1:11" ht="15" x14ac:dyDescent="0.35">
      <c r="A1367">
        <f t="shared" si="42"/>
        <v>8</v>
      </c>
      <c r="B1367">
        <f t="shared" si="43"/>
        <v>7.5</v>
      </c>
      <c r="C1367" s="199" t="str">
        <f>B1367&amp;LOOKUP(A1367, Sheet2!$A$2:$A$11, Sheet2!$B$2:$B$11)</f>
        <v>7.5P</v>
      </c>
      <c r="D1367">
        <v>87.5</v>
      </c>
      <c r="E1367">
        <v>22</v>
      </c>
      <c r="F1367">
        <v>5</v>
      </c>
      <c r="G1367">
        <v>0.8145</v>
      </c>
      <c r="H1367">
        <v>0.12590000000000001</v>
      </c>
      <c r="I1367">
        <v>0.84519999999999995</v>
      </c>
      <c r="J1367" s="1" t="str">
        <f>HYPERLINK(SetRGB(J1367,G1367*255,H1367*255,I1367*255),"HOVER!")</f>
        <v>HOVER!</v>
      </c>
      <c r="K1367">
        <f>E1367/F1367</f>
        <v>4.4000000000000004</v>
      </c>
    </row>
    <row r="1368" spans="1:11" ht="15" x14ac:dyDescent="0.35">
      <c r="A1368">
        <f t="shared" si="42"/>
        <v>8</v>
      </c>
      <c r="B1368">
        <f t="shared" si="43"/>
        <v>7.5</v>
      </c>
      <c r="C1368" s="199" t="str">
        <f>B1368&amp;LOOKUP(A1368, Sheet2!$A$2:$A$11, Sheet2!$B$2:$B$11)</f>
        <v>7.5P</v>
      </c>
      <c r="D1368">
        <v>87.5</v>
      </c>
      <c r="E1368">
        <v>2</v>
      </c>
      <c r="F1368">
        <v>6</v>
      </c>
      <c r="G1368">
        <v>0.6169</v>
      </c>
      <c r="H1368">
        <v>0.57040000000000002</v>
      </c>
      <c r="I1368">
        <v>0.61529999999999996</v>
      </c>
      <c r="J1368" s="2" t="str">
        <f>HYPERLINK(SetRGB(J1368,G1368*255,H1368*255,I1368*255),"HOVER!")</f>
        <v>HOVER!</v>
      </c>
      <c r="K1368">
        <f>E1368/F1368</f>
        <v>0.33333333333333331</v>
      </c>
    </row>
    <row r="1369" spans="1:11" ht="15" x14ac:dyDescent="0.35">
      <c r="A1369">
        <f t="shared" si="42"/>
        <v>8</v>
      </c>
      <c r="B1369">
        <f t="shared" si="43"/>
        <v>7.5</v>
      </c>
      <c r="C1369" s="199" t="str">
        <f>B1369&amp;LOOKUP(A1369, Sheet2!$A$2:$A$11, Sheet2!$B$2:$B$11)</f>
        <v>7.5P</v>
      </c>
      <c r="D1369">
        <v>87.5</v>
      </c>
      <c r="E1369">
        <v>4</v>
      </c>
      <c r="F1369">
        <v>6</v>
      </c>
      <c r="G1369">
        <v>0.64770000000000005</v>
      </c>
      <c r="H1369">
        <v>0.55549999999999999</v>
      </c>
      <c r="I1369">
        <v>0.64710000000000001</v>
      </c>
      <c r="J1369" s="2" t="str">
        <f>HYPERLINK(SetRGB(J1369,G1369*255,H1369*255,I1369*255),"HOVER!")</f>
        <v>HOVER!</v>
      </c>
      <c r="K1369">
        <f>E1369/F1369</f>
        <v>0.66666666666666663</v>
      </c>
    </row>
    <row r="1370" spans="1:11" ht="15" x14ac:dyDescent="0.35">
      <c r="A1370">
        <f t="shared" si="42"/>
        <v>8</v>
      </c>
      <c r="B1370">
        <f t="shared" si="43"/>
        <v>7.5</v>
      </c>
      <c r="C1370" s="199" t="str">
        <f>B1370&amp;LOOKUP(A1370, Sheet2!$A$2:$A$11, Sheet2!$B$2:$B$11)</f>
        <v>7.5P</v>
      </c>
      <c r="D1370">
        <v>87.5</v>
      </c>
      <c r="E1370">
        <v>6</v>
      </c>
      <c r="F1370">
        <v>6</v>
      </c>
      <c r="G1370">
        <v>0.68220000000000003</v>
      </c>
      <c r="H1370">
        <v>0.53680000000000005</v>
      </c>
      <c r="I1370">
        <v>0.68500000000000005</v>
      </c>
      <c r="J1370" s="2" t="str">
        <f>HYPERLINK(SetRGB(J1370,G1370*255,H1370*255,I1370*255),"HOVER!")</f>
        <v>HOVER!</v>
      </c>
      <c r="K1370">
        <f>E1370/F1370</f>
        <v>1</v>
      </c>
    </row>
    <row r="1371" spans="1:11" ht="15" x14ac:dyDescent="0.35">
      <c r="A1371">
        <f t="shared" si="42"/>
        <v>8</v>
      </c>
      <c r="B1371">
        <f t="shared" si="43"/>
        <v>7.5</v>
      </c>
      <c r="C1371" s="199" t="str">
        <f>B1371&amp;LOOKUP(A1371, Sheet2!$A$2:$A$11, Sheet2!$B$2:$B$11)</f>
        <v>7.5P</v>
      </c>
      <c r="D1371">
        <v>87.5</v>
      </c>
      <c r="E1371">
        <v>8</v>
      </c>
      <c r="F1371">
        <v>6</v>
      </c>
      <c r="G1371">
        <v>0.71309999999999996</v>
      </c>
      <c r="H1371">
        <v>0.51829999999999998</v>
      </c>
      <c r="I1371">
        <v>0.71760000000000002</v>
      </c>
      <c r="J1371" s="2" t="str">
        <f>HYPERLINK(SetRGB(J1371,G1371*255,H1371*255,I1371*255),"HOVER!")</f>
        <v>HOVER!</v>
      </c>
      <c r="K1371">
        <f>E1371/F1371</f>
        <v>1.3333333333333333</v>
      </c>
    </row>
    <row r="1372" spans="1:11" ht="15" x14ac:dyDescent="0.35">
      <c r="A1372">
        <f t="shared" si="42"/>
        <v>8</v>
      </c>
      <c r="B1372">
        <f t="shared" si="43"/>
        <v>7.5</v>
      </c>
      <c r="C1372" s="199" t="str">
        <f>B1372&amp;LOOKUP(A1372, Sheet2!$A$2:$A$11, Sheet2!$B$2:$B$11)</f>
        <v>7.5P</v>
      </c>
      <c r="D1372">
        <v>87.5</v>
      </c>
      <c r="E1372">
        <v>10</v>
      </c>
      <c r="F1372">
        <v>6</v>
      </c>
      <c r="G1372">
        <v>0.74529999999999996</v>
      </c>
      <c r="H1372">
        <v>0.4965</v>
      </c>
      <c r="I1372">
        <v>0.75339999999999996</v>
      </c>
      <c r="J1372" s="2" t="str">
        <f>HYPERLINK(SetRGB(J1372,G1372*255,H1372*255,I1372*255),"HOVER!")</f>
        <v>HOVER!</v>
      </c>
      <c r="K1372">
        <f>E1372/F1372</f>
        <v>1.6666666666666667</v>
      </c>
    </row>
    <row r="1373" spans="1:11" ht="15" x14ac:dyDescent="0.35">
      <c r="A1373">
        <f t="shared" si="42"/>
        <v>8</v>
      </c>
      <c r="B1373">
        <f t="shared" si="43"/>
        <v>7.5</v>
      </c>
      <c r="C1373" s="199" t="str">
        <f>B1373&amp;LOOKUP(A1373, Sheet2!$A$2:$A$11, Sheet2!$B$2:$B$11)</f>
        <v>7.5P</v>
      </c>
      <c r="D1373">
        <v>87.5</v>
      </c>
      <c r="E1373">
        <v>12</v>
      </c>
      <c r="F1373">
        <v>6</v>
      </c>
      <c r="G1373">
        <v>0.77549999999999997</v>
      </c>
      <c r="H1373">
        <v>0.47399999999999998</v>
      </c>
      <c r="I1373">
        <v>0.78520000000000001</v>
      </c>
      <c r="J1373" s="2" t="str">
        <f>HYPERLINK(SetRGB(J1373,G1373*255,H1373*255,I1373*255),"HOVER!")</f>
        <v>HOVER!</v>
      </c>
      <c r="K1373">
        <f>E1373/F1373</f>
        <v>2</v>
      </c>
    </row>
    <row r="1374" spans="1:11" ht="15" x14ac:dyDescent="0.35">
      <c r="A1374">
        <f t="shared" si="42"/>
        <v>8</v>
      </c>
      <c r="B1374">
        <f t="shared" si="43"/>
        <v>7.5</v>
      </c>
      <c r="C1374" s="199" t="str">
        <f>B1374&amp;LOOKUP(A1374, Sheet2!$A$2:$A$11, Sheet2!$B$2:$B$11)</f>
        <v>7.5P</v>
      </c>
      <c r="D1374">
        <v>87.5</v>
      </c>
      <c r="E1374">
        <v>14</v>
      </c>
      <c r="F1374">
        <v>6</v>
      </c>
      <c r="G1374">
        <v>0.80610000000000004</v>
      </c>
      <c r="H1374">
        <v>0.44800000000000001</v>
      </c>
      <c r="I1374">
        <v>0.81899999999999995</v>
      </c>
      <c r="J1374" s="2" t="str">
        <f>HYPERLINK(SetRGB(J1374,G1374*255,H1374*255,I1374*255),"HOVER!")</f>
        <v>HOVER!</v>
      </c>
      <c r="K1374">
        <f>E1374/F1374</f>
        <v>2.3333333333333335</v>
      </c>
    </row>
    <row r="1375" spans="1:11" ht="15" x14ac:dyDescent="0.35">
      <c r="A1375">
        <f t="shared" si="42"/>
        <v>8</v>
      </c>
      <c r="B1375">
        <f t="shared" si="43"/>
        <v>7.5</v>
      </c>
      <c r="C1375" s="199" t="str">
        <f>B1375&amp;LOOKUP(A1375, Sheet2!$A$2:$A$11, Sheet2!$B$2:$B$11)</f>
        <v>7.5P</v>
      </c>
      <c r="D1375">
        <v>87.5</v>
      </c>
      <c r="E1375">
        <v>16</v>
      </c>
      <c r="F1375">
        <v>6</v>
      </c>
      <c r="G1375">
        <v>0.83730000000000004</v>
      </c>
      <c r="H1375">
        <v>0.41810000000000003</v>
      </c>
      <c r="I1375">
        <v>0.85260000000000002</v>
      </c>
      <c r="J1375" s="2" t="str">
        <f>HYPERLINK(SetRGB(J1375,G1375*255,H1375*255,I1375*255),"HOVER!")</f>
        <v>HOVER!</v>
      </c>
      <c r="K1375">
        <f>E1375/F1375</f>
        <v>2.6666666666666665</v>
      </c>
    </row>
    <row r="1376" spans="1:11" ht="15" x14ac:dyDescent="0.35">
      <c r="A1376">
        <f t="shared" si="42"/>
        <v>8</v>
      </c>
      <c r="B1376">
        <f t="shared" si="43"/>
        <v>7.5</v>
      </c>
      <c r="C1376" s="199" t="str">
        <f>B1376&amp;LOOKUP(A1376, Sheet2!$A$2:$A$11, Sheet2!$B$2:$B$11)</f>
        <v>7.5P</v>
      </c>
      <c r="D1376">
        <v>87.5</v>
      </c>
      <c r="E1376">
        <v>18</v>
      </c>
      <c r="F1376">
        <v>6</v>
      </c>
      <c r="G1376">
        <v>0.86660000000000004</v>
      </c>
      <c r="H1376">
        <v>0.38569999999999999</v>
      </c>
      <c r="I1376">
        <v>0.88449999999999995</v>
      </c>
      <c r="J1376" s="2" t="str">
        <f>HYPERLINK(SetRGB(J1376,G1376*255,H1376*255,I1376*255),"HOVER!")</f>
        <v>HOVER!</v>
      </c>
      <c r="K1376">
        <f>E1376/F1376</f>
        <v>3</v>
      </c>
    </row>
    <row r="1377" spans="1:11" ht="15" x14ac:dyDescent="0.35">
      <c r="A1377">
        <f t="shared" si="42"/>
        <v>8</v>
      </c>
      <c r="B1377">
        <f t="shared" si="43"/>
        <v>7.5</v>
      </c>
      <c r="C1377" s="199" t="str">
        <f>B1377&amp;LOOKUP(A1377, Sheet2!$A$2:$A$11, Sheet2!$B$2:$B$11)</f>
        <v>7.5P</v>
      </c>
      <c r="D1377">
        <v>87.5</v>
      </c>
      <c r="E1377">
        <v>20</v>
      </c>
      <c r="F1377">
        <v>6</v>
      </c>
      <c r="G1377">
        <v>0.90369999999999995</v>
      </c>
      <c r="H1377">
        <v>0.33650000000000002</v>
      </c>
      <c r="I1377">
        <v>0.92500000000000004</v>
      </c>
      <c r="J1377" s="2" t="str">
        <f>HYPERLINK(SetRGB(J1377,G1377*255,H1377*255,I1377*255),"HOVER!")</f>
        <v>HOVER!</v>
      </c>
      <c r="K1377">
        <f>E1377/F1377</f>
        <v>3.3333333333333335</v>
      </c>
    </row>
    <row r="1378" spans="1:11" ht="15" x14ac:dyDescent="0.35">
      <c r="A1378">
        <f t="shared" si="42"/>
        <v>8</v>
      </c>
      <c r="B1378">
        <f t="shared" si="43"/>
        <v>7.5</v>
      </c>
      <c r="C1378" s="199" t="str">
        <f>B1378&amp;LOOKUP(A1378, Sheet2!$A$2:$A$11, Sheet2!$B$2:$B$11)</f>
        <v>7.5P</v>
      </c>
      <c r="D1378">
        <v>87.5</v>
      </c>
      <c r="E1378">
        <v>22</v>
      </c>
      <c r="F1378">
        <v>6</v>
      </c>
      <c r="G1378">
        <v>0.93740000000000001</v>
      </c>
      <c r="H1378">
        <v>0.27879999999999999</v>
      </c>
      <c r="I1378">
        <v>0.96260000000000001</v>
      </c>
      <c r="J1378" s="2" t="str">
        <f>HYPERLINK(SetRGB(J1378,G1378*255,H1378*255,I1378*255),"HOVER!")</f>
        <v>HOVER!</v>
      </c>
      <c r="K1378">
        <f>E1378/F1378</f>
        <v>3.6666666666666665</v>
      </c>
    </row>
    <row r="1379" spans="1:11" ht="15" x14ac:dyDescent="0.35">
      <c r="A1379">
        <f t="shared" si="42"/>
        <v>8</v>
      </c>
      <c r="B1379">
        <f t="shared" si="43"/>
        <v>7.5</v>
      </c>
      <c r="C1379" s="199" t="str">
        <f>B1379&amp;LOOKUP(A1379, Sheet2!$A$2:$A$11, Sheet2!$B$2:$B$11)</f>
        <v>7.5P</v>
      </c>
      <c r="D1379">
        <v>87.5</v>
      </c>
      <c r="E1379">
        <v>24</v>
      </c>
      <c r="F1379">
        <v>6</v>
      </c>
      <c r="G1379">
        <v>0.96909999999999996</v>
      </c>
      <c r="H1379">
        <v>0.20449999999999999</v>
      </c>
      <c r="I1379">
        <v>0.99670000000000003</v>
      </c>
      <c r="J1379" s="2" t="str">
        <f>HYPERLINK(SetRGB(J1379,G1379*255,H1379*255,I1379*255),"HOVER!")</f>
        <v>HOVER!</v>
      </c>
      <c r="K1379">
        <f>E1379/F1379</f>
        <v>4</v>
      </c>
    </row>
    <row r="1380" spans="1:11" ht="15" x14ac:dyDescent="0.35">
      <c r="A1380">
        <f t="shared" si="42"/>
        <v>8</v>
      </c>
      <c r="B1380">
        <f t="shared" si="43"/>
        <v>7.5</v>
      </c>
      <c r="C1380" s="199" t="str">
        <f>B1380&amp;LOOKUP(A1380, Sheet2!$A$2:$A$11, Sheet2!$B$2:$B$11)</f>
        <v>7.5P</v>
      </c>
      <c r="D1380">
        <v>87.5</v>
      </c>
      <c r="E1380">
        <v>2</v>
      </c>
      <c r="F1380">
        <v>7</v>
      </c>
      <c r="G1380">
        <v>0.71679999999999999</v>
      </c>
      <c r="H1380">
        <v>0.67549999999999999</v>
      </c>
      <c r="I1380">
        <v>0.7137</v>
      </c>
      <c r="J1380" s="2" t="str">
        <f>HYPERLINK(SetRGB(J1380,G1380*255,H1380*255,I1380*255),"HOVER!")</f>
        <v>HOVER!</v>
      </c>
      <c r="K1380">
        <f>E1380/F1380</f>
        <v>0.2857142857142857</v>
      </c>
    </row>
    <row r="1381" spans="1:11" ht="15" x14ac:dyDescent="0.35">
      <c r="A1381">
        <f t="shared" si="42"/>
        <v>8</v>
      </c>
      <c r="B1381">
        <f t="shared" si="43"/>
        <v>7.5</v>
      </c>
      <c r="C1381" s="199" t="str">
        <f>B1381&amp;LOOKUP(A1381, Sheet2!$A$2:$A$11, Sheet2!$B$2:$B$11)</f>
        <v>7.5P</v>
      </c>
      <c r="D1381">
        <v>87.5</v>
      </c>
      <c r="E1381">
        <v>4</v>
      </c>
      <c r="F1381">
        <v>7</v>
      </c>
      <c r="G1381">
        <v>0.75180000000000002</v>
      </c>
      <c r="H1381">
        <v>0.6593</v>
      </c>
      <c r="I1381">
        <v>0.74890000000000001</v>
      </c>
      <c r="J1381" s="2" t="str">
        <f>HYPERLINK(SetRGB(J1381,G1381*255,H1381*255,I1381*255),"HOVER!")</f>
        <v>HOVER!</v>
      </c>
      <c r="K1381">
        <f>E1381/F1381</f>
        <v>0.5714285714285714</v>
      </c>
    </row>
    <row r="1382" spans="1:11" ht="15" x14ac:dyDescent="0.35">
      <c r="A1382">
        <f t="shared" si="42"/>
        <v>8</v>
      </c>
      <c r="B1382">
        <f t="shared" si="43"/>
        <v>7.5</v>
      </c>
      <c r="C1382" s="199" t="str">
        <f>B1382&amp;LOOKUP(A1382, Sheet2!$A$2:$A$11, Sheet2!$B$2:$B$11)</f>
        <v>7.5P</v>
      </c>
      <c r="D1382">
        <v>87.5</v>
      </c>
      <c r="E1382">
        <v>6</v>
      </c>
      <c r="F1382">
        <v>7</v>
      </c>
      <c r="G1382">
        <v>0.78600000000000003</v>
      </c>
      <c r="H1382">
        <v>0.64170000000000005</v>
      </c>
      <c r="I1382">
        <v>0.78420000000000001</v>
      </c>
      <c r="J1382" s="2" t="str">
        <f>HYPERLINK(SetRGB(J1382,G1382*255,H1382*255,I1382*255),"HOVER!")</f>
        <v>HOVER!</v>
      </c>
      <c r="K1382">
        <f>E1382/F1382</f>
        <v>0.8571428571428571</v>
      </c>
    </row>
    <row r="1383" spans="1:11" ht="15" x14ac:dyDescent="0.35">
      <c r="A1383">
        <f t="shared" si="42"/>
        <v>8</v>
      </c>
      <c r="B1383">
        <f t="shared" si="43"/>
        <v>7.5</v>
      </c>
      <c r="C1383" s="199" t="str">
        <f>B1383&amp;LOOKUP(A1383, Sheet2!$A$2:$A$11, Sheet2!$B$2:$B$11)</f>
        <v>7.5P</v>
      </c>
      <c r="D1383">
        <v>87.5</v>
      </c>
      <c r="E1383">
        <v>8</v>
      </c>
      <c r="F1383">
        <v>7</v>
      </c>
      <c r="G1383">
        <v>0.82030000000000003</v>
      </c>
      <c r="H1383">
        <v>0.62209999999999999</v>
      </c>
      <c r="I1383">
        <v>0.82050000000000001</v>
      </c>
      <c r="J1383" s="2" t="str">
        <f>HYPERLINK(SetRGB(J1383,G1383*255,H1383*255,I1383*255),"HOVER!")</f>
        <v>HOVER!</v>
      </c>
      <c r="K1383">
        <f>E1383/F1383</f>
        <v>1.1428571428571428</v>
      </c>
    </row>
    <row r="1384" spans="1:11" ht="15" x14ac:dyDescent="0.35">
      <c r="A1384">
        <f t="shared" si="42"/>
        <v>8</v>
      </c>
      <c r="B1384">
        <f t="shared" si="43"/>
        <v>7.5</v>
      </c>
      <c r="C1384" s="199" t="str">
        <f>B1384&amp;LOOKUP(A1384, Sheet2!$A$2:$A$11, Sheet2!$B$2:$B$11)</f>
        <v>7.5P</v>
      </c>
      <c r="D1384">
        <v>87.5</v>
      </c>
      <c r="E1384">
        <v>10</v>
      </c>
      <c r="F1384">
        <v>7</v>
      </c>
      <c r="G1384">
        <v>0.85599999999999998</v>
      </c>
      <c r="H1384">
        <v>0.59970000000000001</v>
      </c>
      <c r="I1384">
        <v>0.85760000000000003</v>
      </c>
      <c r="J1384" s="2" t="str">
        <f>HYPERLINK(SetRGB(J1384,G1384*255,H1384*255,I1384*255),"HOVER!")</f>
        <v>HOVER!</v>
      </c>
      <c r="K1384">
        <f>E1384/F1384</f>
        <v>1.4285714285714286</v>
      </c>
    </row>
    <row r="1385" spans="1:11" ht="15" x14ac:dyDescent="0.35">
      <c r="A1385">
        <f t="shared" si="42"/>
        <v>8</v>
      </c>
      <c r="B1385">
        <f t="shared" si="43"/>
        <v>7.5</v>
      </c>
      <c r="C1385" s="199" t="str">
        <f>B1385&amp;LOOKUP(A1385, Sheet2!$A$2:$A$11, Sheet2!$B$2:$B$11)</f>
        <v>7.5P</v>
      </c>
      <c r="D1385">
        <v>87.5</v>
      </c>
      <c r="E1385">
        <v>12</v>
      </c>
      <c r="F1385">
        <v>7</v>
      </c>
      <c r="G1385">
        <v>0.88729999999999998</v>
      </c>
      <c r="H1385">
        <v>0.57779999999999998</v>
      </c>
      <c r="I1385">
        <v>0.89149999999999996</v>
      </c>
      <c r="J1385" s="2" t="str">
        <f>HYPERLINK(SetRGB(J1385,G1385*255,H1385*255,I1385*255),"HOVER!")</f>
        <v>HOVER!</v>
      </c>
      <c r="K1385">
        <f>E1385/F1385</f>
        <v>1.7142857142857142</v>
      </c>
    </row>
    <row r="1386" spans="1:11" ht="15" x14ac:dyDescent="0.35">
      <c r="A1386">
        <f t="shared" si="42"/>
        <v>8</v>
      </c>
      <c r="B1386">
        <f t="shared" si="43"/>
        <v>7.5</v>
      </c>
      <c r="C1386" s="199" t="str">
        <f>B1386&amp;LOOKUP(A1386, Sheet2!$A$2:$A$11, Sheet2!$B$2:$B$11)</f>
        <v>7.5P</v>
      </c>
      <c r="D1386">
        <v>87.5</v>
      </c>
      <c r="E1386">
        <v>14</v>
      </c>
      <c r="F1386">
        <v>7</v>
      </c>
      <c r="G1386">
        <v>0.92249999999999999</v>
      </c>
      <c r="H1386">
        <v>0.55059999999999998</v>
      </c>
      <c r="I1386">
        <v>0.92900000000000005</v>
      </c>
      <c r="J1386" s="2" t="str">
        <f>HYPERLINK(SetRGB(J1386,G1386*255,H1386*255,I1386*255),"HOVER!")</f>
        <v>HOVER!</v>
      </c>
      <c r="K1386">
        <f>E1386/F1386</f>
        <v>2</v>
      </c>
    </row>
    <row r="1387" spans="1:11" ht="15" x14ac:dyDescent="0.35">
      <c r="A1387">
        <f t="shared" si="42"/>
        <v>8</v>
      </c>
      <c r="B1387">
        <f t="shared" si="43"/>
        <v>7.5</v>
      </c>
      <c r="C1387" s="199" t="str">
        <f>B1387&amp;LOOKUP(A1387, Sheet2!$A$2:$A$11, Sheet2!$B$2:$B$11)</f>
        <v>7.5P</v>
      </c>
      <c r="D1387">
        <v>87.5</v>
      </c>
      <c r="E1387">
        <v>16</v>
      </c>
      <c r="F1387">
        <v>7</v>
      </c>
      <c r="G1387">
        <v>0.95730000000000004</v>
      </c>
      <c r="H1387">
        <v>0.52029999999999998</v>
      </c>
      <c r="I1387">
        <v>0.96560000000000001</v>
      </c>
      <c r="J1387" s="2" t="str">
        <f>HYPERLINK(SetRGB(J1387,G1387*255,H1387*255,I1387*255),"HOVER!")</f>
        <v>HOVER!</v>
      </c>
      <c r="K1387">
        <f>E1387/F1387</f>
        <v>2.2857142857142856</v>
      </c>
    </row>
    <row r="1388" spans="1:11" ht="15" x14ac:dyDescent="0.35">
      <c r="A1388">
        <f t="shared" si="42"/>
        <v>8</v>
      </c>
      <c r="B1388">
        <f t="shared" si="43"/>
        <v>7.5</v>
      </c>
      <c r="C1388" s="199" t="str">
        <f>B1388&amp;LOOKUP(A1388, Sheet2!$A$2:$A$11, Sheet2!$B$2:$B$11)</f>
        <v>7.5P</v>
      </c>
      <c r="D1388">
        <v>87.5</v>
      </c>
      <c r="E1388">
        <v>18</v>
      </c>
      <c r="F1388">
        <v>7</v>
      </c>
      <c r="G1388">
        <v>0.99099999999999999</v>
      </c>
      <c r="H1388">
        <v>0.48670000000000002</v>
      </c>
      <c r="I1388">
        <v>1</v>
      </c>
      <c r="J1388" s="2" t="str">
        <f>HYPERLINK(SetRGB(J1388,G1388*255,H1388*255,I1388*255),"HOVER!")</f>
        <v>HOVER!</v>
      </c>
      <c r="K1388">
        <f>E1388/F1388</f>
        <v>2.5714285714285716</v>
      </c>
    </row>
    <row r="1389" spans="1:11" ht="15" x14ac:dyDescent="0.35">
      <c r="A1389">
        <f t="shared" si="42"/>
        <v>8</v>
      </c>
      <c r="B1389">
        <f t="shared" si="43"/>
        <v>7.5</v>
      </c>
      <c r="C1389" s="199" t="str">
        <f>B1389&amp;LOOKUP(A1389, Sheet2!$A$2:$A$11, Sheet2!$B$2:$B$11)</f>
        <v>7.5P</v>
      </c>
      <c r="D1389">
        <v>87.5</v>
      </c>
      <c r="E1389">
        <v>2</v>
      </c>
      <c r="F1389">
        <v>8</v>
      </c>
      <c r="G1389">
        <v>0.81689999999999996</v>
      </c>
      <c r="H1389">
        <v>0.7823</v>
      </c>
      <c r="I1389">
        <v>0.81410000000000005</v>
      </c>
      <c r="J1389" s="2" t="str">
        <f>HYPERLINK(SetRGB(J1389,G1389*255,H1389*255,I1389*255),"HOVER!")</f>
        <v>HOVER!</v>
      </c>
      <c r="K1389">
        <f>E1389/F1389</f>
        <v>0.25</v>
      </c>
    </row>
    <row r="1390" spans="1:11" ht="15" x14ac:dyDescent="0.35">
      <c r="A1390">
        <f t="shared" si="42"/>
        <v>8</v>
      </c>
      <c r="B1390">
        <f t="shared" si="43"/>
        <v>7.5</v>
      </c>
      <c r="C1390" s="199" t="str">
        <f>B1390&amp;LOOKUP(A1390, Sheet2!$A$2:$A$11, Sheet2!$B$2:$B$11)</f>
        <v>7.5P</v>
      </c>
      <c r="D1390">
        <v>87.5</v>
      </c>
      <c r="E1390">
        <v>4</v>
      </c>
      <c r="F1390">
        <v>8</v>
      </c>
      <c r="G1390">
        <v>0.8579</v>
      </c>
      <c r="H1390">
        <v>0.76390000000000002</v>
      </c>
      <c r="I1390">
        <v>0.8528</v>
      </c>
      <c r="J1390" s="2" t="str">
        <f>HYPERLINK(SetRGB(J1390,G1390*255,H1390*255,I1390*255),"HOVER!")</f>
        <v>HOVER!</v>
      </c>
      <c r="K1390">
        <f>E1390/F1390</f>
        <v>0.5</v>
      </c>
    </row>
    <row r="1391" spans="1:11" ht="15" x14ac:dyDescent="0.35">
      <c r="A1391">
        <f t="shared" si="42"/>
        <v>8</v>
      </c>
      <c r="B1391">
        <f t="shared" si="43"/>
        <v>7.5</v>
      </c>
      <c r="C1391" s="199" t="str">
        <f>B1391&amp;LOOKUP(A1391, Sheet2!$A$2:$A$11, Sheet2!$B$2:$B$11)</f>
        <v>7.5P</v>
      </c>
      <c r="D1391">
        <v>87.5</v>
      </c>
      <c r="E1391">
        <v>6</v>
      </c>
      <c r="F1391">
        <v>8</v>
      </c>
      <c r="G1391">
        <v>0.89129999999999998</v>
      </c>
      <c r="H1391">
        <v>0.74719999999999998</v>
      </c>
      <c r="I1391">
        <v>0.88729999999999998</v>
      </c>
      <c r="J1391" s="2" t="str">
        <f>HYPERLINK(SetRGB(J1391,G1391*255,H1391*255,I1391*255),"HOVER!")</f>
        <v>HOVER!</v>
      </c>
      <c r="K1391">
        <f>E1391/F1391</f>
        <v>0.75</v>
      </c>
    </row>
    <row r="1392" spans="1:11" ht="15" x14ac:dyDescent="0.35">
      <c r="A1392">
        <f t="shared" si="42"/>
        <v>8</v>
      </c>
      <c r="B1392">
        <f t="shared" si="43"/>
        <v>7.5</v>
      </c>
      <c r="C1392" s="199" t="str">
        <f>B1392&amp;LOOKUP(A1392, Sheet2!$A$2:$A$11, Sheet2!$B$2:$B$11)</f>
        <v>7.5P</v>
      </c>
      <c r="D1392">
        <v>87.5</v>
      </c>
      <c r="E1392">
        <v>8</v>
      </c>
      <c r="F1392">
        <v>8</v>
      </c>
      <c r="G1392">
        <v>0.93489999999999995</v>
      </c>
      <c r="H1392">
        <v>0.72340000000000004</v>
      </c>
      <c r="I1392">
        <v>0.93120000000000003</v>
      </c>
      <c r="J1392" s="2" t="str">
        <f>HYPERLINK(SetRGB(J1392,G1392*255,H1392*255,I1392*255),"HOVER!")</f>
        <v>HOVER!</v>
      </c>
      <c r="K1392">
        <f>E1392/F1392</f>
        <v>1</v>
      </c>
    </row>
    <row r="1393" spans="1:11" ht="15" x14ac:dyDescent="0.35">
      <c r="A1393">
        <f t="shared" si="42"/>
        <v>8</v>
      </c>
      <c r="B1393">
        <f t="shared" si="43"/>
        <v>7.5</v>
      </c>
      <c r="C1393" s="199" t="str">
        <f>B1393&amp;LOOKUP(A1393, Sheet2!$A$2:$A$11, Sheet2!$B$2:$B$11)</f>
        <v>7.5P</v>
      </c>
      <c r="D1393">
        <v>87.5</v>
      </c>
      <c r="E1393">
        <v>10</v>
      </c>
      <c r="F1393">
        <v>8</v>
      </c>
      <c r="G1393">
        <v>0.97150000000000003</v>
      </c>
      <c r="H1393">
        <v>0.70109999999999995</v>
      </c>
      <c r="I1393">
        <v>0.96889999999999998</v>
      </c>
      <c r="J1393" s="2" t="str">
        <f>HYPERLINK(SetRGB(J1393,G1393*255,H1393*255,I1393*255),"HOVER!")</f>
        <v>HOVER!</v>
      </c>
      <c r="K1393">
        <f>E1393/F1393</f>
        <v>1.25</v>
      </c>
    </row>
    <row r="1394" spans="1:11" ht="15" x14ac:dyDescent="0.35">
      <c r="A1394">
        <f t="shared" si="42"/>
        <v>8</v>
      </c>
      <c r="B1394">
        <f t="shared" si="43"/>
        <v>7.5</v>
      </c>
      <c r="C1394" s="199" t="str">
        <f>B1394&amp;LOOKUP(A1394, Sheet2!$A$2:$A$11, Sheet2!$B$2:$B$11)</f>
        <v>7.5P</v>
      </c>
      <c r="D1394">
        <v>87.5</v>
      </c>
      <c r="E1394">
        <v>12</v>
      </c>
      <c r="F1394">
        <v>8</v>
      </c>
      <c r="G1394">
        <v>1</v>
      </c>
      <c r="H1394">
        <v>0.67559999999999998</v>
      </c>
      <c r="I1394">
        <v>1</v>
      </c>
      <c r="J1394" s="2" t="str">
        <f>HYPERLINK(SetRGB(J1394,G1394*255,H1394*255,I1394*255),"HOVER!")</f>
        <v>HOVER!</v>
      </c>
      <c r="K1394">
        <f>E1394/F1394</f>
        <v>1.5</v>
      </c>
    </row>
    <row r="1395" spans="1:11" ht="15" x14ac:dyDescent="0.35">
      <c r="A1395">
        <f t="shared" si="42"/>
        <v>8</v>
      </c>
      <c r="B1395">
        <f t="shared" si="43"/>
        <v>7.5</v>
      </c>
      <c r="C1395" s="199" t="str">
        <f>B1395&amp;LOOKUP(A1395, Sheet2!$A$2:$A$11, Sheet2!$B$2:$B$11)</f>
        <v>7.5P</v>
      </c>
      <c r="D1395">
        <v>87.5</v>
      </c>
      <c r="E1395">
        <v>2</v>
      </c>
      <c r="F1395">
        <v>9</v>
      </c>
      <c r="G1395">
        <v>0.92420000000000002</v>
      </c>
      <c r="H1395">
        <v>0.88959999999999995</v>
      </c>
      <c r="I1395">
        <v>0.92090000000000005</v>
      </c>
      <c r="J1395" s="2" t="str">
        <f>HYPERLINK(SetRGB(J1395,G1395*255,H1395*255,I1395*255),"HOVER!")</f>
        <v>HOVER!</v>
      </c>
      <c r="K1395">
        <f>E1395/F1395</f>
        <v>0.22222222222222221</v>
      </c>
    </row>
    <row r="1396" spans="1:11" ht="15" x14ac:dyDescent="0.35">
      <c r="A1396">
        <f t="shared" si="42"/>
        <v>8</v>
      </c>
      <c r="B1396">
        <f t="shared" si="43"/>
        <v>7.5</v>
      </c>
      <c r="C1396" s="199" t="str">
        <f>B1396&amp;LOOKUP(A1396, Sheet2!$A$2:$A$11, Sheet2!$B$2:$B$11)</f>
        <v>7.5P</v>
      </c>
      <c r="D1396">
        <v>87.5</v>
      </c>
      <c r="E1396">
        <v>4</v>
      </c>
      <c r="F1396">
        <v>9</v>
      </c>
      <c r="G1396">
        <v>0.97109999999999996</v>
      </c>
      <c r="H1396">
        <v>0.86890000000000001</v>
      </c>
      <c r="I1396">
        <v>0.96350000000000002</v>
      </c>
      <c r="J1396" s="2" t="str">
        <f>HYPERLINK(SetRGB(J1396,G1396*255,H1396*255,I1396*255),"HOVER!")</f>
        <v>HOVER!</v>
      </c>
      <c r="K1396">
        <f>E1396/F1396</f>
        <v>0.44444444444444442</v>
      </c>
    </row>
    <row r="1397" spans="1:11" ht="15" x14ac:dyDescent="0.35">
      <c r="A1397">
        <f t="shared" si="42"/>
        <v>8</v>
      </c>
      <c r="B1397">
        <f t="shared" si="43"/>
        <v>7.5</v>
      </c>
      <c r="C1397" s="199" t="str">
        <f>B1397&amp;LOOKUP(A1397, Sheet2!$A$2:$A$11, Sheet2!$B$2:$B$11)</f>
        <v>7.5P</v>
      </c>
      <c r="D1397">
        <v>87.5</v>
      </c>
      <c r="E1397">
        <v>6</v>
      </c>
      <c r="F1397">
        <v>9</v>
      </c>
      <c r="G1397">
        <v>1</v>
      </c>
      <c r="H1397">
        <v>0.84819999999999995</v>
      </c>
      <c r="I1397">
        <v>1</v>
      </c>
      <c r="J1397" s="2" t="str">
        <f>HYPERLINK(SetRGB(J1397,G1397*255,H1397*255,I1397*255),"HOVER!")</f>
        <v>HOVER!</v>
      </c>
      <c r="K1397">
        <f>E1397/F1397</f>
        <v>0.66666666666666663</v>
      </c>
    </row>
    <row r="1398" spans="1:11" ht="15" x14ac:dyDescent="0.35">
      <c r="A1398">
        <f t="shared" si="42"/>
        <v>9</v>
      </c>
      <c r="B1398">
        <f t="shared" si="43"/>
        <v>10</v>
      </c>
      <c r="C1398" s="199" t="str">
        <f>B1398&amp;LOOKUP(A1398, Sheet2!$A$2:$A$11, Sheet2!$B$2:$B$11)</f>
        <v>10RP</v>
      </c>
      <c r="D1398">
        <v>90</v>
      </c>
      <c r="E1398">
        <v>2</v>
      </c>
      <c r="F1398">
        <v>1</v>
      </c>
      <c r="G1398">
        <v>0.15479999999999999</v>
      </c>
      <c r="H1398">
        <v>9.0399999999999994E-2</v>
      </c>
      <c r="I1398">
        <v>0.15290000000000001</v>
      </c>
      <c r="J1398" s="1" t="str">
        <f>HYPERLINK(SetRGB(J1398,G1398*255,H1398*255,I1398*255),"HOVER!")</f>
        <v>HOVER!</v>
      </c>
      <c r="K1398">
        <f>E1398/F1398</f>
        <v>2</v>
      </c>
    </row>
    <row r="1399" spans="1:11" ht="15" x14ac:dyDescent="0.35">
      <c r="A1399">
        <f t="shared" si="42"/>
        <v>9</v>
      </c>
      <c r="B1399">
        <f t="shared" si="43"/>
        <v>10</v>
      </c>
      <c r="C1399" s="199" t="str">
        <f>B1399&amp;LOOKUP(A1399, Sheet2!$A$2:$A$11, Sheet2!$B$2:$B$11)</f>
        <v>10RP</v>
      </c>
      <c r="D1399">
        <v>90</v>
      </c>
      <c r="E1399">
        <v>4</v>
      </c>
      <c r="F1399">
        <v>1</v>
      </c>
      <c r="G1399">
        <v>0.1792</v>
      </c>
      <c r="H1399">
        <v>7.0400000000000004E-2</v>
      </c>
      <c r="I1399">
        <v>0.17780000000000001</v>
      </c>
      <c r="J1399" s="1" t="str">
        <f>HYPERLINK(SetRGB(J1399,G1399*255,H1399*255,I1399*255),"HOVER!")</f>
        <v>HOVER!</v>
      </c>
      <c r="K1399">
        <f>E1399/F1399</f>
        <v>4</v>
      </c>
    </row>
    <row r="1400" spans="1:11" ht="15" x14ac:dyDescent="0.35">
      <c r="A1400">
        <f t="shared" si="42"/>
        <v>9</v>
      </c>
      <c r="B1400">
        <f t="shared" si="43"/>
        <v>10</v>
      </c>
      <c r="C1400" s="199" t="str">
        <f>B1400&amp;LOOKUP(A1400, Sheet2!$A$2:$A$11, Sheet2!$B$2:$B$11)</f>
        <v>10RP</v>
      </c>
      <c r="D1400">
        <v>90</v>
      </c>
      <c r="E1400">
        <v>6</v>
      </c>
      <c r="F1400">
        <v>1</v>
      </c>
      <c r="G1400">
        <v>0.2019</v>
      </c>
      <c r="H1400">
        <v>4.1799999999999997E-2</v>
      </c>
      <c r="I1400">
        <v>0.2016</v>
      </c>
      <c r="J1400" s="1" t="str">
        <f>HYPERLINK(SetRGB(J1400,G1400*255,H1400*255,I1400*255),"HOVER!")</f>
        <v>HOVER!</v>
      </c>
      <c r="K1400">
        <f>E1400/F1400</f>
        <v>6</v>
      </c>
    </row>
    <row r="1401" spans="1:11" ht="15" x14ac:dyDescent="0.35">
      <c r="A1401">
        <f t="shared" si="42"/>
        <v>9</v>
      </c>
      <c r="B1401">
        <f t="shared" si="43"/>
        <v>10</v>
      </c>
      <c r="C1401" s="199" t="str">
        <f>B1401&amp;LOOKUP(A1401, Sheet2!$A$2:$A$11, Sheet2!$B$2:$B$11)</f>
        <v>10RP</v>
      </c>
      <c r="D1401">
        <v>90</v>
      </c>
      <c r="E1401">
        <v>2</v>
      </c>
      <c r="F1401">
        <v>2</v>
      </c>
      <c r="G1401">
        <v>0.2359</v>
      </c>
      <c r="H1401">
        <v>0.17469999999999999</v>
      </c>
      <c r="I1401">
        <v>0.2281</v>
      </c>
      <c r="J1401" s="1" t="str">
        <f>HYPERLINK(SetRGB(J1401,G1401*255,H1401*255,I1401*255),"HOVER!")</f>
        <v>HOVER!</v>
      </c>
      <c r="K1401">
        <f>E1401/F1401</f>
        <v>1</v>
      </c>
    </row>
    <row r="1402" spans="1:11" ht="15" x14ac:dyDescent="0.35">
      <c r="A1402">
        <f t="shared" si="42"/>
        <v>9</v>
      </c>
      <c r="B1402">
        <f t="shared" si="43"/>
        <v>10</v>
      </c>
      <c r="C1402" s="199" t="str">
        <f>B1402&amp;LOOKUP(A1402, Sheet2!$A$2:$A$11, Sheet2!$B$2:$B$11)</f>
        <v>10RP</v>
      </c>
      <c r="D1402">
        <v>90</v>
      </c>
      <c r="E1402">
        <v>4</v>
      </c>
      <c r="F1402">
        <v>2</v>
      </c>
      <c r="G1402">
        <v>0.26450000000000001</v>
      </c>
      <c r="H1402">
        <v>0.157</v>
      </c>
      <c r="I1402">
        <v>0.25330000000000003</v>
      </c>
      <c r="J1402" s="1" t="str">
        <f>HYPERLINK(SetRGB(J1402,G1402*255,H1402*255,I1402*255),"HOVER!")</f>
        <v>HOVER!</v>
      </c>
      <c r="K1402">
        <f>E1402/F1402</f>
        <v>2</v>
      </c>
    </row>
    <row r="1403" spans="1:11" ht="15" x14ac:dyDescent="0.35">
      <c r="A1403">
        <f t="shared" si="42"/>
        <v>9</v>
      </c>
      <c r="B1403">
        <f t="shared" si="43"/>
        <v>10</v>
      </c>
      <c r="C1403" s="199" t="str">
        <f>B1403&amp;LOOKUP(A1403, Sheet2!$A$2:$A$11, Sheet2!$B$2:$B$11)</f>
        <v>10RP</v>
      </c>
      <c r="D1403">
        <v>90</v>
      </c>
      <c r="E1403">
        <v>6</v>
      </c>
      <c r="F1403">
        <v>2</v>
      </c>
      <c r="G1403">
        <v>0.29120000000000001</v>
      </c>
      <c r="H1403">
        <v>0.13550000000000001</v>
      </c>
      <c r="I1403">
        <v>0.27789999999999998</v>
      </c>
      <c r="J1403" s="1" t="str">
        <f>HYPERLINK(SetRGB(J1403,G1403*255,H1403*255,I1403*255),"HOVER!")</f>
        <v>HOVER!</v>
      </c>
      <c r="K1403">
        <f>E1403/F1403</f>
        <v>3</v>
      </c>
    </row>
    <row r="1404" spans="1:11" ht="15" x14ac:dyDescent="0.35">
      <c r="A1404">
        <f t="shared" si="42"/>
        <v>9</v>
      </c>
      <c r="B1404">
        <f t="shared" si="43"/>
        <v>10</v>
      </c>
      <c r="C1404" s="199" t="str">
        <f>B1404&amp;LOOKUP(A1404, Sheet2!$A$2:$A$11, Sheet2!$B$2:$B$11)</f>
        <v>10RP</v>
      </c>
      <c r="D1404">
        <v>90</v>
      </c>
      <c r="E1404">
        <v>8</v>
      </c>
      <c r="F1404">
        <v>2</v>
      </c>
      <c r="G1404">
        <v>0.32219999999999999</v>
      </c>
      <c r="H1404">
        <v>0.1007</v>
      </c>
      <c r="I1404">
        <v>0.30759999999999998</v>
      </c>
      <c r="J1404" s="1" t="str">
        <f>HYPERLINK(SetRGB(J1404,G1404*255,H1404*255,I1404*255),"HOVER!")</f>
        <v>HOVER!</v>
      </c>
      <c r="K1404">
        <f>E1404/F1404</f>
        <v>4</v>
      </c>
    </row>
    <row r="1405" spans="1:11" ht="15" x14ac:dyDescent="0.35">
      <c r="A1405">
        <f t="shared" si="42"/>
        <v>9</v>
      </c>
      <c r="B1405">
        <f t="shared" si="43"/>
        <v>10</v>
      </c>
      <c r="C1405" s="199" t="str">
        <f>B1405&amp;LOOKUP(A1405, Sheet2!$A$2:$A$11, Sheet2!$B$2:$B$11)</f>
        <v>10RP</v>
      </c>
      <c r="D1405">
        <v>90</v>
      </c>
      <c r="E1405">
        <v>10</v>
      </c>
      <c r="F1405">
        <v>2</v>
      </c>
      <c r="G1405">
        <v>0.34939999999999999</v>
      </c>
      <c r="H1405">
        <v>5.0500000000000003E-2</v>
      </c>
      <c r="I1405">
        <v>0.33329999999999999</v>
      </c>
      <c r="J1405" s="1" t="str">
        <f>HYPERLINK(SetRGB(J1405,G1405*255,H1405*255,I1405*255),"HOVER!")</f>
        <v>HOVER!</v>
      </c>
      <c r="K1405">
        <f>E1405/F1405</f>
        <v>5</v>
      </c>
    </row>
    <row r="1406" spans="1:11" ht="15" x14ac:dyDescent="0.35">
      <c r="A1406">
        <f t="shared" si="42"/>
        <v>9</v>
      </c>
      <c r="B1406">
        <f t="shared" si="43"/>
        <v>10</v>
      </c>
      <c r="C1406" s="199" t="str">
        <f>B1406&amp;LOOKUP(A1406, Sheet2!$A$2:$A$11, Sheet2!$B$2:$B$11)</f>
        <v>10RP</v>
      </c>
      <c r="D1406">
        <v>90</v>
      </c>
      <c r="E1406">
        <v>2</v>
      </c>
      <c r="F1406">
        <v>3</v>
      </c>
      <c r="G1406">
        <v>0.33200000000000002</v>
      </c>
      <c r="H1406">
        <v>0.26300000000000001</v>
      </c>
      <c r="I1406">
        <v>0.31909999999999999</v>
      </c>
      <c r="J1406" s="1" t="str">
        <f>HYPERLINK(SetRGB(J1406,G1406*255,H1406*255,I1406*255),"HOVER!")</f>
        <v>HOVER!</v>
      </c>
      <c r="K1406">
        <f>E1406/F1406</f>
        <v>0.66666666666666663</v>
      </c>
    </row>
    <row r="1407" spans="1:11" ht="15" x14ac:dyDescent="0.35">
      <c r="A1407">
        <f t="shared" si="42"/>
        <v>9</v>
      </c>
      <c r="B1407">
        <f t="shared" si="43"/>
        <v>10</v>
      </c>
      <c r="C1407" s="199" t="str">
        <f>B1407&amp;LOOKUP(A1407, Sheet2!$A$2:$A$11, Sheet2!$B$2:$B$11)</f>
        <v>10RP</v>
      </c>
      <c r="D1407">
        <v>90</v>
      </c>
      <c r="E1407">
        <v>4</v>
      </c>
      <c r="F1407">
        <v>3</v>
      </c>
      <c r="G1407">
        <v>0.36880000000000002</v>
      </c>
      <c r="H1407">
        <v>0.24229999999999999</v>
      </c>
      <c r="I1407">
        <v>0.3483</v>
      </c>
      <c r="J1407" s="1" t="str">
        <f>HYPERLINK(SetRGB(J1407,G1407*255,H1407*255,I1407*255),"HOVER!")</f>
        <v>HOVER!</v>
      </c>
      <c r="K1407">
        <f>E1407/F1407</f>
        <v>1.3333333333333333</v>
      </c>
    </row>
    <row r="1408" spans="1:11" ht="15" x14ac:dyDescent="0.35">
      <c r="A1408">
        <f t="shared" si="42"/>
        <v>9</v>
      </c>
      <c r="B1408">
        <f t="shared" si="43"/>
        <v>10</v>
      </c>
      <c r="C1408" s="199" t="str">
        <f>B1408&amp;LOOKUP(A1408, Sheet2!$A$2:$A$11, Sheet2!$B$2:$B$11)</f>
        <v>10RP</v>
      </c>
      <c r="D1408">
        <v>90</v>
      </c>
      <c r="E1408">
        <v>6</v>
      </c>
      <c r="F1408">
        <v>3</v>
      </c>
      <c r="G1408">
        <v>0.40039999999999998</v>
      </c>
      <c r="H1408">
        <v>0.21990000000000001</v>
      </c>
      <c r="I1408">
        <v>0.37490000000000001</v>
      </c>
      <c r="J1408" s="1" t="str">
        <f>HYPERLINK(SetRGB(J1408,G1408*255,H1408*255,I1408*255),"HOVER!")</f>
        <v>HOVER!</v>
      </c>
      <c r="K1408">
        <f>E1408/F1408</f>
        <v>2</v>
      </c>
    </row>
    <row r="1409" spans="1:11" ht="15" x14ac:dyDescent="0.35">
      <c r="A1409">
        <f t="shared" si="42"/>
        <v>9</v>
      </c>
      <c r="B1409">
        <f t="shared" si="43"/>
        <v>10</v>
      </c>
      <c r="C1409" s="199" t="str">
        <f>B1409&amp;LOOKUP(A1409, Sheet2!$A$2:$A$11, Sheet2!$B$2:$B$11)</f>
        <v>10RP</v>
      </c>
      <c r="D1409">
        <v>90</v>
      </c>
      <c r="E1409">
        <v>8</v>
      </c>
      <c r="F1409">
        <v>3</v>
      </c>
      <c r="G1409">
        <v>0.43390000000000001</v>
      </c>
      <c r="H1409">
        <v>0.18990000000000001</v>
      </c>
      <c r="I1409">
        <v>0.40379999999999999</v>
      </c>
      <c r="J1409" s="1" t="str">
        <f>HYPERLINK(SetRGB(J1409,G1409*255,H1409*255,I1409*255),"HOVER!")</f>
        <v>HOVER!</v>
      </c>
      <c r="K1409">
        <f>E1409/F1409</f>
        <v>2.6666666666666665</v>
      </c>
    </row>
    <row r="1410" spans="1:11" ht="15" x14ac:dyDescent="0.35">
      <c r="A1410">
        <f t="shared" si="42"/>
        <v>9</v>
      </c>
      <c r="B1410">
        <f t="shared" si="43"/>
        <v>10</v>
      </c>
      <c r="C1410" s="199" t="str">
        <f>B1410&amp;LOOKUP(A1410, Sheet2!$A$2:$A$11, Sheet2!$B$2:$B$11)</f>
        <v>10RP</v>
      </c>
      <c r="D1410">
        <v>90</v>
      </c>
      <c r="E1410">
        <v>10</v>
      </c>
      <c r="F1410">
        <v>3</v>
      </c>
      <c r="G1410">
        <v>0.4647</v>
      </c>
      <c r="H1410">
        <v>0.153</v>
      </c>
      <c r="I1410">
        <v>0.43149999999999999</v>
      </c>
      <c r="J1410" s="1" t="str">
        <f>HYPERLINK(SetRGB(J1410,G1410*255,H1410*255,I1410*255),"HOVER!")</f>
        <v>HOVER!</v>
      </c>
      <c r="K1410">
        <f>E1410/F1410</f>
        <v>3.3333333333333335</v>
      </c>
    </row>
    <row r="1411" spans="1:11" ht="15" x14ac:dyDescent="0.35">
      <c r="A1411">
        <f t="shared" si="42"/>
        <v>9</v>
      </c>
      <c r="B1411">
        <f t="shared" si="43"/>
        <v>10</v>
      </c>
      <c r="C1411" s="199" t="str">
        <f>B1411&amp;LOOKUP(A1411, Sheet2!$A$2:$A$11, Sheet2!$B$2:$B$11)</f>
        <v>10RP</v>
      </c>
      <c r="D1411">
        <v>90</v>
      </c>
      <c r="E1411">
        <v>12</v>
      </c>
      <c r="F1411">
        <v>3</v>
      </c>
      <c r="G1411">
        <v>0.4965</v>
      </c>
      <c r="H1411">
        <v>9.5299999999999996E-2</v>
      </c>
      <c r="I1411">
        <v>0.46039999999999998</v>
      </c>
      <c r="J1411" s="1" t="str">
        <f>HYPERLINK(SetRGB(J1411,G1411*255,H1411*255,I1411*255),"HOVER!")</f>
        <v>HOVER!</v>
      </c>
      <c r="K1411">
        <f>E1411/F1411</f>
        <v>4</v>
      </c>
    </row>
    <row r="1412" spans="1:11" ht="15" x14ac:dyDescent="0.35">
      <c r="A1412">
        <f t="shared" si="42"/>
        <v>9</v>
      </c>
      <c r="B1412">
        <f t="shared" si="43"/>
        <v>10</v>
      </c>
      <c r="C1412" s="199" t="str">
        <f>B1412&amp;LOOKUP(A1412, Sheet2!$A$2:$A$11, Sheet2!$B$2:$B$11)</f>
        <v>10RP</v>
      </c>
      <c r="D1412">
        <v>90</v>
      </c>
      <c r="E1412">
        <v>2</v>
      </c>
      <c r="F1412">
        <v>4</v>
      </c>
      <c r="G1412">
        <v>0.4264</v>
      </c>
      <c r="H1412">
        <v>0.3624</v>
      </c>
      <c r="I1412">
        <v>0.41139999999999999</v>
      </c>
      <c r="J1412" s="1" t="str">
        <f>HYPERLINK(SetRGB(J1412,G1412*255,H1412*255,I1412*255),"HOVER!")</f>
        <v>HOVER!</v>
      </c>
      <c r="K1412">
        <f>E1412/F1412</f>
        <v>0.5</v>
      </c>
    </row>
    <row r="1413" spans="1:11" ht="15" x14ac:dyDescent="0.35">
      <c r="A1413">
        <f t="shared" si="42"/>
        <v>9</v>
      </c>
      <c r="B1413">
        <f t="shared" si="43"/>
        <v>10</v>
      </c>
      <c r="C1413" s="199" t="str">
        <f>B1413&amp;LOOKUP(A1413, Sheet2!$A$2:$A$11, Sheet2!$B$2:$B$11)</f>
        <v>10RP</v>
      </c>
      <c r="D1413">
        <v>90</v>
      </c>
      <c r="E1413">
        <v>4</v>
      </c>
      <c r="F1413">
        <v>4</v>
      </c>
      <c r="G1413">
        <v>0.46510000000000001</v>
      </c>
      <c r="H1413">
        <v>0.34310000000000002</v>
      </c>
      <c r="I1413">
        <v>0.439</v>
      </c>
      <c r="J1413" s="1" t="str">
        <f>HYPERLINK(SetRGB(J1413,G1413*255,H1413*255,I1413*255),"HOVER!")</f>
        <v>HOVER!</v>
      </c>
      <c r="K1413">
        <f>E1413/F1413</f>
        <v>1</v>
      </c>
    </row>
    <row r="1414" spans="1:11" ht="15" x14ac:dyDescent="0.35">
      <c r="A1414">
        <f t="shared" si="42"/>
        <v>9</v>
      </c>
      <c r="B1414">
        <f t="shared" si="43"/>
        <v>10</v>
      </c>
      <c r="C1414" s="199" t="str">
        <f>B1414&amp;LOOKUP(A1414, Sheet2!$A$2:$A$11, Sheet2!$B$2:$B$11)</f>
        <v>10RP</v>
      </c>
      <c r="D1414">
        <v>90</v>
      </c>
      <c r="E1414">
        <v>6</v>
      </c>
      <c r="F1414">
        <v>4</v>
      </c>
      <c r="G1414">
        <v>0.50039999999999996</v>
      </c>
      <c r="H1414">
        <v>0.32190000000000002</v>
      </c>
      <c r="I1414">
        <v>0.4657</v>
      </c>
      <c r="J1414" s="1" t="str">
        <f>HYPERLINK(SetRGB(J1414,G1414*255,H1414*255,I1414*255),"HOVER!")</f>
        <v>HOVER!</v>
      </c>
      <c r="K1414">
        <f>E1414/F1414</f>
        <v>1.5</v>
      </c>
    </row>
    <row r="1415" spans="1:11" ht="15" x14ac:dyDescent="0.35">
      <c r="A1415">
        <f t="shared" si="42"/>
        <v>9</v>
      </c>
      <c r="B1415">
        <f t="shared" si="43"/>
        <v>10</v>
      </c>
      <c r="C1415" s="199" t="str">
        <f>B1415&amp;LOOKUP(A1415, Sheet2!$A$2:$A$11, Sheet2!$B$2:$B$11)</f>
        <v>10RP</v>
      </c>
      <c r="D1415">
        <v>90</v>
      </c>
      <c r="E1415">
        <v>8</v>
      </c>
      <c r="F1415">
        <v>4</v>
      </c>
      <c r="G1415">
        <v>0.53400000000000003</v>
      </c>
      <c r="H1415">
        <v>0.29799999999999999</v>
      </c>
      <c r="I1415">
        <v>0.49199999999999999</v>
      </c>
      <c r="J1415" s="1" t="str">
        <f>HYPERLINK(SetRGB(J1415,G1415*255,H1415*255,I1415*255),"HOVER!")</f>
        <v>HOVER!</v>
      </c>
      <c r="K1415">
        <f>E1415/F1415</f>
        <v>2</v>
      </c>
    </row>
    <row r="1416" spans="1:11" ht="15" x14ac:dyDescent="0.35">
      <c r="A1416">
        <f t="shared" si="42"/>
        <v>9</v>
      </c>
      <c r="B1416">
        <f t="shared" si="43"/>
        <v>10</v>
      </c>
      <c r="C1416" s="199" t="str">
        <f>B1416&amp;LOOKUP(A1416, Sheet2!$A$2:$A$11, Sheet2!$B$2:$B$11)</f>
        <v>10RP</v>
      </c>
      <c r="D1416">
        <v>90</v>
      </c>
      <c r="E1416">
        <v>10</v>
      </c>
      <c r="F1416">
        <v>4</v>
      </c>
      <c r="G1416">
        <v>0.56540000000000001</v>
      </c>
      <c r="H1416">
        <v>0.27110000000000001</v>
      </c>
      <c r="I1416">
        <v>0.51749999999999996</v>
      </c>
      <c r="J1416" s="1" t="str">
        <f>HYPERLINK(SetRGB(J1416,G1416*255,H1416*255,I1416*255),"HOVER!")</f>
        <v>HOVER!</v>
      </c>
      <c r="K1416">
        <f>E1416/F1416</f>
        <v>2.5</v>
      </c>
    </row>
    <row r="1417" spans="1:11" ht="15" x14ac:dyDescent="0.35">
      <c r="A1417">
        <f t="shared" si="42"/>
        <v>9</v>
      </c>
      <c r="B1417">
        <f t="shared" si="43"/>
        <v>10</v>
      </c>
      <c r="C1417" s="199" t="str">
        <f>B1417&amp;LOOKUP(A1417, Sheet2!$A$2:$A$11, Sheet2!$B$2:$B$11)</f>
        <v>10RP</v>
      </c>
      <c r="D1417">
        <v>90</v>
      </c>
      <c r="E1417">
        <v>12</v>
      </c>
      <c r="F1417">
        <v>4</v>
      </c>
      <c r="G1417">
        <v>0.59750000000000003</v>
      </c>
      <c r="H1417">
        <v>0.23769999999999999</v>
      </c>
      <c r="I1417">
        <v>0.54359999999999997</v>
      </c>
      <c r="J1417" s="1" t="str">
        <f>HYPERLINK(SetRGB(J1417,G1417*255,H1417*255,I1417*255),"HOVER!")</f>
        <v>HOVER!</v>
      </c>
      <c r="K1417">
        <f>E1417/F1417</f>
        <v>3</v>
      </c>
    </row>
    <row r="1418" spans="1:11" ht="15" x14ac:dyDescent="0.35">
      <c r="A1418">
        <f t="shared" si="42"/>
        <v>9</v>
      </c>
      <c r="B1418">
        <f t="shared" si="43"/>
        <v>10</v>
      </c>
      <c r="C1418" s="199" t="str">
        <f>B1418&amp;LOOKUP(A1418, Sheet2!$A$2:$A$11, Sheet2!$B$2:$B$11)</f>
        <v>10RP</v>
      </c>
      <c r="D1418">
        <v>90</v>
      </c>
      <c r="E1418">
        <v>14</v>
      </c>
      <c r="F1418">
        <v>4</v>
      </c>
      <c r="G1418">
        <v>0.62919999999999998</v>
      </c>
      <c r="H1418">
        <v>0.1948</v>
      </c>
      <c r="I1418">
        <v>0.57030000000000003</v>
      </c>
      <c r="J1418" s="1" t="str">
        <f>HYPERLINK(SetRGB(J1418,G1418*255,H1418*255,I1418*255),"HOVER!")</f>
        <v>HOVER!</v>
      </c>
      <c r="K1418">
        <f>E1418/F1418</f>
        <v>3.5</v>
      </c>
    </row>
    <row r="1419" spans="1:11" ht="15" x14ac:dyDescent="0.35">
      <c r="A1419">
        <f t="shared" si="42"/>
        <v>9</v>
      </c>
      <c r="B1419">
        <f t="shared" si="43"/>
        <v>10</v>
      </c>
      <c r="C1419" s="199" t="str">
        <f>B1419&amp;LOOKUP(A1419, Sheet2!$A$2:$A$11, Sheet2!$B$2:$B$11)</f>
        <v>10RP</v>
      </c>
      <c r="D1419">
        <v>90</v>
      </c>
      <c r="E1419">
        <v>16</v>
      </c>
      <c r="F1419">
        <v>4</v>
      </c>
      <c r="G1419">
        <v>0.65880000000000005</v>
      </c>
      <c r="H1419">
        <v>0.1384</v>
      </c>
      <c r="I1419">
        <v>0.59499999999999997</v>
      </c>
      <c r="J1419" s="1" t="str">
        <f>HYPERLINK(SetRGB(J1419,G1419*255,H1419*255,I1419*255),"HOVER!")</f>
        <v>HOVER!</v>
      </c>
      <c r="K1419">
        <f>E1419/F1419</f>
        <v>4</v>
      </c>
    </row>
    <row r="1420" spans="1:11" ht="15" x14ac:dyDescent="0.35">
      <c r="A1420">
        <f t="shared" si="42"/>
        <v>9</v>
      </c>
      <c r="B1420">
        <f t="shared" si="43"/>
        <v>10</v>
      </c>
      <c r="C1420" s="199" t="str">
        <f>B1420&amp;LOOKUP(A1420, Sheet2!$A$2:$A$11, Sheet2!$B$2:$B$11)</f>
        <v>10RP</v>
      </c>
      <c r="D1420">
        <v>90</v>
      </c>
      <c r="E1420">
        <v>2</v>
      </c>
      <c r="F1420">
        <v>5</v>
      </c>
      <c r="G1420">
        <v>0.52100000000000002</v>
      </c>
      <c r="H1420">
        <v>0.46650000000000003</v>
      </c>
      <c r="I1420">
        <v>0.50649999999999995</v>
      </c>
      <c r="J1420" s="1" t="str">
        <f>HYPERLINK(SetRGB(J1420,G1420*255,H1420*255,I1420*255),"HOVER!")</f>
        <v>HOVER!</v>
      </c>
      <c r="K1420">
        <f>E1420/F1420</f>
        <v>0.4</v>
      </c>
    </row>
    <row r="1421" spans="1:11" ht="15" x14ac:dyDescent="0.35">
      <c r="A1421">
        <f t="shared" si="42"/>
        <v>9</v>
      </c>
      <c r="B1421">
        <f t="shared" si="43"/>
        <v>10</v>
      </c>
      <c r="C1421" s="199" t="str">
        <f>B1421&amp;LOOKUP(A1421, Sheet2!$A$2:$A$11, Sheet2!$B$2:$B$11)</f>
        <v>10RP</v>
      </c>
      <c r="D1421">
        <v>90</v>
      </c>
      <c r="E1421">
        <v>4</v>
      </c>
      <c r="F1421">
        <v>5</v>
      </c>
      <c r="G1421">
        <v>0.56210000000000004</v>
      </c>
      <c r="H1421">
        <v>0.44769999999999999</v>
      </c>
      <c r="I1421">
        <v>0.53290000000000004</v>
      </c>
      <c r="J1421" s="1" t="str">
        <f>HYPERLINK(SetRGB(J1421,G1421*255,H1421*255,I1421*255),"HOVER!")</f>
        <v>HOVER!</v>
      </c>
      <c r="K1421">
        <f>E1421/F1421</f>
        <v>0.8</v>
      </c>
    </row>
    <row r="1422" spans="1:11" ht="15" x14ac:dyDescent="0.35">
      <c r="A1422">
        <f t="shared" ref="A1422:A1485" si="44">IF(FLOOR(D1422/10,1)=0,10,FLOOR(D1422/10,1))</f>
        <v>9</v>
      </c>
      <c r="B1422">
        <f t="shared" ref="B1422:B1485" si="45">IF(MOD(D1422,10)=0,10,MOD(D1422,10))</f>
        <v>10</v>
      </c>
      <c r="C1422" s="199" t="str">
        <f>B1422&amp;LOOKUP(A1422, Sheet2!$A$2:$A$11, Sheet2!$B$2:$B$11)</f>
        <v>10RP</v>
      </c>
      <c r="D1422">
        <v>90</v>
      </c>
      <c r="E1422">
        <v>6</v>
      </c>
      <c r="F1422">
        <v>5</v>
      </c>
      <c r="G1422">
        <v>0.60299999999999998</v>
      </c>
      <c r="H1422">
        <v>0.4259</v>
      </c>
      <c r="I1422">
        <v>0.56110000000000004</v>
      </c>
      <c r="J1422" s="1" t="str">
        <f>HYPERLINK(SetRGB(J1422,G1422*255,H1422*255,I1422*255),"HOVER!")</f>
        <v>HOVER!</v>
      </c>
      <c r="K1422">
        <f>E1422/F1422</f>
        <v>1.2</v>
      </c>
    </row>
    <row r="1423" spans="1:11" ht="15" x14ac:dyDescent="0.35">
      <c r="A1423">
        <f t="shared" si="44"/>
        <v>9</v>
      </c>
      <c r="B1423">
        <f t="shared" si="45"/>
        <v>10</v>
      </c>
      <c r="C1423" s="199" t="str">
        <f>B1423&amp;LOOKUP(A1423, Sheet2!$A$2:$A$11, Sheet2!$B$2:$B$11)</f>
        <v>10RP</v>
      </c>
      <c r="D1423">
        <v>90</v>
      </c>
      <c r="E1423">
        <v>8</v>
      </c>
      <c r="F1423">
        <v>5</v>
      </c>
      <c r="G1423">
        <v>0.64190000000000003</v>
      </c>
      <c r="H1423">
        <v>0.40160000000000001</v>
      </c>
      <c r="I1423">
        <v>0.58960000000000001</v>
      </c>
      <c r="J1423" s="1" t="str">
        <f>HYPERLINK(SetRGB(J1423,G1423*255,H1423*255,I1423*255),"HOVER!")</f>
        <v>HOVER!</v>
      </c>
      <c r="K1423">
        <f>E1423/F1423</f>
        <v>1.6</v>
      </c>
    </row>
    <row r="1424" spans="1:11" ht="15" x14ac:dyDescent="0.35">
      <c r="A1424">
        <f t="shared" si="44"/>
        <v>9</v>
      </c>
      <c r="B1424">
        <f t="shared" si="45"/>
        <v>10</v>
      </c>
      <c r="C1424" s="199" t="str">
        <f>B1424&amp;LOOKUP(A1424, Sheet2!$A$2:$A$11, Sheet2!$B$2:$B$11)</f>
        <v>10RP</v>
      </c>
      <c r="D1424">
        <v>90</v>
      </c>
      <c r="E1424">
        <v>10</v>
      </c>
      <c r="F1424">
        <v>5</v>
      </c>
      <c r="G1424">
        <v>0.67479999999999996</v>
      </c>
      <c r="H1424">
        <v>0.37759999999999999</v>
      </c>
      <c r="I1424">
        <v>0.61470000000000002</v>
      </c>
      <c r="J1424" s="1" t="str">
        <f>HYPERLINK(SetRGB(J1424,G1424*255,H1424*255,I1424*255),"HOVER!")</f>
        <v>HOVER!</v>
      </c>
      <c r="K1424">
        <f>E1424/F1424</f>
        <v>2</v>
      </c>
    </row>
    <row r="1425" spans="1:11" ht="15" x14ac:dyDescent="0.35">
      <c r="A1425">
        <f t="shared" si="44"/>
        <v>9</v>
      </c>
      <c r="B1425">
        <f t="shared" si="45"/>
        <v>10</v>
      </c>
      <c r="C1425" s="199" t="str">
        <f>B1425&amp;LOOKUP(A1425, Sheet2!$A$2:$A$11, Sheet2!$B$2:$B$11)</f>
        <v>10RP</v>
      </c>
      <c r="D1425">
        <v>90</v>
      </c>
      <c r="E1425">
        <v>12</v>
      </c>
      <c r="F1425">
        <v>5</v>
      </c>
      <c r="G1425">
        <v>0.71030000000000004</v>
      </c>
      <c r="H1425">
        <v>0.3473</v>
      </c>
      <c r="I1425">
        <v>0.64249999999999996</v>
      </c>
      <c r="J1425" s="1" t="str">
        <f>HYPERLINK(SetRGB(J1425,G1425*255,H1425*255,I1425*255),"HOVER!")</f>
        <v>HOVER!</v>
      </c>
      <c r="K1425">
        <f>E1425/F1425</f>
        <v>2.4</v>
      </c>
    </row>
    <row r="1426" spans="1:11" ht="15" x14ac:dyDescent="0.35">
      <c r="A1426">
        <f t="shared" si="44"/>
        <v>9</v>
      </c>
      <c r="B1426">
        <f t="shared" si="45"/>
        <v>10</v>
      </c>
      <c r="C1426" s="199" t="str">
        <f>B1426&amp;LOOKUP(A1426, Sheet2!$A$2:$A$11, Sheet2!$B$2:$B$11)</f>
        <v>10RP</v>
      </c>
      <c r="D1426">
        <v>90</v>
      </c>
      <c r="E1426">
        <v>14</v>
      </c>
      <c r="F1426">
        <v>5</v>
      </c>
      <c r="G1426">
        <v>0.74299999999999999</v>
      </c>
      <c r="H1426">
        <v>0.31419999999999998</v>
      </c>
      <c r="I1426">
        <v>0.66790000000000005</v>
      </c>
      <c r="J1426" s="1" t="str">
        <f>HYPERLINK(SetRGB(J1426,G1426*255,H1426*255,I1426*255),"HOVER!")</f>
        <v>HOVER!</v>
      </c>
      <c r="K1426">
        <f>E1426/F1426</f>
        <v>2.8</v>
      </c>
    </row>
    <row r="1427" spans="1:11" ht="15" x14ac:dyDescent="0.35">
      <c r="A1427">
        <f t="shared" si="44"/>
        <v>9</v>
      </c>
      <c r="B1427">
        <f t="shared" si="45"/>
        <v>10</v>
      </c>
      <c r="C1427" s="199" t="str">
        <f>B1427&amp;LOOKUP(A1427, Sheet2!$A$2:$A$11, Sheet2!$B$2:$B$11)</f>
        <v>10RP</v>
      </c>
      <c r="D1427">
        <v>90</v>
      </c>
      <c r="E1427">
        <v>16</v>
      </c>
      <c r="F1427">
        <v>5</v>
      </c>
      <c r="G1427">
        <v>0.77549999999999997</v>
      </c>
      <c r="H1427">
        <v>0.2742</v>
      </c>
      <c r="I1427">
        <v>0.69379999999999997</v>
      </c>
      <c r="J1427" s="1" t="str">
        <f>HYPERLINK(SetRGB(J1427,G1427*255,H1427*255,I1427*255),"HOVER!")</f>
        <v>HOVER!</v>
      </c>
      <c r="K1427">
        <f>E1427/F1427</f>
        <v>3.2</v>
      </c>
    </row>
    <row r="1428" spans="1:11" ht="15" x14ac:dyDescent="0.35">
      <c r="A1428">
        <f t="shared" si="44"/>
        <v>9</v>
      </c>
      <c r="B1428">
        <f t="shared" si="45"/>
        <v>10</v>
      </c>
      <c r="C1428" s="199" t="str">
        <f>B1428&amp;LOOKUP(A1428, Sheet2!$A$2:$A$11, Sheet2!$B$2:$B$11)</f>
        <v>10RP</v>
      </c>
      <c r="D1428">
        <v>90</v>
      </c>
      <c r="E1428">
        <v>18</v>
      </c>
      <c r="F1428">
        <v>5</v>
      </c>
      <c r="G1428">
        <v>0.80830000000000002</v>
      </c>
      <c r="H1428">
        <v>0.22189999999999999</v>
      </c>
      <c r="I1428">
        <v>0.72060000000000002</v>
      </c>
      <c r="J1428" s="1" t="str">
        <f>HYPERLINK(SetRGB(J1428,G1428*255,H1428*255,I1428*255),"HOVER!")</f>
        <v>HOVER!</v>
      </c>
      <c r="K1428">
        <f>E1428/F1428</f>
        <v>3.6</v>
      </c>
    </row>
    <row r="1429" spans="1:11" ht="15" x14ac:dyDescent="0.35">
      <c r="A1429">
        <f t="shared" si="44"/>
        <v>9</v>
      </c>
      <c r="B1429">
        <f t="shared" si="45"/>
        <v>10</v>
      </c>
      <c r="C1429" s="199" t="str">
        <f>B1429&amp;LOOKUP(A1429, Sheet2!$A$2:$A$11, Sheet2!$B$2:$B$11)</f>
        <v>10RP</v>
      </c>
      <c r="D1429">
        <v>90</v>
      </c>
      <c r="E1429">
        <v>20</v>
      </c>
      <c r="F1429">
        <v>5</v>
      </c>
      <c r="G1429">
        <v>0.84209999999999996</v>
      </c>
      <c r="H1429">
        <v>0.14230000000000001</v>
      </c>
      <c r="I1429">
        <v>0.74760000000000004</v>
      </c>
      <c r="J1429" s="1" t="str">
        <f>HYPERLINK(SetRGB(J1429,G1429*255,H1429*255,I1429*255),"HOVER!")</f>
        <v>HOVER!</v>
      </c>
      <c r="K1429">
        <f>E1429/F1429</f>
        <v>4</v>
      </c>
    </row>
    <row r="1430" spans="1:11" ht="15" x14ac:dyDescent="0.35">
      <c r="A1430">
        <f t="shared" si="44"/>
        <v>9</v>
      </c>
      <c r="B1430">
        <f t="shared" si="45"/>
        <v>10</v>
      </c>
      <c r="C1430" s="199" t="str">
        <f>B1430&amp;LOOKUP(A1430, Sheet2!$A$2:$A$11, Sheet2!$B$2:$B$11)</f>
        <v>10RP</v>
      </c>
      <c r="D1430">
        <v>90</v>
      </c>
      <c r="E1430">
        <v>2</v>
      </c>
      <c r="F1430">
        <v>6</v>
      </c>
      <c r="G1430">
        <v>0.62429999999999997</v>
      </c>
      <c r="H1430">
        <v>0.56879999999999997</v>
      </c>
      <c r="I1430">
        <v>0.60750000000000004</v>
      </c>
      <c r="J1430" s="2" t="str">
        <f>HYPERLINK(SetRGB(J1430,G1430*255,H1430*255,I1430*255),"HOVER!")</f>
        <v>HOVER!</v>
      </c>
      <c r="K1430">
        <f>E1430/F1430</f>
        <v>0.33333333333333331</v>
      </c>
    </row>
    <row r="1431" spans="1:11" ht="15" x14ac:dyDescent="0.35">
      <c r="A1431">
        <f t="shared" si="44"/>
        <v>9</v>
      </c>
      <c r="B1431">
        <f t="shared" si="45"/>
        <v>10</v>
      </c>
      <c r="C1431" s="199" t="str">
        <f>B1431&amp;LOOKUP(A1431, Sheet2!$A$2:$A$11, Sheet2!$B$2:$B$11)</f>
        <v>10RP</v>
      </c>
      <c r="D1431">
        <v>90</v>
      </c>
      <c r="E1431">
        <v>4</v>
      </c>
      <c r="F1431">
        <v>6</v>
      </c>
      <c r="G1431">
        <v>0.6623</v>
      </c>
      <c r="H1431">
        <v>0.55189999999999995</v>
      </c>
      <c r="I1431">
        <v>0.63339999999999996</v>
      </c>
      <c r="J1431" s="2" t="str">
        <f>HYPERLINK(SetRGB(J1431,G1431*255,H1431*255,I1431*255),"HOVER!")</f>
        <v>HOVER!</v>
      </c>
      <c r="K1431">
        <f>E1431/F1431</f>
        <v>0.66666666666666663</v>
      </c>
    </row>
    <row r="1432" spans="1:11" ht="15" x14ac:dyDescent="0.35">
      <c r="A1432">
        <f t="shared" si="44"/>
        <v>9</v>
      </c>
      <c r="B1432">
        <f t="shared" si="45"/>
        <v>10</v>
      </c>
      <c r="C1432" s="199" t="str">
        <f>B1432&amp;LOOKUP(A1432, Sheet2!$A$2:$A$11, Sheet2!$B$2:$B$11)</f>
        <v>10RP</v>
      </c>
      <c r="D1432">
        <v>90</v>
      </c>
      <c r="E1432">
        <v>6</v>
      </c>
      <c r="F1432">
        <v>6</v>
      </c>
      <c r="G1432">
        <v>0.70589999999999997</v>
      </c>
      <c r="H1432">
        <v>0.53029999999999999</v>
      </c>
      <c r="I1432">
        <v>0.66159999999999997</v>
      </c>
      <c r="J1432" s="2" t="str">
        <f>HYPERLINK(SetRGB(J1432,G1432*255,H1432*255,I1432*255),"HOVER!")</f>
        <v>HOVER!</v>
      </c>
      <c r="K1432">
        <f>E1432/F1432</f>
        <v>1</v>
      </c>
    </row>
    <row r="1433" spans="1:11" ht="15" x14ac:dyDescent="0.35">
      <c r="A1433">
        <f t="shared" si="44"/>
        <v>9</v>
      </c>
      <c r="B1433">
        <f t="shared" si="45"/>
        <v>10</v>
      </c>
      <c r="C1433" s="199" t="str">
        <f>B1433&amp;LOOKUP(A1433, Sheet2!$A$2:$A$11, Sheet2!$B$2:$B$11)</f>
        <v>10RP</v>
      </c>
      <c r="D1433">
        <v>90</v>
      </c>
      <c r="E1433">
        <v>8</v>
      </c>
      <c r="F1433">
        <v>6</v>
      </c>
      <c r="G1433">
        <v>0.74260000000000004</v>
      </c>
      <c r="H1433">
        <v>0.50939999999999996</v>
      </c>
      <c r="I1433">
        <v>0.68720000000000003</v>
      </c>
      <c r="J1433" s="2" t="str">
        <f>HYPERLINK(SetRGB(J1433,G1433*255,H1433*255,I1433*255),"HOVER!")</f>
        <v>HOVER!</v>
      </c>
      <c r="K1433">
        <f>E1433/F1433</f>
        <v>1.3333333333333333</v>
      </c>
    </row>
    <row r="1434" spans="1:11" ht="15" x14ac:dyDescent="0.35">
      <c r="A1434">
        <f t="shared" si="44"/>
        <v>9</v>
      </c>
      <c r="B1434">
        <f t="shared" si="45"/>
        <v>10</v>
      </c>
      <c r="C1434" s="199" t="str">
        <f>B1434&amp;LOOKUP(A1434, Sheet2!$A$2:$A$11, Sheet2!$B$2:$B$11)</f>
        <v>10RP</v>
      </c>
      <c r="D1434">
        <v>90</v>
      </c>
      <c r="E1434">
        <v>10</v>
      </c>
      <c r="F1434">
        <v>6</v>
      </c>
      <c r="G1434">
        <v>0.78149999999999997</v>
      </c>
      <c r="H1434">
        <v>0.4844</v>
      </c>
      <c r="I1434">
        <v>0.7147</v>
      </c>
      <c r="J1434" s="2" t="str">
        <f>HYPERLINK(SetRGB(J1434,G1434*255,H1434*255,I1434*255),"HOVER!")</f>
        <v>HOVER!</v>
      </c>
      <c r="K1434">
        <f>E1434/F1434</f>
        <v>1.6666666666666667</v>
      </c>
    </row>
    <row r="1435" spans="1:11" ht="15" x14ac:dyDescent="0.35">
      <c r="A1435">
        <f t="shared" si="44"/>
        <v>9</v>
      </c>
      <c r="B1435">
        <f t="shared" si="45"/>
        <v>10</v>
      </c>
      <c r="C1435" s="199" t="str">
        <f>B1435&amp;LOOKUP(A1435, Sheet2!$A$2:$A$11, Sheet2!$B$2:$B$11)</f>
        <v>10RP</v>
      </c>
      <c r="D1435">
        <v>90</v>
      </c>
      <c r="E1435">
        <v>12</v>
      </c>
      <c r="F1435">
        <v>6</v>
      </c>
      <c r="G1435">
        <v>0.81730000000000003</v>
      </c>
      <c r="H1435">
        <v>0.45810000000000001</v>
      </c>
      <c r="I1435">
        <v>0.74109999999999998</v>
      </c>
      <c r="J1435" s="2" t="str">
        <f>HYPERLINK(SetRGB(J1435,G1435*255,H1435*255,I1435*255),"HOVER!")</f>
        <v>HOVER!</v>
      </c>
      <c r="K1435">
        <f>E1435/F1435</f>
        <v>2</v>
      </c>
    </row>
    <row r="1436" spans="1:11" ht="15" x14ac:dyDescent="0.35">
      <c r="A1436">
        <f t="shared" si="44"/>
        <v>9</v>
      </c>
      <c r="B1436">
        <f t="shared" si="45"/>
        <v>10</v>
      </c>
      <c r="C1436" s="199" t="str">
        <f>B1436&amp;LOOKUP(A1436, Sheet2!$A$2:$A$11, Sheet2!$B$2:$B$11)</f>
        <v>10RP</v>
      </c>
      <c r="D1436">
        <v>90</v>
      </c>
      <c r="E1436">
        <v>14</v>
      </c>
      <c r="F1436">
        <v>6</v>
      </c>
      <c r="G1436">
        <v>0.85599999999999998</v>
      </c>
      <c r="H1436">
        <v>0.42530000000000001</v>
      </c>
      <c r="I1436">
        <v>0.77029999999999998</v>
      </c>
      <c r="J1436" s="2" t="str">
        <f>HYPERLINK(SetRGB(J1436,G1436*255,H1436*255,I1436*255),"HOVER!")</f>
        <v>HOVER!</v>
      </c>
      <c r="K1436">
        <f>E1436/F1436</f>
        <v>2.3333333333333335</v>
      </c>
    </row>
    <row r="1437" spans="1:11" ht="15" x14ac:dyDescent="0.35">
      <c r="A1437">
        <f t="shared" si="44"/>
        <v>9</v>
      </c>
      <c r="B1437">
        <f t="shared" si="45"/>
        <v>10</v>
      </c>
      <c r="C1437" s="199" t="str">
        <f>B1437&amp;LOOKUP(A1437, Sheet2!$A$2:$A$11, Sheet2!$B$2:$B$11)</f>
        <v>10RP</v>
      </c>
      <c r="D1437">
        <v>90</v>
      </c>
      <c r="E1437">
        <v>16</v>
      </c>
      <c r="F1437">
        <v>6</v>
      </c>
      <c r="G1437">
        <v>0.89</v>
      </c>
      <c r="H1437">
        <v>0.39150000000000001</v>
      </c>
      <c r="I1437">
        <v>0.79700000000000004</v>
      </c>
      <c r="J1437" s="2" t="str">
        <f>HYPERLINK(SetRGB(J1437,G1437*255,H1437*255,I1437*255),"HOVER!")</f>
        <v>HOVER!</v>
      </c>
      <c r="K1437">
        <f>E1437/F1437</f>
        <v>2.6666666666666665</v>
      </c>
    </row>
    <row r="1438" spans="1:11" ht="15" x14ac:dyDescent="0.35">
      <c r="A1438">
        <f t="shared" si="44"/>
        <v>9</v>
      </c>
      <c r="B1438">
        <f t="shared" si="45"/>
        <v>10</v>
      </c>
      <c r="C1438" s="199" t="str">
        <f>B1438&amp;LOOKUP(A1438, Sheet2!$A$2:$A$11, Sheet2!$B$2:$B$11)</f>
        <v>10RP</v>
      </c>
      <c r="D1438">
        <v>90</v>
      </c>
      <c r="E1438">
        <v>18</v>
      </c>
      <c r="F1438">
        <v>6</v>
      </c>
      <c r="G1438">
        <v>0.92269999999999996</v>
      </c>
      <c r="H1438">
        <v>0.35310000000000002</v>
      </c>
      <c r="I1438">
        <v>0.82340000000000002</v>
      </c>
      <c r="J1438" s="2" t="str">
        <f>HYPERLINK(SetRGB(J1438,G1438*255,H1438*255,I1438*255),"HOVER!")</f>
        <v>HOVER!</v>
      </c>
      <c r="K1438">
        <f>E1438/F1438</f>
        <v>3</v>
      </c>
    </row>
    <row r="1439" spans="1:11" ht="15" x14ac:dyDescent="0.35">
      <c r="A1439">
        <f t="shared" si="44"/>
        <v>9</v>
      </c>
      <c r="B1439">
        <f t="shared" si="45"/>
        <v>10</v>
      </c>
      <c r="C1439" s="199" t="str">
        <f>B1439&amp;LOOKUP(A1439, Sheet2!$A$2:$A$11, Sheet2!$B$2:$B$11)</f>
        <v>10RP</v>
      </c>
      <c r="D1439">
        <v>90</v>
      </c>
      <c r="E1439">
        <v>20</v>
      </c>
      <c r="F1439">
        <v>6</v>
      </c>
      <c r="G1439">
        <v>0.96199999999999997</v>
      </c>
      <c r="H1439">
        <v>0.29580000000000001</v>
      </c>
      <c r="I1439">
        <v>0.85489999999999999</v>
      </c>
      <c r="J1439" s="2" t="str">
        <f>HYPERLINK(SetRGB(J1439,G1439*255,H1439*255,I1439*255),"HOVER!")</f>
        <v>HOVER!</v>
      </c>
      <c r="K1439">
        <f>E1439/F1439</f>
        <v>3.3333333333333335</v>
      </c>
    </row>
    <row r="1440" spans="1:11" ht="15" x14ac:dyDescent="0.35">
      <c r="A1440">
        <f t="shared" si="44"/>
        <v>9</v>
      </c>
      <c r="B1440">
        <f t="shared" si="45"/>
        <v>10</v>
      </c>
      <c r="C1440" s="199" t="str">
        <f>B1440&amp;LOOKUP(A1440, Sheet2!$A$2:$A$11, Sheet2!$B$2:$B$11)</f>
        <v>10RP</v>
      </c>
      <c r="D1440">
        <v>90</v>
      </c>
      <c r="E1440">
        <v>22</v>
      </c>
      <c r="F1440">
        <v>6</v>
      </c>
      <c r="G1440">
        <v>0.99750000000000005</v>
      </c>
      <c r="H1440">
        <v>0.22520000000000001</v>
      </c>
      <c r="I1440">
        <v>0.88390000000000002</v>
      </c>
      <c r="J1440" s="2" t="str">
        <f>HYPERLINK(SetRGB(J1440,G1440*255,H1440*255,I1440*255),"HOVER!")</f>
        <v>HOVER!</v>
      </c>
      <c r="K1440">
        <f>E1440/F1440</f>
        <v>3.6666666666666665</v>
      </c>
    </row>
    <row r="1441" spans="1:11" ht="15" x14ac:dyDescent="0.35">
      <c r="A1441">
        <f t="shared" si="44"/>
        <v>9</v>
      </c>
      <c r="B1441">
        <f t="shared" si="45"/>
        <v>10</v>
      </c>
      <c r="C1441" s="199" t="str">
        <f>B1441&amp;LOOKUP(A1441, Sheet2!$A$2:$A$11, Sheet2!$B$2:$B$11)</f>
        <v>10RP</v>
      </c>
      <c r="D1441">
        <v>90</v>
      </c>
      <c r="E1441">
        <v>24</v>
      </c>
      <c r="F1441">
        <v>6</v>
      </c>
      <c r="G1441">
        <v>1</v>
      </c>
      <c r="H1441">
        <v>0.1123</v>
      </c>
      <c r="I1441">
        <v>0.91159999999999997</v>
      </c>
      <c r="J1441" s="1" t="str">
        <f>HYPERLINK(SetRGB(J1441,G1441*255,H1441*255,I1441*255),"HOVER!")</f>
        <v>HOVER!</v>
      </c>
      <c r="K1441">
        <f>E1441/F1441</f>
        <v>4</v>
      </c>
    </row>
    <row r="1442" spans="1:11" ht="15" x14ac:dyDescent="0.35">
      <c r="A1442">
        <f t="shared" si="44"/>
        <v>9</v>
      </c>
      <c r="B1442">
        <f t="shared" si="45"/>
        <v>10</v>
      </c>
      <c r="C1442" s="199" t="str">
        <f>B1442&amp;LOOKUP(A1442, Sheet2!$A$2:$A$11, Sheet2!$B$2:$B$11)</f>
        <v>10RP</v>
      </c>
      <c r="D1442">
        <v>90</v>
      </c>
      <c r="E1442">
        <v>2</v>
      </c>
      <c r="F1442">
        <v>7</v>
      </c>
      <c r="G1442">
        <v>0.72360000000000002</v>
      </c>
      <c r="H1442">
        <v>0.67410000000000003</v>
      </c>
      <c r="I1442">
        <v>0.70740000000000003</v>
      </c>
      <c r="J1442" s="2" t="str">
        <f>HYPERLINK(SetRGB(J1442,G1442*255,H1442*255,I1442*255),"HOVER!")</f>
        <v>HOVER!</v>
      </c>
      <c r="K1442">
        <f>E1442/F1442</f>
        <v>0.2857142857142857</v>
      </c>
    </row>
    <row r="1443" spans="1:11" ht="15" x14ac:dyDescent="0.35">
      <c r="A1443">
        <f t="shared" si="44"/>
        <v>9</v>
      </c>
      <c r="B1443">
        <f t="shared" si="45"/>
        <v>10</v>
      </c>
      <c r="C1443" s="199" t="str">
        <f>B1443&amp;LOOKUP(A1443, Sheet2!$A$2:$A$11, Sheet2!$B$2:$B$11)</f>
        <v>10RP</v>
      </c>
      <c r="D1443">
        <v>90</v>
      </c>
      <c r="E1443">
        <v>4</v>
      </c>
      <c r="F1443">
        <v>7</v>
      </c>
      <c r="G1443">
        <v>0.76749999999999996</v>
      </c>
      <c r="H1443">
        <v>0.65559999999999996</v>
      </c>
      <c r="I1443">
        <v>0.73350000000000004</v>
      </c>
      <c r="J1443" s="2" t="str">
        <f>HYPERLINK(SetRGB(J1443,G1443*255,H1443*255,I1443*255),"HOVER!")</f>
        <v>HOVER!</v>
      </c>
      <c r="K1443">
        <f>E1443/F1443</f>
        <v>0.5714285714285714</v>
      </c>
    </row>
    <row r="1444" spans="1:11" ht="15" x14ac:dyDescent="0.35">
      <c r="A1444">
        <f t="shared" si="44"/>
        <v>9</v>
      </c>
      <c r="B1444">
        <f t="shared" si="45"/>
        <v>10</v>
      </c>
      <c r="C1444" s="199" t="str">
        <f>B1444&amp;LOOKUP(A1444, Sheet2!$A$2:$A$11, Sheet2!$B$2:$B$11)</f>
        <v>10RP</v>
      </c>
      <c r="D1444">
        <v>90</v>
      </c>
      <c r="E1444">
        <v>6</v>
      </c>
      <c r="F1444">
        <v>7</v>
      </c>
      <c r="G1444">
        <v>0.81100000000000005</v>
      </c>
      <c r="H1444">
        <v>0.63480000000000003</v>
      </c>
      <c r="I1444">
        <v>0.7611</v>
      </c>
      <c r="J1444" s="2" t="str">
        <f>HYPERLINK(SetRGB(J1444,G1444*255,H1444*255,I1444*255),"HOVER!")</f>
        <v>HOVER!</v>
      </c>
      <c r="K1444">
        <f>E1444/F1444</f>
        <v>0.8571428571428571</v>
      </c>
    </row>
    <row r="1445" spans="1:11" ht="15" x14ac:dyDescent="0.35">
      <c r="A1445">
        <f t="shared" si="44"/>
        <v>9</v>
      </c>
      <c r="B1445">
        <f t="shared" si="45"/>
        <v>10</v>
      </c>
      <c r="C1445" s="199" t="str">
        <f>B1445&amp;LOOKUP(A1445, Sheet2!$A$2:$A$11, Sheet2!$B$2:$B$11)</f>
        <v>10RP</v>
      </c>
      <c r="D1445">
        <v>90</v>
      </c>
      <c r="E1445">
        <v>8</v>
      </c>
      <c r="F1445">
        <v>7</v>
      </c>
      <c r="G1445">
        <v>0.85360000000000003</v>
      </c>
      <c r="H1445">
        <v>0.61199999999999999</v>
      </c>
      <c r="I1445">
        <v>0.79</v>
      </c>
      <c r="J1445" s="2" t="str">
        <f>HYPERLINK(SetRGB(J1445,G1445*255,H1445*255,I1445*255),"HOVER!")</f>
        <v>HOVER!</v>
      </c>
      <c r="K1445">
        <f>E1445/F1445</f>
        <v>1.1428571428571428</v>
      </c>
    </row>
    <row r="1446" spans="1:11" ht="15" x14ac:dyDescent="0.35">
      <c r="A1446">
        <f t="shared" si="44"/>
        <v>9</v>
      </c>
      <c r="B1446">
        <f t="shared" si="45"/>
        <v>10</v>
      </c>
      <c r="C1446" s="199" t="str">
        <f>B1446&amp;LOOKUP(A1446, Sheet2!$A$2:$A$11, Sheet2!$B$2:$B$11)</f>
        <v>10RP</v>
      </c>
      <c r="D1446">
        <v>90</v>
      </c>
      <c r="E1446">
        <v>10</v>
      </c>
      <c r="F1446">
        <v>7</v>
      </c>
      <c r="G1446">
        <v>0.89429999999999998</v>
      </c>
      <c r="H1446">
        <v>0.58740000000000003</v>
      </c>
      <c r="I1446">
        <v>0.81830000000000003</v>
      </c>
      <c r="J1446" s="2" t="str">
        <f>HYPERLINK(SetRGB(J1446,G1446*255,H1446*255,I1446*255),"HOVER!")</f>
        <v>HOVER!</v>
      </c>
      <c r="K1446">
        <f>E1446/F1446</f>
        <v>1.4285714285714286</v>
      </c>
    </row>
    <row r="1447" spans="1:11" ht="15" x14ac:dyDescent="0.35">
      <c r="A1447">
        <f t="shared" si="44"/>
        <v>9</v>
      </c>
      <c r="B1447">
        <f t="shared" si="45"/>
        <v>10</v>
      </c>
      <c r="C1447" s="199" t="str">
        <f>B1447&amp;LOOKUP(A1447, Sheet2!$A$2:$A$11, Sheet2!$B$2:$B$11)</f>
        <v>10RP</v>
      </c>
      <c r="D1447">
        <v>90</v>
      </c>
      <c r="E1447">
        <v>12</v>
      </c>
      <c r="F1447">
        <v>7</v>
      </c>
      <c r="G1447">
        <v>0.93059999999999998</v>
      </c>
      <c r="H1447">
        <v>0.56279999999999997</v>
      </c>
      <c r="I1447">
        <v>0.84450000000000003</v>
      </c>
      <c r="J1447" s="2" t="str">
        <f>HYPERLINK(SetRGB(J1447,G1447*255,H1447*255,I1447*255),"HOVER!")</f>
        <v>HOVER!</v>
      </c>
      <c r="K1447">
        <f>E1447/F1447</f>
        <v>1.7142857142857142</v>
      </c>
    </row>
    <row r="1448" spans="1:11" ht="15" x14ac:dyDescent="0.35">
      <c r="A1448">
        <f t="shared" si="44"/>
        <v>9</v>
      </c>
      <c r="B1448">
        <f t="shared" si="45"/>
        <v>10</v>
      </c>
      <c r="C1448" s="199" t="str">
        <f>B1448&amp;LOOKUP(A1448, Sheet2!$A$2:$A$11, Sheet2!$B$2:$B$11)</f>
        <v>10RP</v>
      </c>
      <c r="D1448">
        <v>90</v>
      </c>
      <c r="E1448">
        <v>14</v>
      </c>
      <c r="F1448">
        <v>7</v>
      </c>
      <c r="G1448">
        <v>0.97060000000000002</v>
      </c>
      <c r="H1448">
        <v>0.53239999999999998</v>
      </c>
      <c r="I1448">
        <v>0.87390000000000001</v>
      </c>
      <c r="J1448" s="2" t="str">
        <f>HYPERLINK(SetRGB(J1448,G1448*255,H1448*255,I1448*255),"HOVER!")</f>
        <v>HOVER!</v>
      </c>
      <c r="K1448">
        <f>E1448/F1448</f>
        <v>2</v>
      </c>
    </row>
    <row r="1449" spans="1:11" ht="15" x14ac:dyDescent="0.35">
      <c r="A1449">
        <f t="shared" si="44"/>
        <v>9</v>
      </c>
      <c r="B1449">
        <f t="shared" si="45"/>
        <v>10</v>
      </c>
      <c r="C1449" s="199" t="str">
        <f>B1449&amp;LOOKUP(A1449, Sheet2!$A$2:$A$11, Sheet2!$B$2:$B$11)</f>
        <v>10RP</v>
      </c>
      <c r="D1449">
        <v>90</v>
      </c>
      <c r="E1449">
        <v>16</v>
      </c>
      <c r="F1449">
        <v>7</v>
      </c>
      <c r="G1449">
        <v>1</v>
      </c>
      <c r="H1449">
        <v>0.49569999999999997</v>
      </c>
      <c r="I1449">
        <v>0.90529999999999999</v>
      </c>
      <c r="J1449" s="2" t="str">
        <f>HYPERLINK(SetRGB(J1449,G1449*255,H1449*255,I1449*255),"HOVER!")</f>
        <v>HOVER!</v>
      </c>
      <c r="K1449">
        <f>E1449/F1449</f>
        <v>2.2857142857142856</v>
      </c>
    </row>
    <row r="1450" spans="1:11" ht="15" x14ac:dyDescent="0.35">
      <c r="A1450">
        <f t="shared" si="44"/>
        <v>9</v>
      </c>
      <c r="B1450">
        <f t="shared" si="45"/>
        <v>10</v>
      </c>
      <c r="C1450" s="199" t="str">
        <f>B1450&amp;LOOKUP(A1450, Sheet2!$A$2:$A$11, Sheet2!$B$2:$B$11)</f>
        <v>10RP</v>
      </c>
      <c r="D1450">
        <v>90</v>
      </c>
      <c r="E1450">
        <v>18</v>
      </c>
      <c r="F1450">
        <v>7</v>
      </c>
      <c r="G1450">
        <v>1</v>
      </c>
      <c r="H1450">
        <v>0.45579999999999998</v>
      </c>
      <c r="I1450">
        <v>0.93510000000000004</v>
      </c>
      <c r="J1450" s="2" t="str">
        <f>HYPERLINK(SetRGB(J1450,G1450*255,H1450*255,I1450*255),"HOVER!")</f>
        <v>HOVER!</v>
      </c>
      <c r="K1450">
        <f>E1450/F1450</f>
        <v>2.5714285714285716</v>
      </c>
    </row>
    <row r="1451" spans="1:11" ht="15" x14ac:dyDescent="0.35">
      <c r="A1451">
        <f t="shared" si="44"/>
        <v>9</v>
      </c>
      <c r="B1451">
        <f t="shared" si="45"/>
        <v>10</v>
      </c>
      <c r="C1451" s="199" t="str">
        <f>B1451&amp;LOOKUP(A1451, Sheet2!$A$2:$A$11, Sheet2!$B$2:$B$11)</f>
        <v>10RP</v>
      </c>
      <c r="D1451">
        <v>90</v>
      </c>
      <c r="E1451">
        <v>20</v>
      </c>
      <c r="F1451">
        <v>7</v>
      </c>
      <c r="G1451">
        <v>1</v>
      </c>
      <c r="H1451">
        <v>0.40920000000000001</v>
      </c>
      <c r="I1451">
        <v>0.9657</v>
      </c>
      <c r="J1451" s="2" t="str">
        <f>HYPERLINK(SetRGB(J1451,G1451*255,H1451*255,I1451*255),"HOVER!")</f>
        <v>HOVER!</v>
      </c>
      <c r="K1451">
        <f>E1451/F1451</f>
        <v>2.8571428571428572</v>
      </c>
    </row>
    <row r="1452" spans="1:11" ht="15" x14ac:dyDescent="0.35">
      <c r="A1452">
        <f t="shared" si="44"/>
        <v>9</v>
      </c>
      <c r="B1452">
        <f t="shared" si="45"/>
        <v>10</v>
      </c>
      <c r="C1452" s="199" t="str">
        <f>B1452&amp;LOOKUP(A1452, Sheet2!$A$2:$A$11, Sheet2!$B$2:$B$11)</f>
        <v>10RP</v>
      </c>
      <c r="D1452">
        <v>90</v>
      </c>
      <c r="E1452">
        <v>22</v>
      </c>
      <c r="F1452">
        <v>7</v>
      </c>
      <c r="G1452">
        <v>1</v>
      </c>
      <c r="H1452">
        <v>0.34489999999999998</v>
      </c>
      <c r="I1452">
        <v>0.99980000000000002</v>
      </c>
      <c r="J1452" s="2" t="str">
        <f>HYPERLINK(SetRGB(J1452,G1452*255,H1452*255,I1452*255),"HOVER!")</f>
        <v>HOVER!</v>
      </c>
      <c r="K1452">
        <f>E1452/F1452</f>
        <v>3.1428571428571428</v>
      </c>
    </row>
    <row r="1453" spans="1:11" ht="15" x14ac:dyDescent="0.35">
      <c r="A1453">
        <f t="shared" si="44"/>
        <v>9</v>
      </c>
      <c r="B1453">
        <f t="shared" si="45"/>
        <v>10</v>
      </c>
      <c r="C1453" s="199" t="str">
        <f>B1453&amp;LOOKUP(A1453, Sheet2!$A$2:$A$11, Sheet2!$B$2:$B$11)</f>
        <v>10RP</v>
      </c>
      <c r="D1453">
        <v>90</v>
      </c>
      <c r="E1453">
        <v>2</v>
      </c>
      <c r="F1453">
        <v>8</v>
      </c>
      <c r="G1453">
        <v>0.82340000000000002</v>
      </c>
      <c r="H1453">
        <v>0.78090000000000004</v>
      </c>
      <c r="I1453">
        <v>0.80810000000000004</v>
      </c>
      <c r="J1453" s="2" t="str">
        <f>HYPERLINK(SetRGB(J1453,G1453*255,H1453*255,I1453*255),"HOVER!")</f>
        <v>HOVER!</v>
      </c>
      <c r="K1453">
        <f>E1453/F1453</f>
        <v>0.25</v>
      </c>
    </row>
    <row r="1454" spans="1:11" ht="15" x14ac:dyDescent="0.35">
      <c r="A1454">
        <f t="shared" si="44"/>
        <v>9</v>
      </c>
      <c r="B1454">
        <f t="shared" si="45"/>
        <v>10</v>
      </c>
      <c r="C1454" s="199" t="str">
        <f>B1454&amp;LOOKUP(A1454, Sheet2!$A$2:$A$11, Sheet2!$B$2:$B$11)</f>
        <v>10RP</v>
      </c>
      <c r="D1454">
        <v>90</v>
      </c>
      <c r="E1454">
        <v>4</v>
      </c>
      <c r="F1454">
        <v>8</v>
      </c>
      <c r="G1454">
        <v>0.87239999999999995</v>
      </c>
      <c r="H1454">
        <v>0.76090000000000002</v>
      </c>
      <c r="I1454">
        <v>0.83630000000000004</v>
      </c>
      <c r="J1454" s="2" t="str">
        <f>HYPERLINK(SetRGB(J1454,G1454*255,H1454*255,I1454*255),"HOVER!")</f>
        <v>HOVER!</v>
      </c>
      <c r="K1454">
        <f>E1454/F1454</f>
        <v>0.5</v>
      </c>
    </row>
    <row r="1455" spans="1:11" ht="15" x14ac:dyDescent="0.35">
      <c r="A1455">
        <f t="shared" si="44"/>
        <v>9</v>
      </c>
      <c r="B1455">
        <f t="shared" si="45"/>
        <v>10</v>
      </c>
      <c r="C1455" s="199" t="str">
        <f>B1455&amp;LOOKUP(A1455, Sheet2!$A$2:$A$11, Sheet2!$B$2:$B$11)</f>
        <v>10RP</v>
      </c>
      <c r="D1455">
        <v>90</v>
      </c>
      <c r="E1455">
        <v>6</v>
      </c>
      <c r="F1455">
        <v>8</v>
      </c>
      <c r="G1455">
        <v>0.91900000000000004</v>
      </c>
      <c r="H1455">
        <v>0.73939999999999995</v>
      </c>
      <c r="I1455">
        <v>0.86539999999999995</v>
      </c>
      <c r="J1455" s="2" t="str">
        <f>HYPERLINK(SetRGB(J1455,G1455*255,H1455*255,I1455*255),"HOVER!")</f>
        <v>HOVER!</v>
      </c>
      <c r="K1455">
        <f>E1455/F1455</f>
        <v>0.75</v>
      </c>
    </row>
    <row r="1456" spans="1:11" ht="15" x14ac:dyDescent="0.35">
      <c r="A1456">
        <f t="shared" si="44"/>
        <v>9</v>
      </c>
      <c r="B1456">
        <f t="shared" si="45"/>
        <v>10</v>
      </c>
      <c r="C1456" s="199" t="str">
        <f>B1456&amp;LOOKUP(A1456, Sheet2!$A$2:$A$11, Sheet2!$B$2:$B$11)</f>
        <v>10RP</v>
      </c>
      <c r="D1456">
        <v>90</v>
      </c>
      <c r="E1456">
        <v>8</v>
      </c>
      <c r="F1456">
        <v>8</v>
      </c>
      <c r="G1456">
        <v>0.96699999999999997</v>
      </c>
      <c r="H1456">
        <v>0.71460000000000001</v>
      </c>
      <c r="I1456">
        <v>0.89680000000000004</v>
      </c>
      <c r="J1456" s="2" t="str">
        <f>HYPERLINK(SetRGB(J1456,G1456*255,H1456*255,I1456*255),"HOVER!")</f>
        <v>HOVER!</v>
      </c>
      <c r="K1456">
        <f>E1456/F1456</f>
        <v>1</v>
      </c>
    </row>
    <row r="1457" spans="1:11" ht="15" x14ac:dyDescent="0.35">
      <c r="A1457">
        <f t="shared" si="44"/>
        <v>9</v>
      </c>
      <c r="B1457">
        <f t="shared" si="45"/>
        <v>10</v>
      </c>
      <c r="C1457" s="199" t="str">
        <f>B1457&amp;LOOKUP(A1457, Sheet2!$A$2:$A$11, Sheet2!$B$2:$B$11)</f>
        <v>10RP</v>
      </c>
      <c r="D1457">
        <v>90</v>
      </c>
      <c r="E1457">
        <v>10</v>
      </c>
      <c r="F1457">
        <v>8</v>
      </c>
      <c r="G1457">
        <v>1</v>
      </c>
      <c r="H1457">
        <v>0.68889999999999996</v>
      </c>
      <c r="I1457">
        <v>0.92710000000000004</v>
      </c>
      <c r="J1457" s="2" t="str">
        <f>HYPERLINK(SetRGB(J1457,G1457*255,H1457*255,I1457*255),"HOVER!")</f>
        <v>HOVER!</v>
      </c>
      <c r="K1457">
        <f>E1457/F1457</f>
        <v>1.25</v>
      </c>
    </row>
    <row r="1458" spans="1:11" ht="15" x14ac:dyDescent="0.35">
      <c r="A1458">
        <f t="shared" si="44"/>
        <v>9</v>
      </c>
      <c r="B1458">
        <f t="shared" si="45"/>
        <v>10</v>
      </c>
      <c r="C1458" s="199" t="str">
        <f>B1458&amp;LOOKUP(A1458, Sheet2!$A$2:$A$11, Sheet2!$B$2:$B$11)</f>
        <v>10RP</v>
      </c>
      <c r="D1458">
        <v>90</v>
      </c>
      <c r="E1458">
        <v>12</v>
      </c>
      <c r="F1458">
        <v>8</v>
      </c>
      <c r="G1458">
        <v>1</v>
      </c>
      <c r="H1458">
        <v>0.66090000000000004</v>
      </c>
      <c r="I1458">
        <v>0.95720000000000005</v>
      </c>
      <c r="J1458" s="2" t="str">
        <f>HYPERLINK(SetRGB(J1458,G1458*255,H1458*255,I1458*255),"HOVER!")</f>
        <v>HOVER!</v>
      </c>
      <c r="K1458">
        <f>E1458/F1458</f>
        <v>1.5</v>
      </c>
    </row>
    <row r="1459" spans="1:11" ht="15" x14ac:dyDescent="0.35">
      <c r="A1459">
        <f t="shared" si="44"/>
        <v>9</v>
      </c>
      <c r="B1459">
        <f t="shared" si="45"/>
        <v>10</v>
      </c>
      <c r="C1459" s="199" t="str">
        <f>B1459&amp;LOOKUP(A1459, Sheet2!$A$2:$A$11, Sheet2!$B$2:$B$11)</f>
        <v>10RP</v>
      </c>
      <c r="D1459">
        <v>90</v>
      </c>
      <c r="E1459">
        <v>14</v>
      </c>
      <c r="F1459">
        <v>8</v>
      </c>
      <c r="G1459">
        <v>1</v>
      </c>
      <c r="H1459">
        <v>0.626</v>
      </c>
      <c r="I1459">
        <v>0.99170000000000003</v>
      </c>
      <c r="J1459" s="2" t="str">
        <f>HYPERLINK(SetRGB(J1459,G1459*255,H1459*255,I1459*255),"HOVER!")</f>
        <v>HOVER!</v>
      </c>
      <c r="K1459">
        <f>E1459/F1459</f>
        <v>1.75</v>
      </c>
    </row>
    <row r="1460" spans="1:11" ht="15" x14ac:dyDescent="0.35">
      <c r="A1460">
        <f t="shared" si="44"/>
        <v>9</v>
      </c>
      <c r="B1460">
        <f t="shared" si="45"/>
        <v>10</v>
      </c>
      <c r="C1460" s="199" t="str">
        <f>B1460&amp;LOOKUP(A1460, Sheet2!$A$2:$A$11, Sheet2!$B$2:$B$11)</f>
        <v>10RP</v>
      </c>
      <c r="D1460">
        <v>90</v>
      </c>
      <c r="E1460">
        <v>2</v>
      </c>
      <c r="F1460">
        <v>9</v>
      </c>
      <c r="G1460">
        <v>0.9304</v>
      </c>
      <c r="H1460">
        <v>0.88829999999999998</v>
      </c>
      <c r="I1460">
        <v>0.91490000000000005</v>
      </c>
      <c r="J1460" s="2" t="str">
        <f>HYPERLINK(SetRGB(J1460,G1460*255,H1460*255,I1460*255),"HOVER!")</f>
        <v>HOVER!</v>
      </c>
      <c r="K1460">
        <f>E1460/F1460</f>
        <v>0.22222222222222221</v>
      </c>
    </row>
    <row r="1461" spans="1:11" ht="15" x14ac:dyDescent="0.35">
      <c r="A1461">
        <f t="shared" si="44"/>
        <v>9</v>
      </c>
      <c r="B1461">
        <f t="shared" si="45"/>
        <v>10</v>
      </c>
      <c r="C1461" s="199" t="str">
        <f>B1461&amp;LOOKUP(A1461, Sheet2!$A$2:$A$11, Sheet2!$B$2:$B$11)</f>
        <v>10RP</v>
      </c>
      <c r="D1461">
        <v>90</v>
      </c>
      <c r="E1461">
        <v>4</v>
      </c>
      <c r="F1461">
        <v>9</v>
      </c>
      <c r="G1461">
        <v>0.98709999999999998</v>
      </c>
      <c r="H1461">
        <v>0.86539999999999995</v>
      </c>
      <c r="I1461">
        <v>0.94569999999999999</v>
      </c>
      <c r="J1461" s="2" t="str">
        <f>HYPERLINK(SetRGB(J1461,G1461*255,H1461*255,I1461*255),"HOVER!")</f>
        <v>HOVER!</v>
      </c>
      <c r="K1461">
        <f>E1461/F1461</f>
        <v>0.44444444444444442</v>
      </c>
    </row>
    <row r="1462" spans="1:11" ht="15" x14ac:dyDescent="0.35">
      <c r="A1462">
        <f t="shared" si="44"/>
        <v>9</v>
      </c>
      <c r="B1462">
        <f t="shared" si="45"/>
        <v>10</v>
      </c>
      <c r="C1462" s="199" t="str">
        <f>B1462&amp;LOOKUP(A1462, Sheet2!$A$2:$A$11, Sheet2!$B$2:$B$11)</f>
        <v>10RP</v>
      </c>
      <c r="D1462">
        <v>90</v>
      </c>
      <c r="E1462">
        <v>6</v>
      </c>
      <c r="F1462">
        <v>9</v>
      </c>
      <c r="G1462">
        <v>1</v>
      </c>
      <c r="H1462">
        <v>0.84160000000000001</v>
      </c>
      <c r="I1462">
        <v>0.97650000000000003</v>
      </c>
      <c r="J1462" s="2" t="str">
        <f>HYPERLINK(SetRGB(J1462,G1462*255,H1462*255,I1462*255),"HOVER!")</f>
        <v>HOVER!</v>
      </c>
      <c r="K1462">
        <f>E1462/F1462</f>
        <v>0.66666666666666663</v>
      </c>
    </row>
    <row r="1463" spans="1:11" ht="15" x14ac:dyDescent="0.35">
      <c r="A1463">
        <f t="shared" si="44"/>
        <v>9</v>
      </c>
      <c r="B1463">
        <f t="shared" si="45"/>
        <v>2.5</v>
      </c>
      <c r="C1463" s="199" t="str">
        <f>B1463&amp;LOOKUP(A1463, Sheet2!$A$2:$A$11, Sheet2!$B$2:$B$11)</f>
        <v>2.5RP</v>
      </c>
      <c r="D1463">
        <v>92.5</v>
      </c>
      <c r="E1463">
        <v>2</v>
      </c>
      <c r="F1463">
        <v>1</v>
      </c>
      <c r="G1463">
        <v>0.15989999999999999</v>
      </c>
      <c r="H1463">
        <v>8.8800000000000004E-2</v>
      </c>
      <c r="I1463">
        <v>0.1474</v>
      </c>
      <c r="J1463" s="1" t="str">
        <f>HYPERLINK(SetRGB(J1463,G1463*255,H1463*255,I1463*255),"HOVER!")</f>
        <v>HOVER!</v>
      </c>
      <c r="K1463">
        <f>E1463/F1463</f>
        <v>2</v>
      </c>
    </row>
    <row r="1464" spans="1:11" ht="15" x14ac:dyDescent="0.35">
      <c r="A1464">
        <f t="shared" si="44"/>
        <v>9</v>
      </c>
      <c r="B1464">
        <f t="shared" si="45"/>
        <v>2.5</v>
      </c>
      <c r="C1464" s="199" t="str">
        <f>B1464&amp;LOOKUP(A1464, Sheet2!$A$2:$A$11, Sheet2!$B$2:$B$11)</f>
        <v>2.5RP</v>
      </c>
      <c r="D1464">
        <v>92.5</v>
      </c>
      <c r="E1464">
        <v>4</v>
      </c>
      <c r="F1464">
        <v>1</v>
      </c>
      <c r="G1464">
        <v>0.187</v>
      </c>
      <c r="H1464">
        <v>6.6500000000000004E-2</v>
      </c>
      <c r="I1464">
        <v>0.1701</v>
      </c>
      <c r="J1464" s="1" t="str">
        <f>HYPERLINK(SetRGB(J1464,G1464*255,H1464*255,I1464*255),"HOVER!")</f>
        <v>HOVER!</v>
      </c>
      <c r="K1464">
        <f>E1464/F1464</f>
        <v>4</v>
      </c>
    </row>
    <row r="1465" spans="1:11" ht="15" x14ac:dyDescent="0.35">
      <c r="A1465">
        <f t="shared" si="44"/>
        <v>9</v>
      </c>
      <c r="B1465">
        <f t="shared" si="45"/>
        <v>2.5</v>
      </c>
      <c r="C1465" s="199" t="str">
        <f>B1465&amp;LOOKUP(A1465, Sheet2!$A$2:$A$11, Sheet2!$B$2:$B$11)</f>
        <v>2.5RP</v>
      </c>
      <c r="D1465">
        <v>92.5</v>
      </c>
      <c r="E1465">
        <v>6</v>
      </c>
      <c r="F1465">
        <v>1</v>
      </c>
      <c r="G1465">
        <v>0.21099999999999999</v>
      </c>
      <c r="H1465">
        <v>3.4599999999999999E-2</v>
      </c>
      <c r="I1465">
        <v>0.19120000000000001</v>
      </c>
      <c r="J1465" s="1" t="str">
        <f>HYPERLINK(SetRGB(J1465,G1465*255,H1465*255,I1465*255),"HOVER!")</f>
        <v>HOVER!</v>
      </c>
      <c r="K1465">
        <f>E1465/F1465</f>
        <v>6</v>
      </c>
    </row>
    <row r="1466" spans="1:11" ht="15" x14ac:dyDescent="0.35">
      <c r="A1466">
        <f t="shared" si="44"/>
        <v>9</v>
      </c>
      <c r="B1466">
        <f t="shared" si="45"/>
        <v>2.5</v>
      </c>
      <c r="C1466" s="199" t="str">
        <f>B1466&amp;LOOKUP(A1466, Sheet2!$A$2:$A$11, Sheet2!$B$2:$B$11)</f>
        <v>2.5RP</v>
      </c>
      <c r="D1466">
        <v>92.5</v>
      </c>
      <c r="E1466">
        <v>2</v>
      </c>
      <c r="F1466">
        <v>2</v>
      </c>
      <c r="G1466">
        <v>0.2442</v>
      </c>
      <c r="H1466">
        <v>0.1724</v>
      </c>
      <c r="I1466">
        <v>0.21940000000000001</v>
      </c>
      <c r="J1466" s="1" t="str">
        <f>HYPERLINK(SetRGB(J1466,G1466*255,H1466*255,I1466*255),"HOVER!")</f>
        <v>HOVER!</v>
      </c>
      <c r="K1466">
        <f>E1466/F1466</f>
        <v>1</v>
      </c>
    </row>
    <row r="1467" spans="1:11" ht="15" x14ac:dyDescent="0.35">
      <c r="A1467">
        <f t="shared" si="44"/>
        <v>9</v>
      </c>
      <c r="B1467">
        <f t="shared" si="45"/>
        <v>2.5</v>
      </c>
      <c r="C1467" s="199" t="str">
        <f>B1467&amp;LOOKUP(A1467, Sheet2!$A$2:$A$11, Sheet2!$B$2:$B$11)</f>
        <v>2.5RP</v>
      </c>
      <c r="D1467">
        <v>92.5</v>
      </c>
      <c r="E1467">
        <v>4</v>
      </c>
      <c r="F1467">
        <v>2</v>
      </c>
      <c r="G1467">
        <v>0.27629999999999999</v>
      </c>
      <c r="H1467">
        <v>0.1532</v>
      </c>
      <c r="I1467">
        <v>0.23799999999999999</v>
      </c>
      <c r="J1467" s="1" t="str">
        <f>HYPERLINK(SetRGB(J1467,G1467*255,H1467*255,I1467*255),"HOVER!")</f>
        <v>HOVER!</v>
      </c>
      <c r="K1467">
        <f>E1467/F1467</f>
        <v>2</v>
      </c>
    </row>
    <row r="1468" spans="1:11" ht="15" x14ac:dyDescent="0.35">
      <c r="A1468">
        <f t="shared" si="44"/>
        <v>9</v>
      </c>
      <c r="B1468">
        <f t="shared" si="45"/>
        <v>2.5</v>
      </c>
      <c r="C1468" s="199" t="str">
        <f>B1468&amp;LOOKUP(A1468, Sheet2!$A$2:$A$11, Sheet2!$B$2:$B$11)</f>
        <v>2.5RP</v>
      </c>
      <c r="D1468">
        <v>92.5</v>
      </c>
      <c r="E1468">
        <v>6</v>
      </c>
      <c r="F1468">
        <v>2</v>
      </c>
      <c r="G1468">
        <v>0.307</v>
      </c>
      <c r="H1468">
        <v>0.1288</v>
      </c>
      <c r="I1468">
        <v>0.25719999999999998</v>
      </c>
      <c r="J1468" s="1" t="str">
        <f>HYPERLINK(SetRGB(J1468,G1468*255,H1468*255,I1468*255),"HOVER!")</f>
        <v>HOVER!</v>
      </c>
      <c r="K1468">
        <f>E1468/F1468</f>
        <v>3</v>
      </c>
    </row>
    <row r="1469" spans="1:11" ht="15" x14ac:dyDescent="0.35">
      <c r="A1469">
        <f t="shared" si="44"/>
        <v>9</v>
      </c>
      <c r="B1469">
        <f t="shared" si="45"/>
        <v>2.5</v>
      </c>
      <c r="C1469" s="199" t="str">
        <f>B1469&amp;LOOKUP(A1469, Sheet2!$A$2:$A$11, Sheet2!$B$2:$B$11)</f>
        <v>2.5RP</v>
      </c>
      <c r="D1469">
        <v>92.5</v>
      </c>
      <c r="E1469">
        <v>8</v>
      </c>
      <c r="F1469">
        <v>2</v>
      </c>
      <c r="G1469">
        <v>0.34229999999999999</v>
      </c>
      <c r="H1469">
        <v>8.7300000000000003E-2</v>
      </c>
      <c r="I1469">
        <v>0.28110000000000002</v>
      </c>
      <c r="J1469" s="1" t="str">
        <f>HYPERLINK(SetRGB(J1469,G1469*255,H1469*255,I1469*255),"HOVER!")</f>
        <v>HOVER!</v>
      </c>
      <c r="K1469">
        <f>E1469/F1469</f>
        <v>4</v>
      </c>
    </row>
    <row r="1470" spans="1:11" ht="15" x14ac:dyDescent="0.35">
      <c r="A1470">
        <f t="shared" si="44"/>
        <v>9</v>
      </c>
      <c r="B1470">
        <f t="shared" si="45"/>
        <v>2.5</v>
      </c>
      <c r="C1470" s="199" t="str">
        <f>B1470&amp;LOOKUP(A1470, Sheet2!$A$2:$A$11, Sheet2!$B$2:$B$11)</f>
        <v>2.5RP</v>
      </c>
      <c r="D1470">
        <v>92.5</v>
      </c>
      <c r="E1470">
        <v>10</v>
      </c>
      <c r="F1470">
        <v>2</v>
      </c>
      <c r="G1470">
        <v>0.373</v>
      </c>
      <c r="H1470">
        <v>1.26E-2</v>
      </c>
      <c r="I1470">
        <v>0.30280000000000001</v>
      </c>
      <c r="J1470" s="1" t="str">
        <f>HYPERLINK(SetRGB(J1470,G1470*255,H1470*255,I1470*255),"HOVER!")</f>
        <v>HOVER!</v>
      </c>
      <c r="K1470">
        <f>E1470/F1470</f>
        <v>5</v>
      </c>
    </row>
    <row r="1471" spans="1:11" ht="15" x14ac:dyDescent="0.35">
      <c r="A1471">
        <f t="shared" si="44"/>
        <v>9</v>
      </c>
      <c r="B1471">
        <f t="shared" si="45"/>
        <v>2.5</v>
      </c>
      <c r="C1471" s="199" t="str">
        <f>B1471&amp;LOOKUP(A1471, Sheet2!$A$2:$A$11, Sheet2!$B$2:$B$11)</f>
        <v>2.5RP</v>
      </c>
      <c r="D1471">
        <v>92.5</v>
      </c>
      <c r="E1471">
        <v>2</v>
      </c>
      <c r="F1471">
        <v>3</v>
      </c>
      <c r="G1471">
        <v>0.34029999999999999</v>
      </c>
      <c r="H1471">
        <v>0.26129999999999998</v>
      </c>
      <c r="I1471">
        <v>0.30740000000000001</v>
      </c>
      <c r="J1471" s="1" t="str">
        <f>HYPERLINK(SetRGB(J1471,G1471*255,H1471*255,I1471*255),"HOVER!")</f>
        <v>HOVER!</v>
      </c>
      <c r="K1471">
        <f>E1471/F1471</f>
        <v>0.66666666666666663</v>
      </c>
    </row>
    <row r="1472" spans="1:11" ht="15" x14ac:dyDescent="0.35">
      <c r="A1472">
        <f t="shared" si="44"/>
        <v>9</v>
      </c>
      <c r="B1472">
        <f t="shared" si="45"/>
        <v>2.5</v>
      </c>
      <c r="C1472" s="199" t="str">
        <f>B1472&amp;LOOKUP(A1472, Sheet2!$A$2:$A$11, Sheet2!$B$2:$B$11)</f>
        <v>2.5RP</v>
      </c>
      <c r="D1472">
        <v>92.5</v>
      </c>
      <c r="E1472">
        <v>4</v>
      </c>
      <c r="F1472">
        <v>3</v>
      </c>
      <c r="G1472">
        <v>0.38390000000000002</v>
      </c>
      <c r="H1472">
        <v>0.23780000000000001</v>
      </c>
      <c r="I1472">
        <v>0.32819999999999999</v>
      </c>
      <c r="J1472" s="1" t="str">
        <f>HYPERLINK(SetRGB(J1472,G1472*255,H1472*255,I1472*255),"HOVER!")</f>
        <v>HOVER!</v>
      </c>
      <c r="K1472">
        <f>E1472/F1472</f>
        <v>1.3333333333333333</v>
      </c>
    </row>
    <row r="1473" spans="1:11" ht="15" x14ac:dyDescent="0.35">
      <c r="A1473">
        <f t="shared" si="44"/>
        <v>9</v>
      </c>
      <c r="B1473">
        <f t="shared" si="45"/>
        <v>2.5</v>
      </c>
      <c r="C1473" s="199" t="str">
        <f>B1473&amp;LOOKUP(A1473, Sheet2!$A$2:$A$11, Sheet2!$B$2:$B$11)</f>
        <v>2.5RP</v>
      </c>
      <c r="D1473">
        <v>92.5</v>
      </c>
      <c r="E1473">
        <v>6</v>
      </c>
      <c r="F1473">
        <v>3</v>
      </c>
      <c r="G1473">
        <v>0.42099999999999999</v>
      </c>
      <c r="H1473">
        <v>0.2122</v>
      </c>
      <c r="I1473">
        <v>0.34760000000000002</v>
      </c>
      <c r="J1473" s="1" t="str">
        <f>HYPERLINK(SetRGB(J1473,G1473*255,H1473*255,I1473*255),"HOVER!")</f>
        <v>HOVER!</v>
      </c>
      <c r="K1473">
        <f>E1473/F1473</f>
        <v>2</v>
      </c>
    </row>
    <row r="1474" spans="1:11" ht="15" x14ac:dyDescent="0.35">
      <c r="A1474">
        <f t="shared" si="44"/>
        <v>9</v>
      </c>
      <c r="B1474">
        <f t="shared" si="45"/>
        <v>2.5</v>
      </c>
      <c r="C1474" s="199" t="str">
        <f>B1474&amp;LOOKUP(A1474, Sheet2!$A$2:$A$11, Sheet2!$B$2:$B$11)</f>
        <v>2.5RP</v>
      </c>
      <c r="D1474">
        <v>92.5</v>
      </c>
      <c r="E1474">
        <v>8</v>
      </c>
      <c r="F1474">
        <v>3</v>
      </c>
      <c r="G1474">
        <v>0.45860000000000001</v>
      </c>
      <c r="H1474">
        <v>0.1782</v>
      </c>
      <c r="I1474">
        <v>0.36809999999999998</v>
      </c>
      <c r="J1474" s="1" t="str">
        <f>HYPERLINK(SetRGB(J1474,G1474*255,H1474*255,I1474*255),"HOVER!")</f>
        <v>HOVER!</v>
      </c>
      <c r="K1474">
        <f>E1474/F1474</f>
        <v>2.6666666666666665</v>
      </c>
    </row>
    <row r="1475" spans="1:11" ht="15" x14ac:dyDescent="0.35">
      <c r="A1475">
        <f t="shared" si="44"/>
        <v>9</v>
      </c>
      <c r="B1475">
        <f t="shared" si="45"/>
        <v>2.5</v>
      </c>
      <c r="C1475" s="199" t="str">
        <f>B1475&amp;LOOKUP(A1475, Sheet2!$A$2:$A$11, Sheet2!$B$2:$B$11)</f>
        <v>2.5RP</v>
      </c>
      <c r="D1475">
        <v>92.5</v>
      </c>
      <c r="E1475">
        <v>10</v>
      </c>
      <c r="F1475">
        <v>3</v>
      </c>
      <c r="G1475">
        <v>0.495</v>
      </c>
      <c r="H1475">
        <v>0.13150000000000001</v>
      </c>
      <c r="I1475">
        <v>0.3896</v>
      </c>
      <c r="J1475" s="1" t="str">
        <f>HYPERLINK(SetRGB(J1475,G1475*255,H1475*255,I1475*255),"HOVER!")</f>
        <v>HOVER!</v>
      </c>
      <c r="K1475">
        <f>E1475/F1475</f>
        <v>3.3333333333333335</v>
      </c>
    </row>
    <row r="1476" spans="1:11" ht="15" x14ac:dyDescent="0.35">
      <c r="A1476">
        <f t="shared" si="44"/>
        <v>9</v>
      </c>
      <c r="B1476">
        <f t="shared" si="45"/>
        <v>2.5</v>
      </c>
      <c r="C1476" s="199" t="str">
        <f>B1476&amp;LOOKUP(A1476, Sheet2!$A$2:$A$11, Sheet2!$B$2:$B$11)</f>
        <v>2.5RP</v>
      </c>
      <c r="D1476">
        <v>92.5</v>
      </c>
      <c r="E1476">
        <v>12</v>
      </c>
      <c r="F1476">
        <v>3</v>
      </c>
      <c r="G1476">
        <v>0.5292</v>
      </c>
      <c r="H1476">
        <v>5.2999999999999999E-2</v>
      </c>
      <c r="I1476">
        <v>0.41010000000000002</v>
      </c>
      <c r="J1476" s="1" t="str">
        <f>HYPERLINK(SetRGB(J1476,G1476*255,H1476*255,I1476*255),"HOVER!")</f>
        <v>HOVER!</v>
      </c>
      <c r="K1476">
        <f>E1476/F1476</f>
        <v>4</v>
      </c>
    </row>
    <row r="1477" spans="1:11" ht="15" x14ac:dyDescent="0.35">
      <c r="A1477">
        <f t="shared" si="44"/>
        <v>9</v>
      </c>
      <c r="B1477">
        <f t="shared" si="45"/>
        <v>2.5</v>
      </c>
      <c r="C1477" s="199" t="str">
        <f>B1477&amp;LOOKUP(A1477, Sheet2!$A$2:$A$11, Sheet2!$B$2:$B$11)</f>
        <v>2.5RP</v>
      </c>
      <c r="D1477">
        <v>92.5</v>
      </c>
      <c r="E1477">
        <v>2</v>
      </c>
      <c r="F1477">
        <v>4</v>
      </c>
      <c r="G1477">
        <v>0.43390000000000001</v>
      </c>
      <c r="H1477">
        <v>0.3609</v>
      </c>
      <c r="I1477">
        <v>0.40129999999999999</v>
      </c>
      <c r="J1477" s="1" t="str">
        <f>HYPERLINK(SetRGB(J1477,G1477*255,H1477*255,I1477*255),"HOVER!")</f>
        <v>HOVER!</v>
      </c>
      <c r="K1477">
        <f>E1477/F1477</f>
        <v>0.5</v>
      </c>
    </row>
    <row r="1478" spans="1:11" ht="15" x14ac:dyDescent="0.35">
      <c r="A1478">
        <f t="shared" si="44"/>
        <v>9</v>
      </c>
      <c r="B1478">
        <f t="shared" si="45"/>
        <v>2.5</v>
      </c>
      <c r="C1478" s="199" t="str">
        <f>B1478&amp;LOOKUP(A1478, Sheet2!$A$2:$A$11, Sheet2!$B$2:$B$11)</f>
        <v>2.5RP</v>
      </c>
      <c r="D1478">
        <v>92.5</v>
      </c>
      <c r="E1478">
        <v>4</v>
      </c>
      <c r="F1478">
        <v>4</v>
      </c>
      <c r="G1478">
        <v>0.47839999999999999</v>
      </c>
      <c r="H1478">
        <v>0.33979999999999999</v>
      </c>
      <c r="I1478">
        <v>0.42020000000000002</v>
      </c>
      <c r="J1478" s="1" t="str">
        <f>HYPERLINK(SetRGB(J1478,G1478*255,H1478*255,I1478*255),"HOVER!")</f>
        <v>HOVER!</v>
      </c>
      <c r="K1478">
        <f>E1478/F1478</f>
        <v>1</v>
      </c>
    </row>
    <row r="1479" spans="1:11" ht="15" x14ac:dyDescent="0.35">
      <c r="A1479">
        <f t="shared" si="44"/>
        <v>9</v>
      </c>
      <c r="B1479">
        <f t="shared" si="45"/>
        <v>2.5</v>
      </c>
      <c r="C1479" s="199" t="str">
        <f>B1479&amp;LOOKUP(A1479, Sheet2!$A$2:$A$11, Sheet2!$B$2:$B$11)</f>
        <v>2.5RP</v>
      </c>
      <c r="D1479">
        <v>92.5</v>
      </c>
      <c r="E1479">
        <v>6</v>
      </c>
      <c r="F1479">
        <v>4</v>
      </c>
      <c r="G1479">
        <v>0.52139999999999997</v>
      </c>
      <c r="H1479">
        <v>0.315</v>
      </c>
      <c r="I1479">
        <v>0.44</v>
      </c>
      <c r="J1479" s="1" t="str">
        <f>HYPERLINK(SetRGB(J1479,G1479*255,H1479*255,I1479*255),"HOVER!")</f>
        <v>HOVER!</v>
      </c>
      <c r="K1479">
        <f>E1479/F1479</f>
        <v>1.5</v>
      </c>
    </row>
    <row r="1480" spans="1:11" ht="15" x14ac:dyDescent="0.35">
      <c r="A1480">
        <f t="shared" si="44"/>
        <v>9</v>
      </c>
      <c r="B1480">
        <f t="shared" si="45"/>
        <v>2.5</v>
      </c>
      <c r="C1480" s="199" t="str">
        <f>B1480&amp;LOOKUP(A1480, Sheet2!$A$2:$A$11, Sheet2!$B$2:$B$11)</f>
        <v>2.5RP</v>
      </c>
      <c r="D1480">
        <v>92.5</v>
      </c>
      <c r="E1480">
        <v>8</v>
      </c>
      <c r="F1480">
        <v>4</v>
      </c>
      <c r="G1480">
        <v>0.56089999999999995</v>
      </c>
      <c r="H1480">
        <v>0.28710000000000002</v>
      </c>
      <c r="I1480">
        <v>0.45910000000000001</v>
      </c>
      <c r="J1480" s="1" t="str">
        <f>HYPERLINK(SetRGB(J1480,G1480*255,H1480*255,I1480*255),"HOVER!")</f>
        <v>HOVER!</v>
      </c>
      <c r="K1480">
        <f>E1480/F1480</f>
        <v>2</v>
      </c>
    </row>
    <row r="1481" spans="1:11" ht="15" x14ac:dyDescent="0.35">
      <c r="A1481">
        <f t="shared" si="44"/>
        <v>9</v>
      </c>
      <c r="B1481">
        <f t="shared" si="45"/>
        <v>2.5</v>
      </c>
      <c r="C1481" s="199" t="str">
        <f>B1481&amp;LOOKUP(A1481, Sheet2!$A$2:$A$11, Sheet2!$B$2:$B$11)</f>
        <v>2.5RP</v>
      </c>
      <c r="D1481">
        <v>92.5</v>
      </c>
      <c r="E1481">
        <v>10</v>
      </c>
      <c r="F1481">
        <v>4</v>
      </c>
      <c r="G1481">
        <v>0.5958</v>
      </c>
      <c r="H1481">
        <v>0.25669999999999998</v>
      </c>
      <c r="I1481">
        <v>0.4773</v>
      </c>
      <c r="J1481" s="1" t="str">
        <f>HYPERLINK(SetRGB(J1481,G1481*255,H1481*255,I1481*255),"HOVER!")</f>
        <v>HOVER!</v>
      </c>
      <c r="K1481">
        <f>E1481/F1481</f>
        <v>2.5</v>
      </c>
    </row>
    <row r="1482" spans="1:11" ht="15" x14ac:dyDescent="0.35">
      <c r="A1482">
        <f t="shared" si="44"/>
        <v>9</v>
      </c>
      <c r="B1482">
        <f t="shared" si="45"/>
        <v>2.5</v>
      </c>
      <c r="C1482" s="199" t="str">
        <f>B1482&amp;LOOKUP(A1482, Sheet2!$A$2:$A$11, Sheet2!$B$2:$B$11)</f>
        <v>2.5RP</v>
      </c>
      <c r="D1482">
        <v>92.5</v>
      </c>
      <c r="E1482">
        <v>12</v>
      </c>
      <c r="F1482">
        <v>4</v>
      </c>
      <c r="G1482">
        <v>0.63270000000000004</v>
      </c>
      <c r="H1482">
        <v>0.21590000000000001</v>
      </c>
      <c r="I1482">
        <v>0.49709999999999999</v>
      </c>
      <c r="J1482" s="1" t="str">
        <f>HYPERLINK(SetRGB(J1482,G1482*255,H1482*255,I1482*255),"HOVER!")</f>
        <v>HOVER!</v>
      </c>
      <c r="K1482">
        <f>E1482/F1482</f>
        <v>3</v>
      </c>
    </row>
    <row r="1483" spans="1:11" ht="15" x14ac:dyDescent="0.35">
      <c r="A1483">
        <f t="shared" si="44"/>
        <v>9</v>
      </c>
      <c r="B1483">
        <f t="shared" si="45"/>
        <v>2.5</v>
      </c>
      <c r="C1483" s="199" t="str">
        <f>B1483&amp;LOOKUP(A1483, Sheet2!$A$2:$A$11, Sheet2!$B$2:$B$11)</f>
        <v>2.5RP</v>
      </c>
      <c r="D1483">
        <v>92.5</v>
      </c>
      <c r="E1483">
        <v>14</v>
      </c>
      <c r="F1483">
        <v>4</v>
      </c>
      <c r="G1483">
        <v>0.66659999999999997</v>
      </c>
      <c r="H1483">
        <v>0.16450000000000001</v>
      </c>
      <c r="I1483">
        <v>0.5161</v>
      </c>
      <c r="J1483" s="1" t="str">
        <f>HYPERLINK(SetRGB(J1483,G1483*255,H1483*255,I1483*255),"HOVER!")</f>
        <v>HOVER!</v>
      </c>
      <c r="K1483">
        <f>E1483/F1483</f>
        <v>3.5</v>
      </c>
    </row>
    <row r="1484" spans="1:11" ht="15" x14ac:dyDescent="0.35">
      <c r="A1484">
        <f t="shared" si="44"/>
        <v>9</v>
      </c>
      <c r="B1484">
        <f t="shared" si="45"/>
        <v>2.5</v>
      </c>
      <c r="C1484" s="199" t="str">
        <f>B1484&amp;LOOKUP(A1484, Sheet2!$A$2:$A$11, Sheet2!$B$2:$B$11)</f>
        <v>2.5RP</v>
      </c>
      <c r="D1484">
        <v>92.5</v>
      </c>
      <c r="E1484">
        <v>16</v>
      </c>
      <c r="F1484">
        <v>4</v>
      </c>
      <c r="G1484">
        <v>0.7</v>
      </c>
      <c r="H1484">
        <v>7.9600000000000004E-2</v>
      </c>
      <c r="I1484">
        <v>0.5353</v>
      </c>
      <c r="J1484" s="1" t="str">
        <f>HYPERLINK(SetRGB(J1484,G1484*255,H1484*255,I1484*255),"HOVER!")</f>
        <v>HOVER!</v>
      </c>
      <c r="K1484">
        <f>E1484/F1484</f>
        <v>4</v>
      </c>
    </row>
    <row r="1485" spans="1:11" ht="15" x14ac:dyDescent="0.35">
      <c r="A1485">
        <f t="shared" si="44"/>
        <v>9</v>
      </c>
      <c r="B1485">
        <f t="shared" si="45"/>
        <v>2.5</v>
      </c>
      <c r="C1485" s="199" t="str">
        <f>B1485&amp;LOOKUP(A1485, Sheet2!$A$2:$A$11, Sheet2!$B$2:$B$11)</f>
        <v>2.5RP</v>
      </c>
      <c r="D1485">
        <v>92.5</v>
      </c>
      <c r="E1485">
        <v>2</v>
      </c>
      <c r="F1485">
        <v>5</v>
      </c>
      <c r="G1485">
        <v>0.52869999999999995</v>
      </c>
      <c r="H1485">
        <v>0.46479999999999999</v>
      </c>
      <c r="I1485">
        <v>0.49780000000000002</v>
      </c>
      <c r="J1485" s="1" t="str">
        <f>HYPERLINK(SetRGB(J1485,G1485*255,H1485*255,I1485*255),"HOVER!")</f>
        <v>HOVER!</v>
      </c>
      <c r="K1485">
        <f>E1485/F1485</f>
        <v>0.4</v>
      </c>
    </row>
    <row r="1486" spans="1:11" ht="15" x14ac:dyDescent="0.35">
      <c r="A1486">
        <f t="shared" ref="A1486:A1549" si="46">IF(FLOOR(D1486/10,1)=0,10,FLOOR(D1486/10,1))</f>
        <v>9</v>
      </c>
      <c r="B1486">
        <f t="shared" ref="B1486:B1549" si="47">IF(MOD(D1486,10)=0,10,MOD(D1486,10))</f>
        <v>2.5</v>
      </c>
      <c r="C1486" s="199" t="str">
        <f>B1486&amp;LOOKUP(A1486, Sheet2!$A$2:$A$11, Sheet2!$B$2:$B$11)</f>
        <v>2.5RP</v>
      </c>
      <c r="D1486">
        <v>92.5</v>
      </c>
      <c r="E1486">
        <v>4</v>
      </c>
      <c r="F1486">
        <v>5</v>
      </c>
      <c r="G1486">
        <v>0.57589999999999997</v>
      </c>
      <c r="H1486">
        <v>0.44440000000000002</v>
      </c>
      <c r="I1486">
        <v>0.51600000000000001</v>
      </c>
      <c r="J1486" s="1" t="str">
        <f>HYPERLINK(SetRGB(J1486,G1486*255,H1486*255,I1486*255),"HOVER!")</f>
        <v>HOVER!</v>
      </c>
      <c r="K1486">
        <f>E1486/F1486</f>
        <v>0.8</v>
      </c>
    </row>
    <row r="1487" spans="1:11" ht="15" x14ac:dyDescent="0.35">
      <c r="A1487">
        <f t="shared" si="46"/>
        <v>9</v>
      </c>
      <c r="B1487">
        <f t="shared" si="47"/>
        <v>2.5</v>
      </c>
      <c r="C1487" s="199" t="str">
        <f>B1487&amp;LOOKUP(A1487, Sheet2!$A$2:$A$11, Sheet2!$B$2:$B$11)</f>
        <v>2.5RP</v>
      </c>
      <c r="D1487">
        <v>92.5</v>
      </c>
      <c r="E1487">
        <v>6</v>
      </c>
      <c r="F1487">
        <v>5</v>
      </c>
      <c r="G1487">
        <v>0.62309999999999999</v>
      </c>
      <c r="H1487">
        <v>0.42009999999999997</v>
      </c>
      <c r="I1487">
        <v>0.53539999999999999</v>
      </c>
      <c r="J1487" s="1" t="str">
        <f>HYPERLINK(SetRGB(J1487,G1487*255,H1487*255,I1487*255),"HOVER!")</f>
        <v>HOVER!</v>
      </c>
      <c r="K1487">
        <f>E1487/F1487</f>
        <v>1.2</v>
      </c>
    </row>
    <row r="1488" spans="1:11" ht="15" x14ac:dyDescent="0.35">
      <c r="A1488">
        <f t="shared" si="46"/>
        <v>9</v>
      </c>
      <c r="B1488">
        <f t="shared" si="47"/>
        <v>2.5</v>
      </c>
      <c r="C1488" s="199" t="str">
        <f>B1488&amp;LOOKUP(A1488, Sheet2!$A$2:$A$11, Sheet2!$B$2:$B$11)</f>
        <v>2.5RP</v>
      </c>
      <c r="D1488">
        <v>92.5</v>
      </c>
      <c r="E1488">
        <v>8</v>
      </c>
      <c r="F1488">
        <v>5</v>
      </c>
      <c r="G1488">
        <v>0.66949999999999998</v>
      </c>
      <c r="H1488">
        <v>0.39169999999999999</v>
      </c>
      <c r="I1488">
        <v>0.55589999999999995</v>
      </c>
      <c r="J1488" s="1" t="str">
        <f>HYPERLINK(SetRGB(J1488,G1488*255,H1488*255,I1488*255),"HOVER!")</f>
        <v>HOVER!</v>
      </c>
      <c r="K1488">
        <f>E1488/F1488</f>
        <v>1.6</v>
      </c>
    </row>
    <row r="1489" spans="1:11" ht="15" x14ac:dyDescent="0.35">
      <c r="A1489">
        <f t="shared" si="46"/>
        <v>9</v>
      </c>
      <c r="B1489">
        <f t="shared" si="47"/>
        <v>2.5</v>
      </c>
      <c r="C1489" s="199" t="str">
        <f>B1489&amp;LOOKUP(A1489, Sheet2!$A$2:$A$11, Sheet2!$B$2:$B$11)</f>
        <v>2.5RP</v>
      </c>
      <c r="D1489">
        <v>92.5</v>
      </c>
      <c r="E1489">
        <v>10</v>
      </c>
      <c r="F1489">
        <v>5</v>
      </c>
      <c r="G1489">
        <v>0.70630000000000004</v>
      </c>
      <c r="H1489">
        <v>0.36499999999999999</v>
      </c>
      <c r="I1489">
        <v>0.57350000000000001</v>
      </c>
      <c r="J1489" s="1" t="str">
        <f>HYPERLINK(SetRGB(J1489,G1489*255,H1489*255,I1489*255),"HOVER!")</f>
        <v>HOVER!</v>
      </c>
      <c r="K1489">
        <f>E1489/F1489</f>
        <v>2</v>
      </c>
    </row>
    <row r="1490" spans="1:11" ht="15" x14ac:dyDescent="0.35">
      <c r="A1490">
        <f t="shared" si="46"/>
        <v>9</v>
      </c>
      <c r="B1490">
        <f t="shared" si="47"/>
        <v>2.5</v>
      </c>
      <c r="C1490" s="199" t="str">
        <f>B1490&amp;LOOKUP(A1490, Sheet2!$A$2:$A$11, Sheet2!$B$2:$B$11)</f>
        <v>2.5RP</v>
      </c>
      <c r="D1490">
        <v>92.5</v>
      </c>
      <c r="E1490">
        <v>12</v>
      </c>
      <c r="F1490">
        <v>5</v>
      </c>
      <c r="G1490">
        <v>0.747</v>
      </c>
      <c r="H1490">
        <v>0.32969999999999999</v>
      </c>
      <c r="I1490">
        <v>0.59360000000000002</v>
      </c>
      <c r="J1490" s="1" t="str">
        <f>HYPERLINK(SetRGB(J1490,G1490*255,H1490*255,I1490*255),"HOVER!")</f>
        <v>HOVER!</v>
      </c>
      <c r="K1490">
        <f>E1490/F1490</f>
        <v>2.4</v>
      </c>
    </row>
    <row r="1491" spans="1:11" ht="15" x14ac:dyDescent="0.35">
      <c r="A1491">
        <f t="shared" si="46"/>
        <v>9</v>
      </c>
      <c r="B1491">
        <f t="shared" si="47"/>
        <v>2.5</v>
      </c>
      <c r="C1491" s="199" t="str">
        <f>B1491&amp;LOOKUP(A1491, Sheet2!$A$2:$A$11, Sheet2!$B$2:$B$11)</f>
        <v>2.5RP</v>
      </c>
      <c r="D1491">
        <v>92.5</v>
      </c>
      <c r="E1491">
        <v>14</v>
      </c>
      <c r="F1491">
        <v>5</v>
      </c>
      <c r="G1491">
        <v>0.78490000000000004</v>
      </c>
      <c r="H1491">
        <v>0.2893</v>
      </c>
      <c r="I1491">
        <v>0.61280000000000001</v>
      </c>
      <c r="J1491" s="1" t="str">
        <f>HYPERLINK(SetRGB(J1491,G1491*255,H1491*255,I1491*255),"HOVER!")</f>
        <v>HOVER!</v>
      </c>
      <c r="K1491">
        <f>E1491/F1491</f>
        <v>2.8</v>
      </c>
    </row>
    <row r="1492" spans="1:11" ht="15" x14ac:dyDescent="0.35">
      <c r="A1492">
        <f t="shared" si="46"/>
        <v>9</v>
      </c>
      <c r="B1492">
        <f t="shared" si="47"/>
        <v>2.5</v>
      </c>
      <c r="C1492" s="199" t="str">
        <f>B1492&amp;LOOKUP(A1492, Sheet2!$A$2:$A$11, Sheet2!$B$2:$B$11)</f>
        <v>2.5RP</v>
      </c>
      <c r="D1492">
        <v>92.5</v>
      </c>
      <c r="E1492">
        <v>16</v>
      </c>
      <c r="F1492">
        <v>5</v>
      </c>
      <c r="G1492">
        <v>0.82020000000000004</v>
      </c>
      <c r="H1492">
        <v>0.2414</v>
      </c>
      <c r="I1492">
        <v>0.63129999999999997</v>
      </c>
      <c r="J1492" s="1" t="str">
        <f>HYPERLINK(SetRGB(J1492,G1492*255,H1492*255,I1492*255),"HOVER!")</f>
        <v>HOVER!</v>
      </c>
      <c r="K1492">
        <f>E1492/F1492</f>
        <v>3.2</v>
      </c>
    </row>
    <row r="1493" spans="1:11" ht="15" x14ac:dyDescent="0.35">
      <c r="A1493">
        <f t="shared" si="46"/>
        <v>9</v>
      </c>
      <c r="B1493">
        <f t="shared" si="47"/>
        <v>2.5</v>
      </c>
      <c r="C1493" s="199" t="str">
        <f>B1493&amp;LOOKUP(A1493, Sheet2!$A$2:$A$11, Sheet2!$B$2:$B$11)</f>
        <v>2.5RP</v>
      </c>
      <c r="D1493">
        <v>92.5</v>
      </c>
      <c r="E1493">
        <v>18</v>
      </c>
      <c r="F1493">
        <v>5</v>
      </c>
      <c r="G1493">
        <v>0.85599999999999998</v>
      </c>
      <c r="H1493">
        <v>0.17330000000000001</v>
      </c>
      <c r="I1493">
        <v>0.65049999999999997</v>
      </c>
      <c r="J1493" s="1" t="str">
        <f>HYPERLINK(SetRGB(J1493,G1493*255,H1493*255,I1493*255),"HOVER!")</f>
        <v>HOVER!</v>
      </c>
      <c r="K1493">
        <f>E1493/F1493</f>
        <v>3.6</v>
      </c>
    </row>
    <row r="1494" spans="1:11" ht="15" x14ac:dyDescent="0.35">
      <c r="A1494">
        <f t="shared" si="46"/>
        <v>9</v>
      </c>
      <c r="B1494">
        <f t="shared" si="47"/>
        <v>2.5</v>
      </c>
      <c r="C1494" s="199" t="str">
        <f>B1494&amp;LOOKUP(A1494, Sheet2!$A$2:$A$11, Sheet2!$B$2:$B$11)</f>
        <v>2.5RP</v>
      </c>
      <c r="D1494">
        <v>92.5</v>
      </c>
      <c r="E1494">
        <v>20</v>
      </c>
      <c r="F1494">
        <v>5</v>
      </c>
      <c r="G1494">
        <v>0.89149999999999996</v>
      </c>
      <c r="H1494">
        <v>2.6200000000000001E-2</v>
      </c>
      <c r="I1494">
        <v>0.67069999999999996</v>
      </c>
      <c r="J1494" s="1" t="str">
        <f>HYPERLINK(SetRGB(J1494,G1494*255,H1494*255,I1494*255),"HOVER!")</f>
        <v>HOVER!</v>
      </c>
      <c r="K1494">
        <f>E1494/F1494</f>
        <v>4</v>
      </c>
    </row>
    <row r="1495" spans="1:11" ht="15" x14ac:dyDescent="0.35">
      <c r="A1495">
        <f t="shared" si="46"/>
        <v>9</v>
      </c>
      <c r="B1495">
        <f t="shared" si="47"/>
        <v>2.5</v>
      </c>
      <c r="C1495" s="199" t="str">
        <f>B1495&amp;LOOKUP(A1495, Sheet2!$A$2:$A$11, Sheet2!$B$2:$B$11)</f>
        <v>2.5RP</v>
      </c>
      <c r="D1495">
        <v>92.5</v>
      </c>
      <c r="E1495">
        <v>2</v>
      </c>
      <c r="F1495">
        <v>6</v>
      </c>
      <c r="G1495">
        <v>0.63139999999999996</v>
      </c>
      <c r="H1495">
        <v>0.5675</v>
      </c>
      <c r="I1495">
        <v>0.59850000000000003</v>
      </c>
      <c r="J1495" s="2" t="str">
        <f>HYPERLINK(SetRGB(J1495,G1495*255,H1495*255,I1495*255),"HOVER!")</f>
        <v>HOVER!</v>
      </c>
      <c r="K1495">
        <f>E1495/F1495</f>
        <v>0.33333333333333331</v>
      </c>
    </row>
    <row r="1496" spans="1:11" ht="15" x14ac:dyDescent="0.35">
      <c r="A1496">
        <f t="shared" si="46"/>
        <v>9</v>
      </c>
      <c r="B1496">
        <f t="shared" si="47"/>
        <v>2.5</v>
      </c>
      <c r="C1496" s="199" t="str">
        <f>B1496&amp;LOOKUP(A1496, Sheet2!$A$2:$A$11, Sheet2!$B$2:$B$11)</f>
        <v>2.5RP</v>
      </c>
      <c r="D1496">
        <v>92.5</v>
      </c>
      <c r="E1496">
        <v>4</v>
      </c>
      <c r="F1496">
        <v>6</v>
      </c>
      <c r="G1496">
        <v>0.67749999999999999</v>
      </c>
      <c r="H1496">
        <v>0.5484</v>
      </c>
      <c r="I1496">
        <v>0.6149</v>
      </c>
      <c r="J1496" s="2" t="str">
        <f>HYPERLINK(SetRGB(J1496,G1496*255,H1496*255,I1496*255),"HOVER!")</f>
        <v>HOVER!</v>
      </c>
      <c r="K1496">
        <f>E1496/F1496</f>
        <v>0.66666666666666663</v>
      </c>
    </row>
    <row r="1497" spans="1:11" ht="15" x14ac:dyDescent="0.35">
      <c r="A1497">
        <f t="shared" si="46"/>
        <v>9</v>
      </c>
      <c r="B1497">
        <f t="shared" si="47"/>
        <v>2.5</v>
      </c>
      <c r="C1497" s="199" t="str">
        <f>B1497&amp;LOOKUP(A1497, Sheet2!$A$2:$A$11, Sheet2!$B$2:$B$11)</f>
        <v>2.5RP</v>
      </c>
      <c r="D1497">
        <v>92.5</v>
      </c>
      <c r="E1497">
        <v>6</v>
      </c>
      <c r="F1497">
        <v>6</v>
      </c>
      <c r="G1497">
        <v>0.72719999999999996</v>
      </c>
      <c r="H1497">
        <v>0.52470000000000006</v>
      </c>
      <c r="I1497">
        <v>0.63390000000000002</v>
      </c>
      <c r="J1497" s="2" t="str">
        <f>HYPERLINK(SetRGB(J1497,G1497*255,H1497*255,I1497*255),"HOVER!")</f>
        <v>HOVER!</v>
      </c>
      <c r="K1497">
        <f>E1497/F1497</f>
        <v>1</v>
      </c>
    </row>
    <row r="1498" spans="1:11" ht="15" x14ac:dyDescent="0.35">
      <c r="A1498">
        <f t="shared" si="46"/>
        <v>9</v>
      </c>
      <c r="B1498">
        <f t="shared" si="47"/>
        <v>2.5</v>
      </c>
      <c r="C1498" s="199" t="str">
        <f>B1498&amp;LOOKUP(A1498, Sheet2!$A$2:$A$11, Sheet2!$B$2:$B$11)</f>
        <v>2.5RP</v>
      </c>
      <c r="D1498">
        <v>92.5</v>
      </c>
      <c r="E1498">
        <v>8</v>
      </c>
      <c r="F1498">
        <v>6</v>
      </c>
      <c r="G1498">
        <v>0.76919999999999999</v>
      </c>
      <c r="H1498">
        <v>0.50170000000000003</v>
      </c>
      <c r="I1498">
        <v>0.65100000000000002</v>
      </c>
      <c r="J1498" s="2" t="str">
        <f>HYPERLINK(SetRGB(J1498,G1498*255,H1498*255,I1498*255),"HOVER!")</f>
        <v>HOVER!</v>
      </c>
      <c r="K1498">
        <f>E1498/F1498</f>
        <v>1.3333333333333333</v>
      </c>
    </row>
    <row r="1499" spans="1:11" ht="15" x14ac:dyDescent="0.35">
      <c r="A1499">
        <f t="shared" si="46"/>
        <v>9</v>
      </c>
      <c r="B1499">
        <f t="shared" si="47"/>
        <v>2.5</v>
      </c>
      <c r="C1499" s="199" t="str">
        <f>B1499&amp;LOOKUP(A1499, Sheet2!$A$2:$A$11, Sheet2!$B$2:$B$11)</f>
        <v>2.5RP</v>
      </c>
      <c r="D1499">
        <v>92.5</v>
      </c>
      <c r="E1499">
        <v>10</v>
      </c>
      <c r="F1499">
        <v>6</v>
      </c>
      <c r="G1499">
        <v>0.81069999999999998</v>
      </c>
      <c r="H1499">
        <v>0.47560000000000002</v>
      </c>
      <c r="I1499">
        <v>0.66900000000000004</v>
      </c>
      <c r="J1499" s="2" t="str">
        <f>HYPERLINK(SetRGB(J1499,G1499*255,H1499*255,I1499*255),"HOVER!")</f>
        <v>HOVER!</v>
      </c>
      <c r="K1499">
        <f>E1499/F1499</f>
        <v>1.6666666666666667</v>
      </c>
    </row>
    <row r="1500" spans="1:11" ht="15" x14ac:dyDescent="0.35">
      <c r="A1500">
        <f t="shared" si="46"/>
        <v>9</v>
      </c>
      <c r="B1500">
        <f t="shared" si="47"/>
        <v>2.5</v>
      </c>
      <c r="C1500" s="199" t="str">
        <f>B1500&amp;LOOKUP(A1500, Sheet2!$A$2:$A$11, Sheet2!$B$2:$B$11)</f>
        <v>2.5RP</v>
      </c>
      <c r="D1500">
        <v>92.5</v>
      </c>
      <c r="E1500">
        <v>12</v>
      </c>
      <c r="F1500">
        <v>6</v>
      </c>
      <c r="G1500">
        <v>0.85460000000000003</v>
      </c>
      <c r="H1500">
        <v>0.44359999999999999</v>
      </c>
      <c r="I1500">
        <v>0.68920000000000003</v>
      </c>
      <c r="J1500" s="2" t="str">
        <f>HYPERLINK(SetRGB(J1500,G1500*255,H1500*255,I1500*255),"HOVER!")</f>
        <v>HOVER!</v>
      </c>
      <c r="K1500">
        <f>E1500/F1500</f>
        <v>2</v>
      </c>
    </row>
    <row r="1501" spans="1:11" ht="15" x14ac:dyDescent="0.35">
      <c r="A1501">
        <f t="shared" si="46"/>
        <v>9</v>
      </c>
      <c r="B1501">
        <f t="shared" si="47"/>
        <v>2.5</v>
      </c>
      <c r="C1501" s="199" t="str">
        <f>B1501&amp;LOOKUP(A1501, Sheet2!$A$2:$A$11, Sheet2!$B$2:$B$11)</f>
        <v>2.5RP</v>
      </c>
      <c r="D1501">
        <v>92.5</v>
      </c>
      <c r="E1501">
        <v>14</v>
      </c>
      <c r="F1501">
        <v>6</v>
      </c>
      <c r="G1501">
        <v>0.89670000000000005</v>
      </c>
      <c r="H1501">
        <v>0.40760000000000002</v>
      </c>
      <c r="I1501">
        <v>0.7087</v>
      </c>
      <c r="J1501" s="2" t="str">
        <f>HYPERLINK(SetRGB(J1501,G1501*255,H1501*255,I1501*255),"HOVER!")</f>
        <v>HOVER!</v>
      </c>
      <c r="K1501">
        <f>E1501/F1501</f>
        <v>2.3333333333333335</v>
      </c>
    </row>
    <row r="1502" spans="1:11" ht="15" x14ac:dyDescent="0.35">
      <c r="A1502">
        <f t="shared" si="46"/>
        <v>9</v>
      </c>
      <c r="B1502">
        <f t="shared" si="47"/>
        <v>2.5</v>
      </c>
      <c r="C1502" s="199" t="str">
        <f>B1502&amp;LOOKUP(A1502, Sheet2!$A$2:$A$11, Sheet2!$B$2:$B$11)</f>
        <v>2.5RP</v>
      </c>
      <c r="D1502">
        <v>92.5</v>
      </c>
      <c r="E1502">
        <v>16</v>
      </c>
      <c r="F1502">
        <v>6</v>
      </c>
      <c r="G1502">
        <v>0.93830000000000002</v>
      </c>
      <c r="H1502">
        <v>0.3649</v>
      </c>
      <c r="I1502">
        <v>0.7288</v>
      </c>
      <c r="J1502" s="2" t="str">
        <f>HYPERLINK(SetRGB(J1502,G1502*255,H1502*255,I1502*255),"HOVER!")</f>
        <v>HOVER!</v>
      </c>
      <c r="K1502">
        <f>E1502/F1502</f>
        <v>2.6666666666666665</v>
      </c>
    </row>
    <row r="1503" spans="1:11" ht="15" x14ac:dyDescent="0.35">
      <c r="A1503">
        <f t="shared" si="46"/>
        <v>9</v>
      </c>
      <c r="B1503">
        <f t="shared" si="47"/>
        <v>2.5</v>
      </c>
      <c r="C1503" s="199" t="str">
        <f>B1503&amp;LOOKUP(A1503, Sheet2!$A$2:$A$11, Sheet2!$B$2:$B$11)</f>
        <v>2.5RP</v>
      </c>
      <c r="D1503">
        <v>92.5</v>
      </c>
      <c r="E1503">
        <v>18</v>
      </c>
      <c r="F1503">
        <v>6</v>
      </c>
      <c r="G1503">
        <v>0.97570000000000001</v>
      </c>
      <c r="H1503">
        <v>0.31740000000000002</v>
      </c>
      <c r="I1503">
        <v>0.74809999999999999</v>
      </c>
      <c r="J1503" s="2" t="str">
        <f>HYPERLINK(SetRGB(J1503,G1503*255,H1503*255,I1503*255),"HOVER!")</f>
        <v>HOVER!</v>
      </c>
      <c r="K1503">
        <f>E1503/F1503</f>
        <v>3</v>
      </c>
    </row>
    <row r="1504" spans="1:11" ht="15" x14ac:dyDescent="0.35">
      <c r="A1504">
        <f t="shared" si="46"/>
        <v>9</v>
      </c>
      <c r="B1504">
        <f t="shared" si="47"/>
        <v>2.5</v>
      </c>
      <c r="C1504" s="199" t="str">
        <f>B1504&amp;LOOKUP(A1504, Sheet2!$A$2:$A$11, Sheet2!$B$2:$B$11)</f>
        <v>2.5RP</v>
      </c>
      <c r="D1504">
        <v>92.5</v>
      </c>
      <c r="E1504">
        <v>20</v>
      </c>
      <c r="F1504">
        <v>6</v>
      </c>
      <c r="G1504">
        <v>1</v>
      </c>
      <c r="H1504">
        <v>0.246</v>
      </c>
      <c r="I1504">
        <v>0.77039999999999997</v>
      </c>
      <c r="J1504" s="2" t="str">
        <f>HYPERLINK(SetRGB(J1504,G1504*255,H1504*255,I1504*255),"HOVER!")</f>
        <v>HOVER!</v>
      </c>
      <c r="K1504">
        <f>E1504/F1504</f>
        <v>3.3333333333333335</v>
      </c>
    </row>
    <row r="1505" spans="1:11" ht="15" x14ac:dyDescent="0.35">
      <c r="A1505">
        <f t="shared" si="46"/>
        <v>9</v>
      </c>
      <c r="B1505">
        <f t="shared" si="47"/>
        <v>2.5</v>
      </c>
      <c r="C1505" s="199" t="str">
        <f>B1505&amp;LOOKUP(A1505, Sheet2!$A$2:$A$11, Sheet2!$B$2:$B$11)</f>
        <v>2.5RP</v>
      </c>
      <c r="D1505">
        <v>92.5</v>
      </c>
      <c r="E1505">
        <v>22</v>
      </c>
      <c r="F1505">
        <v>6</v>
      </c>
      <c r="G1505">
        <v>1</v>
      </c>
      <c r="H1505">
        <v>0.16070000000000001</v>
      </c>
      <c r="I1505">
        <v>0.78859999999999997</v>
      </c>
      <c r="J1505" s="1" t="str">
        <f>HYPERLINK(SetRGB(J1505,G1505*255,H1505*255,I1505*255),"HOVER!")</f>
        <v>HOVER!</v>
      </c>
      <c r="K1505">
        <f>E1505/F1505</f>
        <v>3.6666666666666665</v>
      </c>
    </row>
    <row r="1506" spans="1:11" ht="15" x14ac:dyDescent="0.35">
      <c r="A1506">
        <f t="shared" si="46"/>
        <v>9</v>
      </c>
      <c r="B1506">
        <f t="shared" si="47"/>
        <v>2.5</v>
      </c>
      <c r="C1506" s="199" t="str">
        <f>B1506&amp;LOOKUP(A1506, Sheet2!$A$2:$A$11, Sheet2!$B$2:$B$11)</f>
        <v>2.5RP</v>
      </c>
      <c r="D1506">
        <v>92.5</v>
      </c>
      <c r="E1506">
        <v>2</v>
      </c>
      <c r="F1506">
        <v>7</v>
      </c>
      <c r="G1506">
        <v>0.73019999999999996</v>
      </c>
      <c r="H1506">
        <v>0.67279999999999995</v>
      </c>
      <c r="I1506">
        <v>0.69969999999999999</v>
      </c>
      <c r="J1506" s="2" t="str">
        <f>HYPERLINK(SetRGB(J1506,G1506*255,H1506*255,I1506*255),"HOVER!")</f>
        <v>HOVER!</v>
      </c>
      <c r="K1506">
        <f>E1506/F1506</f>
        <v>0.2857142857142857</v>
      </c>
    </row>
    <row r="1507" spans="1:11" ht="15" x14ac:dyDescent="0.35">
      <c r="A1507">
        <f t="shared" si="46"/>
        <v>9</v>
      </c>
      <c r="B1507">
        <f t="shared" si="47"/>
        <v>2.5</v>
      </c>
      <c r="C1507" s="199" t="str">
        <f>B1507&amp;LOOKUP(A1507, Sheet2!$A$2:$A$11, Sheet2!$B$2:$B$11)</f>
        <v>2.5RP</v>
      </c>
      <c r="D1507">
        <v>92.5</v>
      </c>
      <c r="E1507">
        <v>4</v>
      </c>
      <c r="F1507">
        <v>7</v>
      </c>
      <c r="G1507">
        <v>0.78100000000000003</v>
      </c>
      <c r="H1507">
        <v>0.65280000000000005</v>
      </c>
      <c r="I1507">
        <v>0.71540000000000004</v>
      </c>
      <c r="J1507" s="2" t="str">
        <f>HYPERLINK(SetRGB(J1507,G1507*255,H1507*255,I1507*255),"HOVER!")</f>
        <v>HOVER!</v>
      </c>
      <c r="K1507">
        <f>E1507/F1507</f>
        <v>0.5714285714285714</v>
      </c>
    </row>
    <row r="1508" spans="1:11" ht="15" x14ac:dyDescent="0.35">
      <c r="A1508">
        <f t="shared" si="46"/>
        <v>9</v>
      </c>
      <c r="B1508">
        <f t="shared" si="47"/>
        <v>2.5</v>
      </c>
      <c r="C1508" s="199" t="str">
        <f>B1508&amp;LOOKUP(A1508, Sheet2!$A$2:$A$11, Sheet2!$B$2:$B$11)</f>
        <v>2.5RP</v>
      </c>
      <c r="D1508">
        <v>92.5</v>
      </c>
      <c r="E1508">
        <v>6</v>
      </c>
      <c r="F1508">
        <v>7</v>
      </c>
      <c r="G1508">
        <v>0.8337</v>
      </c>
      <c r="H1508">
        <v>0.62880000000000003</v>
      </c>
      <c r="I1508">
        <v>0.73450000000000004</v>
      </c>
      <c r="J1508" s="2" t="str">
        <f>HYPERLINK(SetRGB(J1508,G1508*255,H1508*255,I1508*255),"HOVER!")</f>
        <v>HOVER!</v>
      </c>
      <c r="K1508">
        <f>E1508/F1508</f>
        <v>0.8571428571428571</v>
      </c>
    </row>
    <row r="1509" spans="1:11" ht="15" x14ac:dyDescent="0.35">
      <c r="A1509">
        <f t="shared" si="46"/>
        <v>9</v>
      </c>
      <c r="B1509">
        <f t="shared" si="47"/>
        <v>2.5</v>
      </c>
      <c r="C1509" s="199" t="str">
        <f>B1509&amp;LOOKUP(A1509, Sheet2!$A$2:$A$11, Sheet2!$B$2:$B$11)</f>
        <v>2.5RP</v>
      </c>
      <c r="D1509">
        <v>92.5</v>
      </c>
      <c r="E1509">
        <v>8</v>
      </c>
      <c r="F1509">
        <v>7</v>
      </c>
      <c r="G1509">
        <v>0.88300000000000001</v>
      </c>
      <c r="H1509">
        <v>0.60340000000000005</v>
      </c>
      <c r="I1509">
        <v>0.75319999999999998</v>
      </c>
      <c r="J1509" s="2" t="str">
        <f>HYPERLINK(SetRGB(J1509,G1509*255,H1509*255,I1509*255),"HOVER!")</f>
        <v>HOVER!</v>
      </c>
      <c r="K1509">
        <f>E1509/F1509</f>
        <v>1.1428571428571428</v>
      </c>
    </row>
    <row r="1510" spans="1:11" ht="15" x14ac:dyDescent="0.35">
      <c r="A1510">
        <f t="shared" si="46"/>
        <v>9</v>
      </c>
      <c r="B1510">
        <f t="shared" si="47"/>
        <v>2.5</v>
      </c>
      <c r="C1510" s="199" t="str">
        <f>B1510&amp;LOOKUP(A1510, Sheet2!$A$2:$A$11, Sheet2!$B$2:$B$11)</f>
        <v>2.5RP</v>
      </c>
      <c r="D1510">
        <v>92.5</v>
      </c>
      <c r="E1510">
        <v>10</v>
      </c>
      <c r="F1510">
        <v>7</v>
      </c>
      <c r="G1510">
        <v>0.92700000000000005</v>
      </c>
      <c r="H1510">
        <v>0.5776</v>
      </c>
      <c r="I1510">
        <v>0.77049999999999996</v>
      </c>
      <c r="J1510" s="2" t="str">
        <f>HYPERLINK(SetRGB(J1510,G1510*255,H1510*255,I1510*255),"HOVER!")</f>
        <v>HOVER!</v>
      </c>
      <c r="K1510">
        <f>E1510/F1510</f>
        <v>1.4285714285714286</v>
      </c>
    </row>
    <row r="1511" spans="1:11" ht="15" x14ac:dyDescent="0.35">
      <c r="A1511">
        <f t="shared" si="46"/>
        <v>9</v>
      </c>
      <c r="B1511">
        <f t="shared" si="47"/>
        <v>2.5</v>
      </c>
      <c r="C1511" s="199" t="str">
        <f>B1511&amp;LOOKUP(A1511, Sheet2!$A$2:$A$11, Sheet2!$B$2:$B$11)</f>
        <v>2.5RP</v>
      </c>
      <c r="D1511">
        <v>92.5</v>
      </c>
      <c r="E1511">
        <v>12</v>
      </c>
      <c r="F1511">
        <v>7</v>
      </c>
      <c r="G1511">
        <v>0.97240000000000004</v>
      </c>
      <c r="H1511">
        <v>0.54730000000000001</v>
      </c>
      <c r="I1511">
        <v>0.7903</v>
      </c>
      <c r="J1511" s="2" t="str">
        <f>HYPERLINK(SetRGB(J1511,G1511*255,H1511*255,I1511*255),"HOVER!")</f>
        <v>HOVER!</v>
      </c>
      <c r="K1511">
        <f>E1511/F1511</f>
        <v>1.7142857142857142</v>
      </c>
    </row>
    <row r="1512" spans="1:11" ht="15" x14ac:dyDescent="0.35">
      <c r="A1512">
        <f t="shared" si="46"/>
        <v>9</v>
      </c>
      <c r="B1512">
        <f t="shared" si="47"/>
        <v>2.5</v>
      </c>
      <c r="C1512" s="199" t="str">
        <f>B1512&amp;LOOKUP(A1512, Sheet2!$A$2:$A$11, Sheet2!$B$2:$B$11)</f>
        <v>2.5RP</v>
      </c>
      <c r="D1512">
        <v>92.5</v>
      </c>
      <c r="E1512">
        <v>14</v>
      </c>
      <c r="F1512">
        <v>7</v>
      </c>
      <c r="G1512">
        <v>1</v>
      </c>
      <c r="H1512">
        <v>0.51380000000000003</v>
      </c>
      <c r="I1512">
        <v>0.80979999999999996</v>
      </c>
      <c r="J1512" s="2" t="str">
        <f>HYPERLINK(SetRGB(J1512,G1512*255,H1512*255,I1512*255),"HOVER!")</f>
        <v>HOVER!</v>
      </c>
      <c r="K1512">
        <f>E1512/F1512</f>
        <v>2</v>
      </c>
    </row>
    <row r="1513" spans="1:11" ht="15" x14ac:dyDescent="0.35">
      <c r="A1513">
        <f t="shared" si="46"/>
        <v>9</v>
      </c>
      <c r="B1513">
        <f t="shared" si="47"/>
        <v>2.5</v>
      </c>
      <c r="C1513" s="199" t="str">
        <f>B1513&amp;LOOKUP(A1513, Sheet2!$A$2:$A$11, Sheet2!$B$2:$B$11)</f>
        <v>2.5RP</v>
      </c>
      <c r="D1513">
        <v>92.5</v>
      </c>
      <c r="E1513">
        <v>16</v>
      </c>
      <c r="F1513">
        <v>7</v>
      </c>
      <c r="G1513">
        <v>1</v>
      </c>
      <c r="H1513">
        <v>0.47070000000000001</v>
      </c>
      <c r="I1513">
        <v>0.83240000000000003</v>
      </c>
      <c r="J1513" s="2" t="str">
        <f>HYPERLINK(SetRGB(J1513,G1513*255,H1513*255,I1513*255),"HOVER!")</f>
        <v>HOVER!</v>
      </c>
      <c r="K1513">
        <f>E1513/F1513</f>
        <v>2.2857142857142856</v>
      </c>
    </row>
    <row r="1514" spans="1:11" ht="15" x14ac:dyDescent="0.35">
      <c r="A1514">
        <f t="shared" si="46"/>
        <v>9</v>
      </c>
      <c r="B1514">
        <f t="shared" si="47"/>
        <v>2.5</v>
      </c>
      <c r="C1514" s="199" t="str">
        <f>B1514&amp;LOOKUP(A1514, Sheet2!$A$2:$A$11, Sheet2!$B$2:$B$11)</f>
        <v>2.5RP</v>
      </c>
      <c r="D1514">
        <v>92.5</v>
      </c>
      <c r="E1514">
        <v>18</v>
      </c>
      <c r="F1514">
        <v>7</v>
      </c>
      <c r="G1514">
        <v>1</v>
      </c>
      <c r="H1514">
        <v>0.4204</v>
      </c>
      <c r="I1514">
        <v>0.85529999999999995</v>
      </c>
      <c r="J1514" s="2" t="str">
        <f>HYPERLINK(SetRGB(J1514,G1514*255,H1514*255,I1514*255),"HOVER!")</f>
        <v>HOVER!</v>
      </c>
      <c r="K1514">
        <f>E1514/F1514</f>
        <v>2.5714285714285716</v>
      </c>
    </row>
    <row r="1515" spans="1:11" ht="15" x14ac:dyDescent="0.35">
      <c r="A1515">
        <f t="shared" si="46"/>
        <v>9</v>
      </c>
      <c r="B1515">
        <f t="shared" si="47"/>
        <v>2.5</v>
      </c>
      <c r="C1515" s="199" t="str">
        <f>B1515&amp;LOOKUP(A1515, Sheet2!$A$2:$A$11, Sheet2!$B$2:$B$11)</f>
        <v>2.5RP</v>
      </c>
      <c r="D1515">
        <v>92.5</v>
      </c>
      <c r="E1515">
        <v>20</v>
      </c>
      <c r="F1515">
        <v>7</v>
      </c>
      <c r="G1515">
        <v>1</v>
      </c>
      <c r="H1515">
        <v>0.35759999999999997</v>
      </c>
      <c r="I1515">
        <v>0.87880000000000003</v>
      </c>
      <c r="J1515" s="2" t="str">
        <f>HYPERLINK(SetRGB(J1515,G1515*255,H1515*255,I1515*255),"HOVER!")</f>
        <v>HOVER!</v>
      </c>
      <c r="K1515">
        <f>E1515/F1515</f>
        <v>2.8571428571428572</v>
      </c>
    </row>
    <row r="1516" spans="1:11" ht="15" x14ac:dyDescent="0.35">
      <c r="A1516">
        <f t="shared" si="46"/>
        <v>9</v>
      </c>
      <c r="B1516">
        <f t="shared" si="47"/>
        <v>2.5</v>
      </c>
      <c r="C1516" s="199" t="str">
        <f>B1516&amp;LOOKUP(A1516, Sheet2!$A$2:$A$11, Sheet2!$B$2:$B$11)</f>
        <v>2.5RP</v>
      </c>
      <c r="D1516">
        <v>92.5</v>
      </c>
      <c r="E1516">
        <v>2</v>
      </c>
      <c r="F1516">
        <v>8</v>
      </c>
      <c r="G1516">
        <v>0.82889999999999997</v>
      </c>
      <c r="H1516">
        <v>0.77990000000000004</v>
      </c>
      <c r="I1516">
        <v>0.80179999999999996</v>
      </c>
      <c r="J1516" s="2" t="str">
        <f>HYPERLINK(SetRGB(J1516,G1516*255,H1516*255,I1516*255),"HOVER!")</f>
        <v>HOVER!</v>
      </c>
      <c r="K1516">
        <f>E1516/F1516</f>
        <v>0.25</v>
      </c>
    </row>
    <row r="1517" spans="1:11" ht="15" x14ac:dyDescent="0.35">
      <c r="A1517">
        <f t="shared" si="46"/>
        <v>9</v>
      </c>
      <c r="B1517">
        <f t="shared" si="47"/>
        <v>2.5</v>
      </c>
      <c r="C1517" s="199" t="str">
        <f>B1517&amp;LOOKUP(A1517, Sheet2!$A$2:$A$11, Sheet2!$B$2:$B$11)</f>
        <v>2.5RP</v>
      </c>
      <c r="D1517">
        <v>92.5</v>
      </c>
      <c r="E1517">
        <v>4</v>
      </c>
      <c r="F1517">
        <v>8</v>
      </c>
      <c r="G1517">
        <v>0.8861</v>
      </c>
      <c r="H1517">
        <v>0.7581</v>
      </c>
      <c r="I1517">
        <v>0.81820000000000004</v>
      </c>
      <c r="J1517" s="2" t="str">
        <f>HYPERLINK(SetRGB(J1517,G1517*255,H1517*255,I1517*255),"HOVER!")</f>
        <v>HOVER!</v>
      </c>
      <c r="K1517">
        <f>E1517/F1517</f>
        <v>0.5</v>
      </c>
    </row>
    <row r="1518" spans="1:11" ht="15" x14ac:dyDescent="0.35">
      <c r="A1518">
        <f t="shared" si="46"/>
        <v>9</v>
      </c>
      <c r="B1518">
        <f t="shared" si="47"/>
        <v>2.5</v>
      </c>
      <c r="C1518" s="199" t="str">
        <f>B1518&amp;LOOKUP(A1518, Sheet2!$A$2:$A$11, Sheet2!$B$2:$B$11)</f>
        <v>2.5RP</v>
      </c>
      <c r="D1518">
        <v>92.5</v>
      </c>
      <c r="E1518">
        <v>6</v>
      </c>
      <c r="F1518">
        <v>8</v>
      </c>
      <c r="G1518">
        <v>0.94399999999999995</v>
      </c>
      <c r="H1518">
        <v>0.73309999999999997</v>
      </c>
      <c r="I1518">
        <v>0.83540000000000003</v>
      </c>
      <c r="J1518" s="2" t="str">
        <f>HYPERLINK(SetRGB(J1518,G1518*255,H1518*255,I1518*255),"HOVER!")</f>
        <v>HOVER!</v>
      </c>
      <c r="K1518">
        <f>E1518/F1518</f>
        <v>0.75</v>
      </c>
    </row>
    <row r="1519" spans="1:11" ht="15" x14ac:dyDescent="0.35">
      <c r="A1519">
        <f t="shared" si="46"/>
        <v>9</v>
      </c>
      <c r="B1519">
        <f t="shared" si="47"/>
        <v>2.5</v>
      </c>
      <c r="C1519" s="199" t="str">
        <f>B1519&amp;LOOKUP(A1519, Sheet2!$A$2:$A$11, Sheet2!$B$2:$B$11)</f>
        <v>2.5RP</v>
      </c>
      <c r="D1519">
        <v>92.5</v>
      </c>
      <c r="E1519">
        <v>8</v>
      </c>
      <c r="F1519">
        <v>8</v>
      </c>
      <c r="G1519">
        <v>0.99890000000000001</v>
      </c>
      <c r="H1519">
        <v>0.70589999999999997</v>
      </c>
      <c r="I1519">
        <v>0.85519999999999996</v>
      </c>
      <c r="J1519" s="2" t="str">
        <f>HYPERLINK(SetRGB(J1519,G1519*255,H1519*255,I1519*255),"HOVER!")</f>
        <v>HOVER!</v>
      </c>
      <c r="K1519">
        <f>E1519/F1519</f>
        <v>1</v>
      </c>
    </row>
    <row r="1520" spans="1:11" ht="15" x14ac:dyDescent="0.35">
      <c r="A1520">
        <f t="shared" si="46"/>
        <v>9</v>
      </c>
      <c r="B1520">
        <f t="shared" si="47"/>
        <v>2.5</v>
      </c>
      <c r="C1520" s="199" t="str">
        <f>B1520&amp;LOOKUP(A1520, Sheet2!$A$2:$A$11, Sheet2!$B$2:$B$11)</f>
        <v>2.5RP</v>
      </c>
      <c r="D1520">
        <v>92.5</v>
      </c>
      <c r="E1520">
        <v>10</v>
      </c>
      <c r="F1520">
        <v>8</v>
      </c>
      <c r="G1520">
        <v>1</v>
      </c>
      <c r="H1520">
        <v>0.67810000000000004</v>
      </c>
      <c r="I1520">
        <v>0.87339999999999995</v>
      </c>
      <c r="J1520" s="2" t="str">
        <f>HYPERLINK(SetRGB(J1520,G1520*255,H1520*255,I1520*255),"HOVER!")</f>
        <v>HOVER!</v>
      </c>
      <c r="K1520">
        <f>E1520/F1520</f>
        <v>1.25</v>
      </c>
    </row>
    <row r="1521" spans="1:11" ht="15" x14ac:dyDescent="0.35">
      <c r="A1521">
        <f t="shared" si="46"/>
        <v>9</v>
      </c>
      <c r="B1521">
        <f t="shared" si="47"/>
        <v>2.5</v>
      </c>
      <c r="C1521" s="199" t="str">
        <f>B1521&amp;LOOKUP(A1521, Sheet2!$A$2:$A$11, Sheet2!$B$2:$B$11)</f>
        <v>2.5RP</v>
      </c>
      <c r="D1521">
        <v>92.5</v>
      </c>
      <c r="E1521">
        <v>12</v>
      </c>
      <c r="F1521">
        <v>8</v>
      </c>
      <c r="G1521">
        <v>1</v>
      </c>
      <c r="H1521">
        <v>0.64400000000000002</v>
      </c>
      <c r="I1521">
        <v>0.89549999999999996</v>
      </c>
      <c r="J1521" s="2" t="str">
        <f>HYPERLINK(SetRGB(J1521,G1521*255,H1521*255,I1521*255),"HOVER!")</f>
        <v>HOVER!</v>
      </c>
      <c r="K1521">
        <f>E1521/F1521</f>
        <v>1.5</v>
      </c>
    </row>
    <row r="1522" spans="1:11" ht="15" x14ac:dyDescent="0.35">
      <c r="A1522">
        <f t="shared" si="46"/>
        <v>9</v>
      </c>
      <c r="B1522">
        <f t="shared" si="47"/>
        <v>2.5</v>
      </c>
      <c r="C1522" s="199" t="str">
        <f>B1522&amp;LOOKUP(A1522, Sheet2!$A$2:$A$11, Sheet2!$B$2:$B$11)</f>
        <v>2.5RP</v>
      </c>
      <c r="D1522">
        <v>92.5</v>
      </c>
      <c r="E1522">
        <v>14</v>
      </c>
      <c r="F1522">
        <v>8</v>
      </c>
      <c r="G1522">
        <v>1</v>
      </c>
      <c r="H1522">
        <v>0.6069</v>
      </c>
      <c r="I1522">
        <v>0.91710000000000003</v>
      </c>
      <c r="J1522" s="2" t="str">
        <f>HYPERLINK(SetRGB(J1522,G1522*255,H1522*255,I1522*255),"HOVER!")</f>
        <v>HOVER!</v>
      </c>
      <c r="K1522">
        <f>E1522/F1522</f>
        <v>1.75</v>
      </c>
    </row>
    <row r="1523" spans="1:11" ht="15" x14ac:dyDescent="0.35">
      <c r="A1523">
        <f t="shared" si="46"/>
        <v>9</v>
      </c>
      <c r="B1523">
        <f t="shared" si="47"/>
        <v>2.5</v>
      </c>
      <c r="C1523" s="199" t="str">
        <f>B1523&amp;LOOKUP(A1523, Sheet2!$A$2:$A$11, Sheet2!$B$2:$B$11)</f>
        <v>2.5RP</v>
      </c>
      <c r="D1523">
        <v>92.5</v>
      </c>
      <c r="E1523">
        <v>2</v>
      </c>
      <c r="F1523">
        <v>9</v>
      </c>
      <c r="G1523">
        <v>0.93630000000000002</v>
      </c>
      <c r="H1523">
        <v>0.8871</v>
      </c>
      <c r="I1523">
        <v>0.90859999999999996</v>
      </c>
      <c r="J1523" s="2" t="str">
        <f>HYPERLINK(SetRGB(J1523,G1523*255,H1523*255,I1523*255),"HOVER!")</f>
        <v>HOVER!</v>
      </c>
      <c r="K1523">
        <f>E1523/F1523</f>
        <v>0.22222222222222221</v>
      </c>
    </row>
    <row r="1524" spans="1:11" ht="15" x14ac:dyDescent="0.35">
      <c r="A1524">
        <f t="shared" si="46"/>
        <v>9</v>
      </c>
      <c r="B1524">
        <f t="shared" si="47"/>
        <v>2.5</v>
      </c>
      <c r="C1524" s="199" t="str">
        <f>B1524&amp;LOOKUP(A1524, Sheet2!$A$2:$A$11, Sheet2!$B$2:$B$11)</f>
        <v>2.5RP</v>
      </c>
      <c r="D1524">
        <v>92.5</v>
      </c>
      <c r="E1524">
        <v>4</v>
      </c>
      <c r="F1524">
        <v>9</v>
      </c>
      <c r="G1524">
        <v>1</v>
      </c>
      <c r="H1524">
        <v>0.86299999999999999</v>
      </c>
      <c r="I1524">
        <v>0.9264</v>
      </c>
      <c r="J1524" s="2" t="str">
        <f>HYPERLINK(SetRGB(J1524,G1524*255,H1524*255,I1524*255),"HOVER!")</f>
        <v>HOVER!</v>
      </c>
      <c r="K1524">
        <f>E1524/F1524</f>
        <v>0.44444444444444442</v>
      </c>
    </row>
    <row r="1525" spans="1:11" ht="15" x14ac:dyDescent="0.35">
      <c r="A1525">
        <f t="shared" si="46"/>
        <v>9</v>
      </c>
      <c r="B1525">
        <f t="shared" si="47"/>
        <v>2.5</v>
      </c>
      <c r="C1525" s="199" t="str">
        <f>B1525&amp;LOOKUP(A1525, Sheet2!$A$2:$A$11, Sheet2!$B$2:$B$11)</f>
        <v>2.5RP</v>
      </c>
      <c r="D1525">
        <v>92.5</v>
      </c>
      <c r="E1525">
        <v>6</v>
      </c>
      <c r="F1525">
        <v>9</v>
      </c>
      <c r="G1525">
        <v>1</v>
      </c>
      <c r="H1525">
        <v>0.83550000000000002</v>
      </c>
      <c r="I1525">
        <v>0.94510000000000005</v>
      </c>
      <c r="J1525" s="2" t="str">
        <f>HYPERLINK(SetRGB(J1525,G1525*255,H1525*255,I1525*255),"HOVER!")</f>
        <v>HOVER!</v>
      </c>
      <c r="K1525">
        <f>E1525/F1525</f>
        <v>0.66666666666666663</v>
      </c>
    </row>
    <row r="1526" spans="1:11" ht="15" x14ac:dyDescent="0.35">
      <c r="A1526">
        <f t="shared" si="46"/>
        <v>9</v>
      </c>
      <c r="B1526">
        <f t="shared" si="47"/>
        <v>5</v>
      </c>
      <c r="C1526" s="199" t="str">
        <f>B1526&amp;LOOKUP(A1526, Sheet2!$A$2:$A$11, Sheet2!$B$2:$B$11)</f>
        <v>5RP</v>
      </c>
      <c r="D1526">
        <v>95</v>
      </c>
      <c r="E1526">
        <v>2</v>
      </c>
      <c r="F1526">
        <v>1</v>
      </c>
      <c r="G1526">
        <v>0.1651</v>
      </c>
      <c r="H1526">
        <v>8.7300000000000003E-2</v>
      </c>
      <c r="I1526">
        <v>0.13969999999999999</v>
      </c>
      <c r="J1526" s="1" t="str">
        <f>HYPERLINK(SetRGB(J1526,G1526*255,H1526*255,I1526*255),"HOVER!")</f>
        <v>HOVER!</v>
      </c>
      <c r="K1526">
        <f>E1526/F1526</f>
        <v>2</v>
      </c>
    </row>
    <row r="1527" spans="1:11" ht="15" x14ac:dyDescent="0.35">
      <c r="A1527">
        <f t="shared" si="46"/>
        <v>9</v>
      </c>
      <c r="B1527">
        <f t="shared" si="47"/>
        <v>5</v>
      </c>
      <c r="C1527" s="199" t="str">
        <f>B1527&amp;LOOKUP(A1527, Sheet2!$A$2:$A$11, Sheet2!$B$2:$B$11)</f>
        <v>5RP</v>
      </c>
      <c r="D1527">
        <v>95</v>
      </c>
      <c r="E1527">
        <v>4</v>
      </c>
      <c r="F1527">
        <v>1</v>
      </c>
      <c r="G1527">
        <v>0.19520000000000001</v>
      </c>
      <c r="H1527">
        <v>6.2600000000000003E-2</v>
      </c>
      <c r="I1527">
        <v>0.15870000000000001</v>
      </c>
      <c r="J1527" s="1" t="str">
        <f>HYPERLINK(SetRGB(J1527,G1527*255,H1527*255,I1527*255),"HOVER!")</f>
        <v>HOVER!</v>
      </c>
      <c r="K1527">
        <f>E1527/F1527</f>
        <v>4</v>
      </c>
    </row>
    <row r="1528" spans="1:11" ht="15" x14ac:dyDescent="0.35">
      <c r="A1528">
        <f t="shared" si="46"/>
        <v>9</v>
      </c>
      <c r="B1528">
        <f t="shared" si="47"/>
        <v>5</v>
      </c>
      <c r="C1528" s="199" t="str">
        <f>B1528&amp;LOOKUP(A1528, Sheet2!$A$2:$A$11, Sheet2!$B$2:$B$11)</f>
        <v>5RP</v>
      </c>
      <c r="D1528">
        <v>95</v>
      </c>
      <c r="E1528">
        <v>6</v>
      </c>
      <c r="F1528">
        <v>1</v>
      </c>
      <c r="G1528">
        <v>0.22120000000000001</v>
      </c>
      <c r="H1528">
        <v>2.58E-2</v>
      </c>
      <c r="I1528">
        <v>0.1769</v>
      </c>
      <c r="J1528" s="1" t="str">
        <f>HYPERLINK(SetRGB(J1528,G1528*255,H1528*255,I1528*255),"HOVER!")</f>
        <v>HOVER!</v>
      </c>
      <c r="K1528">
        <f>E1528/F1528</f>
        <v>6</v>
      </c>
    </row>
    <row r="1529" spans="1:11" ht="15" x14ac:dyDescent="0.35">
      <c r="A1529">
        <f t="shared" si="46"/>
        <v>9</v>
      </c>
      <c r="B1529">
        <f t="shared" si="47"/>
        <v>5</v>
      </c>
      <c r="C1529" s="199" t="str">
        <f>B1529&amp;LOOKUP(A1529, Sheet2!$A$2:$A$11, Sheet2!$B$2:$B$11)</f>
        <v>5RP</v>
      </c>
      <c r="D1529">
        <v>95</v>
      </c>
      <c r="E1529">
        <v>2</v>
      </c>
      <c r="F1529">
        <v>2</v>
      </c>
      <c r="G1529">
        <v>0.2495</v>
      </c>
      <c r="H1529">
        <v>0.17130000000000001</v>
      </c>
      <c r="I1529">
        <v>0.21029999999999999</v>
      </c>
      <c r="J1529" s="1" t="str">
        <f>HYPERLINK(SetRGB(J1529,G1529*255,H1529*255,I1529*255),"HOVER!")</f>
        <v>HOVER!</v>
      </c>
      <c r="K1529">
        <f>E1529/F1529</f>
        <v>1</v>
      </c>
    </row>
    <row r="1530" spans="1:11" ht="15" x14ac:dyDescent="0.35">
      <c r="A1530">
        <f t="shared" si="46"/>
        <v>9</v>
      </c>
      <c r="B1530">
        <f t="shared" si="47"/>
        <v>5</v>
      </c>
      <c r="C1530" s="199" t="str">
        <f>B1530&amp;LOOKUP(A1530, Sheet2!$A$2:$A$11, Sheet2!$B$2:$B$11)</f>
        <v>5RP</v>
      </c>
      <c r="D1530">
        <v>95</v>
      </c>
      <c r="E1530">
        <v>4</v>
      </c>
      <c r="F1530">
        <v>2</v>
      </c>
      <c r="G1530">
        <v>0.28539999999999999</v>
      </c>
      <c r="H1530">
        <v>0.15029999999999999</v>
      </c>
      <c r="I1530">
        <v>0.2238</v>
      </c>
      <c r="J1530" s="1" t="str">
        <f>HYPERLINK(SetRGB(J1530,G1530*255,H1530*255,I1530*255),"HOVER!")</f>
        <v>HOVER!</v>
      </c>
      <c r="K1530">
        <f>E1530/F1530</f>
        <v>2</v>
      </c>
    </row>
    <row r="1531" spans="1:11" ht="15" x14ac:dyDescent="0.35">
      <c r="A1531">
        <f t="shared" si="46"/>
        <v>9</v>
      </c>
      <c r="B1531">
        <f t="shared" si="47"/>
        <v>5</v>
      </c>
      <c r="C1531" s="199" t="str">
        <f>B1531&amp;LOOKUP(A1531, Sheet2!$A$2:$A$11, Sheet2!$B$2:$B$11)</f>
        <v>5RP</v>
      </c>
      <c r="D1531">
        <v>95</v>
      </c>
      <c r="E1531">
        <v>6</v>
      </c>
      <c r="F1531">
        <v>2</v>
      </c>
      <c r="G1531">
        <v>0.31859999999999999</v>
      </c>
      <c r="H1531">
        <v>0.1237</v>
      </c>
      <c r="I1531">
        <v>0.23830000000000001</v>
      </c>
      <c r="J1531" s="1" t="str">
        <f>HYPERLINK(SetRGB(J1531,G1531*255,H1531*255,I1531*255),"HOVER!")</f>
        <v>HOVER!</v>
      </c>
      <c r="K1531">
        <f>E1531/F1531</f>
        <v>3</v>
      </c>
    </row>
    <row r="1532" spans="1:11" ht="15" x14ac:dyDescent="0.35">
      <c r="A1532">
        <f t="shared" si="46"/>
        <v>9</v>
      </c>
      <c r="B1532">
        <f t="shared" si="47"/>
        <v>5</v>
      </c>
      <c r="C1532" s="199" t="str">
        <f>B1532&amp;LOOKUP(A1532, Sheet2!$A$2:$A$11, Sheet2!$B$2:$B$11)</f>
        <v>5RP</v>
      </c>
      <c r="D1532">
        <v>95</v>
      </c>
      <c r="E1532">
        <v>8</v>
      </c>
      <c r="F1532">
        <v>2</v>
      </c>
      <c r="G1532">
        <v>0.35610000000000003</v>
      </c>
      <c r="H1532">
        <v>7.7299999999999994E-2</v>
      </c>
      <c r="I1532">
        <v>0.25690000000000002</v>
      </c>
      <c r="J1532" s="1" t="str">
        <f>HYPERLINK(SetRGB(J1532,G1532*255,H1532*255,I1532*255),"HOVER!")</f>
        <v>HOVER!</v>
      </c>
      <c r="K1532">
        <f>E1532/F1532</f>
        <v>4</v>
      </c>
    </row>
    <row r="1533" spans="1:11" ht="15" x14ac:dyDescent="0.35">
      <c r="A1533">
        <f t="shared" si="46"/>
        <v>9</v>
      </c>
      <c r="B1533">
        <f t="shared" si="47"/>
        <v>5</v>
      </c>
      <c r="C1533" s="199" t="str">
        <f>B1533&amp;LOOKUP(A1533, Sheet2!$A$2:$A$11, Sheet2!$B$2:$B$11)</f>
        <v>5RP</v>
      </c>
      <c r="D1533">
        <v>95</v>
      </c>
      <c r="E1533">
        <v>2</v>
      </c>
      <c r="F1533">
        <v>3</v>
      </c>
      <c r="G1533">
        <v>0.34660000000000002</v>
      </c>
      <c r="H1533">
        <v>0.26019999999999999</v>
      </c>
      <c r="I1533">
        <v>0.29499999999999998</v>
      </c>
      <c r="J1533" s="1" t="str">
        <f>HYPERLINK(SetRGB(J1533,G1533*255,H1533*255,I1533*255),"HOVER!")</f>
        <v>HOVER!</v>
      </c>
      <c r="K1533">
        <f>E1533/F1533</f>
        <v>0.66666666666666663</v>
      </c>
    </row>
    <row r="1534" spans="1:11" ht="15" x14ac:dyDescent="0.35">
      <c r="A1534">
        <f t="shared" si="46"/>
        <v>9</v>
      </c>
      <c r="B1534">
        <f t="shared" si="47"/>
        <v>5</v>
      </c>
      <c r="C1534" s="199" t="str">
        <f>B1534&amp;LOOKUP(A1534, Sheet2!$A$2:$A$11, Sheet2!$B$2:$B$11)</f>
        <v>5RP</v>
      </c>
      <c r="D1534">
        <v>95</v>
      </c>
      <c r="E1534">
        <v>4</v>
      </c>
      <c r="F1534">
        <v>3</v>
      </c>
      <c r="G1534">
        <v>0.39610000000000001</v>
      </c>
      <c r="H1534">
        <v>0.2344</v>
      </c>
      <c r="I1534">
        <v>0.307</v>
      </c>
      <c r="J1534" s="1" t="str">
        <f>HYPERLINK(SetRGB(J1534,G1534*255,H1534*255,I1534*255),"HOVER!")</f>
        <v>HOVER!</v>
      </c>
      <c r="K1534">
        <f>E1534/F1534</f>
        <v>1.3333333333333333</v>
      </c>
    </row>
    <row r="1535" spans="1:11" ht="15" x14ac:dyDescent="0.35">
      <c r="A1535">
        <f t="shared" si="46"/>
        <v>9</v>
      </c>
      <c r="B1535">
        <f t="shared" si="47"/>
        <v>5</v>
      </c>
      <c r="C1535" s="199" t="str">
        <f>B1535&amp;LOOKUP(A1535, Sheet2!$A$2:$A$11, Sheet2!$B$2:$B$11)</f>
        <v>5RP</v>
      </c>
      <c r="D1535">
        <v>95</v>
      </c>
      <c r="E1535">
        <v>6</v>
      </c>
      <c r="F1535">
        <v>3</v>
      </c>
      <c r="G1535">
        <v>0.43780000000000002</v>
      </c>
      <c r="H1535">
        <v>0.20580000000000001</v>
      </c>
      <c r="I1535">
        <v>0.31890000000000002</v>
      </c>
      <c r="J1535" s="1" t="str">
        <f>HYPERLINK(SetRGB(J1535,G1535*255,H1535*255,I1535*255),"HOVER!")</f>
        <v>HOVER!</v>
      </c>
      <c r="K1535">
        <f>E1535/F1535</f>
        <v>2</v>
      </c>
    </row>
    <row r="1536" spans="1:11" ht="15" x14ac:dyDescent="0.35">
      <c r="A1536">
        <f t="shared" si="46"/>
        <v>9</v>
      </c>
      <c r="B1536">
        <f t="shared" si="47"/>
        <v>5</v>
      </c>
      <c r="C1536" s="199" t="str">
        <f>B1536&amp;LOOKUP(A1536, Sheet2!$A$2:$A$11, Sheet2!$B$2:$B$11)</f>
        <v>5RP</v>
      </c>
      <c r="D1536">
        <v>95</v>
      </c>
      <c r="E1536">
        <v>8</v>
      </c>
      <c r="F1536">
        <v>3</v>
      </c>
      <c r="G1536">
        <v>0.47860000000000003</v>
      </c>
      <c r="H1536">
        <v>0.1676</v>
      </c>
      <c r="I1536">
        <v>0.3327</v>
      </c>
      <c r="J1536" s="1" t="str">
        <f>HYPERLINK(SetRGB(J1536,G1536*255,H1536*255,I1536*255),"HOVER!")</f>
        <v>HOVER!</v>
      </c>
      <c r="K1536">
        <f>E1536/F1536</f>
        <v>2.6666666666666665</v>
      </c>
    </row>
    <row r="1537" spans="1:11" ht="15" x14ac:dyDescent="0.35">
      <c r="A1537">
        <f t="shared" si="46"/>
        <v>9</v>
      </c>
      <c r="B1537">
        <f t="shared" si="47"/>
        <v>5</v>
      </c>
      <c r="C1537" s="199" t="str">
        <f>B1537&amp;LOOKUP(A1537, Sheet2!$A$2:$A$11, Sheet2!$B$2:$B$11)</f>
        <v>5RP</v>
      </c>
      <c r="D1537">
        <v>95</v>
      </c>
      <c r="E1537">
        <v>10</v>
      </c>
      <c r="F1537">
        <v>3</v>
      </c>
      <c r="G1537">
        <v>0.51649999999999996</v>
      </c>
      <c r="H1537">
        <v>0.115</v>
      </c>
      <c r="I1537">
        <v>0.34689999999999999</v>
      </c>
      <c r="J1537" s="1" t="str">
        <f>HYPERLINK(SetRGB(J1537,G1537*255,H1537*255,I1537*255),"HOVER!")</f>
        <v>HOVER!</v>
      </c>
      <c r="K1537">
        <f>E1537/F1537</f>
        <v>3.3333333333333335</v>
      </c>
    </row>
    <row r="1538" spans="1:11" ht="15" x14ac:dyDescent="0.35">
      <c r="A1538">
        <f t="shared" si="46"/>
        <v>9</v>
      </c>
      <c r="B1538">
        <f t="shared" si="47"/>
        <v>5</v>
      </c>
      <c r="C1538" s="199" t="str">
        <f>B1538&amp;LOOKUP(A1538, Sheet2!$A$2:$A$11, Sheet2!$B$2:$B$11)</f>
        <v>5RP</v>
      </c>
      <c r="D1538">
        <v>95</v>
      </c>
      <c r="E1538">
        <v>2</v>
      </c>
      <c r="F1538">
        <v>4</v>
      </c>
      <c r="G1538">
        <v>0.44169999999999998</v>
      </c>
      <c r="H1538">
        <v>0.3594</v>
      </c>
      <c r="I1538">
        <v>0.38919999999999999</v>
      </c>
      <c r="J1538" s="1" t="str">
        <f>HYPERLINK(SetRGB(J1538,G1538*255,H1538*255,I1538*255),"HOVER!")</f>
        <v>HOVER!</v>
      </c>
      <c r="K1538">
        <f>E1538/F1538</f>
        <v>0.5</v>
      </c>
    </row>
    <row r="1539" spans="1:11" ht="15" x14ac:dyDescent="0.35">
      <c r="A1539">
        <f t="shared" si="46"/>
        <v>9</v>
      </c>
      <c r="B1539">
        <f t="shared" si="47"/>
        <v>5</v>
      </c>
      <c r="C1539" s="199" t="str">
        <f>B1539&amp;LOOKUP(A1539, Sheet2!$A$2:$A$11, Sheet2!$B$2:$B$11)</f>
        <v>5RP</v>
      </c>
      <c r="D1539">
        <v>95</v>
      </c>
      <c r="E1539">
        <v>4</v>
      </c>
      <c r="F1539">
        <v>4</v>
      </c>
      <c r="G1539">
        <v>0.4919</v>
      </c>
      <c r="H1539">
        <v>0.33660000000000001</v>
      </c>
      <c r="I1539">
        <v>0.39789999999999998</v>
      </c>
      <c r="J1539" s="1" t="str">
        <f>HYPERLINK(SetRGB(J1539,G1539*255,H1539*255,I1539*255),"HOVER!")</f>
        <v>HOVER!</v>
      </c>
      <c r="K1539">
        <f>E1539/F1539</f>
        <v>1</v>
      </c>
    </row>
    <row r="1540" spans="1:11" ht="15" x14ac:dyDescent="0.35">
      <c r="A1540">
        <f t="shared" si="46"/>
        <v>9</v>
      </c>
      <c r="B1540">
        <f t="shared" si="47"/>
        <v>5</v>
      </c>
      <c r="C1540" s="199" t="str">
        <f>B1540&amp;LOOKUP(A1540, Sheet2!$A$2:$A$11, Sheet2!$B$2:$B$11)</f>
        <v>5RP</v>
      </c>
      <c r="D1540">
        <v>95</v>
      </c>
      <c r="E1540">
        <v>6</v>
      </c>
      <c r="F1540">
        <v>4</v>
      </c>
      <c r="G1540">
        <v>0.54049999999999998</v>
      </c>
      <c r="H1540">
        <v>0.30909999999999999</v>
      </c>
      <c r="I1540">
        <v>0.4073</v>
      </c>
      <c r="J1540" s="1" t="str">
        <f>HYPERLINK(SetRGB(J1540,G1540*255,H1540*255,I1540*255),"HOVER!")</f>
        <v>HOVER!</v>
      </c>
      <c r="K1540">
        <f>E1540/F1540</f>
        <v>1.5</v>
      </c>
    </row>
    <row r="1541" spans="1:11" ht="15" x14ac:dyDescent="0.35">
      <c r="A1541">
        <f t="shared" si="46"/>
        <v>9</v>
      </c>
      <c r="B1541">
        <f t="shared" si="47"/>
        <v>5</v>
      </c>
      <c r="C1541" s="199" t="str">
        <f>B1541&amp;LOOKUP(A1541, Sheet2!$A$2:$A$11, Sheet2!$B$2:$B$11)</f>
        <v>5RP</v>
      </c>
      <c r="D1541">
        <v>95</v>
      </c>
      <c r="E1541">
        <v>8</v>
      </c>
      <c r="F1541">
        <v>4</v>
      </c>
      <c r="G1541">
        <v>0.58489999999999998</v>
      </c>
      <c r="H1541">
        <v>0.27760000000000001</v>
      </c>
      <c r="I1541">
        <v>0.41749999999999998</v>
      </c>
      <c r="J1541" s="1" t="str">
        <f>HYPERLINK(SetRGB(J1541,G1541*255,H1541*255,I1541*255),"HOVER!")</f>
        <v>HOVER!</v>
      </c>
      <c r="K1541">
        <f>E1541/F1541</f>
        <v>2</v>
      </c>
    </row>
    <row r="1542" spans="1:11" ht="15" x14ac:dyDescent="0.35">
      <c r="A1542">
        <f t="shared" si="46"/>
        <v>9</v>
      </c>
      <c r="B1542">
        <f t="shared" si="47"/>
        <v>5</v>
      </c>
      <c r="C1542" s="199" t="str">
        <f>B1542&amp;LOOKUP(A1542, Sheet2!$A$2:$A$11, Sheet2!$B$2:$B$11)</f>
        <v>5RP</v>
      </c>
      <c r="D1542">
        <v>95</v>
      </c>
      <c r="E1542">
        <v>10</v>
      </c>
      <c r="F1542">
        <v>4</v>
      </c>
      <c r="G1542">
        <v>0.62090000000000001</v>
      </c>
      <c r="H1542">
        <v>0.24560000000000001</v>
      </c>
      <c r="I1542">
        <v>0.42720000000000002</v>
      </c>
      <c r="J1542" s="1" t="str">
        <f>HYPERLINK(SetRGB(J1542,G1542*255,H1542*255,I1542*255),"HOVER!")</f>
        <v>HOVER!</v>
      </c>
      <c r="K1542">
        <f>E1542/F1542</f>
        <v>2.5</v>
      </c>
    </row>
    <row r="1543" spans="1:11" ht="15" x14ac:dyDescent="0.35">
      <c r="A1543">
        <f t="shared" si="46"/>
        <v>9</v>
      </c>
      <c r="B1543">
        <f t="shared" si="47"/>
        <v>5</v>
      </c>
      <c r="C1543" s="199" t="str">
        <f>B1543&amp;LOOKUP(A1543, Sheet2!$A$2:$A$11, Sheet2!$B$2:$B$11)</f>
        <v>5RP</v>
      </c>
      <c r="D1543">
        <v>95</v>
      </c>
      <c r="E1543">
        <v>12</v>
      </c>
      <c r="F1543">
        <v>4</v>
      </c>
      <c r="G1543">
        <v>0.66269999999999996</v>
      </c>
      <c r="H1543">
        <v>0.19670000000000001</v>
      </c>
      <c r="I1543">
        <v>0.43909999999999999</v>
      </c>
      <c r="J1543" s="1" t="str">
        <f>HYPERLINK(SetRGB(J1543,G1543*255,H1543*255,I1543*255),"HOVER!")</f>
        <v>HOVER!</v>
      </c>
      <c r="K1543">
        <f>E1543/F1543</f>
        <v>3</v>
      </c>
    </row>
    <row r="1544" spans="1:11" ht="15" x14ac:dyDescent="0.35">
      <c r="A1544">
        <f t="shared" si="46"/>
        <v>9</v>
      </c>
      <c r="B1544">
        <f t="shared" si="47"/>
        <v>5</v>
      </c>
      <c r="C1544" s="199" t="str">
        <f>B1544&amp;LOOKUP(A1544, Sheet2!$A$2:$A$11, Sheet2!$B$2:$B$11)</f>
        <v>5RP</v>
      </c>
      <c r="D1544">
        <v>95</v>
      </c>
      <c r="E1544">
        <v>14</v>
      </c>
      <c r="F1544">
        <v>4</v>
      </c>
      <c r="G1544">
        <v>0.69950000000000001</v>
      </c>
      <c r="H1544">
        <v>0.1326</v>
      </c>
      <c r="I1544">
        <v>0.45069999999999999</v>
      </c>
      <c r="J1544" s="1" t="str">
        <f>HYPERLINK(SetRGB(J1544,G1544*255,H1544*255,I1544*255),"HOVER!")</f>
        <v>HOVER!</v>
      </c>
      <c r="K1544">
        <f>E1544/F1544</f>
        <v>3.5</v>
      </c>
    </row>
    <row r="1545" spans="1:11" ht="15" x14ac:dyDescent="0.35">
      <c r="A1545">
        <f t="shared" si="46"/>
        <v>9</v>
      </c>
      <c r="B1545">
        <f t="shared" si="47"/>
        <v>5</v>
      </c>
      <c r="C1545" s="199" t="str">
        <f>B1545&amp;LOOKUP(A1545, Sheet2!$A$2:$A$11, Sheet2!$B$2:$B$11)</f>
        <v>5RP</v>
      </c>
      <c r="D1545">
        <v>95</v>
      </c>
      <c r="E1545">
        <v>2</v>
      </c>
      <c r="F1545">
        <v>5</v>
      </c>
      <c r="G1545">
        <v>0.53549999999999998</v>
      </c>
      <c r="H1545">
        <v>0.4637</v>
      </c>
      <c r="I1545">
        <v>0.48670000000000002</v>
      </c>
      <c r="J1545" s="1" t="str">
        <f>HYPERLINK(SetRGB(J1545,G1545*255,H1545*255,I1545*255),"HOVER!")</f>
        <v>HOVER!</v>
      </c>
      <c r="K1545">
        <f>E1545/F1545</f>
        <v>0.4</v>
      </c>
    </row>
    <row r="1546" spans="1:11" ht="15" x14ac:dyDescent="0.35">
      <c r="A1546">
        <f t="shared" si="46"/>
        <v>9</v>
      </c>
      <c r="B1546">
        <f t="shared" si="47"/>
        <v>5</v>
      </c>
      <c r="C1546" s="199" t="str">
        <f>B1546&amp;LOOKUP(A1546, Sheet2!$A$2:$A$11, Sheet2!$B$2:$B$11)</f>
        <v>5RP</v>
      </c>
      <c r="D1546">
        <v>95</v>
      </c>
      <c r="E1546">
        <v>4</v>
      </c>
      <c r="F1546">
        <v>5</v>
      </c>
      <c r="G1546">
        <v>0.59019999999999995</v>
      </c>
      <c r="H1546">
        <v>0.44109999999999999</v>
      </c>
      <c r="I1546">
        <v>0.49370000000000003</v>
      </c>
      <c r="J1546" s="1" t="str">
        <f>HYPERLINK(SetRGB(J1546,G1546*255,H1546*255,I1546*255),"HOVER!")</f>
        <v>HOVER!</v>
      </c>
      <c r="K1546">
        <f>E1546/F1546</f>
        <v>0.8</v>
      </c>
    </row>
    <row r="1547" spans="1:11" ht="15" x14ac:dyDescent="0.35">
      <c r="A1547">
        <f t="shared" si="46"/>
        <v>9</v>
      </c>
      <c r="B1547">
        <f t="shared" si="47"/>
        <v>5</v>
      </c>
      <c r="C1547" s="199" t="str">
        <f>B1547&amp;LOOKUP(A1547, Sheet2!$A$2:$A$11, Sheet2!$B$2:$B$11)</f>
        <v>5RP</v>
      </c>
      <c r="D1547">
        <v>95</v>
      </c>
      <c r="E1547">
        <v>6</v>
      </c>
      <c r="F1547">
        <v>5</v>
      </c>
      <c r="G1547">
        <v>0.64270000000000005</v>
      </c>
      <c r="H1547">
        <v>0.41510000000000002</v>
      </c>
      <c r="I1547">
        <v>0.50119999999999998</v>
      </c>
      <c r="J1547" s="1" t="str">
        <f>HYPERLINK(SetRGB(J1547,G1547*255,H1547*255,I1547*255),"HOVER!")</f>
        <v>HOVER!</v>
      </c>
      <c r="K1547">
        <f>E1547/F1547</f>
        <v>1.2</v>
      </c>
    </row>
    <row r="1548" spans="1:11" ht="15" x14ac:dyDescent="0.35">
      <c r="A1548">
        <f t="shared" si="46"/>
        <v>9</v>
      </c>
      <c r="B1548">
        <f t="shared" si="47"/>
        <v>5</v>
      </c>
      <c r="C1548" s="199" t="str">
        <f>B1548&amp;LOOKUP(A1548, Sheet2!$A$2:$A$11, Sheet2!$B$2:$B$11)</f>
        <v>5RP</v>
      </c>
      <c r="D1548">
        <v>95</v>
      </c>
      <c r="E1548">
        <v>8</v>
      </c>
      <c r="F1548">
        <v>5</v>
      </c>
      <c r="G1548">
        <v>0.69389999999999996</v>
      </c>
      <c r="H1548">
        <v>0.38440000000000002</v>
      </c>
      <c r="I1548">
        <v>0.50949999999999995</v>
      </c>
      <c r="J1548" s="1" t="str">
        <f>HYPERLINK(SetRGB(J1548,G1548*255,H1548*255,I1548*255),"HOVER!")</f>
        <v>HOVER!</v>
      </c>
      <c r="K1548">
        <f>E1548/F1548</f>
        <v>1.6</v>
      </c>
    </row>
    <row r="1549" spans="1:11" ht="15" x14ac:dyDescent="0.35">
      <c r="A1549">
        <f t="shared" si="46"/>
        <v>9</v>
      </c>
      <c r="B1549">
        <f t="shared" si="47"/>
        <v>5</v>
      </c>
      <c r="C1549" s="199" t="str">
        <f>B1549&amp;LOOKUP(A1549, Sheet2!$A$2:$A$11, Sheet2!$B$2:$B$11)</f>
        <v>5RP</v>
      </c>
      <c r="D1549">
        <v>95</v>
      </c>
      <c r="E1549">
        <v>10</v>
      </c>
      <c r="F1549">
        <v>5</v>
      </c>
      <c r="G1549">
        <v>0.73619999999999997</v>
      </c>
      <c r="H1549">
        <v>0.35360000000000003</v>
      </c>
      <c r="I1549">
        <v>0.51800000000000002</v>
      </c>
      <c r="J1549" s="1" t="str">
        <f>HYPERLINK(SetRGB(J1549,G1549*255,H1549*255,I1549*255),"HOVER!")</f>
        <v>HOVER!</v>
      </c>
      <c r="K1549">
        <f>E1549/F1549</f>
        <v>2</v>
      </c>
    </row>
    <row r="1550" spans="1:11" ht="15" x14ac:dyDescent="0.35">
      <c r="A1550">
        <f t="shared" ref="A1550:A1613" si="48">IF(FLOOR(D1550/10,1)=0,10,FLOOR(D1550/10,1))</f>
        <v>9</v>
      </c>
      <c r="B1550">
        <f t="shared" ref="B1550:B1613" si="49">IF(MOD(D1550,10)=0,10,MOD(D1550,10))</f>
        <v>5</v>
      </c>
      <c r="C1550" s="199" t="str">
        <f>B1550&amp;LOOKUP(A1550, Sheet2!$A$2:$A$11, Sheet2!$B$2:$B$11)</f>
        <v>5RP</v>
      </c>
      <c r="D1550">
        <v>95</v>
      </c>
      <c r="E1550">
        <v>12</v>
      </c>
      <c r="F1550">
        <v>5</v>
      </c>
      <c r="G1550">
        <v>0.78180000000000005</v>
      </c>
      <c r="H1550">
        <v>0.313</v>
      </c>
      <c r="I1550">
        <v>0.52769999999999995</v>
      </c>
      <c r="J1550" s="1" t="str">
        <f>HYPERLINK(SetRGB(J1550,G1550*255,H1550*255,I1550*255),"HOVER!")</f>
        <v>HOVER!</v>
      </c>
      <c r="K1550">
        <f>E1550/F1550</f>
        <v>2.4</v>
      </c>
    </row>
    <row r="1551" spans="1:11" ht="15" x14ac:dyDescent="0.35">
      <c r="A1551">
        <f t="shared" si="48"/>
        <v>9</v>
      </c>
      <c r="B1551">
        <f t="shared" si="49"/>
        <v>5</v>
      </c>
      <c r="C1551" s="199" t="str">
        <f>B1551&amp;LOOKUP(A1551, Sheet2!$A$2:$A$11, Sheet2!$B$2:$B$11)</f>
        <v>5RP</v>
      </c>
      <c r="D1551">
        <v>95</v>
      </c>
      <c r="E1551">
        <v>14</v>
      </c>
      <c r="F1551">
        <v>5</v>
      </c>
      <c r="G1551">
        <v>0.8216</v>
      </c>
      <c r="H1551">
        <v>0.2681</v>
      </c>
      <c r="I1551">
        <v>0.5373</v>
      </c>
      <c r="J1551" s="1" t="str">
        <f>HYPERLINK(SetRGB(J1551,G1551*255,H1551*255,I1551*255),"HOVER!")</f>
        <v>HOVER!</v>
      </c>
      <c r="K1551">
        <f>E1551/F1551</f>
        <v>2.8</v>
      </c>
    </row>
    <row r="1552" spans="1:11" ht="15" x14ac:dyDescent="0.35">
      <c r="A1552">
        <f t="shared" si="48"/>
        <v>9</v>
      </c>
      <c r="B1552">
        <f t="shared" si="49"/>
        <v>5</v>
      </c>
      <c r="C1552" s="199" t="str">
        <f>B1552&amp;LOOKUP(A1552, Sheet2!$A$2:$A$11, Sheet2!$B$2:$B$11)</f>
        <v>5RP</v>
      </c>
      <c r="D1552">
        <v>95</v>
      </c>
      <c r="E1552">
        <v>16</v>
      </c>
      <c r="F1552">
        <v>5</v>
      </c>
      <c r="G1552">
        <v>0.86219999999999997</v>
      </c>
      <c r="H1552">
        <v>0.20630000000000001</v>
      </c>
      <c r="I1552">
        <v>0.54790000000000005</v>
      </c>
      <c r="J1552" s="1" t="str">
        <f>HYPERLINK(SetRGB(J1552,G1552*255,H1552*255,I1552*255),"HOVER!")</f>
        <v>HOVER!</v>
      </c>
      <c r="K1552">
        <f>E1552/F1552</f>
        <v>3.2</v>
      </c>
    </row>
    <row r="1553" spans="1:11" ht="15" x14ac:dyDescent="0.35">
      <c r="A1553">
        <f t="shared" si="48"/>
        <v>9</v>
      </c>
      <c r="B1553">
        <f t="shared" si="49"/>
        <v>5</v>
      </c>
      <c r="C1553" s="199" t="str">
        <f>B1553&amp;LOOKUP(A1553, Sheet2!$A$2:$A$11, Sheet2!$B$2:$B$11)</f>
        <v>5RP</v>
      </c>
      <c r="D1553">
        <v>95</v>
      </c>
      <c r="E1553">
        <v>18</v>
      </c>
      <c r="F1553">
        <v>5</v>
      </c>
      <c r="G1553">
        <v>0.90049999999999997</v>
      </c>
      <c r="H1553">
        <v>0.1105</v>
      </c>
      <c r="I1553">
        <v>0.55810000000000004</v>
      </c>
      <c r="J1553" s="1" t="str">
        <f>HYPERLINK(SetRGB(J1553,G1553*255,H1553*255,I1553*255),"HOVER!")</f>
        <v>HOVER!</v>
      </c>
      <c r="K1553">
        <f>E1553/F1553</f>
        <v>3.6</v>
      </c>
    </row>
    <row r="1554" spans="1:11" ht="15" x14ac:dyDescent="0.35">
      <c r="A1554">
        <f t="shared" si="48"/>
        <v>9</v>
      </c>
      <c r="B1554">
        <f t="shared" si="49"/>
        <v>5</v>
      </c>
      <c r="C1554" s="199" t="str">
        <f>B1554&amp;LOOKUP(A1554, Sheet2!$A$2:$A$11, Sheet2!$B$2:$B$11)</f>
        <v>5RP</v>
      </c>
      <c r="D1554">
        <v>95</v>
      </c>
      <c r="E1554">
        <v>2</v>
      </c>
      <c r="F1554">
        <v>6</v>
      </c>
      <c r="G1554">
        <v>0.63759999999999994</v>
      </c>
      <c r="H1554">
        <v>0.5665</v>
      </c>
      <c r="I1554">
        <v>0.58809999999999996</v>
      </c>
      <c r="J1554" s="2" t="str">
        <f>HYPERLINK(SetRGB(J1554,G1554*255,H1554*255,I1554*255),"HOVER!")</f>
        <v>HOVER!</v>
      </c>
      <c r="K1554">
        <f>E1554/F1554</f>
        <v>0.33333333333333331</v>
      </c>
    </row>
    <row r="1555" spans="1:11" ht="15" x14ac:dyDescent="0.35">
      <c r="A1555">
        <f t="shared" si="48"/>
        <v>9</v>
      </c>
      <c r="B1555">
        <f t="shared" si="49"/>
        <v>5</v>
      </c>
      <c r="C1555" s="199" t="str">
        <f>B1555&amp;LOOKUP(A1555, Sheet2!$A$2:$A$11, Sheet2!$B$2:$B$11)</f>
        <v>5RP</v>
      </c>
      <c r="D1555">
        <v>95</v>
      </c>
      <c r="E1555">
        <v>4</v>
      </c>
      <c r="F1555">
        <v>6</v>
      </c>
      <c r="G1555">
        <v>0.69140000000000001</v>
      </c>
      <c r="H1555">
        <v>0.54559999999999997</v>
      </c>
      <c r="I1555">
        <v>0.59309999999999996</v>
      </c>
      <c r="J1555" s="2" t="str">
        <f>HYPERLINK(SetRGB(J1555,G1555*255,H1555*255,I1555*255),"HOVER!")</f>
        <v>HOVER!</v>
      </c>
      <c r="K1555">
        <f>E1555/F1555</f>
        <v>0.66666666666666663</v>
      </c>
    </row>
    <row r="1556" spans="1:11" ht="15" x14ac:dyDescent="0.35">
      <c r="A1556">
        <f t="shared" si="48"/>
        <v>9</v>
      </c>
      <c r="B1556">
        <f t="shared" si="49"/>
        <v>5</v>
      </c>
      <c r="C1556" s="199" t="str">
        <f>B1556&amp;LOOKUP(A1556, Sheet2!$A$2:$A$11, Sheet2!$B$2:$B$11)</f>
        <v>5RP</v>
      </c>
      <c r="D1556">
        <v>95</v>
      </c>
      <c r="E1556">
        <v>6</v>
      </c>
      <c r="F1556">
        <v>6</v>
      </c>
      <c r="G1556">
        <v>0.74780000000000002</v>
      </c>
      <c r="H1556">
        <v>0.51959999999999995</v>
      </c>
      <c r="I1556">
        <v>0.60009999999999997</v>
      </c>
      <c r="J1556" s="2" t="str">
        <f>HYPERLINK(SetRGB(J1556,G1556*255,H1556*255,I1556*255),"HOVER!")</f>
        <v>HOVER!</v>
      </c>
      <c r="K1556">
        <f>E1556/F1556</f>
        <v>1</v>
      </c>
    </row>
    <row r="1557" spans="1:11" ht="15" x14ac:dyDescent="0.35">
      <c r="A1557">
        <f t="shared" si="48"/>
        <v>9</v>
      </c>
      <c r="B1557">
        <f t="shared" si="49"/>
        <v>5</v>
      </c>
      <c r="C1557" s="199" t="str">
        <f>B1557&amp;LOOKUP(A1557, Sheet2!$A$2:$A$11, Sheet2!$B$2:$B$11)</f>
        <v>5RP</v>
      </c>
      <c r="D1557">
        <v>95</v>
      </c>
      <c r="E1557">
        <v>8</v>
      </c>
      <c r="F1557">
        <v>6</v>
      </c>
      <c r="G1557">
        <v>0.79510000000000003</v>
      </c>
      <c r="H1557">
        <v>0.49430000000000002</v>
      </c>
      <c r="I1557">
        <v>0.60660000000000003</v>
      </c>
      <c r="J1557" s="2" t="str">
        <f>HYPERLINK(SetRGB(J1557,G1557*255,H1557*255,I1557*255),"HOVER!")</f>
        <v>HOVER!</v>
      </c>
      <c r="K1557">
        <f>E1557/F1557</f>
        <v>1.3333333333333333</v>
      </c>
    </row>
    <row r="1558" spans="1:11" ht="15" x14ac:dyDescent="0.35">
      <c r="A1558">
        <f t="shared" si="48"/>
        <v>9</v>
      </c>
      <c r="B1558">
        <f t="shared" si="49"/>
        <v>5</v>
      </c>
      <c r="C1558" s="199" t="str">
        <f>B1558&amp;LOOKUP(A1558, Sheet2!$A$2:$A$11, Sheet2!$B$2:$B$11)</f>
        <v>5RP</v>
      </c>
      <c r="D1558">
        <v>95</v>
      </c>
      <c r="E1558">
        <v>10</v>
      </c>
      <c r="F1558">
        <v>6</v>
      </c>
      <c r="G1558">
        <v>0.83960000000000001</v>
      </c>
      <c r="H1558">
        <v>0.46679999999999999</v>
      </c>
      <c r="I1558">
        <v>0.61350000000000005</v>
      </c>
      <c r="J1558" s="2" t="str">
        <f>HYPERLINK(SetRGB(J1558,G1558*255,H1558*255,I1558*255),"HOVER!")</f>
        <v>HOVER!</v>
      </c>
      <c r="K1558">
        <f>E1558/F1558</f>
        <v>1.6666666666666667</v>
      </c>
    </row>
    <row r="1559" spans="1:11" ht="15" x14ac:dyDescent="0.35">
      <c r="A1559">
        <f t="shared" si="48"/>
        <v>9</v>
      </c>
      <c r="B1559">
        <f t="shared" si="49"/>
        <v>5</v>
      </c>
      <c r="C1559" s="199" t="str">
        <f>B1559&amp;LOOKUP(A1559, Sheet2!$A$2:$A$11, Sheet2!$B$2:$B$11)</f>
        <v>5RP</v>
      </c>
      <c r="D1559">
        <v>95</v>
      </c>
      <c r="E1559">
        <v>12</v>
      </c>
      <c r="F1559">
        <v>6</v>
      </c>
      <c r="G1559">
        <v>0.88800000000000001</v>
      </c>
      <c r="H1559">
        <v>0.43159999999999998</v>
      </c>
      <c r="I1559">
        <v>0.622</v>
      </c>
      <c r="J1559" s="2" t="str">
        <f>HYPERLINK(SetRGB(J1559,G1559*255,H1559*255,I1559*255),"HOVER!")</f>
        <v>HOVER!</v>
      </c>
      <c r="K1559">
        <f>E1559/F1559</f>
        <v>2</v>
      </c>
    </row>
    <row r="1560" spans="1:11" ht="15" x14ac:dyDescent="0.35">
      <c r="A1560">
        <f t="shared" si="48"/>
        <v>9</v>
      </c>
      <c r="B1560">
        <f t="shared" si="49"/>
        <v>5</v>
      </c>
      <c r="C1560" s="199" t="str">
        <f>B1560&amp;LOOKUP(A1560, Sheet2!$A$2:$A$11, Sheet2!$B$2:$B$11)</f>
        <v>5RP</v>
      </c>
      <c r="D1560">
        <v>95</v>
      </c>
      <c r="E1560">
        <v>14</v>
      </c>
      <c r="F1560">
        <v>6</v>
      </c>
      <c r="G1560">
        <v>0.93500000000000005</v>
      </c>
      <c r="H1560">
        <v>0.39050000000000001</v>
      </c>
      <c r="I1560">
        <v>0.63219999999999998</v>
      </c>
      <c r="J1560" s="2" t="str">
        <f>HYPERLINK(SetRGB(J1560,G1560*255,H1560*255,I1560*255),"HOVER!")</f>
        <v>HOVER!</v>
      </c>
      <c r="K1560">
        <f>E1560/F1560</f>
        <v>2.3333333333333335</v>
      </c>
    </row>
    <row r="1561" spans="1:11" ht="15" x14ac:dyDescent="0.35">
      <c r="A1561">
        <f t="shared" si="48"/>
        <v>9</v>
      </c>
      <c r="B1561">
        <f t="shared" si="49"/>
        <v>5</v>
      </c>
      <c r="C1561" s="199" t="str">
        <f>B1561&amp;LOOKUP(A1561, Sheet2!$A$2:$A$11, Sheet2!$B$2:$B$11)</f>
        <v>5RP</v>
      </c>
      <c r="D1561">
        <v>95</v>
      </c>
      <c r="E1561">
        <v>16</v>
      </c>
      <c r="F1561">
        <v>6</v>
      </c>
      <c r="G1561">
        <v>0.97809999999999997</v>
      </c>
      <c r="H1561">
        <v>0.34420000000000001</v>
      </c>
      <c r="I1561">
        <v>0.64159999999999995</v>
      </c>
      <c r="J1561" s="2" t="str">
        <f>HYPERLINK(SetRGB(J1561,G1561*255,H1561*255,I1561*255),"HOVER!")</f>
        <v>HOVER!</v>
      </c>
      <c r="K1561">
        <f>E1561/F1561</f>
        <v>2.6666666666666665</v>
      </c>
    </row>
    <row r="1562" spans="1:11" ht="15" x14ac:dyDescent="0.35">
      <c r="A1562">
        <f t="shared" si="48"/>
        <v>9</v>
      </c>
      <c r="B1562">
        <f t="shared" si="49"/>
        <v>5</v>
      </c>
      <c r="C1562" s="199" t="str">
        <f>B1562&amp;LOOKUP(A1562, Sheet2!$A$2:$A$11, Sheet2!$B$2:$B$11)</f>
        <v>5RP</v>
      </c>
      <c r="D1562">
        <v>95</v>
      </c>
      <c r="E1562">
        <v>18</v>
      </c>
      <c r="F1562">
        <v>6</v>
      </c>
      <c r="G1562">
        <v>1</v>
      </c>
      <c r="H1562">
        <v>0.28570000000000001</v>
      </c>
      <c r="I1562">
        <v>0.65190000000000003</v>
      </c>
      <c r="J1562" s="2" t="str">
        <f>HYPERLINK(SetRGB(J1562,G1562*255,H1562*255,I1562*255),"HOVER!")</f>
        <v>HOVER!</v>
      </c>
      <c r="K1562">
        <f>E1562/F1562</f>
        <v>3</v>
      </c>
    </row>
    <row r="1563" spans="1:11" ht="15" x14ac:dyDescent="0.35">
      <c r="A1563">
        <f t="shared" si="48"/>
        <v>9</v>
      </c>
      <c r="B1563">
        <f t="shared" si="49"/>
        <v>5</v>
      </c>
      <c r="C1563" s="199" t="str">
        <f>B1563&amp;LOOKUP(A1563, Sheet2!$A$2:$A$11, Sheet2!$B$2:$B$11)</f>
        <v>5RP</v>
      </c>
      <c r="D1563">
        <v>95</v>
      </c>
      <c r="E1563">
        <v>20</v>
      </c>
      <c r="F1563">
        <v>6</v>
      </c>
      <c r="G1563">
        <v>1</v>
      </c>
      <c r="H1563">
        <v>0.18340000000000001</v>
      </c>
      <c r="I1563">
        <v>0.66500000000000004</v>
      </c>
      <c r="J1563" s="1" t="str">
        <f>HYPERLINK(SetRGB(J1563,G1563*255,H1563*255,I1563*255),"HOVER!")</f>
        <v>HOVER!</v>
      </c>
      <c r="K1563">
        <f>E1563/F1563</f>
        <v>3.3333333333333335</v>
      </c>
    </row>
    <row r="1564" spans="1:11" ht="15" x14ac:dyDescent="0.35">
      <c r="A1564">
        <f t="shared" si="48"/>
        <v>9</v>
      </c>
      <c r="B1564">
        <f t="shared" si="49"/>
        <v>5</v>
      </c>
      <c r="C1564" s="199" t="str">
        <f>B1564&amp;LOOKUP(A1564, Sheet2!$A$2:$A$11, Sheet2!$B$2:$B$11)</f>
        <v>5RP</v>
      </c>
      <c r="D1564">
        <v>95</v>
      </c>
      <c r="E1564">
        <v>22</v>
      </c>
      <c r="F1564">
        <v>6</v>
      </c>
      <c r="G1564">
        <v>1</v>
      </c>
      <c r="H1564">
        <v>1.49E-2</v>
      </c>
      <c r="I1564">
        <v>0.67369999999999997</v>
      </c>
      <c r="J1564" s="1" t="str">
        <f>HYPERLINK(SetRGB(J1564,G1564*255,H1564*255,I1564*255),"HOVER!")</f>
        <v>HOVER!</v>
      </c>
      <c r="K1564">
        <f>E1564/F1564</f>
        <v>3.6666666666666665</v>
      </c>
    </row>
    <row r="1565" spans="1:11" ht="15" x14ac:dyDescent="0.35">
      <c r="A1565">
        <f t="shared" si="48"/>
        <v>9</v>
      </c>
      <c r="B1565">
        <f t="shared" si="49"/>
        <v>5</v>
      </c>
      <c r="C1565" s="199" t="str">
        <f>B1565&amp;LOOKUP(A1565, Sheet2!$A$2:$A$11, Sheet2!$B$2:$B$11)</f>
        <v>5RP</v>
      </c>
      <c r="D1565">
        <v>95</v>
      </c>
      <c r="E1565">
        <v>2</v>
      </c>
      <c r="F1565">
        <v>7</v>
      </c>
      <c r="G1565">
        <v>0.73680000000000001</v>
      </c>
      <c r="H1565">
        <v>0.67159999999999997</v>
      </c>
      <c r="I1565">
        <v>0.69030000000000002</v>
      </c>
      <c r="J1565" s="2" t="str">
        <f>HYPERLINK(SetRGB(J1565,G1565*255,H1565*255,I1565*255),"HOVER!")</f>
        <v>HOVER!</v>
      </c>
      <c r="K1565">
        <f>E1565/F1565</f>
        <v>0.2857142857142857</v>
      </c>
    </row>
    <row r="1566" spans="1:11" ht="15" x14ac:dyDescent="0.35">
      <c r="A1566">
        <f t="shared" si="48"/>
        <v>9</v>
      </c>
      <c r="B1566">
        <f t="shared" si="49"/>
        <v>5</v>
      </c>
      <c r="C1566" s="199" t="str">
        <f>B1566&amp;LOOKUP(A1566, Sheet2!$A$2:$A$11, Sheet2!$B$2:$B$11)</f>
        <v>5RP</v>
      </c>
      <c r="D1566">
        <v>95</v>
      </c>
      <c r="E1566">
        <v>4</v>
      </c>
      <c r="F1566">
        <v>7</v>
      </c>
      <c r="G1566">
        <v>0.79320000000000002</v>
      </c>
      <c r="H1566">
        <v>0.65059999999999996</v>
      </c>
      <c r="I1566">
        <v>0.6946</v>
      </c>
      <c r="J1566" s="2" t="str">
        <f>HYPERLINK(SetRGB(J1566,G1566*255,H1566*255,I1566*255),"HOVER!")</f>
        <v>HOVER!</v>
      </c>
      <c r="K1566">
        <f>E1566/F1566</f>
        <v>0.5714285714285714</v>
      </c>
    </row>
    <row r="1567" spans="1:11" ht="15" x14ac:dyDescent="0.35">
      <c r="A1567">
        <f t="shared" si="48"/>
        <v>9</v>
      </c>
      <c r="B1567">
        <f t="shared" si="49"/>
        <v>5</v>
      </c>
      <c r="C1567" s="199" t="str">
        <f>B1567&amp;LOOKUP(A1567, Sheet2!$A$2:$A$11, Sheet2!$B$2:$B$11)</f>
        <v>5RP</v>
      </c>
      <c r="D1567">
        <v>95</v>
      </c>
      <c r="E1567">
        <v>6</v>
      </c>
      <c r="F1567">
        <v>7</v>
      </c>
      <c r="G1567">
        <v>0.85319999999999996</v>
      </c>
      <c r="H1567">
        <v>0.62470000000000003</v>
      </c>
      <c r="I1567">
        <v>0.70040000000000002</v>
      </c>
      <c r="J1567" s="2" t="str">
        <f>HYPERLINK(SetRGB(J1567,G1567*255,H1567*255,I1567*255),"HOVER!")</f>
        <v>HOVER!</v>
      </c>
      <c r="K1567">
        <f>E1567/F1567</f>
        <v>0.8571428571428571</v>
      </c>
    </row>
    <row r="1568" spans="1:11" ht="15" x14ac:dyDescent="0.35">
      <c r="A1568">
        <f t="shared" si="48"/>
        <v>9</v>
      </c>
      <c r="B1568">
        <f t="shared" si="49"/>
        <v>5</v>
      </c>
      <c r="C1568" s="199" t="str">
        <f>B1568&amp;LOOKUP(A1568, Sheet2!$A$2:$A$11, Sheet2!$B$2:$B$11)</f>
        <v>5RP</v>
      </c>
      <c r="D1568">
        <v>95</v>
      </c>
      <c r="E1568">
        <v>8</v>
      </c>
      <c r="F1568">
        <v>7</v>
      </c>
      <c r="G1568">
        <v>0.90910000000000002</v>
      </c>
      <c r="H1568">
        <v>0.5968</v>
      </c>
      <c r="I1568">
        <v>0.70630000000000004</v>
      </c>
      <c r="J1568" s="2" t="str">
        <f>HYPERLINK(SetRGB(J1568,G1568*255,H1568*255,I1568*255),"HOVER!")</f>
        <v>HOVER!</v>
      </c>
      <c r="K1568">
        <f>E1568/F1568</f>
        <v>1.1428571428571428</v>
      </c>
    </row>
    <row r="1569" spans="1:11" ht="15" x14ac:dyDescent="0.35">
      <c r="A1569">
        <f t="shared" si="48"/>
        <v>9</v>
      </c>
      <c r="B1569">
        <f t="shared" si="49"/>
        <v>5</v>
      </c>
      <c r="C1569" s="199" t="str">
        <f>B1569&amp;LOOKUP(A1569, Sheet2!$A$2:$A$11, Sheet2!$B$2:$B$11)</f>
        <v>5RP</v>
      </c>
      <c r="D1569">
        <v>95</v>
      </c>
      <c r="E1569">
        <v>10</v>
      </c>
      <c r="F1569">
        <v>7</v>
      </c>
      <c r="G1569">
        <v>0.95530000000000004</v>
      </c>
      <c r="H1569">
        <v>0.57030000000000003</v>
      </c>
      <c r="I1569">
        <v>0.71250000000000002</v>
      </c>
      <c r="J1569" s="2" t="str">
        <f>HYPERLINK(SetRGB(J1569,G1569*255,H1569*255,I1569*255),"HOVER!")</f>
        <v>HOVER!</v>
      </c>
      <c r="K1569">
        <f>E1569/F1569</f>
        <v>1.4285714285714286</v>
      </c>
    </row>
    <row r="1570" spans="1:11" ht="15" x14ac:dyDescent="0.35">
      <c r="A1570">
        <f t="shared" si="48"/>
        <v>9</v>
      </c>
      <c r="B1570">
        <f t="shared" si="49"/>
        <v>5</v>
      </c>
      <c r="C1570" s="199" t="str">
        <f>B1570&amp;LOOKUP(A1570, Sheet2!$A$2:$A$11, Sheet2!$B$2:$B$11)</f>
        <v>5RP</v>
      </c>
      <c r="D1570">
        <v>95</v>
      </c>
      <c r="E1570">
        <v>12</v>
      </c>
      <c r="F1570">
        <v>7</v>
      </c>
      <c r="G1570">
        <v>1</v>
      </c>
      <c r="H1570">
        <v>0.5343</v>
      </c>
      <c r="I1570">
        <v>0.72140000000000004</v>
      </c>
      <c r="J1570" s="2" t="str">
        <f>HYPERLINK(SetRGB(J1570,G1570*255,H1570*255,I1570*255),"HOVER!")</f>
        <v>HOVER!</v>
      </c>
      <c r="K1570">
        <f>E1570/F1570</f>
        <v>1.7142857142857142</v>
      </c>
    </row>
    <row r="1571" spans="1:11" ht="15" x14ac:dyDescent="0.35">
      <c r="A1571">
        <f t="shared" si="48"/>
        <v>9</v>
      </c>
      <c r="B1571">
        <f t="shared" si="49"/>
        <v>5</v>
      </c>
      <c r="C1571" s="199" t="str">
        <f>B1571&amp;LOOKUP(A1571, Sheet2!$A$2:$A$11, Sheet2!$B$2:$B$11)</f>
        <v>5RP</v>
      </c>
      <c r="D1571">
        <v>95</v>
      </c>
      <c r="E1571">
        <v>14</v>
      </c>
      <c r="F1571">
        <v>7</v>
      </c>
      <c r="G1571">
        <v>1</v>
      </c>
      <c r="H1571">
        <v>0.49559999999999998</v>
      </c>
      <c r="I1571">
        <v>0.73029999999999995</v>
      </c>
      <c r="J1571" s="2" t="str">
        <f>HYPERLINK(SetRGB(J1571,G1571*255,H1571*255,I1571*255),"HOVER!")</f>
        <v>HOVER!</v>
      </c>
      <c r="K1571">
        <f>E1571/F1571</f>
        <v>2</v>
      </c>
    </row>
    <row r="1572" spans="1:11" ht="15" x14ac:dyDescent="0.35">
      <c r="A1572">
        <f t="shared" si="48"/>
        <v>9</v>
      </c>
      <c r="B1572">
        <f t="shared" si="49"/>
        <v>5</v>
      </c>
      <c r="C1572" s="199" t="str">
        <f>B1572&amp;LOOKUP(A1572, Sheet2!$A$2:$A$11, Sheet2!$B$2:$B$11)</f>
        <v>5RP</v>
      </c>
      <c r="D1572">
        <v>95</v>
      </c>
      <c r="E1572">
        <v>16</v>
      </c>
      <c r="F1572">
        <v>7</v>
      </c>
      <c r="G1572">
        <v>1</v>
      </c>
      <c r="H1572">
        <v>0.44769999999999999</v>
      </c>
      <c r="I1572">
        <v>0.74109999999999998</v>
      </c>
      <c r="J1572" s="2" t="str">
        <f>HYPERLINK(SetRGB(J1572,G1572*255,H1572*255,I1572*255),"HOVER!")</f>
        <v>HOVER!</v>
      </c>
      <c r="K1572">
        <f>E1572/F1572</f>
        <v>2.2857142857142856</v>
      </c>
    </row>
    <row r="1573" spans="1:11" ht="15" x14ac:dyDescent="0.35">
      <c r="A1573">
        <f t="shared" si="48"/>
        <v>9</v>
      </c>
      <c r="B1573">
        <f t="shared" si="49"/>
        <v>5</v>
      </c>
      <c r="C1573" s="199" t="str">
        <f>B1573&amp;LOOKUP(A1573, Sheet2!$A$2:$A$11, Sheet2!$B$2:$B$11)</f>
        <v>5RP</v>
      </c>
      <c r="D1573">
        <v>95</v>
      </c>
      <c r="E1573">
        <v>18</v>
      </c>
      <c r="F1573">
        <v>7</v>
      </c>
      <c r="G1573">
        <v>1</v>
      </c>
      <c r="H1573">
        <v>0.39290000000000003</v>
      </c>
      <c r="I1573">
        <v>0.75129999999999997</v>
      </c>
      <c r="J1573" s="2" t="str">
        <f>HYPERLINK(SetRGB(J1573,G1573*255,H1573*255,I1573*255),"HOVER!")</f>
        <v>HOVER!</v>
      </c>
      <c r="K1573">
        <f>E1573/F1573</f>
        <v>2.5714285714285716</v>
      </c>
    </row>
    <row r="1574" spans="1:11" ht="15" x14ac:dyDescent="0.35">
      <c r="A1574">
        <f t="shared" si="48"/>
        <v>9</v>
      </c>
      <c r="B1574">
        <f t="shared" si="49"/>
        <v>5</v>
      </c>
      <c r="C1574" s="199" t="str">
        <f>B1574&amp;LOOKUP(A1574, Sheet2!$A$2:$A$11, Sheet2!$B$2:$B$11)</f>
        <v>5RP</v>
      </c>
      <c r="D1574">
        <v>95</v>
      </c>
      <c r="E1574">
        <v>2</v>
      </c>
      <c r="F1574">
        <v>8</v>
      </c>
      <c r="G1574">
        <v>0.83450000000000002</v>
      </c>
      <c r="H1574">
        <v>0.77890000000000004</v>
      </c>
      <c r="I1574">
        <v>0.79420000000000002</v>
      </c>
      <c r="J1574" s="2" t="str">
        <f>HYPERLINK(SetRGB(J1574,G1574*255,H1574*255,I1574*255),"HOVER!")</f>
        <v>HOVER!</v>
      </c>
      <c r="K1574">
        <f>E1574/F1574</f>
        <v>0.25</v>
      </c>
    </row>
    <row r="1575" spans="1:11" ht="15" x14ac:dyDescent="0.35">
      <c r="A1575">
        <f t="shared" si="48"/>
        <v>9</v>
      </c>
      <c r="B1575">
        <f t="shared" si="49"/>
        <v>5</v>
      </c>
      <c r="C1575" s="199" t="str">
        <f>B1575&amp;LOOKUP(A1575, Sheet2!$A$2:$A$11, Sheet2!$B$2:$B$11)</f>
        <v>5RP</v>
      </c>
      <c r="D1575">
        <v>95</v>
      </c>
      <c r="E1575">
        <v>4</v>
      </c>
      <c r="F1575">
        <v>8</v>
      </c>
      <c r="G1575">
        <v>0.89929999999999999</v>
      </c>
      <c r="H1575">
        <v>0.75560000000000005</v>
      </c>
      <c r="I1575">
        <v>0.79779999999999995</v>
      </c>
      <c r="J1575" s="2" t="str">
        <f>HYPERLINK(SetRGB(J1575,G1575*255,H1575*255,I1575*255),"HOVER!")</f>
        <v>HOVER!</v>
      </c>
      <c r="K1575">
        <f>E1575/F1575</f>
        <v>0.5</v>
      </c>
    </row>
    <row r="1576" spans="1:11" ht="15" x14ac:dyDescent="0.35">
      <c r="A1576">
        <f t="shared" si="48"/>
        <v>9</v>
      </c>
      <c r="B1576">
        <f t="shared" si="49"/>
        <v>5</v>
      </c>
      <c r="C1576" s="199" t="str">
        <f>B1576&amp;LOOKUP(A1576, Sheet2!$A$2:$A$11, Sheet2!$B$2:$B$11)</f>
        <v>5RP</v>
      </c>
      <c r="D1576">
        <v>95</v>
      </c>
      <c r="E1576">
        <v>6</v>
      </c>
      <c r="F1576">
        <v>8</v>
      </c>
      <c r="G1576">
        <v>0.96399999999999997</v>
      </c>
      <c r="H1576">
        <v>0.7288</v>
      </c>
      <c r="I1576">
        <v>0.80269999999999997</v>
      </c>
      <c r="J1576" s="2" t="str">
        <f>HYPERLINK(SetRGB(J1576,G1576*255,H1576*255,I1576*255),"HOVER!")</f>
        <v>HOVER!</v>
      </c>
      <c r="K1576">
        <f>E1576/F1576</f>
        <v>0.75</v>
      </c>
    </row>
    <row r="1577" spans="1:11" ht="15" x14ac:dyDescent="0.35">
      <c r="A1577">
        <f t="shared" si="48"/>
        <v>9</v>
      </c>
      <c r="B1577">
        <f t="shared" si="49"/>
        <v>5</v>
      </c>
      <c r="C1577" s="199" t="str">
        <f>B1577&amp;LOOKUP(A1577, Sheet2!$A$2:$A$11, Sheet2!$B$2:$B$11)</f>
        <v>5RP</v>
      </c>
      <c r="D1577">
        <v>95</v>
      </c>
      <c r="E1577">
        <v>8</v>
      </c>
      <c r="F1577">
        <v>8</v>
      </c>
      <c r="G1577">
        <v>1</v>
      </c>
      <c r="H1577">
        <v>0.69879999999999998</v>
      </c>
      <c r="I1577">
        <v>0.80900000000000005</v>
      </c>
      <c r="J1577" s="2" t="str">
        <f>HYPERLINK(SetRGB(J1577,G1577*255,H1577*255,I1577*255),"HOVER!")</f>
        <v>HOVER!</v>
      </c>
      <c r="K1577">
        <f>E1577/F1577</f>
        <v>1</v>
      </c>
    </row>
    <row r="1578" spans="1:11" ht="15" x14ac:dyDescent="0.35">
      <c r="A1578">
        <f t="shared" si="48"/>
        <v>9</v>
      </c>
      <c r="B1578">
        <f t="shared" si="49"/>
        <v>5</v>
      </c>
      <c r="C1578" s="199" t="str">
        <f>B1578&amp;LOOKUP(A1578, Sheet2!$A$2:$A$11, Sheet2!$B$2:$B$11)</f>
        <v>5RP</v>
      </c>
      <c r="D1578">
        <v>95</v>
      </c>
      <c r="E1578">
        <v>10</v>
      </c>
      <c r="F1578">
        <v>8</v>
      </c>
      <c r="G1578">
        <v>1</v>
      </c>
      <c r="H1578">
        <v>0.66869999999999996</v>
      </c>
      <c r="I1578">
        <v>0.81569999999999998</v>
      </c>
      <c r="J1578" s="2" t="str">
        <f>HYPERLINK(SetRGB(J1578,G1578*255,H1578*255,I1578*255),"HOVER!")</f>
        <v>HOVER!</v>
      </c>
      <c r="K1578">
        <f>E1578/F1578</f>
        <v>1.25</v>
      </c>
    </row>
    <row r="1579" spans="1:11" ht="15" x14ac:dyDescent="0.35">
      <c r="A1579">
        <f t="shared" si="48"/>
        <v>9</v>
      </c>
      <c r="B1579">
        <f t="shared" si="49"/>
        <v>5</v>
      </c>
      <c r="C1579" s="199" t="str">
        <f>B1579&amp;LOOKUP(A1579, Sheet2!$A$2:$A$11, Sheet2!$B$2:$B$11)</f>
        <v>5RP</v>
      </c>
      <c r="D1579">
        <v>95</v>
      </c>
      <c r="E1579">
        <v>12</v>
      </c>
      <c r="F1579">
        <v>8</v>
      </c>
      <c r="G1579">
        <v>1</v>
      </c>
      <c r="H1579">
        <v>0.62880000000000003</v>
      </c>
      <c r="I1579">
        <v>0.82450000000000001</v>
      </c>
      <c r="J1579" s="2" t="str">
        <f>HYPERLINK(SetRGB(J1579,G1579*255,H1579*255,I1579*255),"HOVER!")</f>
        <v>HOVER!</v>
      </c>
      <c r="K1579">
        <f>E1579/F1579</f>
        <v>1.5</v>
      </c>
    </row>
    <row r="1580" spans="1:11" ht="15" x14ac:dyDescent="0.35">
      <c r="A1580">
        <f t="shared" si="48"/>
        <v>9</v>
      </c>
      <c r="B1580">
        <f t="shared" si="49"/>
        <v>5</v>
      </c>
      <c r="C1580" s="199" t="str">
        <f>B1580&amp;LOOKUP(A1580, Sheet2!$A$2:$A$11, Sheet2!$B$2:$B$11)</f>
        <v>5RP</v>
      </c>
      <c r="D1580">
        <v>95</v>
      </c>
      <c r="E1580">
        <v>2</v>
      </c>
      <c r="F1580">
        <v>9</v>
      </c>
      <c r="G1580">
        <v>0.94189999999999996</v>
      </c>
      <c r="H1580">
        <v>0.88619999999999999</v>
      </c>
      <c r="I1580">
        <v>0.90090000000000003</v>
      </c>
      <c r="J1580" s="2" t="str">
        <f>HYPERLINK(SetRGB(J1580,G1580*255,H1580*255,I1580*255),"HOVER!")</f>
        <v>HOVER!</v>
      </c>
      <c r="K1580">
        <f>E1580/F1580</f>
        <v>0.22222222222222221</v>
      </c>
    </row>
    <row r="1581" spans="1:11" ht="15" x14ac:dyDescent="0.35">
      <c r="A1581">
        <f t="shared" si="48"/>
        <v>9</v>
      </c>
      <c r="B1581">
        <f t="shared" si="49"/>
        <v>5</v>
      </c>
      <c r="C1581" s="199" t="str">
        <f>B1581&amp;LOOKUP(A1581, Sheet2!$A$2:$A$11, Sheet2!$B$2:$B$11)</f>
        <v>5RP</v>
      </c>
      <c r="D1581">
        <v>95</v>
      </c>
      <c r="E1581">
        <v>4</v>
      </c>
      <c r="F1581">
        <v>9</v>
      </c>
      <c r="G1581">
        <v>1</v>
      </c>
      <c r="H1581">
        <v>0.86019999999999996</v>
      </c>
      <c r="I1581">
        <v>0.9042</v>
      </c>
      <c r="J1581" s="2" t="str">
        <f>HYPERLINK(SetRGB(J1581,G1581*255,H1581*255,I1581*255),"HOVER!")</f>
        <v>HOVER!</v>
      </c>
      <c r="K1581">
        <f>E1581/F1581</f>
        <v>0.44444444444444442</v>
      </c>
    </row>
    <row r="1582" spans="1:11" ht="15" x14ac:dyDescent="0.35">
      <c r="A1582">
        <f t="shared" si="48"/>
        <v>9</v>
      </c>
      <c r="B1582">
        <f t="shared" si="49"/>
        <v>5</v>
      </c>
      <c r="C1582" s="199" t="str">
        <f>B1582&amp;LOOKUP(A1582, Sheet2!$A$2:$A$11, Sheet2!$B$2:$B$11)</f>
        <v>5RP</v>
      </c>
      <c r="D1582">
        <v>95</v>
      </c>
      <c r="E1582">
        <v>6</v>
      </c>
      <c r="F1582">
        <v>9</v>
      </c>
      <c r="G1582">
        <v>1</v>
      </c>
      <c r="H1582">
        <v>0.83079999999999998</v>
      </c>
      <c r="I1582">
        <v>0.90939999999999999</v>
      </c>
      <c r="J1582" s="2" t="str">
        <f>HYPERLINK(SetRGB(J1582,G1582*255,H1582*255,I1582*255),"HOVER!")</f>
        <v>HOVER!</v>
      </c>
      <c r="K1582">
        <f>E1582/F1582</f>
        <v>0.66666666666666663</v>
      </c>
    </row>
    <row r="1583" spans="1:11" ht="15" x14ac:dyDescent="0.35">
      <c r="A1583">
        <f t="shared" si="48"/>
        <v>9</v>
      </c>
      <c r="B1583">
        <f t="shared" si="49"/>
        <v>7.5</v>
      </c>
      <c r="C1583" s="199" t="str">
        <f>B1583&amp;LOOKUP(A1583, Sheet2!$A$2:$A$11, Sheet2!$B$2:$B$11)</f>
        <v>7.5RP</v>
      </c>
      <c r="D1583">
        <v>97.5</v>
      </c>
      <c r="E1583">
        <v>2</v>
      </c>
      <c r="F1583">
        <v>1</v>
      </c>
      <c r="G1583">
        <v>0.1691</v>
      </c>
      <c r="H1583">
        <v>8.6199999999999999E-2</v>
      </c>
      <c r="I1583">
        <v>0.13289999999999999</v>
      </c>
      <c r="J1583" s="1" t="str">
        <f>HYPERLINK(SetRGB(J1583,G1583*255,H1583*255,I1583*255),"HOVER!")</f>
        <v>HOVER!</v>
      </c>
      <c r="K1583">
        <f>E1583/F1583</f>
        <v>2</v>
      </c>
    </row>
    <row r="1584" spans="1:11" ht="15" x14ac:dyDescent="0.35">
      <c r="A1584">
        <f t="shared" si="48"/>
        <v>9</v>
      </c>
      <c r="B1584">
        <f t="shared" si="49"/>
        <v>7.5</v>
      </c>
      <c r="C1584" s="199" t="str">
        <f>B1584&amp;LOOKUP(A1584, Sheet2!$A$2:$A$11, Sheet2!$B$2:$B$11)</f>
        <v>7.5RP</v>
      </c>
      <c r="D1584">
        <v>97.5</v>
      </c>
      <c r="E1584">
        <v>4</v>
      </c>
      <c r="F1584">
        <v>1</v>
      </c>
      <c r="G1584">
        <v>0.20150000000000001</v>
      </c>
      <c r="H1584">
        <v>5.9799999999999999E-2</v>
      </c>
      <c r="I1584">
        <v>0.14760000000000001</v>
      </c>
      <c r="J1584" s="1" t="str">
        <f>HYPERLINK(SetRGB(J1584,G1584*255,H1584*255,I1584*255),"HOVER!")</f>
        <v>HOVER!</v>
      </c>
      <c r="K1584">
        <f>E1584/F1584</f>
        <v>4</v>
      </c>
    </row>
    <row r="1585" spans="1:11" ht="15" x14ac:dyDescent="0.35">
      <c r="A1585">
        <f t="shared" si="48"/>
        <v>9</v>
      </c>
      <c r="B1585">
        <f t="shared" si="49"/>
        <v>7.5</v>
      </c>
      <c r="C1585" s="199" t="str">
        <f>B1585&amp;LOOKUP(A1585, Sheet2!$A$2:$A$11, Sheet2!$B$2:$B$11)</f>
        <v>7.5RP</v>
      </c>
      <c r="D1585">
        <v>97.5</v>
      </c>
      <c r="E1585">
        <v>6</v>
      </c>
      <c r="F1585">
        <v>1</v>
      </c>
      <c r="G1585">
        <v>0.22989999999999999</v>
      </c>
      <c r="H1585">
        <v>1.6899999999999998E-2</v>
      </c>
      <c r="I1585">
        <v>0.16220000000000001</v>
      </c>
      <c r="J1585" s="1" t="str">
        <f>HYPERLINK(SetRGB(J1585,G1585*255,H1585*255,I1585*255),"HOVER!")</f>
        <v>HOVER!</v>
      </c>
      <c r="K1585">
        <f>E1585/F1585</f>
        <v>6</v>
      </c>
    </row>
    <row r="1586" spans="1:11" ht="15" x14ac:dyDescent="0.35">
      <c r="A1586">
        <f t="shared" si="48"/>
        <v>9</v>
      </c>
      <c r="B1586">
        <f t="shared" si="49"/>
        <v>7.5</v>
      </c>
      <c r="C1586" s="199" t="str">
        <f>B1586&amp;LOOKUP(A1586, Sheet2!$A$2:$A$11, Sheet2!$B$2:$B$11)</f>
        <v>7.5RP</v>
      </c>
      <c r="D1586">
        <v>97.5</v>
      </c>
      <c r="E1586">
        <v>2</v>
      </c>
      <c r="F1586">
        <v>2</v>
      </c>
      <c r="G1586">
        <v>0.25259999999999999</v>
      </c>
      <c r="H1586">
        <v>0.17080000000000001</v>
      </c>
      <c r="I1586">
        <v>0.20300000000000001</v>
      </c>
      <c r="J1586" s="1" t="str">
        <f>HYPERLINK(SetRGB(J1586,G1586*255,H1586*255,I1586*255),"HOVER!")</f>
        <v>HOVER!</v>
      </c>
      <c r="K1586">
        <f>E1586/F1586</f>
        <v>1</v>
      </c>
    </row>
    <row r="1587" spans="1:11" ht="15" x14ac:dyDescent="0.35">
      <c r="A1587">
        <f t="shared" si="48"/>
        <v>9</v>
      </c>
      <c r="B1587">
        <f t="shared" si="49"/>
        <v>7.5</v>
      </c>
      <c r="C1587" s="199" t="str">
        <f>B1587&amp;LOOKUP(A1587, Sheet2!$A$2:$A$11, Sheet2!$B$2:$B$11)</f>
        <v>7.5RP</v>
      </c>
      <c r="D1587">
        <v>97.5</v>
      </c>
      <c r="E1587">
        <v>4</v>
      </c>
      <c r="F1587">
        <v>2</v>
      </c>
      <c r="G1587">
        <v>0.2918</v>
      </c>
      <c r="H1587">
        <v>0.1482</v>
      </c>
      <c r="I1587">
        <v>0.21210000000000001</v>
      </c>
      <c r="J1587" s="1" t="str">
        <f>HYPERLINK(SetRGB(J1587,G1587*255,H1587*255,I1587*255),"HOVER!")</f>
        <v>HOVER!</v>
      </c>
      <c r="K1587">
        <f>E1587/F1587</f>
        <v>2</v>
      </c>
    </row>
    <row r="1588" spans="1:11" ht="15" x14ac:dyDescent="0.35">
      <c r="A1588">
        <f t="shared" si="48"/>
        <v>9</v>
      </c>
      <c r="B1588">
        <f t="shared" si="49"/>
        <v>7.5</v>
      </c>
      <c r="C1588" s="199" t="str">
        <f>B1588&amp;LOOKUP(A1588, Sheet2!$A$2:$A$11, Sheet2!$B$2:$B$11)</f>
        <v>7.5RP</v>
      </c>
      <c r="D1588">
        <v>97.5</v>
      </c>
      <c r="E1588">
        <v>6</v>
      </c>
      <c r="F1588">
        <v>2</v>
      </c>
      <c r="G1588">
        <v>0.32719999999999999</v>
      </c>
      <c r="H1588">
        <v>0.1197</v>
      </c>
      <c r="I1588">
        <v>0.22159999999999999</v>
      </c>
      <c r="J1588" s="1" t="str">
        <f>HYPERLINK(SetRGB(J1588,G1588*255,H1588*255,I1588*255),"HOVER!")</f>
        <v>HOVER!</v>
      </c>
      <c r="K1588">
        <f>E1588/F1588</f>
        <v>3</v>
      </c>
    </row>
    <row r="1589" spans="1:11" ht="15" x14ac:dyDescent="0.35">
      <c r="A1589">
        <f t="shared" si="48"/>
        <v>9</v>
      </c>
      <c r="B1589">
        <f t="shared" si="49"/>
        <v>7.5</v>
      </c>
      <c r="C1589" s="199" t="str">
        <f>B1589&amp;LOOKUP(A1589, Sheet2!$A$2:$A$11, Sheet2!$B$2:$B$11)</f>
        <v>7.5RP</v>
      </c>
      <c r="D1589">
        <v>97.5</v>
      </c>
      <c r="E1589">
        <v>8</v>
      </c>
      <c r="F1589">
        <v>2</v>
      </c>
      <c r="G1589">
        <v>0.3659</v>
      </c>
      <c r="H1589">
        <v>7.0300000000000001E-2</v>
      </c>
      <c r="I1589">
        <v>0.2341</v>
      </c>
      <c r="J1589" s="1" t="str">
        <f>HYPERLINK(SetRGB(J1589,G1589*255,H1589*255,I1589*255),"HOVER!")</f>
        <v>HOVER!</v>
      </c>
      <c r="K1589">
        <f>E1589/F1589</f>
        <v>4</v>
      </c>
    </row>
    <row r="1590" spans="1:11" ht="15" x14ac:dyDescent="0.35">
      <c r="A1590">
        <f t="shared" si="48"/>
        <v>9</v>
      </c>
      <c r="B1590">
        <f t="shared" si="49"/>
        <v>7.5</v>
      </c>
      <c r="C1590" s="199" t="str">
        <f>B1590&amp;LOOKUP(A1590, Sheet2!$A$2:$A$11, Sheet2!$B$2:$B$11)</f>
        <v>7.5RP</v>
      </c>
      <c r="D1590">
        <v>97.5</v>
      </c>
      <c r="E1590">
        <v>2</v>
      </c>
      <c r="F1590">
        <v>3</v>
      </c>
      <c r="G1590">
        <v>0.35170000000000001</v>
      </c>
      <c r="H1590">
        <v>0.25919999999999999</v>
      </c>
      <c r="I1590">
        <v>0.2853</v>
      </c>
      <c r="J1590" s="1" t="str">
        <f>HYPERLINK(SetRGB(J1590,G1590*255,H1590*255,I1590*255),"HOVER!")</f>
        <v>HOVER!</v>
      </c>
      <c r="K1590">
        <f>E1590/F1590</f>
        <v>0.66666666666666663</v>
      </c>
    </row>
    <row r="1591" spans="1:11" ht="15" x14ac:dyDescent="0.35">
      <c r="A1591">
        <f t="shared" si="48"/>
        <v>9</v>
      </c>
      <c r="B1591">
        <f t="shared" si="49"/>
        <v>7.5</v>
      </c>
      <c r="C1591" s="199" t="str">
        <f>B1591&amp;LOOKUP(A1591, Sheet2!$A$2:$A$11, Sheet2!$B$2:$B$11)</f>
        <v>7.5RP</v>
      </c>
      <c r="D1591">
        <v>97.5</v>
      </c>
      <c r="E1591">
        <v>4</v>
      </c>
      <c r="F1591">
        <v>3</v>
      </c>
      <c r="G1591">
        <v>0.40379999999999999</v>
      </c>
      <c r="H1591">
        <v>0.23280000000000001</v>
      </c>
      <c r="I1591">
        <v>0.28839999999999999</v>
      </c>
      <c r="J1591" s="1" t="str">
        <f>HYPERLINK(SetRGB(J1591,G1591*255,H1591*255,I1591*255),"HOVER!")</f>
        <v>HOVER!</v>
      </c>
      <c r="K1591">
        <f>E1591/F1591</f>
        <v>1.3333333333333333</v>
      </c>
    </row>
    <row r="1592" spans="1:11" ht="15" x14ac:dyDescent="0.35">
      <c r="A1592">
        <f t="shared" si="48"/>
        <v>9</v>
      </c>
      <c r="B1592">
        <f t="shared" si="49"/>
        <v>7.5</v>
      </c>
      <c r="C1592" s="199" t="str">
        <f>B1592&amp;LOOKUP(A1592, Sheet2!$A$2:$A$11, Sheet2!$B$2:$B$11)</f>
        <v>7.5RP</v>
      </c>
      <c r="D1592">
        <v>97.5</v>
      </c>
      <c r="E1592">
        <v>6</v>
      </c>
      <c r="F1592">
        <v>3</v>
      </c>
      <c r="G1592">
        <v>0.44829999999999998</v>
      </c>
      <c r="H1592">
        <v>0.2024</v>
      </c>
      <c r="I1592">
        <v>0.2928</v>
      </c>
      <c r="J1592" s="1" t="str">
        <f>HYPERLINK(SetRGB(J1592,G1592*255,H1592*255,I1592*255),"HOVER!")</f>
        <v>HOVER!</v>
      </c>
      <c r="K1592">
        <f>E1592/F1592</f>
        <v>2</v>
      </c>
    </row>
    <row r="1593" spans="1:11" ht="15" x14ac:dyDescent="0.35">
      <c r="A1593">
        <f t="shared" si="48"/>
        <v>9</v>
      </c>
      <c r="B1593">
        <f t="shared" si="49"/>
        <v>7.5</v>
      </c>
      <c r="C1593" s="199" t="str">
        <f>B1593&amp;LOOKUP(A1593, Sheet2!$A$2:$A$11, Sheet2!$B$2:$B$11)</f>
        <v>7.5RP</v>
      </c>
      <c r="D1593">
        <v>97.5</v>
      </c>
      <c r="E1593">
        <v>8</v>
      </c>
      <c r="F1593">
        <v>3</v>
      </c>
      <c r="G1593">
        <v>0.4924</v>
      </c>
      <c r="H1593">
        <v>0.16070000000000001</v>
      </c>
      <c r="I1593">
        <v>0.29899999999999999</v>
      </c>
      <c r="J1593" s="1" t="str">
        <f>HYPERLINK(SetRGB(J1593,G1593*255,H1593*255,I1593*255),"HOVER!")</f>
        <v>HOVER!</v>
      </c>
      <c r="K1593">
        <f>E1593/F1593</f>
        <v>2.6666666666666665</v>
      </c>
    </row>
    <row r="1594" spans="1:11" ht="15" x14ac:dyDescent="0.35">
      <c r="A1594">
        <f t="shared" si="48"/>
        <v>9</v>
      </c>
      <c r="B1594">
        <f t="shared" si="49"/>
        <v>7.5</v>
      </c>
      <c r="C1594" s="199" t="str">
        <f>B1594&amp;LOOKUP(A1594, Sheet2!$A$2:$A$11, Sheet2!$B$2:$B$11)</f>
        <v>7.5RP</v>
      </c>
      <c r="D1594">
        <v>97.5</v>
      </c>
      <c r="E1594">
        <v>10</v>
      </c>
      <c r="F1594">
        <v>3</v>
      </c>
      <c r="G1594">
        <v>0.53149999999999997</v>
      </c>
      <c r="H1594">
        <v>0.10349999999999999</v>
      </c>
      <c r="I1594">
        <v>0.30559999999999998</v>
      </c>
      <c r="J1594" s="1" t="str">
        <f>HYPERLINK(SetRGB(J1594,G1594*255,H1594*255,I1594*255),"HOVER!")</f>
        <v>HOVER!</v>
      </c>
      <c r="K1594">
        <f>E1594/F1594</f>
        <v>3.3333333333333335</v>
      </c>
    </row>
    <row r="1595" spans="1:11" ht="15" x14ac:dyDescent="0.35">
      <c r="A1595">
        <f t="shared" si="48"/>
        <v>9</v>
      </c>
      <c r="B1595">
        <f t="shared" si="49"/>
        <v>7.5</v>
      </c>
      <c r="C1595" s="199" t="str">
        <f>B1595&amp;LOOKUP(A1595, Sheet2!$A$2:$A$11, Sheet2!$B$2:$B$11)</f>
        <v>7.5RP</v>
      </c>
      <c r="D1595">
        <v>97.5</v>
      </c>
      <c r="E1595">
        <v>2</v>
      </c>
      <c r="F1595">
        <v>4</v>
      </c>
      <c r="G1595">
        <v>0.44669999999999999</v>
      </c>
      <c r="H1595">
        <v>0.35859999999999997</v>
      </c>
      <c r="I1595">
        <v>0.37930000000000003</v>
      </c>
      <c r="J1595" s="1" t="str">
        <f>HYPERLINK(SetRGB(J1595,G1595*255,H1595*255,I1595*255),"HOVER!")</f>
        <v>HOVER!</v>
      </c>
      <c r="K1595">
        <f>E1595/F1595</f>
        <v>0.5</v>
      </c>
    </row>
    <row r="1596" spans="1:11" ht="15" x14ac:dyDescent="0.35">
      <c r="A1596">
        <f t="shared" si="48"/>
        <v>9</v>
      </c>
      <c r="B1596">
        <f t="shared" si="49"/>
        <v>7.5</v>
      </c>
      <c r="C1596" s="199" t="str">
        <f>B1596&amp;LOOKUP(A1596, Sheet2!$A$2:$A$11, Sheet2!$B$2:$B$11)</f>
        <v>7.5RP</v>
      </c>
      <c r="D1596">
        <v>97.5</v>
      </c>
      <c r="E1596">
        <v>4</v>
      </c>
      <c r="F1596">
        <v>4</v>
      </c>
      <c r="G1596">
        <v>0.50049999999999994</v>
      </c>
      <c r="H1596">
        <v>0.33489999999999998</v>
      </c>
      <c r="I1596">
        <v>0.37880000000000003</v>
      </c>
      <c r="J1596" s="1" t="str">
        <f>HYPERLINK(SetRGB(J1596,G1596*255,H1596*255,I1596*255),"HOVER!")</f>
        <v>HOVER!</v>
      </c>
      <c r="K1596">
        <f>E1596/F1596</f>
        <v>1</v>
      </c>
    </row>
    <row r="1597" spans="1:11" ht="15" x14ac:dyDescent="0.35">
      <c r="A1597">
        <f t="shared" si="48"/>
        <v>9</v>
      </c>
      <c r="B1597">
        <f t="shared" si="49"/>
        <v>7.5</v>
      </c>
      <c r="C1597" s="199" t="str">
        <f>B1597&amp;LOOKUP(A1597, Sheet2!$A$2:$A$11, Sheet2!$B$2:$B$11)</f>
        <v>7.5RP</v>
      </c>
      <c r="D1597">
        <v>97.5</v>
      </c>
      <c r="E1597">
        <v>6</v>
      </c>
      <c r="F1597">
        <v>4</v>
      </c>
      <c r="G1597">
        <v>0.55120000000000002</v>
      </c>
      <c r="H1597">
        <v>0.30669999999999997</v>
      </c>
      <c r="I1597">
        <v>0.37930000000000003</v>
      </c>
      <c r="J1597" s="1" t="str">
        <f>HYPERLINK(SetRGB(J1597,G1597*255,H1597*255,I1597*255),"HOVER!")</f>
        <v>HOVER!</v>
      </c>
      <c r="K1597">
        <f>E1597/F1597</f>
        <v>1.5</v>
      </c>
    </row>
    <row r="1598" spans="1:11" ht="15" x14ac:dyDescent="0.35">
      <c r="A1598">
        <f t="shared" si="48"/>
        <v>9</v>
      </c>
      <c r="B1598">
        <f t="shared" si="49"/>
        <v>7.5</v>
      </c>
      <c r="C1598" s="199" t="str">
        <f>B1598&amp;LOOKUP(A1598, Sheet2!$A$2:$A$11, Sheet2!$B$2:$B$11)</f>
        <v>7.5RP</v>
      </c>
      <c r="D1598">
        <v>97.5</v>
      </c>
      <c r="E1598">
        <v>8</v>
      </c>
      <c r="F1598">
        <v>4</v>
      </c>
      <c r="G1598">
        <v>0.59830000000000005</v>
      </c>
      <c r="H1598">
        <v>0.27350000000000002</v>
      </c>
      <c r="I1598">
        <v>0.38150000000000001</v>
      </c>
      <c r="J1598" s="1" t="str">
        <f>HYPERLINK(SetRGB(J1598,G1598*255,H1598*255,I1598*255),"HOVER!")</f>
        <v>HOVER!</v>
      </c>
      <c r="K1598">
        <f>E1598/F1598</f>
        <v>2</v>
      </c>
    </row>
    <row r="1599" spans="1:11" ht="15" x14ac:dyDescent="0.35">
      <c r="A1599">
        <f t="shared" si="48"/>
        <v>9</v>
      </c>
      <c r="B1599">
        <f t="shared" si="49"/>
        <v>7.5</v>
      </c>
      <c r="C1599" s="199" t="str">
        <f>B1599&amp;LOOKUP(A1599, Sheet2!$A$2:$A$11, Sheet2!$B$2:$B$11)</f>
        <v>7.5RP</v>
      </c>
      <c r="D1599">
        <v>97.5</v>
      </c>
      <c r="E1599">
        <v>10</v>
      </c>
      <c r="F1599">
        <v>4</v>
      </c>
      <c r="G1599">
        <v>0.63819999999999999</v>
      </c>
      <c r="H1599">
        <v>0.2374</v>
      </c>
      <c r="I1599">
        <v>0.38450000000000001</v>
      </c>
      <c r="J1599" s="1" t="str">
        <f>HYPERLINK(SetRGB(J1599,G1599*255,H1599*255,I1599*255),"HOVER!")</f>
        <v>HOVER!</v>
      </c>
      <c r="K1599">
        <f>E1599/F1599</f>
        <v>2.5</v>
      </c>
    </row>
    <row r="1600" spans="1:11" ht="15" x14ac:dyDescent="0.35">
      <c r="A1600">
        <f t="shared" si="48"/>
        <v>9</v>
      </c>
      <c r="B1600">
        <f t="shared" si="49"/>
        <v>7.5</v>
      </c>
      <c r="C1600" s="199" t="str">
        <f>B1600&amp;LOOKUP(A1600, Sheet2!$A$2:$A$11, Sheet2!$B$2:$B$11)</f>
        <v>7.5RP</v>
      </c>
      <c r="D1600">
        <v>97.5</v>
      </c>
      <c r="E1600">
        <v>12</v>
      </c>
      <c r="F1600">
        <v>4</v>
      </c>
      <c r="G1600">
        <v>0.68020000000000003</v>
      </c>
      <c r="H1600">
        <v>0.18629999999999999</v>
      </c>
      <c r="I1600">
        <v>0.38919999999999999</v>
      </c>
      <c r="J1600" s="1" t="str">
        <f>HYPERLINK(SetRGB(J1600,G1600*255,H1600*255,I1600*255),"HOVER!")</f>
        <v>HOVER!</v>
      </c>
      <c r="K1600">
        <f>E1600/F1600</f>
        <v>3</v>
      </c>
    </row>
    <row r="1601" spans="1:11" ht="15" x14ac:dyDescent="0.35">
      <c r="A1601">
        <f t="shared" si="48"/>
        <v>9</v>
      </c>
      <c r="B1601">
        <f t="shared" si="49"/>
        <v>7.5</v>
      </c>
      <c r="C1601" s="199" t="str">
        <f>B1601&amp;LOOKUP(A1601, Sheet2!$A$2:$A$11, Sheet2!$B$2:$B$11)</f>
        <v>7.5RP</v>
      </c>
      <c r="D1601">
        <v>97.5</v>
      </c>
      <c r="E1601">
        <v>14</v>
      </c>
      <c r="F1601">
        <v>4</v>
      </c>
      <c r="G1601">
        <v>0.71989999999999998</v>
      </c>
      <c r="H1601">
        <v>0.1096</v>
      </c>
      <c r="I1601">
        <v>0.39410000000000001</v>
      </c>
      <c r="J1601" s="1" t="str">
        <f>HYPERLINK(SetRGB(J1601,G1601*255,H1601*255,I1601*255),"HOVER!")</f>
        <v>HOVER!</v>
      </c>
      <c r="K1601">
        <f>E1601/F1601</f>
        <v>3.5</v>
      </c>
    </row>
    <row r="1602" spans="1:11" ht="15" x14ac:dyDescent="0.35">
      <c r="A1602">
        <f t="shared" si="48"/>
        <v>9</v>
      </c>
      <c r="B1602">
        <f t="shared" si="49"/>
        <v>7.5</v>
      </c>
      <c r="C1602" s="199" t="str">
        <f>B1602&amp;LOOKUP(A1602, Sheet2!$A$2:$A$11, Sheet2!$B$2:$B$11)</f>
        <v>7.5RP</v>
      </c>
      <c r="D1602">
        <v>97.5</v>
      </c>
      <c r="E1602">
        <v>2</v>
      </c>
      <c r="F1602">
        <v>5</v>
      </c>
      <c r="G1602">
        <v>0.54</v>
      </c>
      <c r="H1602">
        <v>0.46300000000000002</v>
      </c>
      <c r="I1602">
        <v>0.47889999999999999</v>
      </c>
      <c r="J1602" s="1" t="str">
        <f>HYPERLINK(SetRGB(J1602,G1602*255,H1602*255,I1602*255),"HOVER!")</f>
        <v>HOVER!</v>
      </c>
      <c r="K1602">
        <f>E1602/F1602</f>
        <v>0.4</v>
      </c>
    </row>
    <row r="1603" spans="1:11" ht="15" x14ac:dyDescent="0.35">
      <c r="A1603">
        <f t="shared" si="48"/>
        <v>9</v>
      </c>
      <c r="B1603">
        <f t="shared" si="49"/>
        <v>7.5</v>
      </c>
      <c r="C1603" s="199" t="str">
        <f>B1603&amp;LOOKUP(A1603, Sheet2!$A$2:$A$11, Sheet2!$B$2:$B$11)</f>
        <v>7.5RP</v>
      </c>
      <c r="D1603">
        <v>97.5</v>
      </c>
      <c r="E1603">
        <v>4</v>
      </c>
      <c r="F1603">
        <v>5</v>
      </c>
      <c r="G1603">
        <v>0.59960000000000002</v>
      </c>
      <c r="H1603">
        <v>0.43919999999999998</v>
      </c>
      <c r="I1603">
        <v>0.4758</v>
      </c>
      <c r="J1603" s="1" t="str">
        <f>HYPERLINK(SetRGB(J1603,G1603*255,H1603*255,I1603*255),"HOVER!")</f>
        <v>HOVER!</v>
      </c>
      <c r="K1603">
        <f>E1603/F1603</f>
        <v>0.8</v>
      </c>
    </row>
    <row r="1604" spans="1:11" ht="15" x14ac:dyDescent="0.35">
      <c r="A1604">
        <f t="shared" si="48"/>
        <v>9</v>
      </c>
      <c r="B1604">
        <f t="shared" si="49"/>
        <v>7.5</v>
      </c>
      <c r="C1604" s="199" t="str">
        <f>B1604&amp;LOOKUP(A1604, Sheet2!$A$2:$A$11, Sheet2!$B$2:$B$11)</f>
        <v>7.5RP</v>
      </c>
      <c r="D1604">
        <v>97.5</v>
      </c>
      <c r="E1604">
        <v>6</v>
      </c>
      <c r="F1604">
        <v>5</v>
      </c>
      <c r="G1604">
        <v>0.65480000000000005</v>
      </c>
      <c r="H1604">
        <v>0.41220000000000001</v>
      </c>
      <c r="I1604">
        <v>0.47470000000000001</v>
      </c>
      <c r="J1604" s="1" t="str">
        <f>HYPERLINK(SetRGB(J1604,G1604*255,H1604*255,I1604*255),"HOVER!")</f>
        <v>HOVER!</v>
      </c>
      <c r="K1604">
        <f>E1604/F1604</f>
        <v>1.2</v>
      </c>
    </row>
    <row r="1605" spans="1:11" ht="15" x14ac:dyDescent="0.35">
      <c r="A1605">
        <f t="shared" si="48"/>
        <v>9</v>
      </c>
      <c r="B1605">
        <f t="shared" si="49"/>
        <v>7.5</v>
      </c>
      <c r="C1605" s="199" t="str">
        <f>B1605&amp;LOOKUP(A1605, Sheet2!$A$2:$A$11, Sheet2!$B$2:$B$11)</f>
        <v>7.5RP</v>
      </c>
      <c r="D1605">
        <v>97.5</v>
      </c>
      <c r="E1605">
        <v>8</v>
      </c>
      <c r="F1605">
        <v>5</v>
      </c>
      <c r="G1605">
        <v>0.70740000000000003</v>
      </c>
      <c r="H1605">
        <v>0.38080000000000003</v>
      </c>
      <c r="I1605">
        <v>0.47489999999999999</v>
      </c>
      <c r="J1605" s="1" t="str">
        <f>HYPERLINK(SetRGB(J1605,G1605*255,H1605*255,I1605*255),"HOVER!")</f>
        <v>HOVER!</v>
      </c>
      <c r="K1605">
        <f>E1605/F1605</f>
        <v>1.6</v>
      </c>
    </row>
    <row r="1606" spans="1:11" ht="15" x14ac:dyDescent="0.35">
      <c r="A1606">
        <f t="shared" si="48"/>
        <v>9</v>
      </c>
      <c r="B1606">
        <f t="shared" si="49"/>
        <v>7.5</v>
      </c>
      <c r="C1606" s="199" t="str">
        <f>B1606&amp;LOOKUP(A1606, Sheet2!$A$2:$A$11, Sheet2!$B$2:$B$11)</f>
        <v>7.5RP</v>
      </c>
      <c r="D1606">
        <v>97.5</v>
      </c>
      <c r="E1606">
        <v>10</v>
      </c>
      <c r="F1606">
        <v>5</v>
      </c>
      <c r="G1606">
        <v>0.75149999999999995</v>
      </c>
      <c r="H1606">
        <v>0.3488</v>
      </c>
      <c r="I1606">
        <v>0.47560000000000002</v>
      </c>
      <c r="J1606" s="1" t="str">
        <f>HYPERLINK(SetRGB(J1606,G1606*255,H1606*255,I1606*255),"HOVER!")</f>
        <v>HOVER!</v>
      </c>
      <c r="K1606">
        <f>E1606/F1606</f>
        <v>2</v>
      </c>
    </row>
    <row r="1607" spans="1:11" ht="15" x14ac:dyDescent="0.35">
      <c r="A1607">
        <f t="shared" si="48"/>
        <v>9</v>
      </c>
      <c r="B1607">
        <f t="shared" si="49"/>
        <v>7.5</v>
      </c>
      <c r="C1607" s="199" t="str">
        <f>B1607&amp;LOOKUP(A1607, Sheet2!$A$2:$A$11, Sheet2!$B$2:$B$11)</f>
        <v>7.5RP</v>
      </c>
      <c r="D1607">
        <v>97.5</v>
      </c>
      <c r="E1607">
        <v>12</v>
      </c>
      <c r="F1607">
        <v>5</v>
      </c>
      <c r="G1607">
        <v>0.8014</v>
      </c>
      <c r="H1607">
        <v>0.30370000000000003</v>
      </c>
      <c r="I1607">
        <v>0.47839999999999999</v>
      </c>
      <c r="J1607" s="1" t="str">
        <f>HYPERLINK(SetRGB(J1607,G1607*255,H1607*255,I1607*255),"HOVER!")</f>
        <v>HOVER!</v>
      </c>
      <c r="K1607">
        <f>E1607/F1607</f>
        <v>2.4</v>
      </c>
    </row>
    <row r="1608" spans="1:11" ht="15" x14ac:dyDescent="0.35">
      <c r="A1608">
        <f t="shared" si="48"/>
        <v>9</v>
      </c>
      <c r="B1608">
        <f t="shared" si="49"/>
        <v>7.5</v>
      </c>
      <c r="C1608" s="199" t="str">
        <f>B1608&amp;LOOKUP(A1608, Sheet2!$A$2:$A$11, Sheet2!$B$2:$B$11)</f>
        <v>7.5RP</v>
      </c>
      <c r="D1608">
        <v>97.5</v>
      </c>
      <c r="E1608">
        <v>14</v>
      </c>
      <c r="F1608">
        <v>5</v>
      </c>
      <c r="G1608">
        <v>0.84019999999999995</v>
      </c>
      <c r="H1608">
        <v>0.25829999999999997</v>
      </c>
      <c r="I1608">
        <v>0.48120000000000002</v>
      </c>
      <c r="J1608" s="1" t="str">
        <f>HYPERLINK(SetRGB(J1608,G1608*255,H1608*255,I1608*255),"HOVER!")</f>
        <v>HOVER!</v>
      </c>
      <c r="K1608">
        <f>E1608/F1608</f>
        <v>2.8</v>
      </c>
    </row>
    <row r="1609" spans="1:11" ht="15" x14ac:dyDescent="0.35">
      <c r="A1609">
        <f t="shared" si="48"/>
        <v>9</v>
      </c>
      <c r="B1609">
        <f t="shared" si="49"/>
        <v>7.5</v>
      </c>
      <c r="C1609" s="199" t="str">
        <f>B1609&amp;LOOKUP(A1609, Sheet2!$A$2:$A$11, Sheet2!$B$2:$B$11)</f>
        <v>7.5RP</v>
      </c>
      <c r="D1609">
        <v>97.5</v>
      </c>
      <c r="E1609">
        <v>16</v>
      </c>
      <c r="F1609">
        <v>5</v>
      </c>
      <c r="G1609">
        <v>0.88319999999999999</v>
      </c>
      <c r="H1609">
        <v>0.1888</v>
      </c>
      <c r="I1609">
        <v>0.4854</v>
      </c>
      <c r="J1609" s="1" t="str">
        <f>HYPERLINK(SetRGB(J1609,G1609*255,H1609*255,I1609*255),"HOVER!")</f>
        <v>HOVER!</v>
      </c>
      <c r="K1609">
        <f>E1609/F1609</f>
        <v>3.2</v>
      </c>
    </row>
    <row r="1610" spans="1:11" ht="15" x14ac:dyDescent="0.35">
      <c r="A1610">
        <f t="shared" si="48"/>
        <v>9</v>
      </c>
      <c r="B1610">
        <f t="shared" si="49"/>
        <v>7.5</v>
      </c>
      <c r="C1610" s="199" t="str">
        <f>B1610&amp;LOOKUP(A1610, Sheet2!$A$2:$A$11, Sheet2!$B$2:$B$11)</f>
        <v>7.5RP</v>
      </c>
      <c r="D1610">
        <v>97.5</v>
      </c>
      <c r="E1610">
        <v>18</v>
      </c>
      <c r="F1610">
        <v>5</v>
      </c>
      <c r="G1610">
        <v>0.92249999999999999</v>
      </c>
      <c r="H1610">
        <v>6.7400000000000002E-2</v>
      </c>
      <c r="I1610">
        <v>0.4904</v>
      </c>
      <c r="J1610" s="1" t="str">
        <f>HYPERLINK(SetRGB(J1610,G1610*255,H1610*255,I1610*255),"HOVER!")</f>
        <v>HOVER!</v>
      </c>
      <c r="K1610">
        <f>E1610/F1610</f>
        <v>3.6</v>
      </c>
    </row>
    <row r="1611" spans="1:11" ht="15" x14ac:dyDescent="0.35">
      <c r="A1611">
        <f t="shared" si="48"/>
        <v>9</v>
      </c>
      <c r="B1611">
        <f t="shared" si="49"/>
        <v>7.5</v>
      </c>
      <c r="C1611" s="199" t="str">
        <f>B1611&amp;LOOKUP(A1611, Sheet2!$A$2:$A$11, Sheet2!$B$2:$B$11)</f>
        <v>7.5RP</v>
      </c>
      <c r="D1611">
        <v>97.5</v>
      </c>
      <c r="E1611">
        <v>2</v>
      </c>
      <c r="F1611">
        <v>6</v>
      </c>
      <c r="G1611">
        <v>0.64090000000000003</v>
      </c>
      <c r="H1611">
        <v>0.56620000000000004</v>
      </c>
      <c r="I1611">
        <v>0.5806</v>
      </c>
      <c r="J1611" s="2" t="str">
        <f>HYPERLINK(SetRGB(J1611,G1611*255,H1611*255,I1611*255),"HOVER!")</f>
        <v>HOVER!</v>
      </c>
      <c r="K1611">
        <f>E1611/F1611</f>
        <v>0.33333333333333331</v>
      </c>
    </row>
    <row r="1612" spans="1:11" ht="15" x14ac:dyDescent="0.35">
      <c r="A1612">
        <f t="shared" si="48"/>
        <v>9</v>
      </c>
      <c r="B1612">
        <f t="shared" si="49"/>
        <v>7.5</v>
      </c>
      <c r="C1612" s="199" t="str">
        <f>B1612&amp;LOOKUP(A1612, Sheet2!$A$2:$A$11, Sheet2!$B$2:$B$11)</f>
        <v>7.5RP</v>
      </c>
      <c r="D1612">
        <v>97.5</v>
      </c>
      <c r="E1612">
        <v>4</v>
      </c>
      <c r="F1612">
        <v>6</v>
      </c>
      <c r="G1612">
        <v>0.69930000000000003</v>
      </c>
      <c r="H1612">
        <v>0.54420000000000002</v>
      </c>
      <c r="I1612">
        <v>0.57709999999999995</v>
      </c>
      <c r="J1612" s="2" t="str">
        <f>HYPERLINK(SetRGB(J1612,G1612*255,H1612*255,I1612*255),"HOVER!")</f>
        <v>HOVER!</v>
      </c>
      <c r="K1612">
        <f>E1612/F1612</f>
        <v>0.66666666666666663</v>
      </c>
    </row>
    <row r="1613" spans="1:11" ht="15" x14ac:dyDescent="0.35">
      <c r="A1613">
        <f t="shared" si="48"/>
        <v>9</v>
      </c>
      <c r="B1613">
        <f t="shared" si="49"/>
        <v>7.5</v>
      </c>
      <c r="C1613" s="199" t="str">
        <f>B1613&amp;LOOKUP(A1613, Sheet2!$A$2:$A$11, Sheet2!$B$2:$B$11)</f>
        <v>7.5RP</v>
      </c>
      <c r="D1613">
        <v>97.5</v>
      </c>
      <c r="E1613">
        <v>6</v>
      </c>
      <c r="F1613">
        <v>6</v>
      </c>
      <c r="G1613">
        <v>0.76029999999999998</v>
      </c>
      <c r="H1613">
        <v>0.51690000000000003</v>
      </c>
      <c r="I1613">
        <v>0.57430000000000003</v>
      </c>
      <c r="J1613" s="2" t="str">
        <f>HYPERLINK(SetRGB(J1613,G1613*255,H1613*255,I1613*255),"HOVER!")</f>
        <v>HOVER!</v>
      </c>
      <c r="K1613">
        <f>E1613/F1613</f>
        <v>1</v>
      </c>
    </row>
    <row r="1614" spans="1:11" ht="15" x14ac:dyDescent="0.35">
      <c r="A1614">
        <f t="shared" ref="A1614:A1637" si="50">IF(FLOOR(D1614/10,1)=0,10,FLOOR(D1614/10,1))</f>
        <v>9</v>
      </c>
      <c r="B1614">
        <f t="shared" ref="B1614:B1637" si="51">IF(MOD(D1614,10)=0,10,MOD(D1614,10))</f>
        <v>7.5</v>
      </c>
      <c r="C1614" s="199" t="str">
        <f>B1614&amp;LOOKUP(A1614, Sheet2!$A$2:$A$11, Sheet2!$B$2:$B$11)</f>
        <v>7.5RP</v>
      </c>
      <c r="D1614">
        <v>97.5</v>
      </c>
      <c r="E1614">
        <v>8</v>
      </c>
      <c r="F1614">
        <v>6</v>
      </c>
      <c r="G1614">
        <v>0.80710000000000004</v>
      </c>
      <c r="H1614">
        <v>0.49230000000000002</v>
      </c>
      <c r="I1614">
        <v>0.57250000000000001</v>
      </c>
      <c r="J1614" s="2" t="str">
        <f>HYPERLINK(SetRGB(J1614,G1614*255,H1614*255,I1614*255),"HOVER!")</f>
        <v>HOVER!</v>
      </c>
      <c r="K1614">
        <f>E1614/F1614</f>
        <v>1.3333333333333333</v>
      </c>
    </row>
    <row r="1615" spans="1:11" ht="15" x14ac:dyDescent="0.35">
      <c r="A1615">
        <f t="shared" si="50"/>
        <v>9</v>
      </c>
      <c r="B1615">
        <f t="shared" si="51"/>
        <v>7.5</v>
      </c>
      <c r="C1615" s="199" t="str">
        <f>B1615&amp;LOOKUP(A1615, Sheet2!$A$2:$A$11, Sheet2!$B$2:$B$11)</f>
        <v>7.5RP</v>
      </c>
      <c r="D1615">
        <v>97.5</v>
      </c>
      <c r="E1615">
        <v>10</v>
      </c>
      <c r="F1615">
        <v>6</v>
      </c>
      <c r="G1615">
        <v>0.85719999999999996</v>
      </c>
      <c r="H1615">
        <v>0.46150000000000002</v>
      </c>
      <c r="I1615">
        <v>0.57179999999999997</v>
      </c>
      <c r="J1615" s="2" t="str">
        <f>HYPERLINK(SetRGB(J1615,G1615*255,H1615*255,I1615*255),"HOVER!")</f>
        <v>HOVER!</v>
      </c>
      <c r="K1615">
        <f>E1615/F1615</f>
        <v>1.6666666666666667</v>
      </c>
    </row>
    <row r="1616" spans="1:11" ht="15" x14ac:dyDescent="0.35">
      <c r="A1616">
        <f t="shared" si="50"/>
        <v>9</v>
      </c>
      <c r="B1616">
        <f t="shared" si="51"/>
        <v>7.5</v>
      </c>
      <c r="C1616" s="199" t="str">
        <f>B1616&amp;LOOKUP(A1616, Sheet2!$A$2:$A$11, Sheet2!$B$2:$B$11)</f>
        <v>7.5RP</v>
      </c>
      <c r="D1616">
        <v>97.5</v>
      </c>
      <c r="E1616">
        <v>12</v>
      </c>
      <c r="F1616">
        <v>6</v>
      </c>
      <c r="G1616">
        <v>0.90649999999999997</v>
      </c>
      <c r="H1616">
        <v>0.42549999999999999</v>
      </c>
      <c r="I1616">
        <v>0.57289999999999996</v>
      </c>
      <c r="J1616" s="2" t="str">
        <f>HYPERLINK(SetRGB(J1616,G1616*255,H1616*255,I1616*255),"HOVER!")</f>
        <v>HOVER!</v>
      </c>
      <c r="K1616">
        <f>E1616/F1616</f>
        <v>2</v>
      </c>
    </row>
    <row r="1617" spans="1:11" ht="15" x14ac:dyDescent="0.35">
      <c r="A1617">
        <f t="shared" si="50"/>
        <v>9</v>
      </c>
      <c r="B1617">
        <f t="shared" si="51"/>
        <v>7.5</v>
      </c>
      <c r="C1617" s="199" t="str">
        <f>B1617&amp;LOOKUP(A1617, Sheet2!$A$2:$A$11, Sheet2!$B$2:$B$11)</f>
        <v>7.5RP</v>
      </c>
      <c r="D1617">
        <v>97.5</v>
      </c>
      <c r="E1617">
        <v>14</v>
      </c>
      <c r="F1617">
        <v>6</v>
      </c>
      <c r="G1617">
        <v>0.9546</v>
      </c>
      <c r="H1617">
        <v>0.38279999999999997</v>
      </c>
      <c r="I1617">
        <v>0.57520000000000004</v>
      </c>
      <c r="J1617" s="2" t="str">
        <f>HYPERLINK(SetRGB(J1617,G1617*255,H1617*255,I1617*255),"HOVER!")</f>
        <v>HOVER!</v>
      </c>
      <c r="K1617">
        <f>E1617/F1617</f>
        <v>2.3333333333333335</v>
      </c>
    </row>
    <row r="1618" spans="1:11" ht="15" x14ac:dyDescent="0.35">
      <c r="A1618">
        <f t="shared" si="50"/>
        <v>9</v>
      </c>
      <c r="B1618">
        <f t="shared" si="51"/>
        <v>7.5</v>
      </c>
      <c r="C1618" s="199" t="str">
        <f>B1618&amp;LOOKUP(A1618, Sheet2!$A$2:$A$11, Sheet2!$B$2:$B$11)</f>
        <v>7.5RP</v>
      </c>
      <c r="D1618">
        <v>97.5</v>
      </c>
      <c r="E1618">
        <v>16</v>
      </c>
      <c r="F1618">
        <v>6</v>
      </c>
      <c r="G1618">
        <v>1</v>
      </c>
      <c r="H1618">
        <v>0.32819999999999999</v>
      </c>
      <c r="I1618">
        <v>0.57820000000000005</v>
      </c>
      <c r="J1618" s="2" t="str">
        <f>HYPERLINK(SetRGB(J1618,G1618*255,H1618*255,I1618*255),"HOVER!")</f>
        <v>HOVER!</v>
      </c>
      <c r="K1618">
        <f>E1618/F1618</f>
        <v>2.6666666666666665</v>
      </c>
    </row>
    <row r="1619" spans="1:11" ht="15" x14ac:dyDescent="0.35">
      <c r="A1619">
        <f t="shared" si="50"/>
        <v>9</v>
      </c>
      <c r="B1619">
        <f t="shared" si="51"/>
        <v>7.5</v>
      </c>
      <c r="C1619" s="199" t="str">
        <f>B1619&amp;LOOKUP(A1619, Sheet2!$A$2:$A$11, Sheet2!$B$2:$B$11)</f>
        <v>7.5RP</v>
      </c>
      <c r="D1619">
        <v>97.5</v>
      </c>
      <c r="E1619">
        <v>18</v>
      </c>
      <c r="F1619">
        <v>6</v>
      </c>
      <c r="G1619">
        <v>1</v>
      </c>
      <c r="H1619">
        <v>0.26779999999999998</v>
      </c>
      <c r="I1619">
        <v>0.58189999999999997</v>
      </c>
      <c r="J1619" s="2" t="str">
        <f>HYPERLINK(SetRGB(J1619,G1619*255,H1619*255,I1619*255),"HOVER!")</f>
        <v>HOVER!</v>
      </c>
      <c r="K1619">
        <f>E1619/F1619</f>
        <v>3</v>
      </c>
    </row>
    <row r="1620" spans="1:11" ht="15" x14ac:dyDescent="0.35">
      <c r="A1620">
        <f t="shared" si="50"/>
        <v>9</v>
      </c>
      <c r="B1620">
        <f t="shared" si="51"/>
        <v>7.5</v>
      </c>
      <c r="C1620" s="199" t="str">
        <f>B1620&amp;LOOKUP(A1620, Sheet2!$A$2:$A$11, Sheet2!$B$2:$B$11)</f>
        <v>7.5RP</v>
      </c>
      <c r="D1620">
        <v>97.5</v>
      </c>
      <c r="E1620">
        <v>20</v>
      </c>
      <c r="F1620">
        <v>6</v>
      </c>
      <c r="G1620">
        <v>1</v>
      </c>
      <c r="H1620">
        <v>0.15840000000000001</v>
      </c>
      <c r="I1620">
        <v>0.5867</v>
      </c>
      <c r="J1620" s="1" t="str">
        <f>HYPERLINK(SetRGB(J1620,G1620*255,H1620*255,I1620*255),"HOVER!")</f>
        <v>HOVER!</v>
      </c>
      <c r="K1620">
        <f>E1620/F1620</f>
        <v>3.3333333333333335</v>
      </c>
    </row>
    <row r="1621" spans="1:11" ht="15" x14ac:dyDescent="0.35">
      <c r="A1621">
        <f t="shared" si="50"/>
        <v>9</v>
      </c>
      <c r="B1621">
        <f t="shared" si="51"/>
        <v>7.5</v>
      </c>
      <c r="C1621" s="199" t="str">
        <f>B1621&amp;LOOKUP(A1621, Sheet2!$A$2:$A$11, Sheet2!$B$2:$B$11)</f>
        <v>7.5RP</v>
      </c>
      <c r="D1621">
        <v>97.5</v>
      </c>
      <c r="E1621">
        <v>2</v>
      </c>
      <c r="F1621">
        <v>7</v>
      </c>
      <c r="G1621">
        <v>0.74129999999999996</v>
      </c>
      <c r="H1621">
        <v>0.67090000000000005</v>
      </c>
      <c r="I1621">
        <v>0.68340000000000001</v>
      </c>
      <c r="J1621" s="2" t="str">
        <f>HYPERLINK(SetRGB(J1621,G1621*255,H1621*255,I1621*255),"HOVER!")</f>
        <v>HOVER!</v>
      </c>
      <c r="K1621">
        <f>E1621/F1621</f>
        <v>0.2857142857142857</v>
      </c>
    </row>
    <row r="1622" spans="1:11" ht="15" x14ac:dyDescent="0.35">
      <c r="A1622">
        <f t="shared" si="50"/>
        <v>9</v>
      </c>
      <c r="B1622">
        <f t="shared" si="51"/>
        <v>7.5</v>
      </c>
      <c r="C1622" s="199" t="str">
        <f>B1622&amp;LOOKUP(A1622, Sheet2!$A$2:$A$11, Sheet2!$B$2:$B$11)</f>
        <v>7.5RP</v>
      </c>
      <c r="D1622">
        <v>97.5</v>
      </c>
      <c r="E1622">
        <v>4</v>
      </c>
      <c r="F1622">
        <v>7</v>
      </c>
      <c r="G1622">
        <v>0.80120000000000002</v>
      </c>
      <c r="H1622">
        <v>0.64929999999999999</v>
      </c>
      <c r="I1622">
        <v>0.67889999999999995</v>
      </c>
      <c r="J1622" s="197" t="str">
        <f>HYPERLINK(SetRGB(J1622,G1622*255,H1622*255,I1622*255),"HOVER!")</f>
        <v>HOVER!</v>
      </c>
      <c r="K1622">
        <f>E1622/F1622</f>
        <v>0.5714285714285714</v>
      </c>
    </row>
    <row r="1623" spans="1:11" ht="15" x14ac:dyDescent="0.35">
      <c r="A1623">
        <f t="shared" si="50"/>
        <v>9</v>
      </c>
      <c r="B1623">
        <f t="shared" si="51"/>
        <v>7.5</v>
      </c>
      <c r="C1623" s="199" t="str">
        <f>B1623&amp;LOOKUP(A1623, Sheet2!$A$2:$A$11, Sheet2!$B$2:$B$11)</f>
        <v>7.5RP</v>
      </c>
      <c r="D1623">
        <v>97.5</v>
      </c>
      <c r="E1623">
        <v>6</v>
      </c>
      <c r="F1623">
        <v>7</v>
      </c>
      <c r="G1623">
        <v>0.86429999999999996</v>
      </c>
      <c r="H1623">
        <v>0.62280000000000002</v>
      </c>
      <c r="I1623">
        <v>0.67520000000000002</v>
      </c>
      <c r="J1623" s="2" t="str">
        <f>HYPERLINK(SetRGB(J1623,G1623*255,H1623*255,I1623*255),"HOVER!")</f>
        <v>HOVER!</v>
      </c>
      <c r="K1623">
        <f>E1623/F1623</f>
        <v>0.8571428571428571</v>
      </c>
    </row>
    <row r="1624" spans="1:11" ht="15" x14ac:dyDescent="0.35">
      <c r="A1624">
        <f t="shared" si="50"/>
        <v>9</v>
      </c>
      <c r="B1624">
        <f t="shared" si="51"/>
        <v>7.5</v>
      </c>
      <c r="C1624" s="199" t="str">
        <f>B1624&amp;LOOKUP(A1624, Sheet2!$A$2:$A$11, Sheet2!$B$2:$B$11)</f>
        <v>7.5RP</v>
      </c>
      <c r="D1624">
        <v>97.5</v>
      </c>
      <c r="E1624">
        <v>8</v>
      </c>
      <c r="F1624">
        <v>7</v>
      </c>
      <c r="G1624">
        <v>0.92090000000000005</v>
      </c>
      <c r="H1624">
        <v>0.59499999999999997</v>
      </c>
      <c r="I1624">
        <v>0.67300000000000004</v>
      </c>
      <c r="J1624" s="257" t="str">
        <f>HYPERLINK(SetRGB(J1624,G1624*255,H1624*255,I1624*255),"HOVER!")</f>
        <v>HOVER!</v>
      </c>
      <c r="K1624">
        <f>E1624/F1624</f>
        <v>1.1428571428571428</v>
      </c>
    </row>
    <row r="1625" spans="1:11" ht="15" x14ac:dyDescent="0.35">
      <c r="A1625">
        <f t="shared" si="50"/>
        <v>9</v>
      </c>
      <c r="B1625">
        <f t="shared" si="51"/>
        <v>7.5</v>
      </c>
      <c r="C1625" s="199" t="str">
        <f>B1625&amp;LOOKUP(A1625, Sheet2!$A$2:$A$11, Sheet2!$B$2:$B$11)</f>
        <v>7.5RP</v>
      </c>
      <c r="D1625">
        <v>97.5</v>
      </c>
      <c r="E1625">
        <v>10</v>
      </c>
      <c r="F1625">
        <v>7</v>
      </c>
      <c r="G1625">
        <v>0.97209999999999996</v>
      </c>
      <c r="H1625">
        <v>0.56610000000000005</v>
      </c>
      <c r="I1625">
        <v>0.6714</v>
      </c>
      <c r="J1625" s="2" t="str">
        <f>HYPERLINK(SetRGB(J1625,G1625*255,H1625*255,I1625*255),"HOVER!")</f>
        <v>HOVER!</v>
      </c>
      <c r="K1625">
        <f>E1625/F1625</f>
        <v>1.4285714285714286</v>
      </c>
    </row>
    <row r="1626" spans="1:11" ht="15" x14ac:dyDescent="0.35">
      <c r="A1626">
        <f t="shared" si="50"/>
        <v>9</v>
      </c>
      <c r="B1626">
        <f t="shared" si="51"/>
        <v>7.5</v>
      </c>
      <c r="C1626" s="199" t="str">
        <f>B1626&amp;LOOKUP(A1626, Sheet2!$A$2:$A$11, Sheet2!$B$2:$B$11)</f>
        <v>7.5RP</v>
      </c>
      <c r="D1626">
        <v>97.5</v>
      </c>
      <c r="E1626">
        <v>12</v>
      </c>
      <c r="F1626">
        <v>7</v>
      </c>
      <c r="G1626">
        <v>1</v>
      </c>
      <c r="H1626">
        <v>0.52780000000000005</v>
      </c>
      <c r="I1626">
        <v>0.67120000000000002</v>
      </c>
      <c r="J1626" s="2" t="str">
        <f>HYPERLINK(SetRGB(J1626,G1626*255,H1626*255,I1626*255),"HOVER!")</f>
        <v>HOVER!</v>
      </c>
      <c r="K1626">
        <f>E1626/F1626</f>
        <v>1.7142857142857142</v>
      </c>
    </row>
    <row r="1627" spans="1:11" ht="15" x14ac:dyDescent="0.35">
      <c r="A1627">
        <f t="shared" si="50"/>
        <v>9</v>
      </c>
      <c r="B1627">
        <f t="shared" si="51"/>
        <v>7.5</v>
      </c>
      <c r="C1627" s="199" t="str">
        <f>B1627&amp;LOOKUP(A1627, Sheet2!$A$2:$A$11, Sheet2!$B$2:$B$11)</f>
        <v>7.5RP</v>
      </c>
      <c r="D1627">
        <v>97.5</v>
      </c>
      <c r="E1627">
        <v>14</v>
      </c>
      <c r="F1627">
        <v>7</v>
      </c>
      <c r="G1627">
        <v>1</v>
      </c>
      <c r="H1627">
        <v>0.48570000000000002</v>
      </c>
      <c r="I1627">
        <v>0.67249999999999999</v>
      </c>
      <c r="J1627" s="2" t="str">
        <f>HYPERLINK(SetRGB(J1627,G1627*255,H1627*255,I1627*255),"HOVER!")</f>
        <v>HOVER!</v>
      </c>
      <c r="K1627">
        <f>E1627/F1627</f>
        <v>2</v>
      </c>
    </row>
    <row r="1628" spans="1:11" ht="15" x14ac:dyDescent="0.35">
      <c r="A1628">
        <f t="shared" si="50"/>
        <v>9</v>
      </c>
      <c r="B1628">
        <f t="shared" si="51"/>
        <v>7.5</v>
      </c>
      <c r="C1628" s="199" t="str">
        <f>B1628&amp;LOOKUP(A1628, Sheet2!$A$2:$A$11, Sheet2!$B$2:$B$11)</f>
        <v>7.5RP</v>
      </c>
      <c r="D1628">
        <v>97.5</v>
      </c>
      <c r="E1628">
        <v>16</v>
      </c>
      <c r="F1628">
        <v>7</v>
      </c>
      <c r="G1628">
        <v>1</v>
      </c>
      <c r="H1628">
        <v>0.43640000000000001</v>
      </c>
      <c r="I1628">
        <v>0.67459999999999998</v>
      </c>
      <c r="J1628" s="198" t="str">
        <f>HYPERLINK(SetRGB(J1628,G1628*255,H1628*255,I1628*255),"HOVER!")</f>
        <v>HOVER!</v>
      </c>
      <c r="K1628">
        <f>E1628/F1628</f>
        <v>2.2857142857142856</v>
      </c>
    </row>
    <row r="1629" spans="1:11" ht="15" x14ac:dyDescent="0.35">
      <c r="A1629">
        <f t="shared" si="50"/>
        <v>9</v>
      </c>
      <c r="B1629">
        <f t="shared" si="51"/>
        <v>7.5</v>
      </c>
      <c r="C1629" s="199" t="str">
        <f>B1629&amp;LOOKUP(A1629, Sheet2!$A$2:$A$11, Sheet2!$B$2:$B$11)</f>
        <v>7.5RP</v>
      </c>
      <c r="D1629">
        <v>97.5</v>
      </c>
      <c r="E1629">
        <v>2</v>
      </c>
      <c r="F1629">
        <v>8</v>
      </c>
      <c r="G1629">
        <v>0.83860000000000001</v>
      </c>
      <c r="H1629">
        <v>0.7782</v>
      </c>
      <c r="I1629">
        <v>0.78820000000000001</v>
      </c>
      <c r="J1629" s="2" t="str">
        <f>HYPERLINK(SetRGB(J1629,G1629*255,H1629*255,I1629*255),"HOVER!")</f>
        <v>HOVER!</v>
      </c>
      <c r="K1629">
        <f>E1629/F1629</f>
        <v>0.25</v>
      </c>
    </row>
    <row r="1630" spans="1:11" ht="15" x14ac:dyDescent="0.35">
      <c r="A1630">
        <f t="shared" si="50"/>
        <v>9</v>
      </c>
      <c r="B1630">
        <f t="shared" si="51"/>
        <v>7.5</v>
      </c>
      <c r="C1630" s="199" t="str">
        <f>B1630&amp;LOOKUP(A1630, Sheet2!$A$2:$A$11, Sheet2!$B$2:$B$11)</f>
        <v>7.5RP</v>
      </c>
      <c r="D1630">
        <v>97.5</v>
      </c>
      <c r="E1630">
        <v>4</v>
      </c>
      <c r="F1630">
        <v>8</v>
      </c>
      <c r="G1630">
        <v>0.90869999999999995</v>
      </c>
      <c r="H1630">
        <v>0.75380000000000003</v>
      </c>
      <c r="I1630">
        <v>0.78220000000000001</v>
      </c>
      <c r="J1630" s="201" t="str">
        <f>HYPERLINK(SetRGB(J1630,G1630*255,H1630*255,I1630*255),"HOVER!")</f>
        <v>HOVER!</v>
      </c>
      <c r="K1630">
        <f>E1630/F1630</f>
        <v>0.5</v>
      </c>
    </row>
    <row r="1631" spans="1:11" ht="15" x14ac:dyDescent="0.35">
      <c r="A1631">
        <f t="shared" si="50"/>
        <v>9</v>
      </c>
      <c r="B1631">
        <f t="shared" si="51"/>
        <v>7.5</v>
      </c>
      <c r="C1631" s="199" t="str">
        <f>B1631&amp;LOOKUP(A1631, Sheet2!$A$2:$A$11, Sheet2!$B$2:$B$11)</f>
        <v>7.5RP</v>
      </c>
      <c r="D1631">
        <v>97.5</v>
      </c>
      <c r="E1631">
        <v>6</v>
      </c>
      <c r="F1631">
        <v>8</v>
      </c>
      <c r="G1631">
        <v>0.97570000000000001</v>
      </c>
      <c r="H1631">
        <v>0.72670000000000001</v>
      </c>
      <c r="I1631">
        <v>0.77749999999999997</v>
      </c>
      <c r="J1631" s="202" t="str">
        <f>HYPERLINK(SetRGB(J1631,G1631*255,H1631*255,I1631*255),"HOVER!")</f>
        <v>HOVER!</v>
      </c>
      <c r="K1631">
        <f>E1631/F1631</f>
        <v>0.75</v>
      </c>
    </row>
    <row r="1632" spans="1:11" ht="15" x14ac:dyDescent="0.35">
      <c r="A1632">
        <f t="shared" si="50"/>
        <v>9</v>
      </c>
      <c r="B1632">
        <f t="shared" si="51"/>
        <v>7.5</v>
      </c>
      <c r="C1632" s="199" t="str">
        <f>B1632&amp;LOOKUP(A1632, Sheet2!$A$2:$A$11, Sheet2!$B$2:$B$11)</f>
        <v>7.5RP</v>
      </c>
      <c r="D1632">
        <v>97.5</v>
      </c>
      <c r="E1632">
        <v>8</v>
      </c>
      <c r="F1632">
        <v>8</v>
      </c>
      <c r="G1632">
        <v>1</v>
      </c>
      <c r="H1632">
        <v>0.69569999999999999</v>
      </c>
      <c r="I1632">
        <v>0.77490000000000003</v>
      </c>
      <c r="J1632" s="200" t="str">
        <f>HYPERLINK(SetRGB(J1632,G1632*255,H1632*255,I1632*255),"HOVER!")</f>
        <v>HOVER!</v>
      </c>
      <c r="K1632">
        <f>E1632/F1632</f>
        <v>1</v>
      </c>
    </row>
    <row r="1633" spans="1:11" ht="15" x14ac:dyDescent="0.35">
      <c r="A1633">
        <f t="shared" si="50"/>
        <v>9</v>
      </c>
      <c r="B1633">
        <f t="shared" si="51"/>
        <v>7.5</v>
      </c>
      <c r="C1633" s="199" t="str">
        <f>B1633&amp;LOOKUP(A1633, Sheet2!$A$2:$A$11, Sheet2!$B$2:$B$11)</f>
        <v>7.5RP</v>
      </c>
      <c r="D1633">
        <v>97.5</v>
      </c>
      <c r="E1633">
        <v>10</v>
      </c>
      <c r="F1633">
        <v>8</v>
      </c>
      <c r="G1633">
        <v>1</v>
      </c>
      <c r="H1633">
        <v>0.66459999999999997</v>
      </c>
      <c r="I1633">
        <v>0.77210000000000001</v>
      </c>
      <c r="J1633" s="2" t="str">
        <f>HYPERLINK(SetRGB(J1633,G1633*255,H1633*255,I1633*255),"HOVER!")</f>
        <v>HOVER!</v>
      </c>
      <c r="K1633">
        <f>E1633/F1633</f>
        <v>1.25</v>
      </c>
    </row>
    <row r="1634" spans="1:11" ht="15" x14ac:dyDescent="0.35">
      <c r="A1634">
        <f t="shared" si="50"/>
        <v>9</v>
      </c>
      <c r="B1634">
        <f t="shared" si="51"/>
        <v>7.5</v>
      </c>
      <c r="C1634" s="199" t="str">
        <f>B1634&amp;LOOKUP(A1634, Sheet2!$A$2:$A$11, Sheet2!$B$2:$B$11)</f>
        <v>7.5RP</v>
      </c>
      <c r="D1634">
        <v>97.5</v>
      </c>
      <c r="E1634">
        <v>12</v>
      </c>
      <c r="F1634">
        <v>8</v>
      </c>
      <c r="G1634">
        <v>1</v>
      </c>
      <c r="H1634">
        <v>0.62219999999999998</v>
      </c>
      <c r="I1634">
        <v>0.77129999999999999</v>
      </c>
      <c r="J1634" s="2" t="str">
        <f>HYPERLINK(SetRGB(J1634,G1634*255,H1634*255,I1634*255),"HOVER!")</f>
        <v>HOVER!</v>
      </c>
      <c r="K1634">
        <f>E1634/F1634</f>
        <v>1.5</v>
      </c>
    </row>
    <row r="1635" spans="1:11" ht="15" x14ac:dyDescent="0.35">
      <c r="A1635">
        <f t="shared" si="50"/>
        <v>9</v>
      </c>
      <c r="B1635">
        <f t="shared" si="51"/>
        <v>7.5</v>
      </c>
      <c r="C1635" s="199" t="str">
        <f>B1635&amp;LOOKUP(A1635, Sheet2!$A$2:$A$11, Sheet2!$B$2:$B$11)</f>
        <v>7.5RP</v>
      </c>
      <c r="D1635">
        <v>97.5</v>
      </c>
      <c r="E1635">
        <v>2</v>
      </c>
      <c r="F1635">
        <v>9</v>
      </c>
      <c r="G1635">
        <v>0.94589999999999996</v>
      </c>
      <c r="H1635">
        <v>0.88560000000000005</v>
      </c>
      <c r="I1635">
        <v>0.89459999999999995</v>
      </c>
      <c r="J1635" s="203" t="str">
        <f>HYPERLINK(SetRGB(J1635,G1635*255,H1635*255,I1635*255),"HOVER!")</f>
        <v>HOVER!</v>
      </c>
      <c r="K1635">
        <f>E1635/F1635</f>
        <v>0.22222222222222221</v>
      </c>
    </row>
    <row r="1636" spans="1:11" ht="15" x14ac:dyDescent="0.35">
      <c r="A1636">
        <f t="shared" si="50"/>
        <v>9</v>
      </c>
      <c r="B1636">
        <f t="shared" si="51"/>
        <v>7.5</v>
      </c>
      <c r="C1636" s="199" t="str">
        <f>B1636&amp;LOOKUP(A1636, Sheet2!$A$2:$A$11, Sheet2!$B$2:$B$11)</f>
        <v>7.5RP</v>
      </c>
      <c r="D1636">
        <v>97.5</v>
      </c>
      <c r="E1636">
        <v>4</v>
      </c>
      <c r="F1636">
        <v>9</v>
      </c>
      <c r="G1636">
        <v>1</v>
      </c>
      <c r="H1636">
        <v>0.85850000000000004</v>
      </c>
      <c r="I1636">
        <v>0.88739999999999997</v>
      </c>
      <c r="J1636" s="2" t="str">
        <f>HYPERLINK(SetRGB(J1636,G1636*255,H1636*255,I1636*255),"HOVER!")</f>
        <v>HOVER!</v>
      </c>
      <c r="K1636">
        <f>E1636/F1636</f>
        <v>0.44444444444444442</v>
      </c>
    </row>
    <row r="1637" spans="1:11" ht="15" x14ac:dyDescent="0.35">
      <c r="A1637">
        <f t="shared" si="50"/>
        <v>9</v>
      </c>
      <c r="B1637">
        <f t="shared" si="51"/>
        <v>7.5</v>
      </c>
      <c r="C1637" s="199" t="str">
        <f>B1637&amp;LOOKUP(A1637, Sheet2!$A$2:$A$11, Sheet2!$B$2:$B$11)</f>
        <v>7.5RP</v>
      </c>
      <c r="D1637">
        <v>97.5</v>
      </c>
      <c r="E1637">
        <v>6</v>
      </c>
      <c r="F1637">
        <v>9</v>
      </c>
      <c r="G1637">
        <v>1</v>
      </c>
      <c r="H1637">
        <v>0.82840000000000003</v>
      </c>
      <c r="I1637">
        <v>0.88109999999999999</v>
      </c>
      <c r="J1637" s="2" t="str">
        <f>HYPERLINK(SetRGB(J1637,G1637*255,H1637*255,I1637*255),"HOVER!")</f>
        <v>HOVER!</v>
      </c>
      <c r="K1637">
        <f>E1637/F1637</f>
        <v>0.66666666666666663</v>
      </c>
    </row>
  </sheetData>
  <sortState ref="D2:M1626">
    <sortCondition ref="D2:D1626"/>
  </sortState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B11"/>
  <sheetViews>
    <sheetView workbookViewId="0"/>
  </sheetViews>
  <sheetFormatPr defaultRowHeight="14.4" x14ac:dyDescent="0.3"/>
  <sheetData>
    <row r="2" spans="1:2" x14ac:dyDescent="0.3">
      <c r="A2">
        <v>0</v>
      </c>
      <c r="B2" t="s">
        <v>0</v>
      </c>
    </row>
    <row r="3" spans="1:2" x14ac:dyDescent="0.3">
      <c r="A3">
        <v>1</v>
      </c>
      <c r="B3" t="s">
        <v>3</v>
      </c>
    </row>
    <row r="4" spans="1:2" x14ac:dyDescent="0.3">
      <c r="A4">
        <v>2</v>
      </c>
      <c r="B4" t="s">
        <v>4</v>
      </c>
    </row>
    <row r="5" spans="1:2" x14ac:dyDescent="0.3">
      <c r="A5">
        <v>3</v>
      </c>
      <c r="B5" t="s">
        <v>5</v>
      </c>
    </row>
    <row r="6" spans="1:2" x14ac:dyDescent="0.3">
      <c r="A6">
        <v>4</v>
      </c>
      <c r="B6" t="s">
        <v>1</v>
      </c>
    </row>
    <row r="7" spans="1:2" x14ac:dyDescent="0.3">
      <c r="A7">
        <v>5</v>
      </c>
      <c r="B7" t="s">
        <v>6</v>
      </c>
    </row>
    <row r="8" spans="1:2" x14ac:dyDescent="0.3">
      <c r="A8">
        <v>6</v>
      </c>
      <c r="B8" t="s">
        <v>2</v>
      </c>
    </row>
    <row r="9" spans="1:2" x14ac:dyDescent="0.3">
      <c r="A9">
        <v>7</v>
      </c>
      <c r="B9" t="s">
        <v>7</v>
      </c>
    </row>
    <row r="10" spans="1:2" x14ac:dyDescent="0.3">
      <c r="A10">
        <v>8</v>
      </c>
      <c r="B10" t="s">
        <v>8</v>
      </c>
    </row>
    <row r="11" spans="1:2" x14ac:dyDescent="0.3">
      <c r="A11">
        <v>9</v>
      </c>
      <c r="B11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Mike-7PRO</dc:creator>
  <cp:lastModifiedBy>Mike-7PRO</cp:lastModifiedBy>
  <dcterms:created xsi:type="dcterms:W3CDTF">2018-08-15T19:46:10Z</dcterms:created>
  <dcterms:modified xsi:type="dcterms:W3CDTF">2018-08-15T23:55:48Z</dcterms:modified>
</cp:coreProperties>
</file>