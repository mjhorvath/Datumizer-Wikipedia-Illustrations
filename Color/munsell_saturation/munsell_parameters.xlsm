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" windowWidth="21060" windowHeight="9528" activeTab="5"/>
  </bookViews>
  <sheets>
    <sheet name="sRGB colors" sheetId="1" r:id="rId1"/>
    <sheet name="sRGB grays" sheetId="3" r:id="rId2"/>
    <sheet name="Real colors" sheetId="4" r:id="rId3"/>
    <sheet name="Real grays" sheetId="5" r:id="rId4"/>
    <sheet name="Hue codes" sheetId="2" r:id="rId5"/>
    <sheet name="Clipboard" sheetId="6" r:id="rId6"/>
  </sheets>
  <functionGroups builtInGroupCount="17"/>
  <definedNames>
    <definedName name="real" localSheetId="2">'Real colors'!$D$1:$I$2735</definedName>
  </definedNames>
  <calcPr calcId="145621"/>
</workbook>
</file>

<file path=xl/calcChain.xml><?xml version="1.0" encoding="utf-8"?>
<calcChain xmlns="http://schemas.openxmlformats.org/spreadsheetml/2006/main">
  <c r="B2735" i="4" l="1"/>
  <c r="A2735" i="4"/>
  <c r="C2735" i="4" s="1"/>
  <c r="B2734" i="4"/>
  <c r="A2734" i="4"/>
  <c r="C2734" i="4" s="1"/>
  <c r="B2733" i="4"/>
  <c r="A2733" i="4"/>
  <c r="C2732" i="4"/>
  <c r="B2732" i="4"/>
  <c r="A2732" i="4"/>
  <c r="B2731" i="4"/>
  <c r="A2731" i="4"/>
  <c r="C2731" i="4" s="1"/>
  <c r="B2730" i="4"/>
  <c r="A2730" i="4"/>
  <c r="C2730" i="4" s="1"/>
  <c r="B2729" i="4"/>
  <c r="A2729" i="4"/>
  <c r="B2728" i="4"/>
  <c r="A2728" i="4"/>
  <c r="C2728" i="4" s="1"/>
  <c r="B2727" i="4"/>
  <c r="C2727" i="4" s="1"/>
  <c r="A2727" i="4"/>
  <c r="B2726" i="4"/>
  <c r="A2726" i="4"/>
  <c r="C2726" i="4" s="1"/>
  <c r="B2725" i="4"/>
  <c r="A2725" i="4"/>
  <c r="B2724" i="4"/>
  <c r="A2724" i="4"/>
  <c r="C2724" i="4" s="1"/>
  <c r="B2723" i="4"/>
  <c r="C2723" i="4" s="1"/>
  <c r="A2723" i="4"/>
  <c r="B2722" i="4"/>
  <c r="A2722" i="4"/>
  <c r="C2722" i="4" s="1"/>
  <c r="B2721" i="4"/>
  <c r="A2721" i="4"/>
  <c r="C2720" i="4"/>
  <c r="B2720" i="4"/>
  <c r="A2720" i="4"/>
  <c r="B2719" i="4"/>
  <c r="C2719" i="4" s="1"/>
  <c r="A2719" i="4"/>
  <c r="B2718" i="4"/>
  <c r="A2718" i="4"/>
  <c r="C2718" i="4" s="1"/>
  <c r="B2717" i="4"/>
  <c r="A2717" i="4"/>
  <c r="C2716" i="4"/>
  <c r="B2716" i="4"/>
  <c r="A2716" i="4"/>
  <c r="B2715" i="4"/>
  <c r="A2715" i="4"/>
  <c r="C2715" i="4" s="1"/>
  <c r="B2714" i="4"/>
  <c r="A2714" i="4"/>
  <c r="C2714" i="4" s="1"/>
  <c r="B2713" i="4"/>
  <c r="A2713" i="4"/>
  <c r="B2712" i="4"/>
  <c r="A2712" i="4"/>
  <c r="C2712" i="4" s="1"/>
  <c r="B2711" i="4"/>
  <c r="A2711" i="4"/>
  <c r="C2711" i="4" s="1"/>
  <c r="B2710" i="4"/>
  <c r="A2710" i="4"/>
  <c r="C2710" i="4" s="1"/>
  <c r="B2709" i="4"/>
  <c r="A2709" i="4"/>
  <c r="B2708" i="4"/>
  <c r="A2708" i="4"/>
  <c r="C2708" i="4" s="1"/>
  <c r="B2707" i="4"/>
  <c r="A2707" i="4"/>
  <c r="C2707" i="4" s="1"/>
  <c r="B2706" i="4"/>
  <c r="A2706" i="4"/>
  <c r="C2706" i="4" s="1"/>
  <c r="B2705" i="4"/>
  <c r="A2705" i="4"/>
  <c r="C2704" i="4"/>
  <c r="B2704" i="4"/>
  <c r="A2704" i="4"/>
  <c r="B2703" i="4"/>
  <c r="A2703" i="4"/>
  <c r="C2703" i="4" s="1"/>
  <c r="B2702" i="4"/>
  <c r="A2702" i="4"/>
  <c r="C2702" i="4" s="1"/>
  <c r="B2701" i="4"/>
  <c r="A2701" i="4"/>
  <c r="C2700" i="4"/>
  <c r="B2700" i="4"/>
  <c r="A2700" i="4"/>
  <c r="B2699" i="4"/>
  <c r="C2699" i="4" s="1"/>
  <c r="A2699" i="4"/>
  <c r="B2698" i="4"/>
  <c r="A2698" i="4"/>
  <c r="C2698" i="4" s="1"/>
  <c r="B2697" i="4"/>
  <c r="A2697" i="4"/>
  <c r="B2696" i="4"/>
  <c r="A2696" i="4"/>
  <c r="C2696" i="4" s="1"/>
  <c r="B2695" i="4"/>
  <c r="A2695" i="4"/>
  <c r="C2695" i="4" s="1"/>
  <c r="C2694" i="4"/>
  <c r="B2694" i="4"/>
  <c r="A2694" i="4"/>
  <c r="B2693" i="4"/>
  <c r="A2693" i="4"/>
  <c r="C2693" i="4" s="1"/>
  <c r="C2692" i="4"/>
  <c r="B2692" i="4"/>
  <c r="A2692" i="4"/>
  <c r="B2691" i="4"/>
  <c r="A2691" i="4"/>
  <c r="C2691" i="4" s="1"/>
  <c r="B2690" i="4"/>
  <c r="A2690" i="4"/>
  <c r="C2690" i="4" s="1"/>
  <c r="B2689" i="4"/>
  <c r="A2689" i="4"/>
  <c r="C2688" i="4"/>
  <c r="B2688" i="4"/>
  <c r="A2688" i="4"/>
  <c r="B2687" i="4"/>
  <c r="A2687" i="4"/>
  <c r="C2687" i="4" s="1"/>
  <c r="C2686" i="4"/>
  <c r="B2686" i="4"/>
  <c r="A2686" i="4"/>
  <c r="B2685" i="4"/>
  <c r="A2685" i="4"/>
  <c r="B2684" i="4"/>
  <c r="A2684" i="4"/>
  <c r="C2684" i="4" s="1"/>
  <c r="B2683" i="4"/>
  <c r="A2683" i="4"/>
  <c r="C2683" i="4" s="1"/>
  <c r="B2682" i="4"/>
  <c r="A2682" i="4"/>
  <c r="C2682" i="4" s="1"/>
  <c r="B2681" i="4"/>
  <c r="A2681" i="4"/>
  <c r="C2680" i="4"/>
  <c r="B2680" i="4"/>
  <c r="A2680" i="4"/>
  <c r="B2679" i="4"/>
  <c r="A2679" i="4"/>
  <c r="C2679" i="4" s="1"/>
  <c r="C2678" i="4"/>
  <c r="B2678" i="4"/>
  <c r="A2678" i="4"/>
  <c r="B2677" i="4"/>
  <c r="A2677" i="4"/>
  <c r="B2676" i="4"/>
  <c r="A2676" i="4"/>
  <c r="C2676" i="4" s="1"/>
  <c r="B2675" i="4"/>
  <c r="A2675" i="4"/>
  <c r="B2674" i="4"/>
  <c r="A2674" i="4"/>
  <c r="C2674" i="4" s="1"/>
  <c r="B2673" i="4"/>
  <c r="A2673" i="4"/>
  <c r="B2672" i="4"/>
  <c r="A2672" i="4"/>
  <c r="C2672" i="4" s="1"/>
  <c r="B2671" i="4"/>
  <c r="A2671" i="4"/>
  <c r="C2671" i="4" s="1"/>
  <c r="C2670" i="4"/>
  <c r="B2670" i="4"/>
  <c r="A2670" i="4"/>
  <c r="B2669" i="4"/>
  <c r="A2669" i="4"/>
  <c r="C2669" i="4" s="1"/>
  <c r="C2668" i="4"/>
  <c r="B2668" i="4"/>
  <c r="A2668" i="4"/>
  <c r="B2667" i="4"/>
  <c r="A2667" i="4"/>
  <c r="B2666" i="4"/>
  <c r="A2666" i="4"/>
  <c r="C2666" i="4" s="1"/>
  <c r="B2665" i="4"/>
  <c r="A2665" i="4"/>
  <c r="B2664" i="4"/>
  <c r="A2664" i="4"/>
  <c r="C2664" i="4" s="1"/>
  <c r="B2663" i="4"/>
  <c r="A2663" i="4"/>
  <c r="C2663" i="4" s="1"/>
  <c r="C2662" i="4"/>
  <c r="B2662" i="4"/>
  <c r="A2662" i="4"/>
  <c r="B2661" i="4"/>
  <c r="A2661" i="4"/>
  <c r="C2661" i="4" s="1"/>
  <c r="C2660" i="4"/>
  <c r="B2660" i="4"/>
  <c r="A2660" i="4"/>
  <c r="B2659" i="4"/>
  <c r="A2659" i="4"/>
  <c r="C2659" i="4" s="1"/>
  <c r="B2658" i="4"/>
  <c r="A2658" i="4"/>
  <c r="C2658" i="4" s="1"/>
  <c r="B2657" i="4"/>
  <c r="A2657" i="4"/>
  <c r="C2656" i="4"/>
  <c r="B2656" i="4"/>
  <c r="A2656" i="4"/>
  <c r="B2655" i="4"/>
  <c r="A2655" i="4"/>
  <c r="C2655" i="4" s="1"/>
  <c r="C2654" i="4"/>
  <c r="B2654" i="4"/>
  <c r="A2654" i="4"/>
  <c r="B2653" i="4"/>
  <c r="A2653" i="4"/>
  <c r="B2652" i="4"/>
  <c r="A2652" i="4"/>
  <c r="C2652" i="4" s="1"/>
  <c r="B2651" i="4"/>
  <c r="A2651" i="4"/>
  <c r="C2651" i="4" s="1"/>
  <c r="B2650" i="4"/>
  <c r="A2650" i="4"/>
  <c r="C2650" i="4" s="1"/>
  <c r="B2649" i="4"/>
  <c r="A2649" i="4"/>
  <c r="C2648" i="4"/>
  <c r="B2648" i="4"/>
  <c r="A2648" i="4"/>
  <c r="B2647" i="4"/>
  <c r="A2647" i="4"/>
  <c r="C2647" i="4" s="1"/>
  <c r="C2646" i="4"/>
  <c r="B2646" i="4"/>
  <c r="A2646" i="4"/>
  <c r="B2645" i="4"/>
  <c r="A2645" i="4"/>
  <c r="B2644" i="4"/>
  <c r="A2644" i="4"/>
  <c r="C2644" i="4" s="1"/>
  <c r="B2643" i="4"/>
  <c r="A2643" i="4"/>
  <c r="B2642" i="4"/>
  <c r="A2642" i="4"/>
  <c r="C2642" i="4" s="1"/>
  <c r="B2641" i="4"/>
  <c r="A2641" i="4"/>
  <c r="B2640" i="4"/>
  <c r="A2640" i="4"/>
  <c r="C2640" i="4" s="1"/>
  <c r="B2639" i="4"/>
  <c r="A2639" i="4"/>
  <c r="C2639" i="4" s="1"/>
  <c r="C2638" i="4"/>
  <c r="B2638" i="4"/>
  <c r="A2638" i="4"/>
  <c r="B2637" i="4"/>
  <c r="A2637" i="4"/>
  <c r="C2637" i="4" s="1"/>
  <c r="C2636" i="4"/>
  <c r="B2636" i="4"/>
  <c r="A2636" i="4"/>
  <c r="B2635" i="4"/>
  <c r="A2635" i="4"/>
  <c r="B2634" i="4"/>
  <c r="A2634" i="4"/>
  <c r="C2634" i="4" s="1"/>
  <c r="B2633" i="4"/>
  <c r="A2633" i="4"/>
  <c r="B2632" i="4"/>
  <c r="A2632" i="4"/>
  <c r="C2632" i="4" s="1"/>
  <c r="B2631" i="4"/>
  <c r="C2631" i="4" s="1"/>
  <c r="A2631" i="4"/>
  <c r="C2630" i="4"/>
  <c r="B2630" i="4"/>
  <c r="A2630" i="4"/>
  <c r="B2629" i="4"/>
  <c r="A2629" i="4"/>
  <c r="C2629" i="4" s="1"/>
  <c r="C2628" i="4"/>
  <c r="B2628" i="4"/>
  <c r="A2628" i="4"/>
  <c r="B2627" i="4"/>
  <c r="C2627" i="4" s="1"/>
  <c r="A2627" i="4"/>
  <c r="B2626" i="4"/>
  <c r="A2626" i="4"/>
  <c r="C2626" i="4" s="1"/>
  <c r="B2625" i="4"/>
  <c r="A2625" i="4"/>
  <c r="C2624" i="4"/>
  <c r="B2624" i="4"/>
  <c r="A2624" i="4"/>
  <c r="B2623" i="4"/>
  <c r="C2623" i="4" s="1"/>
  <c r="A2623" i="4"/>
  <c r="C2622" i="4"/>
  <c r="B2622" i="4"/>
  <c r="A2622" i="4"/>
  <c r="B2621" i="4"/>
  <c r="A2621" i="4"/>
  <c r="B2620" i="4"/>
  <c r="A2620" i="4"/>
  <c r="C2620" i="4" s="1"/>
  <c r="B2619" i="4"/>
  <c r="C2619" i="4" s="1"/>
  <c r="A2619" i="4"/>
  <c r="B2618" i="4"/>
  <c r="A2618" i="4"/>
  <c r="C2618" i="4" s="1"/>
  <c r="B2617" i="4"/>
  <c r="A2617" i="4"/>
  <c r="C2616" i="4"/>
  <c r="B2616" i="4"/>
  <c r="A2616" i="4"/>
  <c r="B2615" i="4"/>
  <c r="C2615" i="4" s="1"/>
  <c r="A2615" i="4"/>
  <c r="C2614" i="4"/>
  <c r="B2614" i="4"/>
  <c r="A2614" i="4"/>
  <c r="B2613" i="4"/>
  <c r="A2613" i="4"/>
  <c r="B2612" i="4"/>
  <c r="A2612" i="4"/>
  <c r="C2612" i="4" s="1"/>
  <c r="B2611" i="4"/>
  <c r="C2611" i="4" s="1"/>
  <c r="A2611" i="4"/>
  <c r="B2610" i="4"/>
  <c r="A2610" i="4"/>
  <c r="C2610" i="4" s="1"/>
  <c r="B2609" i="4"/>
  <c r="A2609" i="4"/>
  <c r="B2608" i="4"/>
  <c r="A2608" i="4"/>
  <c r="C2608" i="4" s="1"/>
  <c r="B2607" i="4"/>
  <c r="C2607" i="4" s="1"/>
  <c r="A2607" i="4"/>
  <c r="C2606" i="4"/>
  <c r="B2606" i="4"/>
  <c r="A2606" i="4"/>
  <c r="B2605" i="4"/>
  <c r="A2605" i="4"/>
  <c r="C2605" i="4" s="1"/>
  <c r="C2604" i="4"/>
  <c r="B2604" i="4"/>
  <c r="A2604" i="4"/>
  <c r="B2603" i="4"/>
  <c r="A2603" i="4"/>
  <c r="B2602" i="4"/>
  <c r="A2602" i="4"/>
  <c r="C2602" i="4" s="1"/>
  <c r="B2601" i="4"/>
  <c r="A2601" i="4"/>
  <c r="B2600" i="4"/>
  <c r="A2600" i="4"/>
  <c r="C2600" i="4" s="1"/>
  <c r="B2599" i="4"/>
  <c r="A2599" i="4"/>
  <c r="C2599" i="4" s="1"/>
  <c r="C2598" i="4"/>
  <c r="B2598" i="4"/>
  <c r="A2598" i="4"/>
  <c r="B2597" i="4"/>
  <c r="A2597" i="4"/>
  <c r="C2597" i="4" s="1"/>
  <c r="C2596" i="4"/>
  <c r="B2596" i="4"/>
  <c r="A2596" i="4"/>
  <c r="B2595" i="4"/>
  <c r="A2595" i="4"/>
  <c r="C2595" i="4" s="1"/>
  <c r="B2594" i="4"/>
  <c r="A2594" i="4"/>
  <c r="C2594" i="4" s="1"/>
  <c r="B2593" i="4"/>
  <c r="A2593" i="4"/>
  <c r="C2592" i="4"/>
  <c r="B2592" i="4"/>
  <c r="A2592" i="4"/>
  <c r="B2591" i="4"/>
  <c r="A2591" i="4"/>
  <c r="C2591" i="4" s="1"/>
  <c r="C2590" i="4"/>
  <c r="B2590" i="4"/>
  <c r="A2590" i="4"/>
  <c r="B2589" i="4"/>
  <c r="A2589" i="4"/>
  <c r="B2588" i="4"/>
  <c r="A2588" i="4"/>
  <c r="C2588" i="4" s="1"/>
  <c r="B2587" i="4"/>
  <c r="A2587" i="4"/>
  <c r="C2587" i="4" s="1"/>
  <c r="B2586" i="4"/>
  <c r="A2586" i="4"/>
  <c r="C2586" i="4" s="1"/>
  <c r="B2585" i="4"/>
  <c r="A2585" i="4"/>
  <c r="C2584" i="4"/>
  <c r="B2584" i="4"/>
  <c r="A2584" i="4"/>
  <c r="B2583" i="4"/>
  <c r="A2583" i="4"/>
  <c r="C2583" i="4" s="1"/>
  <c r="C2582" i="4"/>
  <c r="B2582" i="4"/>
  <c r="A2582" i="4"/>
  <c r="B2581" i="4"/>
  <c r="A2581" i="4"/>
  <c r="B2580" i="4"/>
  <c r="A2580" i="4"/>
  <c r="C2580" i="4" s="1"/>
  <c r="B2579" i="4"/>
  <c r="A2579" i="4"/>
  <c r="B2578" i="4"/>
  <c r="A2578" i="4"/>
  <c r="C2578" i="4" s="1"/>
  <c r="B2577" i="4"/>
  <c r="A2577" i="4"/>
  <c r="B2576" i="4"/>
  <c r="A2576" i="4"/>
  <c r="C2576" i="4" s="1"/>
  <c r="B2575" i="4"/>
  <c r="A2575" i="4"/>
  <c r="C2575" i="4" s="1"/>
  <c r="C2574" i="4"/>
  <c r="B2574" i="4"/>
  <c r="A2574" i="4"/>
  <c r="B2573" i="4"/>
  <c r="A2573" i="4"/>
  <c r="C2573" i="4" s="1"/>
  <c r="C2572" i="4"/>
  <c r="B2572" i="4"/>
  <c r="A2572" i="4"/>
  <c r="B2571" i="4"/>
  <c r="A2571" i="4"/>
  <c r="B2570" i="4"/>
  <c r="A2570" i="4"/>
  <c r="C2570" i="4" s="1"/>
  <c r="B2569" i="4"/>
  <c r="A2569" i="4"/>
  <c r="B2568" i="4"/>
  <c r="A2568" i="4"/>
  <c r="C2568" i="4" s="1"/>
  <c r="B2567" i="4"/>
  <c r="A2567" i="4"/>
  <c r="C2567" i="4" s="1"/>
  <c r="C2566" i="4"/>
  <c r="B2566" i="4"/>
  <c r="A2566" i="4"/>
  <c r="B2565" i="4"/>
  <c r="A2565" i="4"/>
  <c r="C2565" i="4" s="1"/>
  <c r="C2564" i="4"/>
  <c r="B2564" i="4"/>
  <c r="A2564" i="4"/>
  <c r="B2563" i="4"/>
  <c r="A2563" i="4"/>
  <c r="C2563" i="4" s="1"/>
  <c r="B2562" i="4"/>
  <c r="A2562" i="4"/>
  <c r="C2562" i="4" s="1"/>
  <c r="B2561" i="4"/>
  <c r="A2561" i="4"/>
  <c r="C2560" i="4"/>
  <c r="B2560" i="4"/>
  <c r="A2560" i="4"/>
  <c r="B2559" i="4"/>
  <c r="A2559" i="4"/>
  <c r="C2559" i="4" s="1"/>
  <c r="C2558" i="4"/>
  <c r="B2558" i="4"/>
  <c r="A2558" i="4"/>
  <c r="B2557" i="4"/>
  <c r="A2557" i="4"/>
  <c r="B2556" i="4"/>
  <c r="A2556" i="4"/>
  <c r="C2556" i="4" s="1"/>
  <c r="B2555" i="4"/>
  <c r="A2555" i="4"/>
  <c r="C2555" i="4" s="1"/>
  <c r="B2554" i="4"/>
  <c r="A2554" i="4"/>
  <c r="C2554" i="4" s="1"/>
  <c r="B2553" i="4"/>
  <c r="A2553" i="4"/>
  <c r="C2552" i="4"/>
  <c r="B2552" i="4"/>
  <c r="A2552" i="4"/>
  <c r="B2551" i="4"/>
  <c r="A2551" i="4"/>
  <c r="C2551" i="4" s="1"/>
  <c r="C2550" i="4"/>
  <c r="B2550" i="4"/>
  <c r="A2550" i="4"/>
  <c r="B2549" i="4"/>
  <c r="A2549" i="4"/>
  <c r="B2548" i="4"/>
  <c r="A2548" i="4"/>
  <c r="C2548" i="4" s="1"/>
  <c r="B2547" i="4"/>
  <c r="C2547" i="4" s="1"/>
  <c r="A2547" i="4"/>
  <c r="B2546" i="4"/>
  <c r="A2546" i="4"/>
  <c r="C2546" i="4" s="1"/>
  <c r="B2545" i="4"/>
  <c r="A2545" i="4"/>
  <c r="B2544" i="4"/>
  <c r="A2544" i="4"/>
  <c r="C2544" i="4" s="1"/>
  <c r="B2543" i="4"/>
  <c r="C2543" i="4" s="1"/>
  <c r="A2543" i="4"/>
  <c r="C2542" i="4"/>
  <c r="B2542" i="4"/>
  <c r="A2542" i="4"/>
  <c r="B2541" i="4"/>
  <c r="A2541" i="4"/>
  <c r="C2541" i="4" s="1"/>
  <c r="C2540" i="4"/>
  <c r="B2540" i="4"/>
  <c r="A2540" i="4"/>
  <c r="B2539" i="4"/>
  <c r="C2539" i="4" s="1"/>
  <c r="A2539" i="4"/>
  <c r="B2538" i="4"/>
  <c r="A2538" i="4"/>
  <c r="C2538" i="4" s="1"/>
  <c r="B2537" i="4"/>
  <c r="A2537" i="4"/>
  <c r="B2536" i="4"/>
  <c r="A2536" i="4"/>
  <c r="C2536" i="4" s="1"/>
  <c r="B2535" i="4"/>
  <c r="C2535" i="4" s="1"/>
  <c r="A2535" i="4"/>
  <c r="C2534" i="4"/>
  <c r="B2534" i="4"/>
  <c r="A2534" i="4"/>
  <c r="B2533" i="4"/>
  <c r="A2533" i="4"/>
  <c r="C2533" i="4" s="1"/>
  <c r="C2532" i="4"/>
  <c r="B2532" i="4"/>
  <c r="A2532" i="4"/>
  <c r="B2531" i="4"/>
  <c r="C2531" i="4" s="1"/>
  <c r="A2531" i="4"/>
  <c r="B2530" i="4"/>
  <c r="A2530" i="4"/>
  <c r="C2530" i="4" s="1"/>
  <c r="B2529" i="4"/>
  <c r="A2529" i="4"/>
  <c r="C2528" i="4"/>
  <c r="B2528" i="4"/>
  <c r="A2528" i="4"/>
  <c r="B2527" i="4"/>
  <c r="A2527" i="4"/>
  <c r="C2527" i="4" s="1"/>
  <c r="C2526" i="4"/>
  <c r="B2526" i="4"/>
  <c r="A2526" i="4"/>
  <c r="B2525" i="4"/>
  <c r="A2525" i="4"/>
  <c r="B2524" i="4"/>
  <c r="A2524" i="4"/>
  <c r="C2524" i="4" s="1"/>
  <c r="B2523" i="4"/>
  <c r="C2523" i="4" s="1"/>
  <c r="A2523" i="4"/>
  <c r="B2522" i="4"/>
  <c r="A2522" i="4"/>
  <c r="C2522" i="4" s="1"/>
  <c r="B2521" i="4"/>
  <c r="A2521" i="4"/>
  <c r="C2520" i="4"/>
  <c r="B2520" i="4"/>
  <c r="A2520" i="4"/>
  <c r="B2519" i="4"/>
  <c r="A2519" i="4"/>
  <c r="C2519" i="4" s="1"/>
  <c r="C2518" i="4"/>
  <c r="B2518" i="4"/>
  <c r="A2518" i="4"/>
  <c r="B2517" i="4"/>
  <c r="A2517" i="4"/>
  <c r="B2516" i="4"/>
  <c r="A2516" i="4"/>
  <c r="C2516" i="4" s="1"/>
  <c r="B2515" i="4"/>
  <c r="C2515" i="4" s="1"/>
  <c r="A2515" i="4"/>
  <c r="B2514" i="4"/>
  <c r="A2514" i="4"/>
  <c r="C2514" i="4" s="1"/>
  <c r="B2513" i="4"/>
  <c r="A2513" i="4"/>
  <c r="B2512" i="4"/>
  <c r="A2512" i="4"/>
  <c r="C2512" i="4" s="1"/>
  <c r="B2511" i="4"/>
  <c r="A2511" i="4"/>
  <c r="C2511" i="4" s="1"/>
  <c r="C2510" i="4"/>
  <c r="B2510" i="4"/>
  <c r="A2510" i="4"/>
  <c r="B2509" i="4"/>
  <c r="A2509" i="4"/>
  <c r="C2509" i="4" s="1"/>
  <c r="C2508" i="4"/>
  <c r="B2508" i="4"/>
  <c r="A2508" i="4"/>
  <c r="B2507" i="4"/>
  <c r="C2507" i="4" s="1"/>
  <c r="A2507" i="4"/>
  <c r="B2506" i="4"/>
  <c r="A2506" i="4"/>
  <c r="C2506" i="4" s="1"/>
  <c r="B2505" i="4"/>
  <c r="A2505" i="4"/>
  <c r="B2504" i="4"/>
  <c r="A2504" i="4"/>
  <c r="C2504" i="4" s="1"/>
  <c r="B2503" i="4"/>
  <c r="C2503" i="4" s="1"/>
  <c r="A2503" i="4"/>
  <c r="C2502" i="4"/>
  <c r="B2502" i="4"/>
  <c r="A2502" i="4"/>
  <c r="B2501" i="4"/>
  <c r="A2501" i="4"/>
  <c r="C2501" i="4" s="1"/>
  <c r="C2500" i="4"/>
  <c r="B2500" i="4"/>
  <c r="A2500" i="4"/>
  <c r="B2499" i="4"/>
  <c r="C2499" i="4" s="1"/>
  <c r="A2499" i="4"/>
  <c r="B2498" i="4"/>
  <c r="A2498" i="4"/>
  <c r="C2498" i="4" s="1"/>
  <c r="B2497" i="4"/>
  <c r="A2497" i="4"/>
  <c r="C2496" i="4"/>
  <c r="B2496" i="4"/>
  <c r="A2496" i="4"/>
  <c r="B2495" i="4"/>
  <c r="C2495" i="4" s="1"/>
  <c r="A2495" i="4"/>
  <c r="C2494" i="4"/>
  <c r="B2494" i="4"/>
  <c r="A2494" i="4"/>
  <c r="B2493" i="4"/>
  <c r="A2493" i="4"/>
  <c r="B2492" i="4"/>
  <c r="A2492" i="4"/>
  <c r="C2492" i="4" s="1"/>
  <c r="B2491" i="4"/>
  <c r="C2491" i="4" s="1"/>
  <c r="A2491" i="4"/>
  <c r="B2490" i="4"/>
  <c r="A2490" i="4"/>
  <c r="C2490" i="4" s="1"/>
  <c r="B2489" i="4"/>
  <c r="A2489" i="4"/>
  <c r="C2488" i="4"/>
  <c r="B2488" i="4"/>
  <c r="A2488" i="4"/>
  <c r="B2487" i="4"/>
  <c r="A2487" i="4"/>
  <c r="C2487" i="4" s="1"/>
  <c r="C2486" i="4"/>
  <c r="B2486" i="4"/>
  <c r="A2486" i="4"/>
  <c r="B2485" i="4"/>
  <c r="A2485" i="4"/>
  <c r="B2484" i="4"/>
  <c r="A2484" i="4"/>
  <c r="C2484" i="4" s="1"/>
  <c r="B2483" i="4"/>
  <c r="A2483" i="4"/>
  <c r="B2482" i="4"/>
  <c r="A2482" i="4"/>
  <c r="C2482" i="4" s="1"/>
  <c r="B2481" i="4"/>
  <c r="A2481" i="4"/>
  <c r="B2480" i="4"/>
  <c r="A2480" i="4"/>
  <c r="C2480" i="4" s="1"/>
  <c r="B2479" i="4"/>
  <c r="A2479" i="4"/>
  <c r="C2479" i="4" s="1"/>
  <c r="C2478" i="4"/>
  <c r="B2478" i="4"/>
  <c r="A2478" i="4"/>
  <c r="B2477" i="4"/>
  <c r="A2477" i="4"/>
  <c r="C2477" i="4" s="1"/>
  <c r="C2476" i="4"/>
  <c r="B2476" i="4"/>
  <c r="A2476" i="4"/>
  <c r="B2475" i="4"/>
  <c r="C2475" i="4" s="1"/>
  <c r="A2475" i="4"/>
  <c r="B2474" i="4"/>
  <c r="A2474" i="4"/>
  <c r="C2474" i="4" s="1"/>
  <c r="B2473" i="4"/>
  <c r="A2473" i="4"/>
  <c r="B2472" i="4"/>
  <c r="A2472" i="4"/>
  <c r="C2472" i="4" s="1"/>
  <c r="B2471" i="4"/>
  <c r="A2471" i="4"/>
  <c r="C2471" i="4" s="1"/>
  <c r="C2470" i="4"/>
  <c r="B2470" i="4"/>
  <c r="A2470" i="4"/>
  <c r="B2469" i="4"/>
  <c r="A2469" i="4"/>
  <c r="C2469" i="4" s="1"/>
  <c r="C2468" i="4"/>
  <c r="B2468" i="4"/>
  <c r="A2468" i="4"/>
  <c r="B2467" i="4"/>
  <c r="A2467" i="4"/>
  <c r="C2467" i="4" s="1"/>
  <c r="B2466" i="4"/>
  <c r="A2466" i="4"/>
  <c r="C2466" i="4" s="1"/>
  <c r="B2465" i="4"/>
  <c r="A2465" i="4"/>
  <c r="C2464" i="4"/>
  <c r="B2464" i="4"/>
  <c r="A2464" i="4"/>
  <c r="B2463" i="4"/>
  <c r="C2463" i="4" s="1"/>
  <c r="A2463" i="4"/>
  <c r="C2462" i="4"/>
  <c r="B2462" i="4"/>
  <c r="A2462" i="4"/>
  <c r="B2461" i="4"/>
  <c r="A2461" i="4"/>
  <c r="B2460" i="4"/>
  <c r="A2460" i="4"/>
  <c r="C2460" i="4" s="1"/>
  <c r="B2459" i="4"/>
  <c r="C2459" i="4" s="1"/>
  <c r="A2459" i="4"/>
  <c r="B2458" i="4"/>
  <c r="A2458" i="4"/>
  <c r="C2458" i="4" s="1"/>
  <c r="B2457" i="4"/>
  <c r="A2457" i="4"/>
  <c r="C2456" i="4"/>
  <c r="B2456" i="4"/>
  <c r="A2456" i="4"/>
  <c r="B2455" i="4"/>
  <c r="A2455" i="4"/>
  <c r="C2455" i="4" s="1"/>
  <c r="C2454" i="4"/>
  <c r="B2454" i="4"/>
  <c r="A2454" i="4"/>
  <c r="B2453" i="4"/>
  <c r="A2453" i="4"/>
  <c r="B2452" i="4"/>
  <c r="A2452" i="4"/>
  <c r="C2452" i="4" s="1"/>
  <c r="B2451" i="4"/>
  <c r="A2451" i="4"/>
  <c r="B2450" i="4"/>
  <c r="A2450" i="4"/>
  <c r="C2450" i="4" s="1"/>
  <c r="B2449" i="4"/>
  <c r="A2449" i="4"/>
  <c r="B2448" i="4"/>
  <c r="A2448" i="4"/>
  <c r="C2448" i="4" s="1"/>
  <c r="B2447" i="4"/>
  <c r="A2447" i="4"/>
  <c r="C2447" i="4" s="1"/>
  <c r="C2446" i="4"/>
  <c r="B2446" i="4"/>
  <c r="A2446" i="4"/>
  <c r="B2445" i="4"/>
  <c r="A2445" i="4"/>
  <c r="C2445" i="4" s="1"/>
  <c r="C2444" i="4"/>
  <c r="B2444" i="4"/>
  <c r="A2444" i="4"/>
  <c r="B2443" i="4"/>
  <c r="C2443" i="4" s="1"/>
  <c r="A2443" i="4"/>
  <c r="B2442" i="4"/>
  <c r="A2442" i="4"/>
  <c r="C2442" i="4" s="1"/>
  <c r="B2441" i="4"/>
  <c r="A2441" i="4"/>
  <c r="B2440" i="4"/>
  <c r="A2440" i="4"/>
  <c r="C2440" i="4" s="1"/>
  <c r="B2439" i="4"/>
  <c r="C2439" i="4" s="1"/>
  <c r="A2439" i="4"/>
  <c r="C2438" i="4"/>
  <c r="B2438" i="4"/>
  <c r="A2438" i="4"/>
  <c r="B2437" i="4"/>
  <c r="A2437" i="4"/>
  <c r="C2437" i="4" s="1"/>
  <c r="C2436" i="4"/>
  <c r="B2436" i="4"/>
  <c r="A2436" i="4"/>
  <c r="B2435" i="4"/>
  <c r="A2435" i="4"/>
  <c r="C2435" i="4" s="1"/>
  <c r="B2434" i="4"/>
  <c r="A2434" i="4"/>
  <c r="C2434" i="4" s="1"/>
  <c r="B2433" i="4"/>
  <c r="A2433" i="4"/>
  <c r="C2432" i="4"/>
  <c r="B2432" i="4"/>
  <c r="A2432" i="4"/>
  <c r="B2431" i="4"/>
  <c r="A2431" i="4"/>
  <c r="C2431" i="4" s="1"/>
  <c r="C2430" i="4"/>
  <c r="B2430" i="4"/>
  <c r="A2430" i="4"/>
  <c r="B2429" i="4"/>
  <c r="A2429" i="4"/>
  <c r="B2428" i="4"/>
  <c r="A2428" i="4"/>
  <c r="C2428" i="4" s="1"/>
  <c r="B2427" i="4"/>
  <c r="A2427" i="4"/>
  <c r="C2427" i="4" s="1"/>
  <c r="B2426" i="4"/>
  <c r="A2426" i="4"/>
  <c r="C2426" i="4" s="1"/>
  <c r="B2425" i="4"/>
  <c r="A2425" i="4"/>
  <c r="C2424" i="4"/>
  <c r="B2424" i="4"/>
  <c r="A2424" i="4"/>
  <c r="B2423" i="4"/>
  <c r="A2423" i="4"/>
  <c r="C2423" i="4" s="1"/>
  <c r="C2422" i="4"/>
  <c r="B2422" i="4"/>
  <c r="A2422" i="4"/>
  <c r="B2421" i="4"/>
  <c r="A2421" i="4"/>
  <c r="B2420" i="4"/>
  <c r="A2420" i="4"/>
  <c r="C2420" i="4" s="1"/>
  <c r="B2419" i="4"/>
  <c r="A2419" i="4"/>
  <c r="B2418" i="4"/>
  <c r="A2418" i="4"/>
  <c r="C2418" i="4" s="1"/>
  <c r="B2417" i="4"/>
  <c r="A2417" i="4"/>
  <c r="B2416" i="4"/>
  <c r="A2416" i="4"/>
  <c r="C2416" i="4" s="1"/>
  <c r="B2415" i="4"/>
  <c r="A2415" i="4"/>
  <c r="C2415" i="4" s="1"/>
  <c r="C2414" i="4"/>
  <c r="B2414" i="4"/>
  <c r="A2414" i="4"/>
  <c r="B2413" i="4"/>
  <c r="A2413" i="4"/>
  <c r="C2413" i="4" s="1"/>
  <c r="C2412" i="4"/>
  <c r="B2412" i="4"/>
  <c r="A2412" i="4"/>
  <c r="B2411" i="4"/>
  <c r="C2411" i="4" s="1"/>
  <c r="A2411" i="4"/>
  <c r="B2410" i="4"/>
  <c r="A2410" i="4"/>
  <c r="C2410" i="4" s="1"/>
  <c r="B2409" i="4"/>
  <c r="A2409" i="4"/>
  <c r="B2408" i="4"/>
  <c r="A2408" i="4"/>
  <c r="C2408" i="4" s="1"/>
  <c r="B2407" i="4"/>
  <c r="C2407" i="4" s="1"/>
  <c r="A2407" i="4"/>
  <c r="C2406" i="4"/>
  <c r="B2406" i="4"/>
  <c r="A2406" i="4"/>
  <c r="B2405" i="4"/>
  <c r="A2405" i="4"/>
  <c r="C2405" i="4" s="1"/>
  <c r="C2404" i="4"/>
  <c r="B2404" i="4"/>
  <c r="A2404" i="4"/>
  <c r="B2403" i="4"/>
  <c r="C2403" i="4" s="1"/>
  <c r="A2403" i="4"/>
  <c r="B2402" i="4"/>
  <c r="A2402" i="4"/>
  <c r="C2402" i="4" s="1"/>
  <c r="B2401" i="4"/>
  <c r="A2401" i="4"/>
  <c r="C2400" i="4"/>
  <c r="B2400" i="4"/>
  <c r="A2400" i="4"/>
  <c r="B2399" i="4"/>
  <c r="C2399" i="4" s="1"/>
  <c r="A2399" i="4"/>
  <c r="B2398" i="4"/>
  <c r="A2398" i="4"/>
  <c r="C2398" i="4" s="1"/>
  <c r="B2397" i="4"/>
  <c r="A2397" i="4"/>
  <c r="B2396" i="4"/>
  <c r="A2396" i="4"/>
  <c r="C2396" i="4" s="1"/>
  <c r="B2395" i="4"/>
  <c r="A2395" i="4"/>
  <c r="C2395" i="4" s="1"/>
  <c r="C2394" i="4"/>
  <c r="B2394" i="4"/>
  <c r="A2394" i="4"/>
  <c r="C2393" i="4"/>
  <c r="B2393" i="4"/>
  <c r="A2393" i="4"/>
  <c r="B2392" i="4"/>
  <c r="A2392" i="4"/>
  <c r="C2392" i="4" s="1"/>
  <c r="B2391" i="4"/>
  <c r="A2391" i="4"/>
  <c r="C2391" i="4" s="1"/>
  <c r="C2390" i="4"/>
  <c r="B2390" i="4"/>
  <c r="A2390" i="4"/>
  <c r="C2389" i="4"/>
  <c r="B2389" i="4"/>
  <c r="A2389" i="4"/>
  <c r="B2388" i="4"/>
  <c r="A2388" i="4"/>
  <c r="C2388" i="4" s="1"/>
  <c r="B2387" i="4"/>
  <c r="A2387" i="4"/>
  <c r="C2387" i="4" s="1"/>
  <c r="C2386" i="4"/>
  <c r="B2386" i="4"/>
  <c r="A2386" i="4"/>
  <c r="C2385" i="4"/>
  <c r="B2385" i="4"/>
  <c r="A2385" i="4"/>
  <c r="B2384" i="4"/>
  <c r="A2384" i="4"/>
  <c r="C2384" i="4" s="1"/>
  <c r="B2383" i="4"/>
  <c r="A2383" i="4"/>
  <c r="C2383" i="4" s="1"/>
  <c r="C2382" i="4"/>
  <c r="B2382" i="4"/>
  <c r="A2382" i="4"/>
  <c r="C2381" i="4"/>
  <c r="B2381" i="4"/>
  <c r="A2381" i="4"/>
  <c r="B2380" i="4"/>
  <c r="A2380" i="4"/>
  <c r="C2380" i="4" s="1"/>
  <c r="B2379" i="4"/>
  <c r="A2379" i="4"/>
  <c r="C2379" i="4" s="1"/>
  <c r="C2378" i="4"/>
  <c r="B2378" i="4"/>
  <c r="A2378" i="4"/>
  <c r="C2377" i="4"/>
  <c r="B2377" i="4"/>
  <c r="A2377" i="4"/>
  <c r="B2376" i="4"/>
  <c r="A2376" i="4"/>
  <c r="C2376" i="4" s="1"/>
  <c r="B2375" i="4"/>
  <c r="A2375" i="4"/>
  <c r="C2375" i="4" s="1"/>
  <c r="C2374" i="4"/>
  <c r="B2374" i="4"/>
  <c r="A2374" i="4"/>
  <c r="C2373" i="4"/>
  <c r="B2373" i="4"/>
  <c r="A2373" i="4"/>
  <c r="B2372" i="4"/>
  <c r="A2372" i="4"/>
  <c r="C2372" i="4" s="1"/>
  <c r="B2371" i="4"/>
  <c r="A2371" i="4"/>
  <c r="C2371" i="4" s="1"/>
  <c r="C2370" i="4"/>
  <c r="B2370" i="4"/>
  <c r="A2370" i="4"/>
  <c r="C2369" i="4"/>
  <c r="B2369" i="4"/>
  <c r="A2369" i="4"/>
  <c r="B2368" i="4"/>
  <c r="A2368" i="4"/>
  <c r="C2368" i="4" s="1"/>
  <c r="B2367" i="4"/>
  <c r="A2367" i="4"/>
  <c r="C2367" i="4" s="1"/>
  <c r="C2366" i="4"/>
  <c r="B2366" i="4"/>
  <c r="A2366" i="4"/>
  <c r="C2365" i="4"/>
  <c r="B2365" i="4"/>
  <c r="A2365" i="4"/>
  <c r="B2364" i="4"/>
  <c r="A2364" i="4"/>
  <c r="C2364" i="4" s="1"/>
  <c r="B2363" i="4"/>
  <c r="A2363" i="4"/>
  <c r="C2363" i="4" s="1"/>
  <c r="C2362" i="4"/>
  <c r="B2362" i="4"/>
  <c r="A2362" i="4"/>
  <c r="C2361" i="4"/>
  <c r="B2361" i="4"/>
  <c r="A2361" i="4"/>
  <c r="B2360" i="4"/>
  <c r="A2360" i="4"/>
  <c r="C2360" i="4" s="1"/>
  <c r="B2359" i="4"/>
  <c r="A2359" i="4"/>
  <c r="C2359" i="4" s="1"/>
  <c r="C2358" i="4"/>
  <c r="B2358" i="4"/>
  <c r="A2358" i="4"/>
  <c r="C2357" i="4"/>
  <c r="B2357" i="4"/>
  <c r="A2357" i="4"/>
  <c r="B2356" i="4"/>
  <c r="A2356" i="4"/>
  <c r="C2356" i="4" s="1"/>
  <c r="B2355" i="4"/>
  <c r="A2355" i="4"/>
  <c r="C2355" i="4" s="1"/>
  <c r="C2354" i="4"/>
  <c r="B2354" i="4"/>
  <c r="A2354" i="4"/>
  <c r="C2353" i="4"/>
  <c r="B2353" i="4"/>
  <c r="A2353" i="4"/>
  <c r="B2352" i="4"/>
  <c r="A2352" i="4"/>
  <c r="C2352" i="4" s="1"/>
  <c r="B2351" i="4"/>
  <c r="A2351" i="4"/>
  <c r="C2351" i="4" s="1"/>
  <c r="C2350" i="4"/>
  <c r="B2350" i="4"/>
  <c r="A2350" i="4"/>
  <c r="C2349" i="4"/>
  <c r="B2349" i="4"/>
  <c r="A2349" i="4"/>
  <c r="B2348" i="4"/>
  <c r="A2348" i="4"/>
  <c r="C2348" i="4" s="1"/>
  <c r="B2347" i="4"/>
  <c r="A2347" i="4"/>
  <c r="B2346" i="4"/>
  <c r="A2346" i="4"/>
  <c r="C2346" i="4" s="1"/>
  <c r="B2345" i="4"/>
  <c r="C2345" i="4" s="1"/>
  <c r="A2345" i="4"/>
  <c r="B2344" i="4"/>
  <c r="A2344" i="4"/>
  <c r="C2344" i="4" s="1"/>
  <c r="B2343" i="4"/>
  <c r="A2343" i="4"/>
  <c r="C2343" i="4" s="1"/>
  <c r="B2342" i="4"/>
  <c r="A2342" i="4"/>
  <c r="C2342" i="4" s="1"/>
  <c r="C2341" i="4"/>
  <c r="B2341" i="4"/>
  <c r="A2341" i="4"/>
  <c r="B2340" i="4"/>
  <c r="C2340" i="4" s="1"/>
  <c r="A2340" i="4"/>
  <c r="B2339" i="4"/>
  <c r="A2339" i="4"/>
  <c r="C2338" i="4"/>
  <c r="B2338" i="4"/>
  <c r="A2338" i="4"/>
  <c r="B2337" i="4"/>
  <c r="C2337" i="4" s="1"/>
  <c r="A2337" i="4"/>
  <c r="B2336" i="4"/>
  <c r="A2336" i="4"/>
  <c r="C2336" i="4" s="1"/>
  <c r="B2335" i="4"/>
  <c r="A2335" i="4"/>
  <c r="C2335" i="4" s="1"/>
  <c r="C2334" i="4"/>
  <c r="B2334" i="4"/>
  <c r="A2334" i="4"/>
  <c r="C2333" i="4"/>
  <c r="B2333" i="4"/>
  <c r="A2333" i="4"/>
  <c r="B2332" i="4"/>
  <c r="A2332" i="4"/>
  <c r="B2331" i="4"/>
  <c r="A2331" i="4"/>
  <c r="C2330" i="4"/>
  <c r="B2330" i="4"/>
  <c r="A2330" i="4"/>
  <c r="B2329" i="4"/>
  <c r="C2329" i="4" s="1"/>
  <c r="A2329" i="4"/>
  <c r="B2328" i="4"/>
  <c r="A2328" i="4"/>
  <c r="C2328" i="4" s="1"/>
  <c r="B2327" i="4"/>
  <c r="A2327" i="4"/>
  <c r="C2327" i="4" s="1"/>
  <c r="B2326" i="4"/>
  <c r="A2326" i="4"/>
  <c r="C2326" i="4" s="1"/>
  <c r="C2325" i="4"/>
  <c r="B2325" i="4"/>
  <c r="A2325" i="4"/>
  <c r="B2324" i="4"/>
  <c r="C2324" i="4" s="1"/>
  <c r="A2324" i="4"/>
  <c r="B2323" i="4"/>
  <c r="A2323" i="4"/>
  <c r="C2322" i="4"/>
  <c r="B2322" i="4"/>
  <c r="A2322" i="4"/>
  <c r="B2321" i="4"/>
  <c r="C2321" i="4" s="1"/>
  <c r="A2321" i="4"/>
  <c r="B2320" i="4"/>
  <c r="A2320" i="4"/>
  <c r="C2320" i="4" s="1"/>
  <c r="B2319" i="4"/>
  <c r="A2319" i="4"/>
  <c r="C2319" i="4" s="1"/>
  <c r="C2318" i="4"/>
  <c r="B2318" i="4"/>
  <c r="A2318" i="4"/>
  <c r="C2317" i="4"/>
  <c r="B2317" i="4"/>
  <c r="A2317" i="4"/>
  <c r="B2316" i="4"/>
  <c r="A2316" i="4"/>
  <c r="C2316" i="4" s="1"/>
  <c r="B2315" i="4"/>
  <c r="A2315" i="4"/>
  <c r="C2314" i="4"/>
  <c r="B2314" i="4"/>
  <c r="A2314" i="4"/>
  <c r="B2313" i="4"/>
  <c r="C2313" i="4" s="1"/>
  <c r="A2313" i="4"/>
  <c r="B2312" i="4"/>
  <c r="A2312" i="4"/>
  <c r="C2312" i="4" s="1"/>
  <c r="B2311" i="4"/>
  <c r="A2311" i="4"/>
  <c r="C2311" i="4" s="1"/>
  <c r="B2310" i="4"/>
  <c r="A2310" i="4"/>
  <c r="C2310" i="4" s="1"/>
  <c r="C2309" i="4"/>
  <c r="B2309" i="4"/>
  <c r="A2309" i="4"/>
  <c r="B2308" i="4"/>
  <c r="C2308" i="4" s="1"/>
  <c r="A2308" i="4"/>
  <c r="B2307" i="4"/>
  <c r="A2307" i="4"/>
  <c r="C2306" i="4"/>
  <c r="B2306" i="4"/>
  <c r="A2306" i="4"/>
  <c r="B2305" i="4"/>
  <c r="C2305" i="4" s="1"/>
  <c r="A2305" i="4"/>
  <c r="B2304" i="4"/>
  <c r="A2304" i="4"/>
  <c r="C2304" i="4" s="1"/>
  <c r="B2303" i="4"/>
  <c r="A2303" i="4"/>
  <c r="C2303" i="4" s="1"/>
  <c r="C2302" i="4"/>
  <c r="B2302" i="4"/>
  <c r="A2302" i="4"/>
  <c r="C2301" i="4"/>
  <c r="B2301" i="4"/>
  <c r="A2301" i="4"/>
  <c r="B2300" i="4"/>
  <c r="A2300" i="4"/>
  <c r="B2299" i="4"/>
  <c r="A2299" i="4"/>
  <c r="B2298" i="4"/>
  <c r="A2298" i="4"/>
  <c r="C2298" i="4" s="1"/>
  <c r="B2297" i="4"/>
  <c r="C2297" i="4" s="1"/>
  <c r="A2297" i="4"/>
  <c r="B2296" i="4"/>
  <c r="A2296" i="4"/>
  <c r="C2296" i="4" s="1"/>
  <c r="B2295" i="4"/>
  <c r="A2295" i="4"/>
  <c r="C2295" i="4" s="1"/>
  <c r="B2294" i="4"/>
  <c r="A2294" i="4"/>
  <c r="C2294" i="4" s="1"/>
  <c r="C2293" i="4"/>
  <c r="B2293" i="4"/>
  <c r="A2293" i="4"/>
  <c r="B2292" i="4"/>
  <c r="C2292" i="4" s="1"/>
  <c r="A2292" i="4"/>
  <c r="B2291" i="4"/>
  <c r="A2291" i="4"/>
  <c r="C2290" i="4"/>
  <c r="B2290" i="4"/>
  <c r="A2290" i="4"/>
  <c r="B2289" i="4"/>
  <c r="C2289" i="4" s="1"/>
  <c r="A2289" i="4"/>
  <c r="B2288" i="4"/>
  <c r="A2288" i="4"/>
  <c r="C2288" i="4" s="1"/>
  <c r="B2287" i="4"/>
  <c r="A2287" i="4"/>
  <c r="C2287" i="4" s="1"/>
  <c r="C2286" i="4"/>
  <c r="B2286" i="4"/>
  <c r="A2286" i="4"/>
  <c r="C2285" i="4"/>
  <c r="B2285" i="4"/>
  <c r="A2285" i="4"/>
  <c r="B2284" i="4"/>
  <c r="A2284" i="4"/>
  <c r="C2284" i="4" s="1"/>
  <c r="B2283" i="4"/>
  <c r="A2283" i="4"/>
  <c r="C2282" i="4"/>
  <c r="B2282" i="4"/>
  <c r="A2282" i="4"/>
  <c r="B2281" i="4"/>
  <c r="C2281" i="4" s="1"/>
  <c r="A2281" i="4"/>
  <c r="B2280" i="4"/>
  <c r="A2280" i="4"/>
  <c r="C2280" i="4" s="1"/>
  <c r="B2279" i="4"/>
  <c r="A2279" i="4"/>
  <c r="C2279" i="4" s="1"/>
  <c r="B2278" i="4"/>
  <c r="A2278" i="4"/>
  <c r="C2278" i="4" s="1"/>
  <c r="C2277" i="4"/>
  <c r="B2277" i="4"/>
  <c r="A2277" i="4"/>
  <c r="B2276" i="4"/>
  <c r="C2276" i="4" s="1"/>
  <c r="A2276" i="4"/>
  <c r="B2275" i="4"/>
  <c r="A2275" i="4"/>
  <c r="C2274" i="4"/>
  <c r="B2274" i="4"/>
  <c r="A2274" i="4"/>
  <c r="B2273" i="4"/>
  <c r="C2273" i="4" s="1"/>
  <c r="A2273" i="4"/>
  <c r="B2272" i="4"/>
  <c r="A2272" i="4"/>
  <c r="C2272" i="4" s="1"/>
  <c r="B2271" i="4"/>
  <c r="A2271" i="4"/>
  <c r="C2271" i="4" s="1"/>
  <c r="C2270" i="4"/>
  <c r="B2270" i="4"/>
  <c r="A2270" i="4"/>
  <c r="C2269" i="4"/>
  <c r="B2269" i="4"/>
  <c r="A2269" i="4"/>
  <c r="B2268" i="4"/>
  <c r="A2268" i="4"/>
  <c r="B2267" i="4"/>
  <c r="A2267" i="4"/>
  <c r="C2266" i="4"/>
  <c r="B2266" i="4"/>
  <c r="A2266" i="4"/>
  <c r="B2265" i="4"/>
  <c r="C2265" i="4" s="1"/>
  <c r="A2265" i="4"/>
  <c r="B2264" i="4"/>
  <c r="A2264" i="4"/>
  <c r="C2264" i="4" s="1"/>
  <c r="B2263" i="4"/>
  <c r="A2263" i="4"/>
  <c r="C2263" i="4" s="1"/>
  <c r="B2262" i="4"/>
  <c r="A2262" i="4"/>
  <c r="C2262" i="4" s="1"/>
  <c r="C2261" i="4"/>
  <c r="B2261" i="4"/>
  <c r="A2261" i="4"/>
  <c r="B2260" i="4"/>
  <c r="C2260" i="4" s="1"/>
  <c r="A2260" i="4"/>
  <c r="B2259" i="4"/>
  <c r="A2259" i="4"/>
  <c r="C2258" i="4"/>
  <c r="B2258" i="4"/>
  <c r="A2258" i="4"/>
  <c r="B2257" i="4"/>
  <c r="C2257" i="4" s="1"/>
  <c r="A2257" i="4"/>
  <c r="B2256" i="4"/>
  <c r="A2256" i="4"/>
  <c r="C2256" i="4" s="1"/>
  <c r="B2255" i="4"/>
  <c r="A2255" i="4"/>
  <c r="C2255" i="4" s="1"/>
  <c r="C2254" i="4"/>
  <c r="B2254" i="4"/>
  <c r="A2254" i="4"/>
  <c r="C2253" i="4"/>
  <c r="B2253" i="4"/>
  <c r="A2253" i="4"/>
  <c r="B2252" i="4"/>
  <c r="A2252" i="4"/>
  <c r="C2252" i="4" s="1"/>
  <c r="B2251" i="4"/>
  <c r="A2251" i="4"/>
  <c r="C2250" i="4"/>
  <c r="B2250" i="4"/>
  <c r="A2250" i="4"/>
  <c r="B2249" i="4"/>
  <c r="C2249" i="4" s="1"/>
  <c r="A2249" i="4"/>
  <c r="B2248" i="4"/>
  <c r="A2248" i="4"/>
  <c r="C2248" i="4" s="1"/>
  <c r="B2247" i="4"/>
  <c r="A2247" i="4"/>
  <c r="C2247" i="4" s="1"/>
  <c r="B2246" i="4"/>
  <c r="A2246" i="4"/>
  <c r="C2246" i="4" s="1"/>
  <c r="C2245" i="4"/>
  <c r="B2245" i="4"/>
  <c r="A2245" i="4"/>
  <c r="B2244" i="4"/>
  <c r="C2244" i="4" s="1"/>
  <c r="A2244" i="4"/>
  <c r="B2243" i="4"/>
  <c r="A2243" i="4"/>
  <c r="C2242" i="4"/>
  <c r="B2242" i="4"/>
  <c r="A2242" i="4"/>
  <c r="B2241" i="4"/>
  <c r="C2241" i="4" s="1"/>
  <c r="A2241" i="4"/>
  <c r="B2240" i="4"/>
  <c r="A2240" i="4"/>
  <c r="C2240" i="4" s="1"/>
  <c r="B2239" i="4"/>
  <c r="A2239" i="4"/>
  <c r="C2239" i="4" s="1"/>
  <c r="C2238" i="4"/>
  <c r="B2238" i="4"/>
  <c r="A2238" i="4"/>
  <c r="C2237" i="4"/>
  <c r="B2237" i="4"/>
  <c r="A2237" i="4"/>
  <c r="B2236" i="4"/>
  <c r="A2236" i="4"/>
  <c r="B2235" i="4"/>
  <c r="A2235" i="4"/>
  <c r="B2234" i="4"/>
  <c r="A2234" i="4"/>
  <c r="C2234" i="4" s="1"/>
  <c r="B2233" i="4"/>
  <c r="C2233" i="4" s="1"/>
  <c r="A2233" i="4"/>
  <c r="B2232" i="4"/>
  <c r="A2232" i="4"/>
  <c r="C2232" i="4" s="1"/>
  <c r="B2231" i="4"/>
  <c r="A2231" i="4"/>
  <c r="C2231" i="4" s="1"/>
  <c r="B2230" i="4"/>
  <c r="A2230" i="4"/>
  <c r="C2230" i="4" s="1"/>
  <c r="C2229" i="4"/>
  <c r="B2229" i="4"/>
  <c r="A2229" i="4"/>
  <c r="B2228" i="4"/>
  <c r="C2228" i="4" s="1"/>
  <c r="A2228" i="4"/>
  <c r="B2227" i="4"/>
  <c r="A2227" i="4"/>
  <c r="C2226" i="4"/>
  <c r="B2226" i="4"/>
  <c r="A2226" i="4"/>
  <c r="B2225" i="4"/>
  <c r="C2225" i="4" s="1"/>
  <c r="A2225" i="4"/>
  <c r="B2224" i="4"/>
  <c r="A2224" i="4"/>
  <c r="C2224" i="4" s="1"/>
  <c r="B2223" i="4"/>
  <c r="A2223" i="4"/>
  <c r="C2223" i="4" s="1"/>
  <c r="C2222" i="4"/>
  <c r="B2222" i="4"/>
  <c r="A2222" i="4"/>
  <c r="C2221" i="4"/>
  <c r="B2221" i="4"/>
  <c r="A2221" i="4"/>
  <c r="B2220" i="4"/>
  <c r="A2220" i="4"/>
  <c r="C2220" i="4" s="1"/>
  <c r="B2219" i="4"/>
  <c r="A2219" i="4"/>
  <c r="C2218" i="4"/>
  <c r="B2218" i="4"/>
  <c r="A2218" i="4"/>
  <c r="B2217" i="4"/>
  <c r="C2217" i="4" s="1"/>
  <c r="A2217" i="4"/>
  <c r="B2216" i="4"/>
  <c r="A2216" i="4"/>
  <c r="C2216" i="4" s="1"/>
  <c r="B2215" i="4"/>
  <c r="A2215" i="4"/>
  <c r="C2215" i="4" s="1"/>
  <c r="B2214" i="4"/>
  <c r="A2214" i="4"/>
  <c r="C2214" i="4" s="1"/>
  <c r="C2213" i="4"/>
  <c r="B2213" i="4"/>
  <c r="A2213" i="4"/>
  <c r="B2212" i="4"/>
  <c r="C2212" i="4" s="1"/>
  <c r="A2212" i="4"/>
  <c r="B2211" i="4"/>
  <c r="A2211" i="4"/>
  <c r="C2210" i="4"/>
  <c r="B2210" i="4"/>
  <c r="A2210" i="4"/>
  <c r="B2209" i="4"/>
  <c r="C2209" i="4" s="1"/>
  <c r="A2209" i="4"/>
  <c r="B2208" i="4"/>
  <c r="A2208" i="4"/>
  <c r="C2208" i="4" s="1"/>
  <c r="B2207" i="4"/>
  <c r="A2207" i="4"/>
  <c r="B2206" i="4"/>
  <c r="A2206" i="4"/>
  <c r="C2206" i="4" s="1"/>
  <c r="B2205" i="4"/>
  <c r="C2205" i="4" s="1"/>
  <c r="A2205" i="4"/>
  <c r="B2204" i="4"/>
  <c r="A2204" i="4"/>
  <c r="C2204" i="4" s="1"/>
  <c r="B2203" i="4"/>
  <c r="A2203" i="4"/>
  <c r="B2202" i="4"/>
  <c r="A2202" i="4"/>
  <c r="C2202" i="4" s="1"/>
  <c r="B2201" i="4"/>
  <c r="C2201" i="4" s="1"/>
  <c r="A2201" i="4"/>
  <c r="B2200" i="4"/>
  <c r="A2200" i="4"/>
  <c r="C2200" i="4" s="1"/>
  <c r="B2199" i="4"/>
  <c r="A2199" i="4"/>
  <c r="C2198" i="4"/>
  <c r="B2198" i="4"/>
  <c r="A2198" i="4"/>
  <c r="B2197" i="4"/>
  <c r="C2197" i="4" s="1"/>
  <c r="A2197" i="4"/>
  <c r="B2196" i="4"/>
  <c r="A2196" i="4"/>
  <c r="C2196" i="4" s="1"/>
  <c r="B2195" i="4"/>
  <c r="A2195" i="4"/>
  <c r="C2194" i="4"/>
  <c r="B2194" i="4"/>
  <c r="A2194" i="4"/>
  <c r="B2193" i="4"/>
  <c r="C2193" i="4" s="1"/>
  <c r="A2193" i="4"/>
  <c r="B2192" i="4"/>
  <c r="A2192" i="4"/>
  <c r="C2192" i="4" s="1"/>
  <c r="B2191" i="4"/>
  <c r="A2191" i="4"/>
  <c r="B2190" i="4"/>
  <c r="A2190" i="4"/>
  <c r="C2190" i="4" s="1"/>
  <c r="B2189" i="4"/>
  <c r="C2189" i="4" s="1"/>
  <c r="A2189" i="4"/>
  <c r="B2188" i="4"/>
  <c r="A2188" i="4"/>
  <c r="C2188" i="4" s="1"/>
  <c r="B2187" i="4"/>
  <c r="A2187" i="4"/>
  <c r="B2186" i="4"/>
  <c r="A2186" i="4"/>
  <c r="C2186" i="4" s="1"/>
  <c r="B2185" i="4"/>
  <c r="C2185" i="4" s="1"/>
  <c r="A2185" i="4"/>
  <c r="B2184" i="4"/>
  <c r="A2184" i="4"/>
  <c r="C2184" i="4" s="1"/>
  <c r="B2183" i="4"/>
  <c r="A2183" i="4"/>
  <c r="B2182" i="4"/>
  <c r="A2182" i="4"/>
  <c r="C2182" i="4" s="1"/>
  <c r="B2181" i="4"/>
  <c r="C2181" i="4" s="1"/>
  <c r="A2181" i="4"/>
  <c r="B2180" i="4"/>
  <c r="A2180" i="4"/>
  <c r="C2180" i="4" s="1"/>
  <c r="B2179" i="4"/>
  <c r="A2179" i="4"/>
  <c r="C2178" i="4"/>
  <c r="B2178" i="4"/>
  <c r="A2178" i="4"/>
  <c r="B2177" i="4"/>
  <c r="C2177" i="4" s="1"/>
  <c r="A2177" i="4"/>
  <c r="B2176" i="4"/>
  <c r="A2176" i="4"/>
  <c r="C2176" i="4" s="1"/>
  <c r="B2175" i="4"/>
  <c r="A2175" i="4"/>
  <c r="C2174" i="4"/>
  <c r="B2174" i="4"/>
  <c r="A2174" i="4"/>
  <c r="B2173" i="4"/>
  <c r="C2173" i="4" s="1"/>
  <c r="A2173" i="4"/>
  <c r="B2172" i="4"/>
  <c r="A2172" i="4"/>
  <c r="C2172" i="4" s="1"/>
  <c r="B2171" i="4"/>
  <c r="A2171" i="4"/>
  <c r="B2170" i="4"/>
  <c r="A2170" i="4"/>
  <c r="C2170" i="4" s="1"/>
  <c r="B2169" i="4"/>
  <c r="C2169" i="4" s="1"/>
  <c r="A2169" i="4"/>
  <c r="B2168" i="4"/>
  <c r="A2168" i="4"/>
  <c r="C2168" i="4" s="1"/>
  <c r="B2167" i="4"/>
  <c r="A2167" i="4"/>
  <c r="B2166" i="4"/>
  <c r="A2166" i="4"/>
  <c r="C2166" i="4" s="1"/>
  <c r="B2165" i="4"/>
  <c r="C2165" i="4" s="1"/>
  <c r="A2165" i="4"/>
  <c r="B2164" i="4"/>
  <c r="A2164" i="4"/>
  <c r="C2164" i="4" s="1"/>
  <c r="B2163" i="4"/>
  <c r="A2163" i="4"/>
  <c r="C2162" i="4"/>
  <c r="B2162" i="4"/>
  <c r="A2162" i="4"/>
  <c r="B2161" i="4"/>
  <c r="C2161" i="4" s="1"/>
  <c r="A2161" i="4"/>
  <c r="B2160" i="4"/>
  <c r="A2160" i="4"/>
  <c r="C2160" i="4" s="1"/>
  <c r="B2159" i="4"/>
  <c r="A2159" i="4"/>
  <c r="C2158" i="4"/>
  <c r="B2158" i="4"/>
  <c r="A2158" i="4"/>
  <c r="B2157" i="4"/>
  <c r="C2157" i="4" s="1"/>
  <c r="A2157" i="4"/>
  <c r="B2156" i="4"/>
  <c r="A2156" i="4"/>
  <c r="C2156" i="4" s="1"/>
  <c r="B2155" i="4"/>
  <c r="A2155" i="4"/>
  <c r="B2154" i="4"/>
  <c r="A2154" i="4"/>
  <c r="C2154" i="4" s="1"/>
  <c r="B2153" i="4"/>
  <c r="C2153" i="4" s="1"/>
  <c r="A2153" i="4"/>
  <c r="B2152" i="4"/>
  <c r="A2152" i="4"/>
  <c r="C2152" i="4" s="1"/>
  <c r="B2151" i="4"/>
  <c r="A2151" i="4"/>
  <c r="C2150" i="4"/>
  <c r="B2150" i="4"/>
  <c r="A2150" i="4"/>
  <c r="B2149" i="4"/>
  <c r="C2149" i="4" s="1"/>
  <c r="A2149" i="4"/>
  <c r="B2148" i="4"/>
  <c r="A2148" i="4"/>
  <c r="C2148" i="4" s="1"/>
  <c r="B2147" i="4"/>
  <c r="A2147" i="4"/>
  <c r="C2146" i="4"/>
  <c r="B2146" i="4"/>
  <c r="A2146" i="4"/>
  <c r="B2145" i="4"/>
  <c r="C2145" i="4" s="1"/>
  <c r="A2145" i="4"/>
  <c r="B2144" i="4"/>
  <c r="A2144" i="4"/>
  <c r="C2144" i="4" s="1"/>
  <c r="B2143" i="4"/>
  <c r="A2143" i="4"/>
  <c r="B2142" i="4"/>
  <c r="A2142" i="4"/>
  <c r="C2142" i="4" s="1"/>
  <c r="B2141" i="4"/>
  <c r="C2141" i="4" s="1"/>
  <c r="A2141" i="4"/>
  <c r="B2140" i="4"/>
  <c r="A2140" i="4"/>
  <c r="C2140" i="4" s="1"/>
  <c r="B2139" i="4"/>
  <c r="A2139" i="4"/>
  <c r="B2138" i="4"/>
  <c r="A2138" i="4"/>
  <c r="C2138" i="4" s="1"/>
  <c r="B2137" i="4"/>
  <c r="C2137" i="4" s="1"/>
  <c r="A2137" i="4"/>
  <c r="B2136" i="4"/>
  <c r="A2136" i="4"/>
  <c r="C2136" i="4" s="1"/>
  <c r="B2135" i="4"/>
  <c r="A2135" i="4"/>
  <c r="C2134" i="4"/>
  <c r="B2134" i="4"/>
  <c r="A2134" i="4"/>
  <c r="B2133" i="4"/>
  <c r="C2133" i="4" s="1"/>
  <c r="A2133" i="4"/>
  <c r="B2132" i="4"/>
  <c r="A2132" i="4"/>
  <c r="C2132" i="4" s="1"/>
  <c r="B2131" i="4"/>
  <c r="A2131" i="4"/>
  <c r="C2130" i="4"/>
  <c r="B2130" i="4"/>
  <c r="A2130" i="4"/>
  <c r="B2129" i="4"/>
  <c r="C2129" i="4" s="1"/>
  <c r="A2129" i="4"/>
  <c r="B2128" i="4"/>
  <c r="A2128" i="4"/>
  <c r="C2128" i="4" s="1"/>
  <c r="B2127" i="4"/>
  <c r="A2127" i="4"/>
  <c r="B2126" i="4"/>
  <c r="A2126" i="4"/>
  <c r="C2126" i="4" s="1"/>
  <c r="B2125" i="4"/>
  <c r="C2125" i="4" s="1"/>
  <c r="A2125" i="4"/>
  <c r="B2124" i="4"/>
  <c r="A2124" i="4"/>
  <c r="C2124" i="4" s="1"/>
  <c r="B2123" i="4"/>
  <c r="A2123" i="4"/>
  <c r="B2122" i="4"/>
  <c r="A2122" i="4"/>
  <c r="C2122" i="4" s="1"/>
  <c r="B2121" i="4"/>
  <c r="C2121" i="4" s="1"/>
  <c r="A2121" i="4"/>
  <c r="B2120" i="4"/>
  <c r="A2120" i="4"/>
  <c r="C2120" i="4" s="1"/>
  <c r="B2119" i="4"/>
  <c r="A2119" i="4"/>
  <c r="B2118" i="4"/>
  <c r="A2118" i="4"/>
  <c r="C2118" i="4" s="1"/>
  <c r="B2117" i="4"/>
  <c r="C2117" i="4" s="1"/>
  <c r="A2117" i="4"/>
  <c r="B2116" i="4"/>
  <c r="A2116" i="4"/>
  <c r="C2116" i="4" s="1"/>
  <c r="B2115" i="4"/>
  <c r="A2115" i="4"/>
  <c r="C2114" i="4"/>
  <c r="B2114" i="4"/>
  <c r="A2114" i="4"/>
  <c r="B2113" i="4"/>
  <c r="C2113" i="4" s="1"/>
  <c r="A2113" i="4"/>
  <c r="B2112" i="4"/>
  <c r="A2112" i="4"/>
  <c r="C2112" i="4" s="1"/>
  <c r="B2111" i="4"/>
  <c r="A2111" i="4"/>
  <c r="C2110" i="4"/>
  <c r="B2110" i="4"/>
  <c r="A2110" i="4"/>
  <c r="B2109" i="4"/>
  <c r="C2109" i="4" s="1"/>
  <c r="A2109" i="4"/>
  <c r="B2108" i="4"/>
  <c r="A2108" i="4"/>
  <c r="C2108" i="4" s="1"/>
  <c r="B2107" i="4"/>
  <c r="A2107" i="4"/>
  <c r="B2106" i="4"/>
  <c r="A2106" i="4"/>
  <c r="C2106" i="4" s="1"/>
  <c r="B2105" i="4"/>
  <c r="C2105" i="4" s="1"/>
  <c r="A2105" i="4"/>
  <c r="B2104" i="4"/>
  <c r="A2104" i="4"/>
  <c r="C2104" i="4" s="1"/>
  <c r="B2103" i="4"/>
  <c r="A2103" i="4"/>
  <c r="B2102" i="4"/>
  <c r="A2102" i="4"/>
  <c r="C2102" i="4" s="1"/>
  <c r="B2101" i="4"/>
  <c r="C2101" i="4" s="1"/>
  <c r="A2101" i="4"/>
  <c r="B2100" i="4"/>
  <c r="A2100" i="4"/>
  <c r="C2100" i="4" s="1"/>
  <c r="B2099" i="4"/>
  <c r="A2099" i="4"/>
  <c r="C2098" i="4"/>
  <c r="B2098" i="4"/>
  <c r="A2098" i="4"/>
  <c r="B2097" i="4"/>
  <c r="C2097" i="4" s="1"/>
  <c r="A2097" i="4"/>
  <c r="B2096" i="4"/>
  <c r="A2096" i="4"/>
  <c r="C2096" i="4" s="1"/>
  <c r="B2095" i="4"/>
  <c r="A2095" i="4"/>
  <c r="C2094" i="4"/>
  <c r="B2094" i="4"/>
  <c r="A2094" i="4"/>
  <c r="B2093" i="4"/>
  <c r="C2093" i="4" s="1"/>
  <c r="A2093" i="4"/>
  <c r="B2092" i="4"/>
  <c r="A2092" i="4"/>
  <c r="C2092" i="4" s="1"/>
  <c r="B2091" i="4"/>
  <c r="A2091" i="4"/>
  <c r="B2090" i="4"/>
  <c r="A2090" i="4"/>
  <c r="C2090" i="4" s="1"/>
  <c r="B2089" i="4"/>
  <c r="C2089" i="4" s="1"/>
  <c r="A2089" i="4"/>
  <c r="B2088" i="4"/>
  <c r="A2088" i="4"/>
  <c r="C2088" i="4" s="1"/>
  <c r="B2087" i="4"/>
  <c r="A2087" i="4"/>
  <c r="C2086" i="4"/>
  <c r="B2086" i="4"/>
  <c r="A2086" i="4"/>
  <c r="B2085" i="4"/>
  <c r="C2085" i="4" s="1"/>
  <c r="A2085" i="4"/>
  <c r="B2084" i="4"/>
  <c r="A2084" i="4"/>
  <c r="C2084" i="4" s="1"/>
  <c r="B2083" i="4"/>
  <c r="A2083" i="4"/>
  <c r="C2082" i="4"/>
  <c r="B2082" i="4"/>
  <c r="A2082" i="4"/>
  <c r="B2081" i="4"/>
  <c r="C2081" i="4" s="1"/>
  <c r="A2081" i="4"/>
  <c r="B2080" i="4"/>
  <c r="A2080" i="4"/>
  <c r="C2080" i="4" s="1"/>
  <c r="B2079" i="4"/>
  <c r="A2079" i="4"/>
  <c r="B2078" i="4"/>
  <c r="A2078" i="4"/>
  <c r="C2078" i="4" s="1"/>
  <c r="B2077" i="4"/>
  <c r="C2077" i="4" s="1"/>
  <c r="A2077" i="4"/>
  <c r="B2076" i="4"/>
  <c r="A2076" i="4"/>
  <c r="C2076" i="4" s="1"/>
  <c r="B2075" i="4"/>
  <c r="A2075" i="4"/>
  <c r="B2074" i="4"/>
  <c r="A2074" i="4"/>
  <c r="C2074" i="4" s="1"/>
  <c r="B2073" i="4"/>
  <c r="C2073" i="4" s="1"/>
  <c r="A2073" i="4"/>
  <c r="B2072" i="4"/>
  <c r="A2072" i="4"/>
  <c r="C2072" i="4" s="1"/>
  <c r="B2071" i="4"/>
  <c r="A2071" i="4"/>
  <c r="C2070" i="4"/>
  <c r="B2070" i="4"/>
  <c r="A2070" i="4"/>
  <c r="B2069" i="4"/>
  <c r="C2069" i="4" s="1"/>
  <c r="A2069" i="4"/>
  <c r="C2068" i="4"/>
  <c r="B2068" i="4"/>
  <c r="A2068" i="4"/>
  <c r="B2067" i="4"/>
  <c r="A2067" i="4"/>
  <c r="B2066" i="4"/>
  <c r="A2066" i="4"/>
  <c r="C2066" i="4" s="1"/>
  <c r="B2065" i="4"/>
  <c r="C2065" i="4" s="1"/>
  <c r="A2065" i="4"/>
  <c r="B2064" i="4"/>
  <c r="A2064" i="4"/>
  <c r="C2064" i="4" s="1"/>
  <c r="B2063" i="4"/>
  <c r="A2063" i="4"/>
  <c r="B2062" i="4"/>
  <c r="A2062" i="4"/>
  <c r="C2062" i="4" s="1"/>
  <c r="B2061" i="4"/>
  <c r="C2061" i="4" s="1"/>
  <c r="A2061" i="4"/>
  <c r="B2060" i="4"/>
  <c r="A2060" i="4"/>
  <c r="C2060" i="4" s="1"/>
  <c r="B2059" i="4"/>
  <c r="A2059" i="4"/>
  <c r="B2058" i="4"/>
  <c r="A2058" i="4"/>
  <c r="C2058" i="4" s="1"/>
  <c r="B2057" i="4"/>
  <c r="C2057" i="4" s="1"/>
  <c r="A2057" i="4"/>
  <c r="B2056" i="4"/>
  <c r="A2056" i="4"/>
  <c r="C2056" i="4" s="1"/>
  <c r="B2055" i="4"/>
  <c r="A2055" i="4"/>
  <c r="C2054" i="4"/>
  <c r="B2054" i="4"/>
  <c r="A2054" i="4"/>
  <c r="B2053" i="4"/>
  <c r="C2053" i="4" s="1"/>
  <c r="A2053" i="4"/>
  <c r="C2052" i="4"/>
  <c r="B2052" i="4"/>
  <c r="A2052" i="4"/>
  <c r="B2051" i="4"/>
  <c r="A2051" i="4"/>
  <c r="B2050" i="4"/>
  <c r="A2050" i="4"/>
  <c r="C2050" i="4" s="1"/>
  <c r="B2049" i="4"/>
  <c r="C2049" i="4" s="1"/>
  <c r="A2049" i="4"/>
  <c r="B2048" i="4"/>
  <c r="A2048" i="4"/>
  <c r="C2048" i="4" s="1"/>
  <c r="B2047" i="4"/>
  <c r="A2047" i="4"/>
  <c r="B2046" i="4"/>
  <c r="A2046" i="4"/>
  <c r="C2046" i="4" s="1"/>
  <c r="B2045" i="4"/>
  <c r="C2045" i="4" s="1"/>
  <c r="A2045" i="4"/>
  <c r="C2044" i="4"/>
  <c r="B2044" i="4"/>
  <c r="A2044" i="4"/>
  <c r="B2043" i="4"/>
  <c r="A2043" i="4"/>
  <c r="C2042" i="4"/>
  <c r="B2042" i="4"/>
  <c r="A2042" i="4"/>
  <c r="B2041" i="4"/>
  <c r="C2041" i="4" s="1"/>
  <c r="A2041" i="4"/>
  <c r="B2040" i="4"/>
  <c r="A2040" i="4"/>
  <c r="C2040" i="4" s="1"/>
  <c r="B2039" i="4"/>
  <c r="A2039" i="4"/>
  <c r="B2038" i="4"/>
  <c r="A2038" i="4"/>
  <c r="C2038" i="4" s="1"/>
  <c r="B2037" i="4"/>
  <c r="C2037" i="4" s="1"/>
  <c r="A2037" i="4"/>
  <c r="C2036" i="4"/>
  <c r="B2036" i="4"/>
  <c r="A2036" i="4"/>
  <c r="B2035" i="4"/>
  <c r="A2035" i="4"/>
  <c r="C2034" i="4"/>
  <c r="B2034" i="4"/>
  <c r="A2034" i="4"/>
  <c r="B2033" i="4"/>
  <c r="C2033" i="4" s="1"/>
  <c r="A2033" i="4"/>
  <c r="B2032" i="4"/>
  <c r="A2032" i="4"/>
  <c r="C2032" i="4" s="1"/>
  <c r="B2031" i="4"/>
  <c r="A2031" i="4"/>
  <c r="B2030" i="4"/>
  <c r="A2030" i="4"/>
  <c r="C2030" i="4" s="1"/>
  <c r="B2029" i="4"/>
  <c r="C2029" i="4" s="1"/>
  <c r="A2029" i="4"/>
  <c r="C2028" i="4"/>
  <c r="B2028" i="4"/>
  <c r="A2028" i="4"/>
  <c r="B2027" i="4"/>
  <c r="A2027" i="4"/>
  <c r="C2026" i="4"/>
  <c r="B2026" i="4"/>
  <c r="A2026" i="4"/>
  <c r="B2025" i="4"/>
  <c r="C2025" i="4" s="1"/>
  <c r="A2025" i="4"/>
  <c r="B2024" i="4"/>
  <c r="A2024" i="4"/>
  <c r="C2024" i="4" s="1"/>
  <c r="B2023" i="4"/>
  <c r="A2023" i="4"/>
  <c r="C2022" i="4"/>
  <c r="B2022" i="4"/>
  <c r="A2022" i="4"/>
  <c r="B2021" i="4"/>
  <c r="C2021" i="4" s="1"/>
  <c r="A2021" i="4"/>
  <c r="C2020" i="4"/>
  <c r="B2020" i="4"/>
  <c r="A2020" i="4"/>
  <c r="B2019" i="4"/>
  <c r="A2019" i="4"/>
  <c r="B2018" i="4"/>
  <c r="A2018" i="4"/>
  <c r="C2018" i="4" s="1"/>
  <c r="B2017" i="4"/>
  <c r="C2017" i="4" s="1"/>
  <c r="A2017" i="4"/>
  <c r="B2016" i="4"/>
  <c r="A2016" i="4"/>
  <c r="C2016" i="4" s="1"/>
  <c r="B2015" i="4"/>
  <c r="A2015" i="4"/>
  <c r="C2014" i="4"/>
  <c r="B2014" i="4"/>
  <c r="A2014" i="4"/>
  <c r="B2013" i="4"/>
  <c r="C2013" i="4" s="1"/>
  <c r="A2013" i="4"/>
  <c r="C2012" i="4"/>
  <c r="B2012" i="4"/>
  <c r="A2012" i="4"/>
  <c r="B2011" i="4"/>
  <c r="A2011" i="4"/>
  <c r="B2010" i="4"/>
  <c r="A2010" i="4"/>
  <c r="C2010" i="4" s="1"/>
  <c r="B2009" i="4"/>
  <c r="C2009" i="4" s="1"/>
  <c r="A2009" i="4"/>
  <c r="B2008" i="4"/>
  <c r="A2008" i="4"/>
  <c r="C2008" i="4" s="1"/>
  <c r="B2007" i="4"/>
  <c r="A2007" i="4"/>
  <c r="B2006" i="4"/>
  <c r="A2006" i="4"/>
  <c r="C2006" i="4" s="1"/>
  <c r="B2005" i="4"/>
  <c r="C2005" i="4" s="1"/>
  <c r="A2005" i="4"/>
  <c r="C2004" i="4"/>
  <c r="B2004" i="4"/>
  <c r="A2004" i="4"/>
  <c r="B2003" i="4"/>
  <c r="A2003" i="4"/>
  <c r="C2002" i="4"/>
  <c r="B2002" i="4"/>
  <c r="A2002" i="4"/>
  <c r="B2001" i="4"/>
  <c r="C2001" i="4" s="1"/>
  <c r="A2001" i="4"/>
  <c r="B2000" i="4"/>
  <c r="A2000" i="4"/>
  <c r="C2000" i="4" s="1"/>
  <c r="B1999" i="4"/>
  <c r="A1999" i="4"/>
  <c r="C1998" i="4"/>
  <c r="B1998" i="4"/>
  <c r="A1998" i="4"/>
  <c r="B1997" i="4"/>
  <c r="C1997" i="4" s="1"/>
  <c r="A1997" i="4"/>
  <c r="C1996" i="4"/>
  <c r="B1996" i="4"/>
  <c r="A1996" i="4"/>
  <c r="B1995" i="4"/>
  <c r="A1995" i="4"/>
  <c r="B1994" i="4"/>
  <c r="A1994" i="4"/>
  <c r="C1994" i="4" s="1"/>
  <c r="B1993" i="4"/>
  <c r="C1993" i="4" s="1"/>
  <c r="A1993" i="4"/>
  <c r="B1992" i="4"/>
  <c r="A1992" i="4"/>
  <c r="C1992" i="4" s="1"/>
  <c r="B1991" i="4"/>
  <c r="A1991" i="4"/>
  <c r="C1990" i="4"/>
  <c r="B1990" i="4"/>
  <c r="A1990" i="4"/>
  <c r="B1989" i="4"/>
  <c r="C1989" i="4" s="1"/>
  <c r="A1989" i="4"/>
  <c r="C1988" i="4"/>
  <c r="B1988" i="4"/>
  <c r="A1988" i="4"/>
  <c r="B1987" i="4"/>
  <c r="A1987" i="4"/>
  <c r="B1986" i="4"/>
  <c r="A1986" i="4"/>
  <c r="C1986" i="4" s="1"/>
  <c r="B1985" i="4"/>
  <c r="C1985" i="4" s="1"/>
  <c r="A1985" i="4"/>
  <c r="B1984" i="4"/>
  <c r="A1984" i="4"/>
  <c r="C1984" i="4" s="1"/>
  <c r="B1983" i="4"/>
  <c r="A1983" i="4"/>
  <c r="B1982" i="4"/>
  <c r="A1982" i="4"/>
  <c r="C1982" i="4" s="1"/>
  <c r="B1981" i="4"/>
  <c r="C1981" i="4" s="1"/>
  <c r="A1981" i="4"/>
  <c r="C1980" i="4"/>
  <c r="B1980" i="4"/>
  <c r="A1980" i="4"/>
  <c r="B1979" i="4"/>
  <c r="A1979" i="4"/>
  <c r="C1978" i="4"/>
  <c r="B1978" i="4"/>
  <c r="A1978" i="4"/>
  <c r="B1977" i="4"/>
  <c r="C1977" i="4" s="1"/>
  <c r="A1977" i="4"/>
  <c r="B1976" i="4"/>
  <c r="A1976" i="4"/>
  <c r="C1976" i="4" s="1"/>
  <c r="B1975" i="4"/>
  <c r="A1975" i="4"/>
  <c r="B1974" i="4"/>
  <c r="A1974" i="4"/>
  <c r="C1974" i="4" s="1"/>
  <c r="B1973" i="4"/>
  <c r="C1973" i="4" s="1"/>
  <c r="A1973" i="4"/>
  <c r="C1972" i="4"/>
  <c r="B1972" i="4"/>
  <c r="A1972" i="4"/>
  <c r="B1971" i="4"/>
  <c r="A1971" i="4"/>
  <c r="C1970" i="4"/>
  <c r="B1970" i="4"/>
  <c r="A1970" i="4"/>
  <c r="B1969" i="4"/>
  <c r="C1969" i="4" s="1"/>
  <c r="A1969" i="4"/>
  <c r="B1968" i="4"/>
  <c r="A1968" i="4"/>
  <c r="C1968" i="4" s="1"/>
  <c r="B1967" i="4"/>
  <c r="A1967" i="4"/>
  <c r="B1966" i="4"/>
  <c r="A1966" i="4"/>
  <c r="C1966" i="4" s="1"/>
  <c r="B1965" i="4"/>
  <c r="C1965" i="4" s="1"/>
  <c r="A1965" i="4"/>
  <c r="C1964" i="4"/>
  <c r="B1964" i="4"/>
  <c r="A1964" i="4"/>
  <c r="B1963" i="4"/>
  <c r="A1963" i="4"/>
  <c r="C1962" i="4"/>
  <c r="B1962" i="4"/>
  <c r="A1962" i="4"/>
  <c r="B1961" i="4"/>
  <c r="C1961" i="4" s="1"/>
  <c r="A1961" i="4"/>
  <c r="B1960" i="4"/>
  <c r="A1960" i="4"/>
  <c r="C1960" i="4" s="1"/>
  <c r="B1959" i="4"/>
  <c r="A1959" i="4"/>
  <c r="C1958" i="4"/>
  <c r="B1958" i="4"/>
  <c r="A1958" i="4"/>
  <c r="B1957" i="4"/>
  <c r="C1957" i="4" s="1"/>
  <c r="A1957" i="4"/>
  <c r="C1956" i="4"/>
  <c r="B1956" i="4"/>
  <c r="A1956" i="4"/>
  <c r="B1955" i="4"/>
  <c r="A1955" i="4"/>
  <c r="B1954" i="4"/>
  <c r="A1954" i="4"/>
  <c r="C1954" i="4" s="1"/>
  <c r="B1953" i="4"/>
  <c r="C1953" i="4" s="1"/>
  <c r="A1953" i="4"/>
  <c r="B1952" i="4"/>
  <c r="A1952" i="4"/>
  <c r="C1952" i="4" s="1"/>
  <c r="B1951" i="4"/>
  <c r="A1951" i="4"/>
  <c r="C1950" i="4"/>
  <c r="B1950" i="4"/>
  <c r="A1950" i="4"/>
  <c r="B1949" i="4"/>
  <c r="C1949" i="4" s="1"/>
  <c r="A1949" i="4"/>
  <c r="C1948" i="4"/>
  <c r="B1948" i="4"/>
  <c r="A1948" i="4"/>
  <c r="B1947" i="4"/>
  <c r="A1947" i="4"/>
  <c r="B1946" i="4"/>
  <c r="A1946" i="4"/>
  <c r="C1946" i="4" s="1"/>
  <c r="B1945" i="4"/>
  <c r="C1945" i="4" s="1"/>
  <c r="A1945" i="4"/>
  <c r="B1944" i="4"/>
  <c r="A1944" i="4"/>
  <c r="C1944" i="4" s="1"/>
  <c r="B1943" i="4"/>
  <c r="A1943" i="4"/>
  <c r="B1942" i="4"/>
  <c r="A1942" i="4"/>
  <c r="C1942" i="4" s="1"/>
  <c r="B1941" i="4"/>
  <c r="C1941" i="4" s="1"/>
  <c r="A1941" i="4"/>
  <c r="C1940" i="4"/>
  <c r="B1940" i="4"/>
  <c r="A1940" i="4"/>
  <c r="B1939" i="4"/>
  <c r="A1939" i="4"/>
  <c r="C1938" i="4"/>
  <c r="B1938" i="4"/>
  <c r="A1938" i="4"/>
  <c r="B1937" i="4"/>
  <c r="C1937" i="4" s="1"/>
  <c r="A1937" i="4"/>
  <c r="B1936" i="4"/>
  <c r="A1936" i="4"/>
  <c r="C1936" i="4" s="1"/>
  <c r="B1935" i="4"/>
  <c r="A1935" i="4"/>
  <c r="C1934" i="4"/>
  <c r="B1934" i="4"/>
  <c r="A1934" i="4"/>
  <c r="B1933" i="4"/>
  <c r="C1933" i="4" s="1"/>
  <c r="A1933" i="4"/>
  <c r="C1932" i="4"/>
  <c r="B1932" i="4"/>
  <c r="A1932" i="4"/>
  <c r="B1931" i="4"/>
  <c r="A1931" i="4"/>
  <c r="B1930" i="4"/>
  <c r="A1930" i="4"/>
  <c r="C1930" i="4" s="1"/>
  <c r="B1929" i="4"/>
  <c r="C1929" i="4" s="1"/>
  <c r="A1929" i="4"/>
  <c r="B1928" i="4"/>
  <c r="A1928" i="4"/>
  <c r="C1928" i="4" s="1"/>
  <c r="B1927" i="4"/>
  <c r="A1927" i="4"/>
  <c r="C1926" i="4"/>
  <c r="B1926" i="4"/>
  <c r="A1926" i="4"/>
  <c r="B1925" i="4"/>
  <c r="C1925" i="4" s="1"/>
  <c r="A1925" i="4"/>
  <c r="C1924" i="4"/>
  <c r="B1924" i="4"/>
  <c r="A1924" i="4"/>
  <c r="B1923" i="4"/>
  <c r="A1923" i="4"/>
  <c r="B1922" i="4"/>
  <c r="A1922" i="4"/>
  <c r="C1922" i="4" s="1"/>
  <c r="B1921" i="4"/>
  <c r="C1921" i="4" s="1"/>
  <c r="A1921" i="4"/>
  <c r="B1920" i="4"/>
  <c r="A1920" i="4"/>
  <c r="C1920" i="4" s="1"/>
  <c r="B1919" i="4"/>
  <c r="A1919" i="4"/>
  <c r="B1918" i="4"/>
  <c r="A1918" i="4"/>
  <c r="C1918" i="4" s="1"/>
  <c r="B1917" i="4"/>
  <c r="C1917" i="4" s="1"/>
  <c r="A1917" i="4"/>
  <c r="C1916" i="4"/>
  <c r="B1916" i="4"/>
  <c r="A1916" i="4"/>
  <c r="B1915" i="4"/>
  <c r="A1915" i="4"/>
  <c r="C1914" i="4"/>
  <c r="B1914" i="4"/>
  <c r="A1914" i="4"/>
  <c r="B1913" i="4"/>
  <c r="C1913" i="4" s="1"/>
  <c r="A1913" i="4"/>
  <c r="B1912" i="4"/>
  <c r="A1912" i="4"/>
  <c r="C1912" i="4" s="1"/>
  <c r="B1911" i="4"/>
  <c r="A1911" i="4"/>
  <c r="B1910" i="4"/>
  <c r="A1910" i="4"/>
  <c r="C1910" i="4" s="1"/>
  <c r="B1909" i="4"/>
  <c r="C1909" i="4" s="1"/>
  <c r="A1909" i="4"/>
  <c r="C1908" i="4"/>
  <c r="B1908" i="4"/>
  <c r="A1908" i="4"/>
  <c r="B1907" i="4"/>
  <c r="A1907" i="4"/>
  <c r="C1906" i="4"/>
  <c r="B1906" i="4"/>
  <c r="A1906" i="4"/>
  <c r="B1905" i="4"/>
  <c r="C1905" i="4" s="1"/>
  <c r="A1905" i="4"/>
  <c r="B1904" i="4"/>
  <c r="A1904" i="4"/>
  <c r="C1904" i="4" s="1"/>
  <c r="B1903" i="4"/>
  <c r="A1903" i="4"/>
  <c r="B1902" i="4"/>
  <c r="A1902" i="4"/>
  <c r="C1902" i="4" s="1"/>
  <c r="B1901" i="4"/>
  <c r="C1901" i="4" s="1"/>
  <c r="A1901" i="4"/>
  <c r="C1900" i="4"/>
  <c r="B1900" i="4"/>
  <c r="A1900" i="4"/>
  <c r="B1899" i="4"/>
  <c r="A1899" i="4"/>
  <c r="C1898" i="4"/>
  <c r="B1898" i="4"/>
  <c r="A1898" i="4"/>
  <c r="B1897" i="4"/>
  <c r="C1897" i="4" s="1"/>
  <c r="A1897" i="4"/>
  <c r="B1896" i="4"/>
  <c r="A1896" i="4"/>
  <c r="C1896" i="4" s="1"/>
  <c r="B1895" i="4"/>
  <c r="A1895" i="4"/>
  <c r="C1894" i="4"/>
  <c r="B1894" i="4"/>
  <c r="A1894" i="4"/>
  <c r="B1893" i="4"/>
  <c r="C1893" i="4" s="1"/>
  <c r="A1893" i="4"/>
  <c r="C1892" i="4"/>
  <c r="B1892" i="4"/>
  <c r="A1892" i="4"/>
  <c r="B1891" i="4"/>
  <c r="A1891" i="4"/>
  <c r="B1890" i="4"/>
  <c r="A1890" i="4"/>
  <c r="C1890" i="4" s="1"/>
  <c r="B1889" i="4"/>
  <c r="C1889" i="4" s="1"/>
  <c r="A1889" i="4"/>
  <c r="B1888" i="4"/>
  <c r="A1888" i="4"/>
  <c r="C1888" i="4" s="1"/>
  <c r="B1887" i="4"/>
  <c r="A1887" i="4"/>
  <c r="C1886" i="4"/>
  <c r="B1886" i="4"/>
  <c r="A1886" i="4"/>
  <c r="B1885" i="4"/>
  <c r="C1885" i="4" s="1"/>
  <c r="A1885" i="4"/>
  <c r="C1884" i="4"/>
  <c r="B1884" i="4"/>
  <c r="A1884" i="4"/>
  <c r="B1883" i="4"/>
  <c r="A1883" i="4"/>
  <c r="B1882" i="4"/>
  <c r="A1882" i="4"/>
  <c r="C1882" i="4" s="1"/>
  <c r="B1881" i="4"/>
  <c r="C1881" i="4" s="1"/>
  <c r="A1881" i="4"/>
  <c r="B1880" i="4"/>
  <c r="A1880" i="4"/>
  <c r="C1880" i="4" s="1"/>
  <c r="B1879" i="4"/>
  <c r="A1879" i="4"/>
  <c r="B1878" i="4"/>
  <c r="A1878" i="4"/>
  <c r="C1878" i="4" s="1"/>
  <c r="B1877" i="4"/>
  <c r="C1877" i="4" s="1"/>
  <c r="A1877" i="4"/>
  <c r="C1876" i="4"/>
  <c r="B1876" i="4"/>
  <c r="A1876" i="4"/>
  <c r="B1875" i="4"/>
  <c r="A1875" i="4"/>
  <c r="C1874" i="4"/>
  <c r="B1874" i="4"/>
  <c r="A1874" i="4"/>
  <c r="B1873" i="4"/>
  <c r="C1873" i="4" s="1"/>
  <c r="A1873" i="4"/>
  <c r="B1872" i="4"/>
  <c r="A1872" i="4"/>
  <c r="C1872" i="4" s="1"/>
  <c r="B1871" i="4"/>
  <c r="A1871" i="4"/>
  <c r="C1870" i="4"/>
  <c r="B1870" i="4"/>
  <c r="A1870" i="4"/>
  <c r="B1869" i="4"/>
  <c r="C1869" i="4" s="1"/>
  <c r="A1869" i="4"/>
  <c r="C1868" i="4"/>
  <c r="B1868" i="4"/>
  <c r="A1868" i="4"/>
  <c r="B1867" i="4"/>
  <c r="A1867" i="4"/>
  <c r="B1866" i="4"/>
  <c r="A1866" i="4"/>
  <c r="C1866" i="4" s="1"/>
  <c r="B1865" i="4"/>
  <c r="C1865" i="4" s="1"/>
  <c r="A1865" i="4"/>
  <c r="B1864" i="4"/>
  <c r="A1864" i="4"/>
  <c r="C1864" i="4" s="1"/>
  <c r="B1863" i="4"/>
  <c r="A1863" i="4"/>
  <c r="C1862" i="4"/>
  <c r="B1862" i="4"/>
  <c r="A1862" i="4"/>
  <c r="B1861" i="4"/>
  <c r="C1861" i="4" s="1"/>
  <c r="A1861" i="4"/>
  <c r="C1860" i="4"/>
  <c r="B1860" i="4"/>
  <c r="A1860" i="4"/>
  <c r="B1859" i="4"/>
  <c r="A1859" i="4"/>
  <c r="B1858" i="4"/>
  <c r="A1858" i="4"/>
  <c r="C1858" i="4" s="1"/>
  <c r="B1857" i="4"/>
  <c r="C1857" i="4" s="1"/>
  <c r="A1857" i="4"/>
  <c r="B1856" i="4"/>
  <c r="A1856" i="4"/>
  <c r="C1856" i="4" s="1"/>
  <c r="B1855" i="4"/>
  <c r="A1855" i="4"/>
  <c r="B1854" i="4"/>
  <c r="A1854" i="4"/>
  <c r="C1854" i="4" s="1"/>
  <c r="B1853" i="4"/>
  <c r="C1853" i="4" s="1"/>
  <c r="A1853" i="4"/>
  <c r="C1852" i="4"/>
  <c r="B1852" i="4"/>
  <c r="A1852" i="4"/>
  <c r="B1851" i="4"/>
  <c r="A1851" i="4"/>
  <c r="C1850" i="4"/>
  <c r="B1850" i="4"/>
  <c r="A1850" i="4"/>
  <c r="B1849" i="4"/>
  <c r="C1849" i="4" s="1"/>
  <c r="A1849" i="4"/>
  <c r="B1848" i="4"/>
  <c r="A1848" i="4"/>
  <c r="C1848" i="4" s="1"/>
  <c r="B1847" i="4"/>
  <c r="A1847" i="4"/>
  <c r="B1846" i="4"/>
  <c r="A1846" i="4"/>
  <c r="C1846" i="4" s="1"/>
  <c r="B1845" i="4"/>
  <c r="C1845" i="4" s="1"/>
  <c r="A1845" i="4"/>
  <c r="C1844" i="4"/>
  <c r="B1844" i="4"/>
  <c r="A1844" i="4"/>
  <c r="B1843" i="4"/>
  <c r="A1843" i="4"/>
  <c r="C1842" i="4"/>
  <c r="B1842" i="4"/>
  <c r="A1842" i="4"/>
  <c r="B1841" i="4"/>
  <c r="C1841" i="4" s="1"/>
  <c r="A1841" i="4"/>
  <c r="B1840" i="4"/>
  <c r="A1840" i="4"/>
  <c r="C1840" i="4" s="1"/>
  <c r="B1839" i="4"/>
  <c r="A1839" i="4"/>
  <c r="B1838" i="4"/>
  <c r="A1838" i="4"/>
  <c r="C1838" i="4" s="1"/>
  <c r="B1837" i="4"/>
  <c r="C1837" i="4" s="1"/>
  <c r="A1837" i="4"/>
  <c r="C1836" i="4"/>
  <c r="B1836" i="4"/>
  <c r="A1836" i="4"/>
  <c r="B1835" i="4"/>
  <c r="A1835" i="4"/>
  <c r="C1834" i="4"/>
  <c r="B1834" i="4"/>
  <c r="A1834" i="4"/>
  <c r="B1833" i="4"/>
  <c r="C1833" i="4" s="1"/>
  <c r="A1833" i="4"/>
  <c r="B1832" i="4"/>
  <c r="A1832" i="4"/>
  <c r="C1832" i="4" s="1"/>
  <c r="B1831" i="4"/>
  <c r="A1831" i="4"/>
  <c r="C1830" i="4"/>
  <c r="B1830" i="4"/>
  <c r="A1830" i="4"/>
  <c r="B1829" i="4"/>
  <c r="C1829" i="4" s="1"/>
  <c r="A1829" i="4"/>
  <c r="C1828" i="4"/>
  <c r="B1828" i="4"/>
  <c r="A1828" i="4"/>
  <c r="B1827" i="4"/>
  <c r="A1827" i="4"/>
  <c r="B1826" i="4"/>
  <c r="A1826" i="4"/>
  <c r="C1826" i="4" s="1"/>
  <c r="B1825" i="4"/>
  <c r="C1825" i="4" s="1"/>
  <c r="A1825" i="4"/>
  <c r="B1824" i="4"/>
  <c r="A1824" i="4"/>
  <c r="C1824" i="4" s="1"/>
  <c r="B1823" i="4"/>
  <c r="A1823" i="4"/>
  <c r="C1822" i="4"/>
  <c r="B1822" i="4"/>
  <c r="A1822" i="4"/>
  <c r="B1821" i="4"/>
  <c r="C1821" i="4" s="1"/>
  <c r="A1821" i="4"/>
  <c r="C1820" i="4"/>
  <c r="B1820" i="4"/>
  <c r="A1820" i="4"/>
  <c r="B1819" i="4"/>
  <c r="A1819" i="4"/>
  <c r="B1818" i="4"/>
  <c r="A1818" i="4"/>
  <c r="C1818" i="4" s="1"/>
  <c r="B1817" i="4"/>
  <c r="C1817" i="4" s="1"/>
  <c r="A1817" i="4"/>
  <c r="B1816" i="4"/>
  <c r="A1816" i="4"/>
  <c r="C1816" i="4" s="1"/>
  <c r="B1815" i="4"/>
  <c r="A1815" i="4"/>
  <c r="B1814" i="4"/>
  <c r="A1814" i="4"/>
  <c r="C1814" i="4" s="1"/>
  <c r="B1813" i="4"/>
  <c r="C1813" i="4" s="1"/>
  <c r="A1813" i="4"/>
  <c r="C1812" i="4"/>
  <c r="B1812" i="4"/>
  <c r="A1812" i="4"/>
  <c r="B1811" i="4"/>
  <c r="A1811" i="4"/>
  <c r="C1810" i="4"/>
  <c r="B1810" i="4"/>
  <c r="A1810" i="4"/>
  <c r="B1809" i="4"/>
  <c r="C1809" i="4" s="1"/>
  <c r="A1809" i="4"/>
  <c r="B1808" i="4"/>
  <c r="A1808" i="4"/>
  <c r="C1808" i="4" s="1"/>
  <c r="B1807" i="4"/>
  <c r="A1807" i="4"/>
  <c r="C1806" i="4"/>
  <c r="B1806" i="4"/>
  <c r="A1806" i="4"/>
  <c r="B1805" i="4"/>
  <c r="C1805" i="4" s="1"/>
  <c r="A1805" i="4"/>
  <c r="C1804" i="4"/>
  <c r="B1804" i="4"/>
  <c r="A1804" i="4"/>
  <c r="B1803" i="4"/>
  <c r="A1803" i="4"/>
  <c r="B1802" i="4"/>
  <c r="A1802" i="4"/>
  <c r="C1802" i="4" s="1"/>
  <c r="B1801" i="4"/>
  <c r="C1801" i="4" s="1"/>
  <c r="A1801" i="4"/>
  <c r="B1800" i="4"/>
  <c r="A1800" i="4"/>
  <c r="C1800" i="4" s="1"/>
  <c r="B1799" i="4"/>
  <c r="A1799" i="4"/>
  <c r="C1798" i="4"/>
  <c r="B1798" i="4"/>
  <c r="A1798" i="4"/>
  <c r="B1797" i="4"/>
  <c r="C1797" i="4" s="1"/>
  <c r="A1797" i="4"/>
  <c r="C1796" i="4"/>
  <c r="B1796" i="4"/>
  <c r="A1796" i="4"/>
  <c r="B1795" i="4"/>
  <c r="A1795" i="4"/>
  <c r="B1794" i="4"/>
  <c r="A1794" i="4"/>
  <c r="C1794" i="4" s="1"/>
  <c r="B1793" i="4"/>
  <c r="C1793" i="4" s="1"/>
  <c r="A1793" i="4"/>
  <c r="B1792" i="4"/>
  <c r="A1792" i="4"/>
  <c r="C1792" i="4" s="1"/>
  <c r="B1791" i="4"/>
  <c r="A1791" i="4"/>
  <c r="B1790" i="4"/>
  <c r="A1790" i="4"/>
  <c r="C1790" i="4" s="1"/>
  <c r="B1789" i="4"/>
  <c r="C1789" i="4" s="1"/>
  <c r="A1789" i="4"/>
  <c r="C1788" i="4"/>
  <c r="B1788" i="4"/>
  <c r="A1788" i="4"/>
  <c r="B1787" i="4"/>
  <c r="A1787" i="4"/>
  <c r="C1786" i="4"/>
  <c r="B1786" i="4"/>
  <c r="A1786" i="4"/>
  <c r="B1785" i="4"/>
  <c r="C1785" i="4" s="1"/>
  <c r="A1785" i="4"/>
  <c r="B1784" i="4"/>
  <c r="A1784" i="4"/>
  <c r="C1784" i="4" s="1"/>
  <c r="B1783" i="4"/>
  <c r="A1783" i="4"/>
  <c r="B1782" i="4"/>
  <c r="A1782" i="4"/>
  <c r="C1782" i="4" s="1"/>
  <c r="B1781" i="4"/>
  <c r="C1781" i="4" s="1"/>
  <c r="A1781" i="4"/>
  <c r="C1780" i="4"/>
  <c r="B1780" i="4"/>
  <c r="A1780" i="4"/>
  <c r="B1779" i="4"/>
  <c r="A1779" i="4"/>
  <c r="C1778" i="4"/>
  <c r="B1778" i="4"/>
  <c r="A1778" i="4"/>
  <c r="B1777" i="4"/>
  <c r="C1777" i="4" s="1"/>
  <c r="A1777" i="4"/>
  <c r="B1776" i="4"/>
  <c r="A1776" i="4"/>
  <c r="C1776" i="4" s="1"/>
  <c r="B1775" i="4"/>
  <c r="A1775" i="4"/>
  <c r="B1774" i="4"/>
  <c r="A1774" i="4"/>
  <c r="C1774" i="4" s="1"/>
  <c r="B1773" i="4"/>
  <c r="C1773" i="4" s="1"/>
  <c r="A1773" i="4"/>
  <c r="C1772" i="4"/>
  <c r="B1772" i="4"/>
  <c r="A1772" i="4"/>
  <c r="B1771" i="4"/>
  <c r="A1771" i="4"/>
  <c r="C1770" i="4"/>
  <c r="B1770" i="4"/>
  <c r="A1770" i="4"/>
  <c r="B1769" i="4"/>
  <c r="C1769" i="4" s="1"/>
  <c r="A1769" i="4"/>
  <c r="B1768" i="4"/>
  <c r="A1768" i="4"/>
  <c r="C1768" i="4" s="1"/>
  <c r="B1767" i="4"/>
  <c r="A1767" i="4"/>
  <c r="C1766" i="4"/>
  <c r="B1766" i="4"/>
  <c r="A1766" i="4"/>
  <c r="B1765" i="4"/>
  <c r="C1765" i="4" s="1"/>
  <c r="A1765" i="4"/>
  <c r="C1764" i="4"/>
  <c r="B1764" i="4"/>
  <c r="A1764" i="4"/>
  <c r="B1763" i="4"/>
  <c r="A1763" i="4"/>
  <c r="B1762" i="4"/>
  <c r="A1762" i="4"/>
  <c r="C1762" i="4" s="1"/>
  <c r="B1761" i="4"/>
  <c r="C1761" i="4" s="1"/>
  <c r="A1761" i="4"/>
  <c r="B1760" i="4"/>
  <c r="A1760" i="4"/>
  <c r="C1760" i="4" s="1"/>
  <c r="B1759" i="4"/>
  <c r="A1759" i="4"/>
  <c r="C1758" i="4"/>
  <c r="B1758" i="4"/>
  <c r="A1758" i="4"/>
  <c r="B1757" i="4"/>
  <c r="C1757" i="4" s="1"/>
  <c r="A1757" i="4"/>
  <c r="C1756" i="4"/>
  <c r="B1756" i="4"/>
  <c r="A1756" i="4"/>
  <c r="B1755" i="4"/>
  <c r="A1755" i="4"/>
  <c r="B1754" i="4"/>
  <c r="A1754" i="4"/>
  <c r="C1754" i="4" s="1"/>
  <c r="B1753" i="4"/>
  <c r="C1753" i="4" s="1"/>
  <c r="A1753" i="4"/>
  <c r="B1752" i="4"/>
  <c r="A1752" i="4"/>
  <c r="C1752" i="4" s="1"/>
  <c r="B1751" i="4"/>
  <c r="A1751" i="4"/>
  <c r="B1750" i="4"/>
  <c r="A1750" i="4"/>
  <c r="C1750" i="4" s="1"/>
  <c r="B1749" i="4"/>
  <c r="C1749" i="4" s="1"/>
  <c r="A1749" i="4"/>
  <c r="C1748" i="4"/>
  <c r="B1748" i="4"/>
  <c r="A1748" i="4"/>
  <c r="B1747" i="4"/>
  <c r="A1747" i="4"/>
  <c r="C1746" i="4"/>
  <c r="B1746" i="4"/>
  <c r="A1746" i="4"/>
  <c r="B1745" i="4"/>
  <c r="C1745" i="4" s="1"/>
  <c r="A1745" i="4"/>
  <c r="B1744" i="4"/>
  <c r="A1744" i="4"/>
  <c r="C1744" i="4" s="1"/>
  <c r="B1743" i="4"/>
  <c r="A1743" i="4"/>
  <c r="C1742" i="4"/>
  <c r="B1742" i="4"/>
  <c r="A1742" i="4"/>
  <c r="B1741" i="4"/>
  <c r="C1741" i="4" s="1"/>
  <c r="A1741" i="4"/>
  <c r="C1740" i="4"/>
  <c r="B1740" i="4"/>
  <c r="A1740" i="4"/>
  <c r="B1739" i="4"/>
  <c r="A1739" i="4"/>
  <c r="B1738" i="4"/>
  <c r="A1738" i="4"/>
  <c r="C1738" i="4" s="1"/>
  <c r="B1737" i="4"/>
  <c r="C1737" i="4" s="1"/>
  <c r="A1737" i="4"/>
  <c r="B1736" i="4"/>
  <c r="A1736" i="4"/>
  <c r="C1736" i="4" s="1"/>
  <c r="B1735" i="4"/>
  <c r="A1735" i="4"/>
  <c r="C1734" i="4"/>
  <c r="B1734" i="4"/>
  <c r="A1734" i="4"/>
  <c r="B1733" i="4"/>
  <c r="C1733" i="4" s="1"/>
  <c r="A1733" i="4"/>
  <c r="C1732" i="4"/>
  <c r="B1732" i="4"/>
  <c r="A1732" i="4"/>
  <c r="B1731" i="4"/>
  <c r="A1731" i="4"/>
  <c r="B1730" i="4"/>
  <c r="A1730" i="4"/>
  <c r="C1730" i="4" s="1"/>
  <c r="B1729" i="4"/>
  <c r="C1729" i="4" s="1"/>
  <c r="A1729" i="4"/>
  <c r="B1728" i="4"/>
  <c r="A1728" i="4"/>
  <c r="C1728" i="4" s="1"/>
  <c r="B1727" i="4"/>
  <c r="A1727" i="4"/>
  <c r="B1726" i="4"/>
  <c r="A1726" i="4"/>
  <c r="C1726" i="4" s="1"/>
  <c r="B1725" i="4"/>
  <c r="C1725" i="4" s="1"/>
  <c r="A1725" i="4"/>
  <c r="C1724" i="4"/>
  <c r="B1724" i="4"/>
  <c r="A1724" i="4"/>
  <c r="B1723" i="4"/>
  <c r="A1723" i="4"/>
  <c r="C1722" i="4"/>
  <c r="B1722" i="4"/>
  <c r="A1722" i="4"/>
  <c r="B1721" i="4"/>
  <c r="C1721" i="4" s="1"/>
  <c r="A1721" i="4"/>
  <c r="B1720" i="4"/>
  <c r="A1720" i="4"/>
  <c r="C1720" i="4" s="1"/>
  <c r="B1719" i="4"/>
  <c r="A1719" i="4"/>
  <c r="B1718" i="4"/>
  <c r="A1718" i="4"/>
  <c r="C1718" i="4" s="1"/>
  <c r="B1717" i="4"/>
  <c r="C1717" i="4" s="1"/>
  <c r="A1717" i="4"/>
  <c r="C1716" i="4"/>
  <c r="B1716" i="4"/>
  <c r="A1716" i="4"/>
  <c r="B1715" i="4"/>
  <c r="A1715" i="4"/>
  <c r="C1714" i="4"/>
  <c r="B1714" i="4"/>
  <c r="A1714" i="4"/>
  <c r="B1713" i="4"/>
  <c r="C1713" i="4" s="1"/>
  <c r="A1713" i="4"/>
  <c r="B1712" i="4"/>
  <c r="A1712" i="4"/>
  <c r="C1712" i="4" s="1"/>
  <c r="B1711" i="4"/>
  <c r="A1711" i="4"/>
  <c r="B1710" i="4"/>
  <c r="A1710" i="4"/>
  <c r="C1710" i="4" s="1"/>
  <c r="B1709" i="4"/>
  <c r="C1709" i="4" s="1"/>
  <c r="A1709" i="4"/>
  <c r="B1708" i="4"/>
  <c r="A1708" i="4"/>
  <c r="C1708" i="4" s="1"/>
  <c r="B1707" i="4"/>
  <c r="A1707" i="4"/>
  <c r="C1707" i="4" s="1"/>
  <c r="B1706" i="4"/>
  <c r="A1706" i="4"/>
  <c r="C1706" i="4" s="1"/>
  <c r="C1705" i="4"/>
  <c r="B1705" i="4"/>
  <c r="A1705" i="4"/>
  <c r="B1704" i="4"/>
  <c r="C1704" i="4" s="1"/>
  <c r="A1704" i="4"/>
  <c r="B1703" i="4"/>
  <c r="A1703" i="4"/>
  <c r="C1702" i="4"/>
  <c r="B1702" i="4"/>
  <c r="A1702" i="4"/>
  <c r="B1701" i="4"/>
  <c r="C1701" i="4" s="1"/>
  <c r="A1701" i="4"/>
  <c r="B1700" i="4"/>
  <c r="A1700" i="4"/>
  <c r="C1700" i="4" s="1"/>
  <c r="B1699" i="4"/>
  <c r="A1699" i="4"/>
  <c r="C1699" i="4" s="1"/>
  <c r="C1698" i="4"/>
  <c r="B1698" i="4"/>
  <c r="A1698" i="4"/>
  <c r="C1697" i="4"/>
  <c r="B1697" i="4"/>
  <c r="A1697" i="4"/>
  <c r="B1696" i="4"/>
  <c r="A1696" i="4"/>
  <c r="C1696" i="4" s="1"/>
  <c r="B1695" i="4"/>
  <c r="A1695" i="4"/>
  <c r="C1694" i="4"/>
  <c r="B1694" i="4"/>
  <c r="A1694" i="4"/>
  <c r="B1693" i="4"/>
  <c r="C1693" i="4" s="1"/>
  <c r="A1693" i="4"/>
  <c r="B1692" i="4"/>
  <c r="A1692" i="4"/>
  <c r="C1692" i="4" s="1"/>
  <c r="B1691" i="4"/>
  <c r="A1691" i="4"/>
  <c r="C1691" i="4" s="1"/>
  <c r="B1690" i="4"/>
  <c r="A1690" i="4"/>
  <c r="C1690" i="4" s="1"/>
  <c r="C1689" i="4"/>
  <c r="B1689" i="4"/>
  <c r="A1689" i="4"/>
  <c r="B1688" i="4"/>
  <c r="C1688" i="4" s="1"/>
  <c r="A1688" i="4"/>
  <c r="B1687" i="4"/>
  <c r="A1687" i="4"/>
  <c r="C1687" i="4" s="1"/>
  <c r="B1686" i="4"/>
  <c r="A1686" i="4"/>
  <c r="C1686" i="4" s="1"/>
  <c r="B1685" i="4"/>
  <c r="A1685" i="4"/>
  <c r="C1685" i="4" s="1"/>
  <c r="B1684" i="4"/>
  <c r="C1684" i="4" s="1"/>
  <c r="A1684" i="4"/>
  <c r="B1683" i="4"/>
  <c r="A1683" i="4"/>
  <c r="C1683" i="4" s="1"/>
  <c r="B1682" i="4"/>
  <c r="A1682" i="4"/>
  <c r="C1682" i="4" s="1"/>
  <c r="C1681" i="4"/>
  <c r="B1681" i="4"/>
  <c r="A1681" i="4"/>
  <c r="B1680" i="4"/>
  <c r="C1680" i="4" s="1"/>
  <c r="A1680" i="4"/>
  <c r="C1679" i="4"/>
  <c r="B1679" i="4"/>
  <c r="A1679" i="4"/>
  <c r="B1678" i="4"/>
  <c r="A1678" i="4"/>
  <c r="C1678" i="4" s="1"/>
  <c r="B1677" i="4"/>
  <c r="A1677" i="4"/>
  <c r="C1677" i="4" s="1"/>
  <c r="B1676" i="4"/>
  <c r="C1676" i="4" s="1"/>
  <c r="A1676" i="4"/>
  <c r="B1675" i="4"/>
  <c r="A1675" i="4"/>
  <c r="C1675" i="4" s="1"/>
  <c r="B1674" i="4"/>
  <c r="A1674" i="4"/>
  <c r="C1674" i="4" s="1"/>
  <c r="C1673" i="4"/>
  <c r="B1673" i="4"/>
  <c r="A1673" i="4"/>
  <c r="B1672" i="4"/>
  <c r="C1672" i="4" s="1"/>
  <c r="A1672" i="4"/>
  <c r="C1671" i="4"/>
  <c r="B1671" i="4"/>
  <c r="A1671" i="4"/>
  <c r="B1670" i="4"/>
  <c r="A1670" i="4"/>
  <c r="C1670" i="4" s="1"/>
  <c r="B1669" i="4"/>
  <c r="A1669" i="4"/>
  <c r="C1669" i="4" s="1"/>
  <c r="B1668" i="4"/>
  <c r="C1668" i="4" s="1"/>
  <c r="A1668" i="4"/>
  <c r="C1667" i="4"/>
  <c r="B1667" i="4"/>
  <c r="A1667" i="4"/>
  <c r="B1666" i="4"/>
  <c r="A1666" i="4"/>
  <c r="C1666" i="4" s="1"/>
  <c r="C1665" i="4"/>
  <c r="B1665" i="4"/>
  <c r="A1665" i="4"/>
  <c r="B1664" i="4"/>
  <c r="C1664" i="4" s="1"/>
  <c r="A1664" i="4"/>
  <c r="B1663" i="4"/>
  <c r="A1663" i="4"/>
  <c r="C1663" i="4" s="1"/>
  <c r="B1662" i="4"/>
  <c r="A1662" i="4"/>
  <c r="C1662" i="4" s="1"/>
  <c r="B1661" i="4"/>
  <c r="A1661" i="4"/>
  <c r="C1661" i="4" s="1"/>
  <c r="B1660" i="4"/>
  <c r="C1660" i="4" s="1"/>
  <c r="A1660" i="4"/>
  <c r="C1659" i="4"/>
  <c r="B1659" i="4"/>
  <c r="A1659" i="4"/>
  <c r="B1658" i="4"/>
  <c r="A1658" i="4"/>
  <c r="C1658" i="4" s="1"/>
  <c r="C1657" i="4"/>
  <c r="B1657" i="4"/>
  <c r="A1657" i="4"/>
  <c r="B1656" i="4"/>
  <c r="C1656" i="4" s="1"/>
  <c r="A1656" i="4"/>
  <c r="B1655" i="4"/>
  <c r="A1655" i="4"/>
  <c r="C1655" i="4" s="1"/>
  <c r="B1654" i="4"/>
  <c r="A1654" i="4"/>
  <c r="C1654" i="4" s="1"/>
  <c r="B1653" i="4"/>
  <c r="A1653" i="4"/>
  <c r="C1653" i="4" s="1"/>
  <c r="B1652" i="4"/>
  <c r="C1652" i="4" s="1"/>
  <c r="A1652" i="4"/>
  <c r="B1651" i="4"/>
  <c r="A1651" i="4"/>
  <c r="C1651" i="4" s="1"/>
  <c r="B1650" i="4"/>
  <c r="A1650" i="4"/>
  <c r="C1650" i="4" s="1"/>
  <c r="C1649" i="4"/>
  <c r="B1649" i="4"/>
  <c r="A1649" i="4"/>
  <c r="B1648" i="4"/>
  <c r="C1648" i="4" s="1"/>
  <c r="A1648" i="4"/>
  <c r="C1647" i="4"/>
  <c r="B1647" i="4"/>
  <c r="A1647" i="4"/>
  <c r="B1646" i="4"/>
  <c r="A1646" i="4"/>
  <c r="C1646" i="4" s="1"/>
  <c r="B1645" i="4"/>
  <c r="A1645" i="4"/>
  <c r="C1645" i="4" s="1"/>
  <c r="B1644" i="4"/>
  <c r="C1644" i="4" s="1"/>
  <c r="A1644" i="4"/>
  <c r="B1643" i="4"/>
  <c r="A1643" i="4"/>
  <c r="C1643" i="4" s="1"/>
  <c r="B1642" i="4"/>
  <c r="A1642" i="4"/>
  <c r="C1642" i="4" s="1"/>
  <c r="C1641" i="4"/>
  <c r="B1641" i="4"/>
  <c r="A1641" i="4"/>
  <c r="B1640" i="4"/>
  <c r="C1640" i="4" s="1"/>
  <c r="A1640" i="4"/>
  <c r="C1639" i="4"/>
  <c r="B1639" i="4"/>
  <c r="A1639" i="4"/>
  <c r="B1638" i="4"/>
  <c r="A1638" i="4"/>
  <c r="C1638" i="4" s="1"/>
  <c r="B1637" i="4"/>
  <c r="A1637" i="4"/>
  <c r="C1637" i="4" s="1"/>
  <c r="B1636" i="4"/>
  <c r="C1636" i="4" s="1"/>
  <c r="A1636" i="4"/>
  <c r="C1635" i="4"/>
  <c r="B1635" i="4"/>
  <c r="A1635" i="4"/>
  <c r="B1634" i="4"/>
  <c r="A1634" i="4"/>
  <c r="C1634" i="4" s="1"/>
  <c r="C1633" i="4"/>
  <c r="B1633" i="4"/>
  <c r="A1633" i="4"/>
  <c r="B1632" i="4"/>
  <c r="C1632" i="4" s="1"/>
  <c r="A1632" i="4"/>
  <c r="B1631" i="4"/>
  <c r="A1631" i="4"/>
  <c r="C1631" i="4" s="1"/>
  <c r="B1630" i="4"/>
  <c r="A1630" i="4"/>
  <c r="C1630" i="4" s="1"/>
  <c r="B1629" i="4"/>
  <c r="A1629" i="4"/>
  <c r="C1629" i="4" s="1"/>
  <c r="B1628" i="4"/>
  <c r="C1628" i="4" s="1"/>
  <c r="A1628" i="4"/>
  <c r="C1627" i="4"/>
  <c r="B1627" i="4"/>
  <c r="A1627" i="4"/>
  <c r="B1626" i="4"/>
  <c r="A1626" i="4"/>
  <c r="C1626" i="4" s="1"/>
  <c r="C1625" i="4"/>
  <c r="B1625" i="4"/>
  <c r="A1625" i="4"/>
  <c r="B1624" i="4"/>
  <c r="C1624" i="4" s="1"/>
  <c r="A1624" i="4"/>
  <c r="B1623" i="4"/>
  <c r="A1623" i="4"/>
  <c r="C1623" i="4" s="1"/>
  <c r="B1622" i="4"/>
  <c r="A1622" i="4"/>
  <c r="C1622" i="4" s="1"/>
  <c r="B1621" i="4"/>
  <c r="A1621" i="4"/>
  <c r="C1621" i="4" s="1"/>
  <c r="B1620" i="4"/>
  <c r="C1620" i="4" s="1"/>
  <c r="A1620" i="4"/>
  <c r="B1619" i="4"/>
  <c r="A1619" i="4"/>
  <c r="C1619" i="4" s="1"/>
  <c r="B1618" i="4"/>
  <c r="A1618" i="4"/>
  <c r="C1618" i="4" s="1"/>
  <c r="C1617" i="4"/>
  <c r="B1617" i="4"/>
  <c r="A1617" i="4"/>
  <c r="B1616" i="4"/>
  <c r="C1616" i="4" s="1"/>
  <c r="A1616" i="4"/>
  <c r="C1615" i="4"/>
  <c r="B1615" i="4"/>
  <c r="A1615" i="4"/>
  <c r="B1614" i="4"/>
  <c r="A1614" i="4"/>
  <c r="C1614" i="4" s="1"/>
  <c r="B1613" i="4"/>
  <c r="A1613" i="4"/>
  <c r="C1613" i="4" s="1"/>
  <c r="B1612" i="4"/>
  <c r="C1612" i="4" s="1"/>
  <c r="A1612" i="4"/>
  <c r="B1611" i="4"/>
  <c r="A1611" i="4"/>
  <c r="C1611" i="4" s="1"/>
  <c r="B1610" i="4"/>
  <c r="A1610" i="4"/>
  <c r="C1610" i="4" s="1"/>
  <c r="C1609" i="4"/>
  <c r="B1609" i="4"/>
  <c r="A1609" i="4"/>
  <c r="B1608" i="4"/>
  <c r="C1608" i="4" s="1"/>
  <c r="A1608" i="4"/>
  <c r="C1607" i="4"/>
  <c r="B1607" i="4"/>
  <c r="A1607" i="4"/>
  <c r="B1606" i="4"/>
  <c r="A1606" i="4"/>
  <c r="C1606" i="4" s="1"/>
  <c r="B1605" i="4"/>
  <c r="A1605" i="4"/>
  <c r="C1605" i="4" s="1"/>
  <c r="B1604" i="4"/>
  <c r="C1604" i="4" s="1"/>
  <c r="A1604" i="4"/>
  <c r="C1603" i="4"/>
  <c r="B1603" i="4"/>
  <c r="A1603" i="4"/>
  <c r="B1602" i="4"/>
  <c r="A1602" i="4"/>
  <c r="C1602" i="4" s="1"/>
  <c r="C1601" i="4"/>
  <c r="B1601" i="4"/>
  <c r="A1601" i="4"/>
  <c r="B1600" i="4"/>
  <c r="C1600" i="4" s="1"/>
  <c r="A1600" i="4"/>
  <c r="B1599" i="4"/>
  <c r="A1599" i="4"/>
  <c r="C1599" i="4" s="1"/>
  <c r="B1598" i="4"/>
  <c r="A1598" i="4"/>
  <c r="C1598" i="4" s="1"/>
  <c r="B1597" i="4"/>
  <c r="A1597" i="4"/>
  <c r="C1597" i="4" s="1"/>
  <c r="B1596" i="4"/>
  <c r="C1596" i="4" s="1"/>
  <c r="A1596" i="4"/>
  <c r="C1595" i="4"/>
  <c r="B1595" i="4"/>
  <c r="A1595" i="4"/>
  <c r="B1594" i="4"/>
  <c r="A1594" i="4"/>
  <c r="C1594" i="4" s="1"/>
  <c r="C1593" i="4"/>
  <c r="B1593" i="4"/>
  <c r="A1593" i="4"/>
  <c r="B1592" i="4"/>
  <c r="C1592" i="4" s="1"/>
  <c r="A1592" i="4"/>
  <c r="B1591" i="4"/>
  <c r="A1591" i="4"/>
  <c r="C1591" i="4" s="1"/>
  <c r="B1590" i="4"/>
  <c r="A1590" i="4"/>
  <c r="C1590" i="4" s="1"/>
  <c r="B1589" i="4"/>
  <c r="A1589" i="4"/>
  <c r="C1589" i="4" s="1"/>
  <c r="B1588" i="4"/>
  <c r="C1588" i="4" s="1"/>
  <c r="A1588" i="4"/>
  <c r="B1587" i="4"/>
  <c r="A1587" i="4"/>
  <c r="C1587" i="4" s="1"/>
  <c r="B1586" i="4"/>
  <c r="A1586" i="4"/>
  <c r="C1586" i="4" s="1"/>
  <c r="C1585" i="4"/>
  <c r="B1585" i="4"/>
  <c r="A1585" i="4"/>
  <c r="B1584" i="4"/>
  <c r="C1584" i="4" s="1"/>
  <c r="A1584" i="4"/>
  <c r="C1583" i="4"/>
  <c r="B1583" i="4"/>
  <c r="A1583" i="4"/>
  <c r="B1582" i="4"/>
  <c r="A1582" i="4"/>
  <c r="C1582" i="4" s="1"/>
  <c r="B1581" i="4"/>
  <c r="A1581" i="4"/>
  <c r="C1581" i="4" s="1"/>
  <c r="B1580" i="4"/>
  <c r="C1580" i="4" s="1"/>
  <c r="A1580" i="4"/>
  <c r="B1579" i="4"/>
  <c r="A1579" i="4"/>
  <c r="C1579" i="4" s="1"/>
  <c r="B1578" i="4"/>
  <c r="A1578" i="4"/>
  <c r="C1578" i="4" s="1"/>
  <c r="C1577" i="4"/>
  <c r="B1577" i="4"/>
  <c r="A1577" i="4"/>
  <c r="B1576" i="4"/>
  <c r="C1576" i="4" s="1"/>
  <c r="A1576" i="4"/>
  <c r="C1575" i="4"/>
  <c r="B1575" i="4"/>
  <c r="A1575" i="4"/>
  <c r="B1574" i="4"/>
  <c r="A1574" i="4"/>
  <c r="C1574" i="4" s="1"/>
  <c r="B1573" i="4"/>
  <c r="A1573" i="4"/>
  <c r="C1573" i="4" s="1"/>
  <c r="B1572" i="4"/>
  <c r="C1572" i="4" s="1"/>
  <c r="A1572" i="4"/>
  <c r="C1571" i="4"/>
  <c r="B1571" i="4"/>
  <c r="A1571" i="4"/>
  <c r="B1570" i="4"/>
  <c r="A1570" i="4"/>
  <c r="C1570" i="4" s="1"/>
  <c r="C1569" i="4"/>
  <c r="B1569" i="4"/>
  <c r="A1569" i="4"/>
  <c r="B1568" i="4"/>
  <c r="C1568" i="4" s="1"/>
  <c r="A1568" i="4"/>
  <c r="B1567" i="4"/>
  <c r="A1567" i="4"/>
  <c r="C1567" i="4" s="1"/>
  <c r="B1566" i="4"/>
  <c r="A1566" i="4"/>
  <c r="C1566" i="4" s="1"/>
  <c r="B1565" i="4"/>
  <c r="A1565" i="4"/>
  <c r="C1565" i="4" s="1"/>
  <c r="B1564" i="4"/>
  <c r="C1564" i="4" s="1"/>
  <c r="A1564" i="4"/>
  <c r="C1563" i="4"/>
  <c r="B1563" i="4"/>
  <c r="A1563" i="4"/>
  <c r="B1562" i="4"/>
  <c r="A1562" i="4"/>
  <c r="C1562" i="4" s="1"/>
  <c r="C1561" i="4"/>
  <c r="B1561" i="4"/>
  <c r="A1561" i="4"/>
  <c r="B1560" i="4"/>
  <c r="C1560" i="4" s="1"/>
  <c r="A1560" i="4"/>
  <c r="B1559" i="4"/>
  <c r="A1559" i="4"/>
  <c r="C1559" i="4" s="1"/>
  <c r="B1558" i="4"/>
  <c r="A1558" i="4"/>
  <c r="C1558" i="4" s="1"/>
  <c r="B1557" i="4"/>
  <c r="A1557" i="4"/>
  <c r="C1557" i="4" s="1"/>
  <c r="B1556" i="4"/>
  <c r="C1556" i="4" s="1"/>
  <c r="A1556" i="4"/>
  <c r="B1555" i="4"/>
  <c r="A1555" i="4"/>
  <c r="C1555" i="4" s="1"/>
  <c r="B1554" i="4"/>
  <c r="A1554" i="4"/>
  <c r="C1554" i="4" s="1"/>
  <c r="C1553" i="4"/>
  <c r="B1553" i="4"/>
  <c r="A1553" i="4"/>
  <c r="B1552" i="4"/>
  <c r="C1552" i="4" s="1"/>
  <c r="A1552" i="4"/>
  <c r="C1551" i="4"/>
  <c r="B1551" i="4"/>
  <c r="A1551" i="4"/>
  <c r="B1550" i="4"/>
  <c r="A1550" i="4"/>
  <c r="C1550" i="4" s="1"/>
  <c r="B1549" i="4"/>
  <c r="A1549" i="4"/>
  <c r="C1549" i="4" s="1"/>
  <c r="B1548" i="4"/>
  <c r="C1548" i="4" s="1"/>
  <c r="A1548" i="4"/>
  <c r="B1547" i="4"/>
  <c r="A1547" i="4"/>
  <c r="C1547" i="4" s="1"/>
  <c r="B1546" i="4"/>
  <c r="A1546" i="4"/>
  <c r="C1546" i="4" s="1"/>
  <c r="C1545" i="4"/>
  <c r="B1545" i="4"/>
  <c r="A1545" i="4"/>
  <c r="B1544" i="4"/>
  <c r="C1544" i="4" s="1"/>
  <c r="A1544" i="4"/>
  <c r="C1543" i="4"/>
  <c r="B1543" i="4"/>
  <c r="A1543" i="4"/>
  <c r="B1542" i="4"/>
  <c r="A1542" i="4"/>
  <c r="C1542" i="4" s="1"/>
  <c r="B1541" i="4"/>
  <c r="A1541" i="4"/>
  <c r="C1541" i="4" s="1"/>
  <c r="B1540" i="4"/>
  <c r="C1540" i="4" s="1"/>
  <c r="A1540" i="4"/>
  <c r="C1539" i="4"/>
  <c r="B1539" i="4"/>
  <c r="A1539" i="4"/>
  <c r="B1538" i="4"/>
  <c r="A1538" i="4"/>
  <c r="C1538" i="4" s="1"/>
  <c r="C1537" i="4"/>
  <c r="B1537" i="4"/>
  <c r="A1537" i="4"/>
  <c r="B1536" i="4"/>
  <c r="C1536" i="4" s="1"/>
  <c r="A1536" i="4"/>
  <c r="B1535" i="4"/>
  <c r="A1535" i="4"/>
  <c r="C1535" i="4" s="1"/>
  <c r="B1534" i="4"/>
  <c r="A1534" i="4"/>
  <c r="C1534" i="4" s="1"/>
  <c r="B1533" i="4"/>
  <c r="A1533" i="4"/>
  <c r="C1533" i="4" s="1"/>
  <c r="B1532" i="4"/>
  <c r="C1532" i="4" s="1"/>
  <c r="A1532" i="4"/>
  <c r="C1531" i="4"/>
  <c r="B1531" i="4"/>
  <c r="A1531" i="4"/>
  <c r="B1530" i="4"/>
  <c r="A1530" i="4"/>
  <c r="C1530" i="4" s="1"/>
  <c r="C1529" i="4"/>
  <c r="B1529" i="4"/>
  <c r="A1529" i="4"/>
  <c r="B1528" i="4"/>
  <c r="C1528" i="4" s="1"/>
  <c r="A1528" i="4"/>
  <c r="B1527" i="4"/>
  <c r="A1527" i="4"/>
  <c r="C1527" i="4" s="1"/>
  <c r="B1526" i="4"/>
  <c r="A1526" i="4"/>
  <c r="C1526" i="4" s="1"/>
  <c r="B1525" i="4"/>
  <c r="A1525" i="4"/>
  <c r="C1525" i="4" s="1"/>
  <c r="B1524" i="4"/>
  <c r="C1524" i="4" s="1"/>
  <c r="A1524" i="4"/>
  <c r="B1523" i="4"/>
  <c r="A1523" i="4"/>
  <c r="C1523" i="4" s="1"/>
  <c r="B1522" i="4"/>
  <c r="A1522" i="4"/>
  <c r="C1522" i="4" s="1"/>
  <c r="C1521" i="4"/>
  <c r="B1521" i="4"/>
  <c r="A1521" i="4"/>
  <c r="B1520" i="4"/>
  <c r="C1520" i="4" s="1"/>
  <c r="A1520" i="4"/>
  <c r="C1519" i="4"/>
  <c r="B1519" i="4"/>
  <c r="A1519" i="4"/>
  <c r="B1518" i="4"/>
  <c r="A1518" i="4"/>
  <c r="C1518" i="4" s="1"/>
  <c r="B1517" i="4"/>
  <c r="A1517" i="4"/>
  <c r="C1517" i="4" s="1"/>
  <c r="B1516" i="4"/>
  <c r="C1516" i="4" s="1"/>
  <c r="A1516" i="4"/>
  <c r="B1515" i="4"/>
  <c r="A1515" i="4"/>
  <c r="C1515" i="4" s="1"/>
  <c r="B1514" i="4"/>
  <c r="A1514" i="4"/>
  <c r="C1514" i="4" s="1"/>
  <c r="C1513" i="4"/>
  <c r="B1513" i="4"/>
  <c r="A1513" i="4"/>
  <c r="B1512" i="4"/>
  <c r="C1512" i="4" s="1"/>
  <c r="A1512" i="4"/>
  <c r="C1511" i="4"/>
  <c r="B1511" i="4"/>
  <c r="A1511" i="4"/>
  <c r="B1510" i="4"/>
  <c r="A1510" i="4"/>
  <c r="C1510" i="4" s="1"/>
  <c r="B1509" i="4"/>
  <c r="A1509" i="4"/>
  <c r="C1509" i="4" s="1"/>
  <c r="B1508" i="4"/>
  <c r="C1508" i="4" s="1"/>
  <c r="A1508" i="4"/>
  <c r="C1507" i="4"/>
  <c r="B1507" i="4"/>
  <c r="A1507" i="4"/>
  <c r="B1506" i="4"/>
  <c r="A1506" i="4"/>
  <c r="C1506" i="4" s="1"/>
  <c r="C1505" i="4"/>
  <c r="B1505" i="4"/>
  <c r="A1505" i="4"/>
  <c r="B1504" i="4"/>
  <c r="C1504" i="4" s="1"/>
  <c r="A1504" i="4"/>
  <c r="B1503" i="4"/>
  <c r="A1503" i="4"/>
  <c r="C1503" i="4" s="1"/>
  <c r="B1502" i="4"/>
  <c r="A1502" i="4"/>
  <c r="C1502" i="4" s="1"/>
  <c r="B1501" i="4"/>
  <c r="A1501" i="4"/>
  <c r="C1501" i="4" s="1"/>
  <c r="B1500" i="4"/>
  <c r="C1500" i="4" s="1"/>
  <c r="A1500" i="4"/>
  <c r="C1499" i="4"/>
  <c r="B1499" i="4"/>
  <c r="A1499" i="4"/>
  <c r="B1498" i="4"/>
  <c r="A1498" i="4"/>
  <c r="C1498" i="4" s="1"/>
  <c r="C1497" i="4"/>
  <c r="B1497" i="4"/>
  <c r="A1497" i="4"/>
  <c r="B1496" i="4"/>
  <c r="C1496" i="4" s="1"/>
  <c r="A1496" i="4"/>
  <c r="B1495" i="4"/>
  <c r="A1495" i="4"/>
  <c r="C1495" i="4" s="1"/>
  <c r="B1494" i="4"/>
  <c r="A1494" i="4"/>
  <c r="C1494" i="4" s="1"/>
  <c r="B1493" i="4"/>
  <c r="A1493" i="4"/>
  <c r="C1493" i="4" s="1"/>
  <c r="B1492" i="4"/>
  <c r="C1492" i="4" s="1"/>
  <c r="A1492" i="4"/>
  <c r="B1491" i="4"/>
  <c r="A1491" i="4"/>
  <c r="C1491" i="4" s="1"/>
  <c r="B1490" i="4"/>
  <c r="A1490" i="4"/>
  <c r="C1490" i="4" s="1"/>
  <c r="C1489" i="4"/>
  <c r="B1489" i="4"/>
  <c r="A1489" i="4"/>
  <c r="B1488" i="4"/>
  <c r="C1488" i="4" s="1"/>
  <c r="A1488" i="4"/>
  <c r="C1487" i="4"/>
  <c r="B1487" i="4"/>
  <c r="A1487" i="4"/>
  <c r="B1486" i="4"/>
  <c r="A1486" i="4"/>
  <c r="C1486" i="4" s="1"/>
  <c r="B1485" i="4"/>
  <c r="A1485" i="4"/>
  <c r="C1485" i="4" s="1"/>
  <c r="B1484" i="4"/>
  <c r="C1484" i="4" s="1"/>
  <c r="A1484" i="4"/>
  <c r="B1483" i="4"/>
  <c r="A1483" i="4"/>
  <c r="C1483" i="4" s="1"/>
  <c r="B1482" i="4"/>
  <c r="A1482" i="4"/>
  <c r="C1482" i="4" s="1"/>
  <c r="C1481" i="4"/>
  <c r="B1481" i="4"/>
  <c r="A1481" i="4"/>
  <c r="B1480" i="4"/>
  <c r="C1480" i="4" s="1"/>
  <c r="A1480" i="4"/>
  <c r="C1479" i="4"/>
  <c r="B1479" i="4"/>
  <c r="A1479" i="4"/>
  <c r="B1478" i="4"/>
  <c r="A1478" i="4"/>
  <c r="C1478" i="4" s="1"/>
  <c r="B1477" i="4"/>
  <c r="A1477" i="4"/>
  <c r="C1477" i="4" s="1"/>
  <c r="B1476" i="4"/>
  <c r="C1476" i="4" s="1"/>
  <c r="A1476" i="4"/>
  <c r="C1475" i="4"/>
  <c r="B1475" i="4"/>
  <c r="A1475" i="4"/>
  <c r="B1474" i="4"/>
  <c r="A1474" i="4"/>
  <c r="C1474" i="4" s="1"/>
  <c r="C1473" i="4"/>
  <c r="B1473" i="4"/>
  <c r="A1473" i="4"/>
  <c r="B1472" i="4"/>
  <c r="C1472" i="4" s="1"/>
  <c r="A1472" i="4"/>
  <c r="B1471" i="4"/>
  <c r="A1471" i="4"/>
  <c r="C1471" i="4" s="1"/>
  <c r="B1470" i="4"/>
  <c r="A1470" i="4"/>
  <c r="C1470" i="4" s="1"/>
  <c r="B1469" i="4"/>
  <c r="A1469" i="4"/>
  <c r="C1469" i="4" s="1"/>
  <c r="B1468" i="4"/>
  <c r="C1468" i="4" s="1"/>
  <c r="A1468" i="4"/>
  <c r="C1467" i="4"/>
  <c r="B1467" i="4"/>
  <c r="A1467" i="4"/>
  <c r="B1466" i="4"/>
  <c r="A1466" i="4"/>
  <c r="C1466" i="4" s="1"/>
  <c r="C1465" i="4"/>
  <c r="B1465" i="4"/>
  <c r="A1465" i="4"/>
  <c r="B1464" i="4"/>
  <c r="C1464" i="4" s="1"/>
  <c r="A1464" i="4"/>
  <c r="B1463" i="4"/>
  <c r="A1463" i="4"/>
  <c r="C1463" i="4" s="1"/>
  <c r="B1462" i="4"/>
  <c r="A1462" i="4"/>
  <c r="C1462" i="4" s="1"/>
  <c r="B1461" i="4"/>
  <c r="A1461" i="4"/>
  <c r="C1461" i="4" s="1"/>
  <c r="B1460" i="4"/>
  <c r="C1460" i="4" s="1"/>
  <c r="A1460" i="4"/>
  <c r="B1459" i="4"/>
  <c r="A1459" i="4"/>
  <c r="C1459" i="4" s="1"/>
  <c r="B1458" i="4"/>
  <c r="A1458" i="4"/>
  <c r="C1458" i="4" s="1"/>
  <c r="C1457" i="4"/>
  <c r="B1457" i="4"/>
  <c r="A1457" i="4"/>
  <c r="B1456" i="4"/>
  <c r="C1456" i="4" s="1"/>
  <c r="A1456" i="4"/>
  <c r="C1455" i="4"/>
  <c r="B1455" i="4"/>
  <c r="A1455" i="4"/>
  <c r="B1454" i="4"/>
  <c r="A1454" i="4"/>
  <c r="C1454" i="4" s="1"/>
  <c r="B1453" i="4"/>
  <c r="A1453" i="4"/>
  <c r="C1453" i="4" s="1"/>
  <c r="B1452" i="4"/>
  <c r="C1452" i="4" s="1"/>
  <c r="A1452" i="4"/>
  <c r="B1451" i="4"/>
  <c r="A1451" i="4"/>
  <c r="C1451" i="4" s="1"/>
  <c r="B1450" i="4"/>
  <c r="A1450" i="4"/>
  <c r="C1450" i="4" s="1"/>
  <c r="C1449" i="4"/>
  <c r="B1449" i="4"/>
  <c r="A1449" i="4"/>
  <c r="B1448" i="4"/>
  <c r="C1448" i="4" s="1"/>
  <c r="A1448" i="4"/>
  <c r="C1447" i="4"/>
  <c r="B1447" i="4"/>
  <c r="A1447" i="4"/>
  <c r="B1446" i="4"/>
  <c r="A1446" i="4"/>
  <c r="C1446" i="4" s="1"/>
  <c r="B1445" i="4"/>
  <c r="A1445" i="4"/>
  <c r="C1445" i="4" s="1"/>
  <c r="B1444" i="4"/>
  <c r="C1444" i="4" s="1"/>
  <c r="A1444" i="4"/>
  <c r="C1443" i="4"/>
  <c r="B1443" i="4"/>
  <c r="A1443" i="4"/>
  <c r="B1442" i="4"/>
  <c r="A1442" i="4"/>
  <c r="C1442" i="4" s="1"/>
  <c r="C1441" i="4"/>
  <c r="B1441" i="4"/>
  <c r="A1441" i="4"/>
  <c r="B1440" i="4"/>
  <c r="C1440" i="4" s="1"/>
  <c r="A1440" i="4"/>
  <c r="B1439" i="4"/>
  <c r="A1439" i="4"/>
  <c r="C1439" i="4" s="1"/>
  <c r="B1438" i="4"/>
  <c r="A1438" i="4"/>
  <c r="C1438" i="4" s="1"/>
  <c r="B1437" i="4"/>
  <c r="A1437" i="4"/>
  <c r="C1437" i="4" s="1"/>
  <c r="B1436" i="4"/>
  <c r="C1436" i="4" s="1"/>
  <c r="A1436" i="4"/>
  <c r="C1435" i="4"/>
  <c r="B1435" i="4"/>
  <c r="A1435" i="4"/>
  <c r="B1434" i="4"/>
  <c r="A1434" i="4"/>
  <c r="C1434" i="4" s="1"/>
  <c r="C1433" i="4"/>
  <c r="B1433" i="4"/>
  <c r="A1433" i="4"/>
  <c r="B1432" i="4"/>
  <c r="C1432" i="4" s="1"/>
  <c r="A1432" i="4"/>
  <c r="B1431" i="4"/>
  <c r="A1431" i="4"/>
  <c r="C1431" i="4" s="1"/>
  <c r="B1430" i="4"/>
  <c r="A1430" i="4"/>
  <c r="C1430" i="4" s="1"/>
  <c r="B1429" i="4"/>
  <c r="A1429" i="4"/>
  <c r="C1429" i="4" s="1"/>
  <c r="B1428" i="4"/>
  <c r="C1428" i="4" s="1"/>
  <c r="A1428" i="4"/>
  <c r="B1427" i="4"/>
  <c r="A1427" i="4"/>
  <c r="C1427" i="4" s="1"/>
  <c r="B1426" i="4"/>
  <c r="A1426" i="4"/>
  <c r="C1426" i="4" s="1"/>
  <c r="C1425" i="4"/>
  <c r="B1425" i="4"/>
  <c r="A1425" i="4"/>
  <c r="B1424" i="4"/>
  <c r="C1424" i="4" s="1"/>
  <c r="A1424" i="4"/>
  <c r="C1423" i="4"/>
  <c r="B1423" i="4"/>
  <c r="A1423" i="4"/>
  <c r="B1422" i="4"/>
  <c r="A1422" i="4"/>
  <c r="C1422" i="4" s="1"/>
  <c r="B1421" i="4"/>
  <c r="A1421" i="4"/>
  <c r="C1421" i="4" s="1"/>
  <c r="B1420" i="4"/>
  <c r="C1420" i="4" s="1"/>
  <c r="A1420" i="4"/>
  <c r="B1419" i="4"/>
  <c r="A1419" i="4"/>
  <c r="C1419" i="4" s="1"/>
  <c r="B1418" i="4"/>
  <c r="A1418" i="4"/>
  <c r="C1418" i="4" s="1"/>
  <c r="C1417" i="4"/>
  <c r="B1417" i="4"/>
  <c r="A1417" i="4"/>
  <c r="B1416" i="4"/>
  <c r="C1416" i="4" s="1"/>
  <c r="A1416" i="4"/>
  <c r="C1415" i="4"/>
  <c r="B1415" i="4"/>
  <c r="A1415" i="4"/>
  <c r="B1414" i="4"/>
  <c r="A1414" i="4"/>
  <c r="C1414" i="4" s="1"/>
  <c r="B1413" i="4"/>
  <c r="A1413" i="4"/>
  <c r="C1413" i="4" s="1"/>
  <c r="B1412" i="4"/>
  <c r="C1412" i="4" s="1"/>
  <c r="A1412" i="4"/>
  <c r="C1411" i="4"/>
  <c r="B1411" i="4"/>
  <c r="A1411" i="4"/>
  <c r="B1410" i="4"/>
  <c r="A1410" i="4"/>
  <c r="C1410" i="4" s="1"/>
  <c r="C1409" i="4"/>
  <c r="B1409" i="4"/>
  <c r="A1409" i="4"/>
  <c r="B1408" i="4"/>
  <c r="C1408" i="4" s="1"/>
  <c r="A1408" i="4"/>
  <c r="B1407" i="4"/>
  <c r="A1407" i="4"/>
  <c r="C1407" i="4" s="1"/>
  <c r="B1406" i="4"/>
  <c r="A1406" i="4"/>
  <c r="C1406" i="4" s="1"/>
  <c r="B1405" i="4"/>
  <c r="A1405" i="4"/>
  <c r="C1405" i="4" s="1"/>
  <c r="B1404" i="4"/>
  <c r="C1404" i="4" s="1"/>
  <c r="A1404" i="4"/>
  <c r="C1403" i="4"/>
  <c r="B1403" i="4"/>
  <c r="A1403" i="4"/>
  <c r="B1402" i="4"/>
  <c r="A1402" i="4"/>
  <c r="C1402" i="4" s="1"/>
  <c r="C1401" i="4"/>
  <c r="B1401" i="4"/>
  <c r="A1401" i="4"/>
  <c r="B1400" i="4"/>
  <c r="C1400" i="4" s="1"/>
  <c r="A1400" i="4"/>
  <c r="B1399" i="4"/>
  <c r="A1399" i="4"/>
  <c r="C1399" i="4" s="1"/>
  <c r="B1398" i="4"/>
  <c r="A1398" i="4"/>
  <c r="C1398" i="4" s="1"/>
  <c r="B1397" i="4"/>
  <c r="A1397" i="4"/>
  <c r="C1397" i="4" s="1"/>
  <c r="B1396" i="4"/>
  <c r="C1396" i="4" s="1"/>
  <c r="A1396" i="4"/>
  <c r="B1395" i="4"/>
  <c r="A1395" i="4"/>
  <c r="C1395" i="4" s="1"/>
  <c r="B1394" i="4"/>
  <c r="A1394" i="4"/>
  <c r="C1394" i="4" s="1"/>
  <c r="C1393" i="4"/>
  <c r="B1393" i="4"/>
  <c r="A1393" i="4"/>
  <c r="B1392" i="4"/>
  <c r="C1392" i="4" s="1"/>
  <c r="A1392" i="4"/>
  <c r="C1391" i="4"/>
  <c r="B1391" i="4"/>
  <c r="A1391" i="4"/>
  <c r="B1390" i="4"/>
  <c r="A1390" i="4"/>
  <c r="C1390" i="4" s="1"/>
  <c r="B1389" i="4"/>
  <c r="A1389" i="4"/>
  <c r="C1389" i="4" s="1"/>
  <c r="B1388" i="4"/>
  <c r="C1388" i="4" s="1"/>
  <c r="A1388" i="4"/>
  <c r="B1387" i="4"/>
  <c r="A1387" i="4"/>
  <c r="C1387" i="4" s="1"/>
  <c r="B1386" i="4"/>
  <c r="A1386" i="4"/>
  <c r="C1386" i="4" s="1"/>
  <c r="C1385" i="4"/>
  <c r="B1385" i="4"/>
  <c r="A1385" i="4"/>
  <c r="B1384" i="4"/>
  <c r="C1384" i="4" s="1"/>
  <c r="A1384" i="4"/>
  <c r="C1383" i="4"/>
  <c r="B1383" i="4"/>
  <c r="A1383" i="4"/>
  <c r="B1382" i="4"/>
  <c r="A1382" i="4"/>
  <c r="C1382" i="4" s="1"/>
  <c r="B1381" i="4"/>
  <c r="A1381" i="4"/>
  <c r="C1381" i="4" s="1"/>
  <c r="B1380" i="4"/>
  <c r="C1380" i="4" s="1"/>
  <c r="A1380" i="4"/>
  <c r="C1379" i="4"/>
  <c r="B1379" i="4"/>
  <c r="A1379" i="4"/>
  <c r="B1378" i="4"/>
  <c r="A1378" i="4"/>
  <c r="C1378" i="4" s="1"/>
  <c r="C1377" i="4"/>
  <c r="B1377" i="4"/>
  <c r="A1377" i="4"/>
  <c r="B1376" i="4"/>
  <c r="C1376" i="4" s="1"/>
  <c r="A1376" i="4"/>
  <c r="B1375" i="4"/>
  <c r="A1375" i="4"/>
  <c r="C1375" i="4" s="1"/>
  <c r="B1374" i="4"/>
  <c r="A1374" i="4"/>
  <c r="C1374" i="4" s="1"/>
  <c r="B1373" i="4"/>
  <c r="A1373" i="4"/>
  <c r="C1373" i="4" s="1"/>
  <c r="B1372" i="4"/>
  <c r="C1372" i="4" s="1"/>
  <c r="A1372" i="4"/>
  <c r="C1371" i="4"/>
  <c r="B1371" i="4"/>
  <c r="A1371" i="4"/>
  <c r="B1370" i="4"/>
  <c r="A1370" i="4"/>
  <c r="C1370" i="4" s="1"/>
  <c r="C1369" i="4"/>
  <c r="B1369" i="4"/>
  <c r="A1369" i="4"/>
  <c r="B1368" i="4"/>
  <c r="C1368" i="4" s="1"/>
  <c r="A1368" i="4"/>
  <c r="B1367" i="4"/>
  <c r="A1367" i="4"/>
  <c r="C1367" i="4" s="1"/>
  <c r="B1366" i="4"/>
  <c r="A1366" i="4"/>
  <c r="C1366" i="4" s="1"/>
  <c r="B1365" i="4"/>
  <c r="A1365" i="4"/>
  <c r="C1365" i="4" s="1"/>
  <c r="C1364" i="4"/>
  <c r="B1364" i="4"/>
  <c r="A1364" i="4"/>
  <c r="B1363" i="4"/>
  <c r="C1363" i="4" s="1"/>
  <c r="A1363" i="4"/>
  <c r="B1362" i="4"/>
  <c r="A1362" i="4"/>
  <c r="C1361" i="4"/>
  <c r="B1361" i="4"/>
  <c r="A1361" i="4"/>
  <c r="B1360" i="4"/>
  <c r="C1360" i="4" s="1"/>
  <c r="A1360" i="4"/>
  <c r="C1359" i="4"/>
  <c r="B1359" i="4"/>
  <c r="A1359" i="4"/>
  <c r="B1358" i="4"/>
  <c r="A1358" i="4"/>
  <c r="B1357" i="4"/>
  <c r="A1357" i="4"/>
  <c r="C1357" i="4" s="1"/>
  <c r="B1356" i="4"/>
  <c r="C1356" i="4" s="1"/>
  <c r="A1356" i="4"/>
  <c r="B1355" i="4"/>
  <c r="A1355" i="4"/>
  <c r="C1355" i="4" s="1"/>
  <c r="B1354" i="4"/>
  <c r="A1354" i="4"/>
  <c r="C1353" i="4"/>
  <c r="B1353" i="4"/>
  <c r="A1353" i="4"/>
  <c r="B1352" i="4"/>
  <c r="C1352" i="4" s="1"/>
  <c r="A1352" i="4"/>
  <c r="C1351" i="4"/>
  <c r="B1351" i="4"/>
  <c r="A1351" i="4"/>
  <c r="B1350" i="4"/>
  <c r="A1350" i="4"/>
  <c r="B1349" i="4"/>
  <c r="A1349" i="4"/>
  <c r="C1349" i="4" s="1"/>
  <c r="B1348" i="4"/>
  <c r="C1348" i="4" s="1"/>
  <c r="A1348" i="4"/>
  <c r="B1347" i="4"/>
  <c r="A1347" i="4"/>
  <c r="C1347" i="4" s="1"/>
  <c r="B1346" i="4"/>
  <c r="A1346" i="4"/>
  <c r="C1345" i="4"/>
  <c r="B1345" i="4"/>
  <c r="A1345" i="4"/>
  <c r="B1344" i="4"/>
  <c r="C1344" i="4" s="1"/>
  <c r="A1344" i="4"/>
  <c r="C1343" i="4"/>
  <c r="B1343" i="4"/>
  <c r="A1343" i="4"/>
  <c r="B1342" i="4"/>
  <c r="A1342" i="4"/>
  <c r="B1341" i="4"/>
  <c r="A1341" i="4"/>
  <c r="C1341" i="4" s="1"/>
  <c r="B1340" i="4"/>
  <c r="C1340" i="4" s="1"/>
  <c r="A1340" i="4"/>
  <c r="B1339" i="4"/>
  <c r="A1339" i="4"/>
  <c r="C1339" i="4" s="1"/>
  <c r="B1338" i="4"/>
  <c r="A1338" i="4"/>
  <c r="C1337" i="4"/>
  <c r="B1337" i="4"/>
  <c r="A1337" i="4"/>
  <c r="B1336" i="4"/>
  <c r="C1336" i="4" s="1"/>
  <c r="A1336" i="4"/>
  <c r="C1335" i="4"/>
  <c r="B1335" i="4"/>
  <c r="A1335" i="4"/>
  <c r="B1334" i="4"/>
  <c r="A1334" i="4"/>
  <c r="B1333" i="4"/>
  <c r="A1333" i="4"/>
  <c r="C1333" i="4" s="1"/>
  <c r="B1332" i="4"/>
  <c r="C1332" i="4" s="1"/>
  <c r="A1332" i="4"/>
  <c r="B1331" i="4"/>
  <c r="A1331" i="4"/>
  <c r="C1331" i="4" s="1"/>
  <c r="B1330" i="4"/>
  <c r="A1330" i="4"/>
  <c r="C1329" i="4"/>
  <c r="B1329" i="4"/>
  <c r="A1329" i="4"/>
  <c r="B1328" i="4"/>
  <c r="C1328" i="4" s="1"/>
  <c r="A1328" i="4"/>
  <c r="C1327" i="4"/>
  <c r="B1327" i="4"/>
  <c r="A1327" i="4"/>
  <c r="B1326" i="4"/>
  <c r="A1326" i="4"/>
  <c r="B1325" i="4"/>
  <c r="A1325" i="4"/>
  <c r="C1325" i="4" s="1"/>
  <c r="B1324" i="4"/>
  <c r="C1324" i="4" s="1"/>
  <c r="A1324" i="4"/>
  <c r="B1323" i="4"/>
  <c r="A1323" i="4"/>
  <c r="C1323" i="4" s="1"/>
  <c r="B1322" i="4"/>
  <c r="A1322" i="4"/>
  <c r="C1321" i="4"/>
  <c r="B1321" i="4"/>
  <c r="A1321" i="4"/>
  <c r="B1320" i="4"/>
  <c r="C1320" i="4" s="1"/>
  <c r="A1320" i="4"/>
  <c r="C1319" i="4"/>
  <c r="B1319" i="4"/>
  <c r="A1319" i="4"/>
  <c r="B1318" i="4"/>
  <c r="A1318" i="4"/>
  <c r="B1317" i="4"/>
  <c r="A1317" i="4"/>
  <c r="C1317" i="4" s="1"/>
  <c r="B1316" i="4"/>
  <c r="C1316" i="4" s="1"/>
  <c r="A1316" i="4"/>
  <c r="B1315" i="4"/>
  <c r="A1315" i="4"/>
  <c r="C1315" i="4" s="1"/>
  <c r="B1314" i="4"/>
  <c r="A1314" i="4"/>
  <c r="C1313" i="4"/>
  <c r="B1313" i="4"/>
  <c r="A1313" i="4"/>
  <c r="B1312" i="4"/>
  <c r="C1312" i="4" s="1"/>
  <c r="A1312" i="4"/>
  <c r="C1311" i="4"/>
  <c r="B1311" i="4"/>
  <c r="A1311" i="4"/>
  <c r="B1310" i="4"/>
  <c r="A1310" i="4"/>
  <c r="B1309" i="4"/>
  <c r="A1309" i="4"/>
  <c r="C1309" i="4" s="1"/>
  <c r="B1308" i="4"/>
  <c r="C1308" i="4" s="1"/>
  <c r="A1308" i="4"/>
  <c r="B1307" i="4"/>
  <c r="A1307" i="4"/>
  <c r="C1307" i="4" s="1"/>
  <c r="B1306" i="4"/>
  <c r="A1306" i="4"/>
  <c r="C1305" i="4"/>
  <c r="B1305" i="4"/>
  <c r="A1305" i="4"/>
  <c r="B1304" i="4"/>
  <c r="C1304" i="4" s="1"/>
  <c r="A1304" i="4"/>
  <c r="C1303" i="4"/>
  <c r="B1303" i="4"/>
  <c r="A1303" i="4"/>
  <c r="B1302" i="4"/>
  <c r="A1302" i="4"/>
  <c r="B1301" i="4"/>
  <c r="A1301" i="4"/>
  <c r="C1301" i="4" s="1"/>
  <c r="B1300" i="4"/>
  <c r="C1300" i="4" s="1"/>
  <c r="A1300" i="4"/>
  <c r="B1299" i="4"/>
  <c r="A1299" i="4"/>
  <c r="C1299" i="4" s="1"/>
  <c r="B1298" i="4"/>
  <c r="A1298" i="4"/>
  <c r="C1297" i="4"/>
  <c r="B1297" i="4"/>
  <c r="A1297" i="4"/>
  <c r="B1296" i="4"/>
  <c r="C1296" i="4" s="1"/>
  <c r="A1296" i="4"/>
  <c r="C1295" i="4"/>
  <c r="B1295" i="4"/>
  <c r="A1295" i="4"/>
  <c r="B1294" i="4"/>
  <c r="A1294" i="4"/>
  <c r="B1293" i="4"/>
  <c r="A1293" i="4"/>
  <c r="C1293" i="4" s="1"/>
  <c r="B1292" i="4"/>
  <c r="C1292" i="4" s="1"/>
  <c r="A1292" i="4"/>
  <c r="B1291" i="4"/>
  <c r="A1291" i="4"/>
  <c r="C1291" i="4" s="1"/>
  <c r="B1290" i="4"/>
  <c r="A1290" i="4"/>
  <c r="C1289" i="4"/>
  <c r="B1289" i="4"/>
  <c r="A1289" i="4"/>
  <c r="B1288" i="4"/>
  <c r="C1288" i="4" s="1"/>
  <c r="A1288" i="4"/>
  <c r="C1287" i="4"/>
  <c r="B1287" i="4"/>
  <c r="A1287" i="4"/>
  <c r="B1286" i="4"/>
  <c r="A1286" i="4"/>
  <c r="B1285" i="4"/>
  <c r="A1285" i="4"/>
  <c r="C1285" i="4" s="1"/>
  <c r="B1284" i="4"/>
  <c r="C1284" i="4" s="1"/>
  <c r="A1284" i="4"/>
  <c r="B1283" i="4"/>
  <c r="A1283" i="4"/>
  <c r="C1283" i="4" s="1"/>
  <c r="B1282" i="4"/>
  <c r="A1282" i="4"/>
  <c r="C1281" i="4"/>
  <c r="B1281" i="4"/>
  <c r="A1281" i="4"/>
  <c r="B1280" i="4"/>
  <c r="C1280" i="4" s="1"/>
  <c r="A1280" i="4"/>
  <c r="C1279" i="4"/>
  <c r="B1279" i="4"/>
  <c r="A1279" i="4"/>
  <c r="B1278" i="4"/>
  <c r="A1278" i="4"/>
  <c r="B1277" i="4"/>
  <c r="A1277" i="4"/>
  <c r="C1277" i="4" s="1"/>
  <c r="B1276" i="4"/>
  <c r="C1276" i="4" s="1"/>
  <c r="A1276" i="4"/>
  <c r="B1275" i="4"/>
  <c r="A1275" i="4"/>
  <c r="C1275" i="4" s="1"/>
  <c r="B1274" i="4"/>
  <c r="A1274" i="4"/>
  <c r="C1273" i="4"/>
  <c r="B1273" i="4"/>
  <c r="A1273" i="4"/>
  <c r="B1272" i="4"/>
  <c r="C1272" i="4" s="1"/>
  <c r="A1272" i="4"/>
  <c r="C1271" i="4"/>
  <c r="B1271" i="4"/>
  <c r="A1271" i="4"/>
  <c r="B1270" i="4"/>
  <c r="A1270" i="4"/>
  <c r="B1269" i="4"/>
  <c r="A1269" i="4"/>
  <c r="C1269" i="4" s="1"/>
  <c r="B1268" i="4"/>
  <c r="C1268" i="4" s="1"/>
  <c r="A1268" i="4"/>
  <c r="B1267" i="4"/>
  <c r="A1267" i="4"/>
  <c r="C1267" i="4" s="1"/>
  <c r="B1266" i="4"/>
  <c r="A1266" i="4"/>
  <c r="C1265" i="4"/>
  <c r="B1265" i="4"/>
  <c r="A1265" i="4"/>
  <c r="B1264" i="4"/>
  <c r="C1264" i="4" s="1"/>
  <c r="A1264" i="4"/>
  <c r="C1263" i="4"/>
  <c r="B1263" i="4"/>
  <c r="A1263" i="4"/>
  <c r="B1262" i="4"/>
  <c r="A1262" i="4"/>
  <c r="B1261" i="4"/>
  <c r="A1261" i="4"/>
  <c r="C1261" i="4" s="1"/>
  <c r="B1260" i="4"/>
  <c r="C1260" i="4" s="1"/>
  <c r="A1260" i="4"/>
  <c r="B1259" i="4"/>
  <c r="A1259" i="4"/>
  <c r="C1259" i="4" s="1"/>
  <c r="B1258" i="4"/>
  <c r="A1258" i="4"/>
  <c r="C1257" i="4"/>
  <c r="B1257" i="4"/>
  <c r="A1257" i="4"/>
  <c r="B1256" i="4"/>
  <c r="C1256" i="4" s="1"/>
  <c r="A1256" i="4"/>
  <c r="C1255" i="4"/>
  <c r="B1255" i="4"/>
  <c r="A1255" i="4"/>
  <c r="B1254" i="4"/>
  <c r="A1254" i="4"/>
  <c r="B1253" i="4"/>
  <c r="A1253" i="4"/>
  <c r="C1253" i="4" s="1"/>
  <c r="B1252" i="4"/>
  <c r="C1252" i="4" s="1"/>
  <c r="A1252" i="4"/>
  <c r="B1251" i="4"/>
  <c r="A1251" i="4"/>
  <c r="C1251" i="4" s="1"/>
  <c r="B1250" i="4"/>
  <c r="A1250" i="4"/>
  <c r="C1249" i="4"/>
  <c r="B1249" i="4"/>
  <c r="A1249" i="4"/>
  <c r="B1248" i="4"/>
  <c r="C1248" i="4" s="1"/>
  <c r="A1248" i="4"/>
  <c r="C1247" i="4"/>
  <c r="B1247" i="4"/>
  <c r="A1247" i="4"/>
  <c r="B1246" i="4"/>
  <c r="A1246" i="4"/>
  <c r="B1245" i="4"/>
  <c r="A1245" i="4"/>
  <c r="C1245" i="4" s="1"/>
  <c r="B1244" i="4"/>
  <c r="C1244" i="4" s="1"/>
  <c r="A1244" i="4"/>
  <c r="B1243" i="4"/>
  <c r="A1243" i="4"/>
  <c r="C1243" i="4" s="1"/>
  <c r="B1242" i="4"/>
  <c r="A1242" i="4"/>
  <c r="C1241" i="4"/>
  <c r="B1241" i="4"/>
  <c r="A1241" i="4"/>
  <c r="B1240" i="4"/>
  <c r="C1240" i="4" s="1"/>
  <c r="A1240" i="4"/>
  <c r="C1239" i="4"/>
  <c r="B1239" i="4"/>
  <c r="A1239" i="4"/>
  <c r="B1238" i="4"/>
  <c r="A1238" i="4"/>
  <c r="B1237" i="4"/>
  <c r="A1237" i="4"/>
  <c r="C1237" i="4" s="1"/>
  <c r="B1236" i="4"/>
  <c r="C1236" i="4" s="1"/>
  <c r="A1236" i="4"/>
  <c r="B1235" i="4"/>
  <c r="A1235" i="4"/>
  <c r="C1235" i="4" s="1"/>
  <c r="B1234" i="4"/>
  <c r="A1234" i="4"/>
  <c r="C1233" i="4"/>
  <c r="B1233" i="4"/>
  <c r="A1233" i="4"/>
  <c r="B1232" i="4"/>
  <c r="A1232" i="4"/>
  <c r="C1232" i="4" s="1"/>
  <c r="C1231" i="4"/>
  <c r="B1231" i="4"/>
  <c r="A1231" i="4"/>
  <c r="B1230" i="4"/>
  <c r="C1230" i="4" s="1"/>
  <c r="A1230" i="4"/>
  <c r="B1229" i="4"/>
  <c r="A1229" i="4"/>
  <c r="C1229" i="4" s="1"/>
  <c r="B1228" i="4"/>
  <c r="A1228" i="4"/>
  <c r="B1227" i="4"/>
  <c r="A1227" i="4"/>
  <c r="C1227" i="4" s="1"/>
  <c r="B1226" i="4"/>
  <c r="C1226" i="4" s="1"/>
  <c r="A1226" i="4"/>
  <c r="C1225" i="4"/>
  <c r="B1225" i="4"/>
  <c r="A1225" i="4"/>
  <c r="B1224" i="4"/>
  <c r="A1224" i="4"/>
  <c r="C1224" i="4" s="1"/>
  <c r="C1223" i="4"/>
  <c r="B1223" i="4"/>
  <c r="A1223" i="4"/>
  <c r="B1222" i="4"/>
  <c r="C1222" i="4" s="1"/>
  <c r="A1222" i="4"/>
  <c r="B1221" i="4"/>
  <c r="A1221" i="4"/>
  <c r="C1221" i="4" s="1"/>
  <c r="B1220" i="4"/>
  <c r="A1220" i="4"/>
  <c r="B1219" i="4"/>
  <c r="A1219" i="4"/>
  <c r="C1219" i="4" s="1"/>
  <c r="B1218" i="4"/>
  <c r="C1218" i="4" s="1"/>
  <c r="A1218" i="4"/>
  <c r="C1217" i="4"/>
  <c r="B1217" i="4"/>
  <c r="A1217" i="4"/>
  <c r="B1216" i="4"/>
  <c r="A1216" i="4"/>
  <c r="C1216" i="4" s="1"/>
  <c r="C1215" i="4"/>
  <c r="B1215" i="4"/>
  <c r="A1215" i="4"/>
  <c r="B1214" i="4"/>
  <c r="C1214" i="4" s="1"/>
  <c r="A1214" i="4"/>
  <c r="B1213" i="4"/>
  <c r="A1213" i="4"/>
  <c r="C1213" i="4" s="1"/>
  <c r="B1212" i="4"/>
  <c r="A1212" i="4"/>
  <c r="B1211" i="4"/>
  <c r="A1211" i="4"/>
  <c r="C1211" i="4" s="1"/>
  <c r="B1210" i="4"/>
  <c r="C1210" i="4" s="1"/>
  <c r="A1210" i="4"/>
  <c r="C1209" i="4"/>
  <c r="B1209" i="4"/>
  <c r="A1209" i="4"/>
  <c r="B1208" i="4"/>
  <c r="A1208" i="4"/>
  <c r="C1208" i="4" s="1"/>
  <c r="C1207" i="4"/>
  <c r="B1207" i="4"/>
  <c r="A1207" i="4"/>
  <c r="B1206" i="4"/>
  <c r="C1206" i="4" s="1"/>
  <c r="A1206" i="4"/>
  <c r="B1205" i="4"/>
  <c r="A1205" i="4"/>
  <c r="C1205" i="4" s="1"/>
  <c r="B1204" i="4"/>
  <c r="A1204" i="4"/>
  <c r="B1203" i="4"/>
  <c r="A1203" i="4"/>
  <c r="C1203" i="4" s="1"/>
  <c r="B1202" i="4"/>
  <c r="C1202" i="4" s="1"/>
  <c r="A1202" i="4"/>
  <c r="C1201" i="4"/>
  <c r="B1201" i="4"/>
  <c r="A1201" i="4"/>
  <c r="B1200" i="4"/>
  <c r="A1200" i="4"/>
  <c r="C1200" i="4" s="1"/>
  <c r="C1199" i="4"/>
  <c r="B1199" i="4"/>
  <c r="A1199" i="4"/>
  <c r="B1198" i="4"/>
  <c r="C1198" i="4" s="1"/>
  <c r="A1198" i="4"/>
  <c r="B1197" i="4"/>
  <c r="A1197" i="4"/>
  <c r="C1197" i="4" s="1"/>
  <c r="B1196" i="4"/>
  <c r="A1196" i="4"/>
  <c r="B1195" i="4"/>
  <c r="A1195" i="4"/>
  <c r="C1195" i="4" s="1"/>
  <c r="B1194" i="4"/>
  <c r="C1194" i="4" s="1"/>
  <c r="A1194" i="4"/>
  <c r="C1193" i="4"/>
  <c r="B1193" i="4"/>
  <c r="A1193" i="4"/>
  <c r="B1192" i="4"/>
  <c r="A1192" i="4"/>
  <c r="C1192" i="4" s="1"/>
  <c r="C1191" i="4"/>
  <c r="B1191" i="4"/>
  <c r="A1191" i="4"/>
  <c r="B1190" i="4"/>
  <c r="C1190" i="4" s="1"/>
  <c r="A1190" i="4"/>
  <c r="B1189" i="4"/>
  <c r="A1189" i="4"/>
  <c r="C1189" i="4" s="1"/>
  <c r="B1188" i="4"/>
  <c r="A1188" i="4"/>
  <c r="B1187" i="4"/>
  <c r="A1187" i="4"/>
  <c r="C1187" i="4" s="1"/>
  <c r="B1186" i="4"/>
  <c r="C1186" i="4" s="1"/>
  <c r="A1186" i="4"/>
  <c r="C1185" i="4"/>
  <c r="B1185" i="4"/>
  <c r="A1185" i="4"/>
  <c r="B1184" i="4"/>
  <c r="A1184" i="4"/>
  <c r="C1184" i="4" s="1"/>
  <c r="C1183" i="4"/>
  <c r="B1183" i="4"/>
  <c r="A1183" i="4"/>
  <c r="B1182" i="4"/>
  <c r="C1182" i="4" s="1"/>
  <c r="A1182" i="4"/>
  <c r="B1181" i="4"/>
  <c r="A1181" i="4"/>
  <c r="C1181" i="4" s="1"/>
  <c r="B1180" i="4"/>
  <c r="A1180" i="4"/>
  <c r="B1179" i="4"/>
  <c r="A1179" i="4"/>
  <c r="C1179" i="4" s="1"/>
  <c r="B1178" i="4"/>
  <c r="C1178" i="4" s="1"/>
  <c r="A1178" i="4"/>
  <c r="C1177" i="4"/>
  <c r="B1177" i="4"/>
  <c r="A1177" i="4"/>
  <c r="B1176" i="4"/>
  <c r="A1176" i="4"/>
  <c r="C1176" i="4" s="1"/>
  <c r="C1175" i="4"/>
  <c r="B1175" i="4"/>
  <c r="A1175" i="4"/>
  <c r="B1174" i="4"/>
  <c r="C1174" i="4" s="1"/>
  <c r="A1174" i="4"/>
  <c r="B1173" i="4"/>
  <c r="A1173" i="4"/>
  <c r="C1173" i="4" s="1"/>
  <c r="B1172" i="4"/>
  <c r="A1172" i="4"/>
  <c r="B1171" i="4"/>
  <c r="A1171" i="4"/>
  <c r="C1171" i="4" s="1"/>
  <c r="B1170" i="4"/>
  <c r="C1170" i="4" s="1"/>
  <c r="A1170" i="4"/>
  <c r="C1169" i="4"/>
  <c r="B1169" i="4"/>
  <c r="A1169" i="4"/>
  <c r="B1168" i="4"/>
  <c r="A1168" i="4"/>
  <c r="C1168" i="4" s="1"/>
  <c r="C1167" i="4"/>
  <c r="B1167" i="4"/>
  <c r="A1167" i="4"/>
  <c r="B1166" i="4"/>
  <c r="C1166" i="4" s="1"/>
  <c r="A1166" i="4"/>
  <c r="B1165" i="4"/>
  <c r="A1165" i="4"/>
  <c r="C1165" i="4" s="1"/>
  <c r="B1164" i="4"/>
  <c r="A1164" i="4"/>
  <c r="B1163" i="4"/>
  <c r="A1163" i="4"/>
  <c r="C1163" i="4" s="1"/>
  <c r="B1162" i="4"/>
  <c r="C1162" i="4" s="1"/>
  <c r="A1162" i="4"/>
  <c r="C1161" i="4"/>
  <c r="B1161" i="4"/>
  <c r="A1161" i="4"/>
  <c r="B1160" i="4"/>
  <c r="A1160" i="4"/>
  <c r="C1160" i="4" s="1"/>
  <c r="C1159" i="4"/>
  <c r="B1159" i="4"/>
  <c r="A1159" i="4"/>
  <c r="B1158" i="4"/>
  <c r="C1158" i="4" s="1"/>
  <c r="A1158" i="4"/>
  <c r="B1157" i="4"/>
  <c r="A1157" i="4"/>
  <c r="C1157" i="4" s="1"/>
  <c r="B1156" i="4"/>
  <c r="A1156" i="4"/>
  <c r="B1155" i="4"/>
  <c r="A1155" i="4"/>
  <c r="C1155" i="4" s="1"/>
  <c r="B1154" i="4"/>
  <c r="C1154" i="4" s="1"/>
  <c r="A1154" i="4"/>
  <c r="C1153" i="4"/>
  <c r="B1153" i="4"/>
  <c r="A1153" i="4"/>
  <c r="B1152" i="4"/>
  <c r="A1152" i="4"/>
  <c r="C1152" i="4" s="1"/>
  <c r="C1151" i="4"/>
  <c r="B1151" i="4"/>
  <c r="A1151" i="4"/>
  <c r="B1150" i="4"/>
  <c r="C1150" i="4" s="1"/>
  <c r="A1150" i="4"/>
  <c r="B1149" i="4"/>
  <c r="A1149" i="4"/>
  <c r="C1149" i="4" s="1"/>
  <c r="B1148" i="4"/>
  <c r="A1148" i="4"/>
  <c r="B1147" i="4"/>
  <c r="A1147" i="4"/>
  <c r="C1147" i="4" s="1"/>
  <c r="B1146" i="4"/>
  <c r="C1146" i="4" s="1"/>
  <c r="A1146" i="4"/>
  <c r="C1145" i="4"/>
  <c r="B1145" i="4"/>
  <c r="A1145" i="4"/>
  <c r="B1144" i="4"/>
  <c r="A1144" i="4"/>
  <c r="C1144" i="4" s="1"/>
  <c r="C1143" i="4"/>
  <c r="B1143" i="4"/>
  <c r="A1143" i="4"/>
  <c r="B1142" i="4"/>
  <c r="C1142" i="4" s="1"/>
  <c r="A1142" i="4"/>
  <c r="B1141" i="4"/>
  <c r="A1141" i="4"/>
  <c r="C1141" i="4" s="1"/>
  <c r="B1140" i="4"/>
  <c r="A1140" i="4"/>
  <c r="B1139" i="4"/>
  <c r="A1139" i="4"/>
  <c r="C1139" i="4" s="1"/>
  <c r="B1138" i="4"/>
  <c r="C1138" i="4" s="1"/>
  <c r="A1138" i="4"/>
  <c r="C1137" i="4"/>
  <c r="B1137" i="4"/>
  <c r="A1137" i="4"/>
  <c r="B1136" i="4"/>
  <c r="A1136" i="4"/>
  <c r="C1136" i="4" s="1"/>
  <c r="C1135" i="4"/>
  <c r="B1135" i="4"/>
  <c r="A1135" i="4"/>
  <c r="B1134" i="4"/>
  <c r="C1134" i="4" s="1"/>
  <c r="A1134" i="4"/>
  <c r="B1133" i="4"/>
  <c r="A1133" i="4"/>
  <c r="C1133" i="4" s="1"/>
  <c r="B1132" i="4"/>
  <c r="A1132" i="4"/>
  <c r="B1131" i="4"/>
  <c r="A1131" i="4"/>
  <c r="C1131" i="4" s="1"/>
  <c r="B1130" i="4"/>
  <c r="C1130" i="4" s="1"/>
  <c r="A1130" i="4"/>
  <c r="C1129" i="4"/>
  <c r="B1129" i="4"/>
  <c r="A1129" i="4"/>
  <c r="B1128" i="4"/>
  <c r="A1128" i="4"/>
  <c r="C1128" i="4" s="1"/>
  <c r="C1127" i="4"/>
  <c r="B1127" i="4"/>
  <c r="A1127" i="4"/>
  <c r="B1126" i="4"/>
  <c r="C1126" i="4" s="1"/>
  <c r="A1126" i="4"/>
  <c r="B1125" i="4"/>
  <c r="A1125" i="4"/>
  <c r="C1125" i="4" s="1"/>
  <c r="B1124" i="4"/>
  <c r="A1124" i="4"/>
  <c r="B1123" i="4"/>
  <c r="A1123" i="4"/>
  <c r="C1123" i="4" s="1"/>
  <c r="B1122" i="4"/>
  <c r="C1122" i="4" s="1"/>
  <c r="A1122" i="4"/>
  <c r="C1121" i="4"/>
  <c r="B1121" i="4"/>
  <c r="A1121" i="4"/>
  <c r="B1120" i="4"/>
  <c r="A1120" i="4"/>
  <c r="C1120" i="4" s="1"/>
  <c r="C1119" i="4"/>
  <c r="B1119" i="4"/>
  <c r="A1119" i="4"/>
  <c r="B1118" i="4"/>
  <c r="C1118" i="4" s="1"/>
  <c r="A1118" i="4"/>
  <c r="B1117" i="4"/>
  <c r="A1117" i="4"/>
  <c r="C1117" i="4" s="1"/>
  <c r="B1116" i="4"/>
  <c r="A1116" i="4"/>
  <c r="B1115" i="4"/>
  <c r="A1115" i="4"/>
  <c r="C1115" i="4" s="1"/>
  <c r="B1114" i="4"/>
  <c r="C1114" i="4" s="1"/>
  <c r="A1114" i="4"/>
  <c r="C1113" i="4"/>
  <c r="B1113" i="4"/>
  <c r="A1113" i="4"/>
  <c r="B1112" i="4"/>
  <c r="A1112" i="4"/>
  <c r="C1112" i="4" s="1"/>
  <c r="C1111" i="4"/>
  <c r="B1111" i="4"/>
  <c r="A1111" i="4"/>
  <c r="B1110" i="4"/>
  <c r="C1110" i="4" s="1"/>
  <c r="A1110" i="4"/>
  <c r="B1109" i="4"/>
  <c r="A1109" i="4"/>
  <c r="C1109" i="4" s="1"/>
  <c r="B1108" i="4"/>
  <c r="A1108" i="4"/>
  <c r="B1107" i="4"/>
  <c r="A1107" i="4"/>
  <c r="C1107" i="4" s="1"/>
  <c r="B1106" i="4"/>
  <c r="C1106" i="4" s="1"/>
  <c r="A1106" i="4"/>
  <c r="C1105" i="4"/>
  <c r="B1105" i="4"/>
  <c r="A1105" i="4"/>
  <c r="B1104" i="4"/>
  <c r="A1104" i="4"/>
  <c r="C1104" i="4" s="1"/>
  <c r="C1103" i="4"/>
  <c r="B1103" i="4"/>
  <c r="A1103" i="4"/>
  <c r="B1102" i="4"/>
  <c r="C1102" i="4" s="1"/>
  <c r="A1102" i="4"/>
  <c r="B1101" i="4"/>
  <c r="A1101" i="4"/>
  <c r="C1101" i="4" s="1"/>
  <c r="B1100" i="4"/>
  <c r="A1100" i="4"/>
  <c r="B1099" i="4"/>
  <c r="A1099" i="4"/>
  <c r="C1099" i="4" s="1"/>
  <c r="B1098" i="4"/>
  <c r="C1098" i="4" s="1"/>
  <c r="A1098" i="4"/>
  <c r="C1097" i="4"/>
  <c r="B1097" i="4"/>
  <c r="A1097" i="4"/>
  <c r="B1096" i="4"/>
  <c r="A1096" i="4"/>
  <c r="C1096" i="4" s="1"/>
  <c r="C1095" i="4"/>
  <c r="B1095" i="4"/>
  <c r="A1095" i="4"/>
  <c r="B1094" i="4"/>
  <c r="C1094" i="4" s="1"/>
  <c r="A1094" i="4"/>
  <c r="B1093" i="4"/>
  <c r="A1093" i="4"/>
  <c r="C1093" i="4" s="1"/>
  <c r="B1092" i="4"/>
  <c r="A1092" i="4"/>
  <c r="B1091" i="4"/>
  <c r="A1091" i="4"/>
  <c r="C1091" i="4" s="1"/>
  <c r="B1090" i="4"/>
  <c r="C1090" i="4" s="1"/>
  <c r="A1090" i="4"/>
  <c r="C1089" i="4"/>
  <c r="B1089" i="4"/>
  <c r="A1089" i="4"/>
  <c r="B1088" i="4"/>
  <c r="A1088" i="4"/>
  <c r="C1088" i="4" s="1"/>
  <c r="C1087" i="4"/>
  <c r="B1087" i="4"/>
  <c r="A1087" i="4"/>
  <c r="B1086" i="4"/>
  <c r="C1086" i="4" s="1"/>
  <c r="A1086" i="4"/>
  <c r="B1085" i="4"/>
  <c r="A1085" i="4"/>
  <c r="C1085" i="4" s="1"/>
  <c r="B1084" i="4"/>
  <c r="A1084" i="4"/>
  <c r="B1083" i="4"/>
  <c r="A1083" i="4"/>
  <c r="C1083" i="4" s="1"/>
  <c r="B1082" i="4"/>
  <c r="C1082" i="4" s="1"/>
  <c r="A1082" i="4"/>
  <c r="C1081" i="4"/>
  <c r="B1081" i="4"/>
  <c r="A1081" i="4"/>
  <c r="B1080" i="4"/>
  <c r="A1080" i="4"/>
  <c r="C1080" i="4" s="1"/>
  <c r="C1079" i="4"/>
  <c r="B1079" i="4"/>
  <c r="A1079" i="4"/>
  <c r="B1078" i="4"/>
  <c r="C1078" i="4" s="1"/>
  <c r="A1078" i="4"/>
  <c r="B1077" i="4"/>
  <c r="A1077" i="4"/>
  <c r="C1077" i="4" s="1"/>
  <c r="B1076" i="4"/>
  <c r="A1076" i="4"/>
  <c r="B1075" i="4"/>
  <c r="A1075" i="4"/>
  <c r="C1075" i="4" s="1"/>
  <c r="B1074" i="4"/>
  <c r="C1074" i="4" s="1"/>
  <c r="A1074" i="4"/>
  <c r="C1073" i="4"/>
  <c r="B1073" i="4"/>
  <c r="A1073" i="4"/>
  <c r="B1072" i="4"/>
  <c r="A1072" i="4"/>
  <c r="C1072" i="4" s="1"/>
  <c r="C1071" i="4"/>
  <c r="B1071" i="4"/>
  <c r="A1071" i="4"/>
  <c r="B1070" i="4"/>
  <c r="C1070" i="4" s="1"/>
  <c r="A1070" i="4"/>
  <c r="B1069" i="4"/>
  <c r="A1069" i="4"/>
  <c r="C1069" i="4" s="1"/>
  <c r="B1068" i="4"/>
  <c r="A1068" i="4"/>
  <c r="B1067" i="4"/>
  <c r="A1067" i="4"/>
  <c r="C1067" i="4" s="1"/>
  <c r="B1066" i="4"/>
  <c r="C1066" i="4" s="1"/>
  <c r="A1066" i="4"/>
  <c r="C1065" i="4"/>
  <c r="B1065" i="4"/>
  <c r="A1065" i="4"/>
  <c r="B1064" i="4"/>
  <c r="A1064" i="4"/>
  <c r="C1064" i="4" s="1"/>
  <c r="C1063" i="4"/>
  <c r="B1063" i="4"/>
  <c r="A1063" i="4"/>
  <c r="B1062" i="4"/>
  <c r="C1062" i="4" s="1"/>
  <c r="A1062" i="4"/>
  <c r="B1061" i="4"/>
  <c r="A1061" i="4"/>
  <c r="C1061" i="4" s="1"/>
  <c r="B1060" i="4"/>
  <c r="A1060" i="4"/>
  <c r="B1059" i="4"/>
  <c r="A1059" i="4"/>
  <c r="C1059" i="4" s="1"/>
  <c r="B1058" i="4"/>
  <c r="C1058" i="4" s="1"/>
  <c r="A1058" i="4"/>
  <c r="C1057" i="4"/>
  <c r="B1057" i="4"/>
  <c r="A1057" i="4"/>
  <c r="B1056" i="4"/>
  <c r="A1056" i="4"/>
  <c r="C1056" i="4" s="1"/>
  <c r="C1055" i="4"/>
  <c r="B1055" i="4"/>
  <c r="A1055" i="4"/>
  <c r="B1054" i="4"/>
  <c r="C1054" i="4" s="1"/>
  <c r="A1054" i="4"/>
  <c r="B1053" i="4"/>
  <c r="A1053" i="4"/>
  <c r="C1053" i="4" s="1"/>
  <c r="B1052" i="4"/>
  <c r="A1052" i="4"/>
  <c r="B1051" i="4"/>
  <c r="A1051" i="4"/>
  <c r="C1051" i="4" s="1"/>
  <c r="B1050" i="4"/>
  <c r="C1050" i="4" s="1"/>
  <c r="A1050" i="4"/>
  <c r="C1049" i="4"/>
  <c r="B1049" i="4"/>
  <c r="A1049" i="4"/>
  <c r="B1048" i="4"/>
  <c r="A1048" i="4"/>
  <c r="C1048" i="4" s="1"/>
  <c r="C1047" i="4"/>
  <c r="B1047" i="4"/>
  <c r="A1047" i="4"/>
  <c r="B1046" i="4"/>
  <c r="C1046" i="4" s="1"/>
  <c r="A1046" i="4"/>
  <c r="B1045" i="4"/>
  <c r="A1045" i="4"/>
  <c r="C1045" i="4" s="1"/>
  <c r="B1044" i="4"/>
  <c r="A1044" i="4"/>
  <c r="B1043" i="4"/>
  <c r="A1043" i="4"/>
  <c r="C1043" i="4" s="1"/>
  <c r="B1042" i="4"/>
  <c r="C1042" i="4" s="1"/>
  <c r="A1042" i="4"/>
  <c r="C1041" i="4"/>
  <c r="B1041" i="4"/>
  <c r="A1041" i="4"/>
  <c r="B1040" i="4"/>
  <c r="A1040" i="4"/>
  <c r="C1040" i="4" s="1"/>
  <c r="C1039" i="4"/>
  <c r="B1039" i="4"/>
  <c r="A1039" i="4"/>
  <c r="B1038" i="4"/>
  <c r="C1038" i="4" s="1"/>
  <c r="A1038" i="4"/>
  <c r="B1037" i="4"/>
  <c r="A1037" i="4"/>
  <c r="C1037" i="4" s="1"/>
  <c r="B1036" i="4"/>
  <c r="A1036" i="4"/>
  <c r="B1035" i="4"/>
  <c r="A1035" i="4"/>
  <c r="C1035" i="4" s="1"/>
  <c r="B1034" i="4"/>
  <c r="C1034" i="4" s="1"/>
  <c r="A1034" i="4"/>
  <c r="C1033" i="4"/>
  <c r="B1033" i="4"/>
  <c r="A1033" i="4"/>
  <c r="B1032" i="4"/>
  <c r="A1032" i="4"/>
  <c r="C1032" i="4" s="1"/>
  <c r="C1031" i="4"/>
  <c r="B1031" i="4"/>
  <c r="A1031" i="4"/>
  <c r="B1030" i="4"/>
  <c r="C1030" i="4" s="1"/>
  <c r="A1030" i="4"/>
  <c r="B1029" i="4"/>
  <c r="A1029" i="4"/>
  <c r="C1029" i="4" s="1"/>
  <c r="B1028" i="4"/>
  <c r="A1028" i="4"/>
  <c r="B1027" i="4"/>
  <c r="A1027" i="4"/>
  <c r="C1027" i="4" s="1"/>
  <c r="B1026" i="4"/>
  <c r="C1026" i="4" s="1"/>
  <c r="A1026" i="4"/>
  <c r="C1025" i="4"/>
  <c r="B1025" i="4"/>
  <c r="A1025" i="4"/>
  <c r="B1024" i="4"/>
  <c r="A1024" i="4"/>
  <c r="C1024" i="4" s="1"/>
  <c r="C1023" i="4"/>
  <c r="B1023" i="4"/>
  <c r="A1023" i="4"/>
  <c r="B1022" i="4"/>
  <c r="C1022" i="4" s="1"/>
  <c r="A1022" i="4"/>
  <c r="B1021" i="4"/>
  <c r="A1021" i="4"/>
  <c r="C1021" i="4" s="1"/>
  <c r="B1020" i="4"/>
  <c r="A1020" i="4"/>
  <c r="B1019" i="4"/>
  <c r="A1019" i="4"/>
  <c r="C1019" i="4" s="1"/>
  <c r="B1018" i="4"/>
  <c r="C1018" i="4" s="1"/>
  <c r="A1018" i="4"/>
  <c r="C1017" i="4"/>
  <c r="B1017" i="4"/>
  <c r="A1017" i="4"/>
  <c r="B1016" i="4"/>
  <c r="A1016" i="4"/>
  <c r="C1016" i="4" s="1"/>
  <c r="C1015" i="4"/>
  <c r="B1015" i="4"/>
  <c r="A1015" i="4"/>
  <c r="B1014" i="4"/>
  <c r="C1014" i="4" s="1"/>
  <c r="A1014" i="4"/>
  <c r="B1013" i="4"/>
  <c r="A1013" i="4"/>
  <c r="C1013" i="4" s="1"/>
  <c r="B1012" i="4"/>
  <c r="A1012" i="4"/>
  <c r="B1011" i="4"/>
  <c r="A1011" i="4"/>
  <c r="C1011" i="4" s="1"/>
  <c r="B1010" i="4"/>
  <c r="C1010" i="4" s="1"/>
  <c r="A1010" i="4"/>
  <c r="C1009" i="4"/>
  <c r="B1009" i="4"/>
  <c r="A1009" i="4"/>
  <c r="B1008" i="4"/>
  <c r="A1008" i="4"/>
  <c r="C1008" i="4" s="1"/>
  <c r="C1007" i="4"/>
  <c r="B1007" i="4"/>
  <c r="A1007" i="4"/>
  <c r="B1006" i="4"/>
  <c r="C1006" i="4" s="1"/>
  <c r="A1006" i="4"/>
  <c r="B1005" i="4"/>
  <c r="A1005" i="4"/>
  <c r="C1005" i="4" s="1"/>
  <c r="B1004" i="4"/>
  <c r="A1004" i="4"/>
  <c r="B1003" i="4"/>
  <c r="A1003" i="4"/>
  <c r="C1003" i="4" s="1"/>
  <c r="B1002" i="4"/>
  <c r="C1002" i="4" s="1"/>
  <c r="A1002" i="4"/>
  <c r="C1001" i="4"/>
  <c r="B1001" i="4"/>
  <c r="A1001" i="4"/>
  <c r="B1000" i="4"/>
  <c r="A1000" i="4"/>
  <c r="C1000" i="4" s="1"/>
  <c r="C999" i="4"/>
  <c r="B999" i="4"/>
  <c r="A999" i="4"/>
  <c r="B998" i="4"/>
  <c r="C998" i="4" s="1"/>
  <c r="A998" i="4"/>
  <c r="B997" i="4"/>
  <c r="A997" i="4"/>
  <c r="C997" i="4" s="1"/>
  <c r="B996" i="4"/>
  <c r="A996" i="4"/>
  <c r="B995" i="4"/>
  <c r="A995" i="4"/>
  <c r="C995" i="4" s="1"/>
  <c r="B994" i="4"/>
  <c r="C994" i="4" s="1"/>
  <c r="A994" i="4"/>
  <c r="C993" i="4"/>
  <c r="B993" i="4"/>
  <c r="A993" i="4"/>
  <c r="B992" i="4"/>
  <c r="A992" i="4"/>
  <c r="C992" i="4" s="1"/>
  <c r="C991" i="4"/>
  <c r="B991" i="4"/>
  <c r="A991" i="4"/>
  <c r="B990" i="4"/>
  <c r="C990" i="4" s="1"/>
  <c r="A990" i="4"/>
  <c r="B989" i="4"/>
  <c r="A989" i="4"/>
  <c r="C989" i="4" s="1"/>
  <c r="B988" i="4"/>
  <c r="A988" i="4"/>
  <c r="B987" i="4"/>
  <c r="A987" i="4"/>
  <c r="C987" i="4" s="1"/>
  <c r="B986" i="4"/>
  <c r="C986" i="4" s="1"/>
  <c r="A986" i="4"/>
  <c r="C985" i="4"/>
  <c r="B985" i="4"/>
  <c r="A985" i="4"/>
  <c r="B984" i="4"/>
  <c r="A984" i="4"/>
  <c r="C984" i="4" s="1"/>
  <c r="C983" i="4"/>
  <c r="B983" i="4"/>
  <c r="A983" i="4"/>
  <c r="B982" i="4"/>
  <c r="C982" i="4" s="1"/>
  <c r="A982" i="4"/>
  <c r="B981" i="4"/>
  <c r="A981" i="4"/>
  <c r="C981" i="4" s="1"/>
  <c r="B980" i="4"/>
  <c r="A980" i="4"/>
  <c r="B979" i="4"/>
  <c r="A979" i="4"/>
  <c r="C979" i="4" s="1"/>
  <c r="B978" i="4"/>
  <c r="C978" i="4" s="1"/>
  <c r="A978" i="4"/>
  <c r="C977" i="4"/>
  <c r="B977" i="4"/>
  <c r="A977" i="4"/>
  <c r="B976" i="4"/>
  <c r="A976" i="4"/>
  <c r="C976" i="4" s="1"/>
  <c r="C975" i="4"/>
  <c r="B975" i="4"/>
  <c r="A975" i="4"/>
  <c r="B974" i="4"/>
  <c r="C974" i="4" s="1"/>
  <c r="A974" i="4"/>
  <c r="B973" i="4"/>
  <c r="A973" i="4"/>
  <c r="C973" i="4" s="1"/>
  <c r="B972" i="4"/>
  <c r="A972" i="4"/>
  <c r="B971" i="4"/>
  <c r="A971" i="4"/>
  <c r="C971" i="4" s="1"/>
  <c r="B970" i="4"/>
  <c r="C970" i="4" s="1"/>
  <c r="A970" i="4"/>
  <c r="C969" i="4"/>
  <c r="B969" i="4"/>
  <c r="A969" i="4"/>
  <c r="B968" i="4"/>
  <c r="A968" i="4"/>
  <c r="C968" i="4" s="1"/>
  <c r="C967" i="4"/>
  <c r="B967" i="4"/>
  <c r="A967" i="4"/>
  <c r="B966" i="4"/>
  <c r="C966" i="4" s="1"/>
  <c r="A966" i="4"/>
  <c r="B965" i="4"/>
  <c r="A965" i="4"/>
  <c r="C965" i="4" s="1"/>
  <c r="B964" i="4"/>
  <c r="A964" i="4"/>
  <c r="B963" i="4"/>
  <c r="A963" i="4"/>
  <c r="C963" i="4" s="1"/>
  <c r="B962" i="4"/>
  <c r="C962" i="4" s="1"/>
  <c r="A962" i="4"/>
  <c r="C961" i="4"/>
  <c r="B961" i="4"/>
  <c r="A961" i="4"/>
  <c r="B960" i="4"/>
  <c r="A960" i="4"/>
  <c r="C960" i="4" s="1"/>
  <c r="C959" i="4"/>
  <c r="B959" i="4"/>
  <c r="A959" i="4"/>
  <c r="B958" i="4"/>
  <c r="C958" i="4" s="1"/>
  <c r="A958" i="4"/>
  <c r="B957" i="4"/>
  <c r="A957" i="4"/>
  <c r="C957" i="4" s="1"/>
  <c r="B956" i="4"/>
  <c r="A956" i="4"/>
  <c r="B955" i="4"/>
  <c r="A955" i="4"/>
  <c r="C955" i="4" s="1"/>
  <c r="B954" i="4"/>
  <c r="C954" i="4" s="1"/>
  <c r="A954" i="4"/>
  <c r="C953" i="4"/>
  <c r="B953" i="4"/>
  <c r="A953" i="4"/>
  <c r="B952" i="4"/>
  <c r="A952" i="4"/>
  <c r="C952" i="4" s="1"/>
  <c r="C951" i="4"/>
  <c r="B951" i="4"/>
  <c r="A951" i="4"/>
  <c r="B950" i="4"/>
  <c r="C950" i="4" s="1"/>
  <c r="A950" i="4"/>
  <c r="B949" i="4"/>
  <c r="A949" i="4"/>
  <c r="C949" i="4" s="1"/>
  <c r="B948" i="4"/>
  <c r="A948" i="4"/>
  <c r="B947" i="4"/>
  <c r="A947" i="4"/>
  <c r="C947" i="4" s="1"/>
  <c r="B946" i="4"/>
  <c r="C946" i="4" s="1"/>
  <c r="A946" i="4"/>
  <c r="C945" i="4"/>
  <c r="B945" i="4"/>
  <c r="A945" i="4"/>
  <c r="B944" i="4"/>
  <c r="A944" i="4"/>
  <c r="C944" i="4" s="1"/>
  <c r="C943" i="4"/>
  <c r="B943" i="4"/>
  <c r="A943" i="4"/>
  <c r="B942" i="4"/>
  <c r="C942" i="4" s="1"/>
  <c r="A942" i="4"/>
  <c r="B941" i="4"/>
  <c r="A941" i="4"/>
  <c r="C941" i="4" s="1"/>
  <c r="B940" i="4"/>
  <c r="A940" i="4"/>
  <c r="B939" i="4"/>
  <c r="A939" i="4"/>
  <c r="C939" i="4" s="1"/>
  <c r="B938" i="4"/>
  <c r="C938" i="4" s="1"/>
  <c r="A938" i="4"/>
  <c r="C937" i="4"/>
  <c r="B937" i="4"/>
  <c r="A937" i="4"/>
  <c r="B936" i="4"/>
  <c r="A936" i="4"/>
  <c r="C936" i="4" s="1"/>
  <c r="C935" i="4"/>
  <c r="B935" i="4"/>
  <c r="A935" i="4"/>
  <c r="B934" i="4"/>
  <c r="C934" i="4" s="1"/>
  <c r="A934" i="4"/>
  <c r="B933" i="4"/>
  <c r="A933" i="4"/>
  <c r="C933" i="4" s="1"/>
  <c r="B932" i="4"/>
  <c r="A932" i="4"/>
  <c r="B931" i="4"/>
  <c r="A931" i="4"/>
  <c r="C931" i="4" s="1"/>
  <c r="B930" i="4"/>
  <c r="C930" i="4" s="1"/>
  <c r="A930" i="4"/>
  <c r="C929" i="4"/>
  <c r="B929" i="4"/>
  <c r="A929" i="4"/>
  <c r="B928" i="4"/>
  <c r="A928" i="4"/>
  <c r="C928" i="4" s="1"/>
  <c r="C927" i="4"/>
  <c r="B927" i="4"/>
  <c r="A927" i="4"/>
  <c r="B926" i="4"/>
  <c r="C926" i="4" s="1"/>
  <c r="A926" i="4"/>
  <c r="B925" i="4"/>
  <c r="A925" i="4"/>
  <c r="C925" i="4" s="1"/>
  <c r="B924" i="4"/>
  <c r="A924" i="4"/>
  <c r="B923" i="4"/>
  <c r="A923" i="4"/>
  <c r="C923" i="4" s="1"/>
  <c r="B922" i="4"/>
  <c r="C922" i="4" s="1"/>
  <c r="A922" i="4"/>
  <c r="C921" i="4"/>
  <c r="B921" i="4"/>
  <c r="A921" i="4"/>
  <c r="B920" i="4"/>
  <c r="A920" i="4"/>
  <c r="C920" i="4" s="1"/>
  <c r="C919" i="4"/>
  <c r="B919" i="4"/>
  <c r="A919" i="4"/>
  <c r="B918" i="4"/>
  <c r="C918" i="4" s="1"/>
  <c r="A918" i="4"/>
  <c r="B917" i="4"/>
  <c r="A917" i="4"/>
  <c r="C917" i="4" s="1"/>
  <c r="B916" i="4"/>
  <c r="A916" i="4"/>
  <c r="B915" i="4"/>
  <c r="A915" i="4"/>
  <c r="C915" i="4" s="1"/>
  <c r="B914" i="4"/>
  <c r="C914" i="4" s="1"/>
  <c r="A914" i="4"/>
  <c r="C913" i="4"/>
  <c r="B913" i="4"/>
  <c r="A913" i="4"/>
  <c r="B912" i="4"/>
  <c r="A912" i="4"/>
  <c r="C912" i="4" s="1"/>
  <c r="C911" i="4"/>
  <c r="B911" i="4"/>
  <c r="A911" i="4"/>
  <c r="B910" i="4"/>
  <c r="C910" i="4" s="1"/>
  <c r="A910" i="4"/>
  <c r="B909" i="4"/>
  <c r="A909" i="4"/>
  <c r="C909" i="4" s="1"/>
  <c r="B908" i="4"/>
  <c r="A908" i="4"/>
  <c r="B907" i="4"/>
  <c r="A907" i="4"/>
  <c r="C907" i="4" s="1"/>
  <c r="B906" i="4"/>
  <c r="C906" i="4" s="1"/>
  <c r="A906" i="4"/>
  <c r="C905" i="4"/>
  <c r="B905" i="4"/>
  <c r="A905" i="4"/>
  <c r="B904" i="4"/>
  <c r="A904" i="4"/>
  <c r="C904" i="4" s="1"/>
  <c r="C903" i="4"/>
  <c r="B903" i="4"/>
  <c r="A903" i="4"/>
  <c r="B902" i="4"/>
  <c r="C902" i="4" s="1"/>
  <c r="A902" i="4"/>
  <c r="B901" i="4"/>
  <c r="A901" i="4"/>
  <c r="C901" i="4" s="1"/>
  <c r="B900" i="4"/>
  <c r="A900" i="4"/>
  <c r="B899" i="4"/>
  <c r="A899" i="4"/>
  <c r="C899" i="4" s="1"/>
  <c r="B898" i="4"/>
  <c r="C898" i="4" s="1"/>
  <c r="A898" i="4"/>
  <c r="C897" i="4"/>
  <c r="B897" i="4"/>
  <c r="A897" i="4"/>
  <c r="B896" i="4"/>
  <c r="A896" i="4"/>
  <c r="C896" i="4" s="1"/>
  <c r="C895" i="4"/>
  <c r="B895" i="4"/>
  <c r="A895" i="4"/>
  <c r="B894" i="4"/>
  <c r="C894" i="4" s="1"/>
  <c r="A894" i="4"/>
  <c r="B893" i="4"/>
  <c r="A893" i="4"/>
  <c r="C893" i="4" s="1"/>
  <c r="B892" i="4"/>
  <c r="A892" i="4"/>
  <c r="B891" i="4"/>
  <c r="A891" i="4"/>
  <c r="C891" i="4" s="1"/>
  <c r="B890" i="4"/>
  <c r="C890" i="4" s="1"/>
  <c r="A890" i="4"/>
  <c r="C889" i="4"/>
  <c r="B889" i="4"/>
  <c r="A889" i="4"/>
  <c r="B888" i="4"/>
  <c r="A888" i="4"/>
  <c r="C888" i="4" s="1"/>
  <c r="C887" i="4"/>
  <c r="B887" i="4"/>
  <c r="A887" i="4"/>
  <c r="B886" i="4"/>
  <c r="C886" i="4" s="1"/>
  <c r="A886" i="4"/>
  <c r="B885" i="4"/>
  <c r="A885" i="4"/>
  <c r="C885" i="4" s="1"/>
  <c r="B884" i="4"/>
  <c r="A884" i="4"/>
  <c r="B883" i="4"/>
  <c r="A883" i="4"/>
  <c r="C883" i="4" s="1"/>
  <c r="B882" i="4"/>
  <c r="C882" i="4" s="1"/>
  <c r="A882" i="4"/>
  <c r="C881" i="4"/>
  <c r="B881" i="4"/>
  <c r="A881" i="4"/>
  <c r="B880" i="4"/>
  <c r="A880" i="4"/>
  <c r="C880" i="4" s="1"/>
  <c r="C879" i="4"/>
  <c r="B879" i="4"/>
  <c r="A879" i="4"/>
  <c r="B878" i="4"/>
  <c r="C878" i="4" s="1"/>
  <c r="A878" i="4"/>
  <c r="B877" i="4"/>
  <c r="A877" i="4"/>
  <c r="C877" i="4" s="1"/>
  <c r="B876" i="4"/>
  <c r="A876" i="4"/>
  <c r="B875" i="4"/>
  <c r="A875" i="4"/>
  <c r="C875" i="4" s="1"/>
  <c r="B874" i="4"/>
  <c r="C874" i="4" s="1"/>
  <c r="A874" i="4"/>
  <c r="C873" i="4"/>
  <c r="B873" i="4"/>
  <c r="A873" i="4"/>
  <c r="B872" i="4"/>
  <c r="A872" i="4"/>
  <c r="C872" i="4" s="1"/>
  <c r="C871" i="4"/>
  <c r="B871" i="4"/>
  <c r="A871" i="4"/>
  <c r="B870" i="4"/>
  <c r="C870" i="4" s="1"/>
  <c r="A870" i="4"/>
  <c r="B869" i="4"/>
  <c r="A869" i="4"/>
  <c r="C869" i="4" s="1"/>
  <c r="B868" i="4"/>
  <c r="A868" i="4"/>
  <c r="B867" i="4"/>
  <c r="A867" i="4"/>
  <c r="C867" i="4" s="1"/>
  <c r="B866" i="4"/>
  <c r="C866" i="4" s="1"/>
  <c r="A866" i="4"/>
  <c r="C865" i="4"/>
  <c r="B865" i="4"/>
  <c r="A865" i="4"/>
  <c r="B864" i="4"/>
  <c r="A864" i="4"/>
  <c r="C864" i="4" s="1"/>
  <c r="C863" i="4"/>
  <c r="B863" i="4"/>
  <c r="A863" i="4"/>
  <c r="B862" i="4"/>
  <c r="C862" i="4" s="1"/>
  <c r="A862" i="4"/>
  <c r="B861" i="4"/>
  <c r="A861" i="4"/>
  <c r="C861" i="4" s="1"/>
  <c r="B860" i="4"/>
  <c r="A860" i="4"/>
  <c r="B859" i="4"/>
  <c r="A859" i="4"/>
  <c r="C859" i="4" s="1"/>
  <c r="B858" i="4"/>
  <c r="C858" i="4" s="1"/>
  <c r="A858" i="4"/>
  <c r="C857" i="4"/>
  <c r="B857" i="4"/>
  <c r="A857" i="4"/>
  <c r="B856" i="4"/>
  <c r="A856" i="4"/>
  <c r="C856" i="4" s="1"/>
  <c r="C855" i="4"/>
  <c r="B855" i="4"/>
  <c r="A855" i="4"/>
  <c r="B854" i="4"/>
  <c r="C854" i="4" s="1"/>
  <c r="A854" i="4"/>
  <c r="B853" i="4"/>
  <c r="A853" i="4"/>
  <c r="C853" i="4" s="1"/>
  <c r="B852" i="4"/>
  <c r="A852" i="4"/>
  <c r="B851" i="4"/>
  <c r="A851" i="4"/>
  <c r="C851" i="4" s="1"/>
  <c r="B850" i="4"/>
  <c r="C850" i="4" s="1"/>
  <c r="A850" i="4"/>
  <c r="C849" i="4"/>
  <c r="B849" i="4"/>
  <c r="A849" i="4"/>
  <c r="B848" i="4"/>
  <c r="A848" i="4"/>
  <c r="C848" i="4" s="1"/>
  <c r="C847" i="4"/>
  <c r="B847" i="4"/>
  <c r="A847" i="4"/>
  <c r="B846" i="4"/>
  <c r="C846" i="4" s="1"/>
  <c r="A846" i="4"/>
  <c r="B845" i="4"/>
  <c r="A845" i="4"/>
  <c r="C845" i="4" s="1"/>
  <c r="B844" i="4"/>
  <c r="A844" i="4"/>
  <c r="B843" i="4"/>
  <c r="A843" i="4"/>
  <c r="C843" i="4" s="1"/>
  <c r="B842" i="4"/>
  <c r="C842" i="4" s="1"/>
  <c r="A842" i="4"/>
  <c r="C841" i="4"/>
  <c r="B841" i="4"/>
  <c r="A841" i="4"/>
  <c r="B840" i="4"/>
  <c r="A840" i="4"/>
  <c r="C840" i="4" s="1"/>
  <c r="C839" i="4"/>
  <c r="B839" i="4"/>
  <c r="A839" i="4"/>
  <c r="B838" i="4"/>
  <c r="C838" i="4" s="1"/>
  <c r="A838" i="4"/>
  <c r="B837" i="4"/>
  <c r="A837" i="4"/>
  <c r="C837" i="4" s="1"/>
  <c r="B836" i="4"/>
  <c r="A836" i="4"/>
  <c r="B835" i="4"/>
  <c r="A835" i="4"/>
  <c r="C835" i="4" s="1"/>
  <c r="B834" i="4"/>
  <c r="C834" i="4" s="1"/>
  <c r="A834" i="4"/>
  <c r="C833" i="4"/>
  <c r="B833" i="4"/>
  <c r="A833" i="4"/>
  <c r="B832" i="4"/>
  <c r="A832" i="4"/>
  <c r="C832" i="4" s="1"/>
  <c r="C831" i="4"/>
  <c r="B831" i="4"/>
  <c r="A831" i="4"/>
  <c r="B830" i="4"/>
  <c r="C830" i="4" s="1"/>
  <c r="A830" i="4"/>
  <c r="B829" i="4"/>
  <c r="A829" i="4"/>
  <c r="C829" i="4" s="1"/>
  <c r="B828" i="4"/>
  <c r="A828" i="4"/>
  <c r="B827" i="4"/>
  <c r="A827" i="4"/>
  <c r="C827" i="4" s="1"/>
  <c r="B826" i="4"/>
  <c r="C826" i="4" s="1"/>
  <c r="A826" i="4"/>
  <c r="C825" i="4"/>
  <c r="B825" i="4"/>
  <c r="A825" i="4"/>
  <c r="B824" i="4"/>
  <c r="A824" i="4"/>
  <c r="C824" i="4" s="1"/>
  <c r="C823" i="4"/>
  <c r="B823" i="4"/>
  <c r="A823" i="4"/>
  <c r="B822" i="4"/>
  <c r="C822" i="4" s="1"/>
  <c r="A822" i="4"/>
  <c r="B821" i="4"/>
  <c r="A821" i="4"/>
  <c r="C821" i="4" s="1"/>
  <c r="B820" i="4"/>
  <c r="A820" i="4"/>
  <c r="B819" i="4"/>
  <c r="A819" i="4"/>
  <c r="C819" i="4" s="1"/>
  <c r="B818" i="4"/>
  <c r="C818" i="4" s="1"/>
  <c r="A818" i="4"/>
  <c r="C817" i="4"/>
  <c r="B817" i="4"/>
  <c r="A817" i="4"/>
  <c r="B816" i="4"/>
  <c r="A816" i="4"/>
  <c r="C816" i="4" s="1"/>
  <c r="C815" i="4"/>
  <c r="B815" i="4"/>
  <c r="A815" i="4"/>
  <c r="B814" i="4"/>
  <c r="C814" i="4" s="1"/>
  <c r="A814" i="4"/>
  <c r="B813" i="4"/>
  <c r="A813" i="4"/>
  <c r="C813" i="4" s="1"/>
  <c r="B812" i="4"/>
  <c r="A812" i="4"/>
  <c r="B811" i="4"/>
  <c r="A811" i="4"/>
  <c r="C811" i="4" s="1"/>
  <c r="B810" i="4"/>
  <c r="C810" i="4" s="1"/>
  <c r="A810" i="4"/>
  <c r="C809" i="4"/>
  <c r="B809" i="4"/>
  <c r="A809" i="4"/>
  <c r="B808" i="4"/>
  <c r="A808" i="4"/>
  <c r="C808" i="4" s="1"/>
  <c r="C807" i="4"/>
  <c r="B807" i="4"/>
  <c r="A807" i="4"/>
  <c r="B806" i="4"/>
  <c r="C806" i="4" s="1"/>
  <c r="A806" i="4"/>
  <c r="B805" i="4"/>
  <c r="A805" i="4"/>
  <c r="C805" i="4" s="1"/>
  <c r="B804" i="4"/>
  <c r="A804" i="4"/>
  <c r="B803" i="4"/>
  <c r="A803" i="4"/>
  <c r="C803" i="4" s="1"/>
  <c r="B802" i="4"/>
  <c r="C802" i="4" s="1"/>
  <c r="A802" i="4"/>
  <c r="C801" i="4"/>
  <c r="B801" i="4"/>
  <c r="A801" i="4"/>
  <c r="B800" i="4"/>
  <c r="A800" i="4"/>
  <c r="C800" i="4" s="1"/>
  <c r="C799" i="4"/>
  <c r="B799" i="4"/>
  <c r="A799" i="4"/>
  <c r="B798" i="4"/>
  <c r="C798" i="4" s="1"/>
  <c r="A798" i="4"/>
  <c r="B797" i="4"/>
  <c r="A797" i="4"/>
  <c r="C797" i="4" s="1"/>
  <c r="B796" i="4"/>
  <c r="A796" i="4"/>
  <c r="B795" i="4"/>
  <c r="A795" i="4"/>
  <c r="C795" i="4" s="1"/>
  <c r="B794" i="4"/>
  <c r="C794" i="4" s="1"/>
  <c r="A794" i="4"/>
  <c r="C793" i="4"/>
  <c r="B793" i="4"/>
  <c r="A793" i="4"/>
  <c r="B792" i="4"/>
  <c r="A792" i="4"/>
  <c r="C792" i="4" s="1"/>
  <c r="C791" i="4"/>
  <c r="B791" i="4"/>
  <c r="A791" i="4"/>
  <c r="B790" i="4"/>
  <c r="C790" i="4" s="1"/>
  <c r="A790" i="4"/>
  <c r="B789" i="4"/>
  <c r="A789" i="4"/>
  <c r="C789" i="4" s="1"/>
  <c r="B788" i="4"/>
  <c r="A788" i="4"/>
  <c r="B787" i="4"/>
  <c r="A787" i="4"/>
  <c r="C787" i="4" s="1"/>
  <c r="B786" i="4"/>
  <c r="C786" i="4" s="1"/>
  <c r="A786" i="4"/>
  <c r="C785" i="4"/>
  <c r="B785" i="4"/>
  <c r="A785" i="4"/>
  <c r="B784" i="4"/>
  <c r="A784" i="4"/>
  <c r="C784" i="4" s="1"/>
  <c r="C783" i="4"/>
  <c r="B783" i="4"/>
  <c r="A783" i="4"/>
  <c r="B782" i="4"/>
  <c r="C782" i="4" s="1"/>
  <c r="A782" i="4"/>
  <c r="B781" i="4"/>
  <c r="A781" i="4"/>
  <c r="C781" i="4" s="1"/>
  <c r="B780" i="4"/>
  <c r="A780" i="4"/>
  <c r="B779" i="4"/>
  <c r="A779" i="4"/>
  <c r="C779" i="4" s="1"/>
  <c r="B778" i="4"/>
  <c r="C778" i="4" s="1"/>
  <c r="A778" i="4"/>
  <c r="C777" i="4"/>
  <c r="B777" i="4"/>
  <c r="A777" i="4"/>
  <c r="B776" i="4"/>
  <c r="A776" i="4"/>
  <c r="C776" i="4" s="1"/>
  <c r="C775" i="4"/>
  <c r="B775" i="4"/>
  <c r="A775" i="4"/>
  <c r="B774" i="4"/>
  <c r="C774" i="4" s="1"/>
  <c r="A774" i="4"/>
  <c r="B773" i="4"/>
  <c r="A773" i="4"/>
  <c r="C773" i="4" s="1"/>
  <c r="B772" i="4"/>
  <c r="A772" i="4"/>
  <c r="B771" i="4"/>
  <c r="A771" i="4"/>
  <c r="C771" i="4" s="1"/>
  <c r="B770" i="4"/>
  <c r="C770" i="4" s="1"/>
  <c r="A770" i="4"/>
  <c r="B769" i="4"/>
  <c r="A769" i="4"/>
  <c r="C769" i="4" s="1"/>
  <c r="B768" i="4"/>
  <c r="A768" i="4"/>
  <c r="C768" i="4" s="1"/>
  <c r="C767" i="4"/>
  <c r="B767" i="4"/>
  <c r="A767" i="4"/>
  <c r="B766" i="4"/>
  <c r="C766" i="4" s="1"/>
  <c r="A766" i="4"/>
  <c r="C765" i="4"/>
  <c r="B765" i="4"/>
  <c r="A765" i="4"/>
  <c r="B764" i="4"/>
  <c r="A764" i="4"/>
  <c r="C764" i="4" s="1"/>
  <c r="B763" i="4"/>
  <c r="A763" i="4"/>
  <c r="C763" i="4" s="1"/>
  <c r="B762" i="4"/>
  <c r="C762" i="4" s="1"/>
  <c r="A762" i="4"/>
  <c r="B761" i="4"/>
  <c r="A761" i="4"/>
  <c r="C761" i="4" s="1"/>
  <c r="B760" i="4"/>
  <c r="A760" i="4"/>
  <c r="C760" i="4" s="1"/>
  <c r="C759" i="4"/>
  <c r="B759" i="4"/>
  <c r="A759" i="4"/>
  <c r="B758" i="4"/>
  <c r="C758" i="4" s="1"/>
  <c r="A758" i="4"/>
  <c r="B757" i="4"/>
  <c r="A757" i="4"/>
  <c r="C757" i="4" s="1"/>
  <c r="B756" i="4"/>
  <c r="A756" i="4"/>
  <c r="B755" i="4"/>
  <c r="A755" i="4"/>
  <c r="C755" i="4" s="1"/>
  <c r="B754" i="4"/>
  <c r="C754" i="4" s="1"/>
  <c r="A754" i="4"/>
  <c r="C753" i="4"/>
  <c r="B753" i="4"/>
  <c r="A753" i="4"/>
  <c r="B752" i="4"/>
  <c r="A752" i="4"/>
  <c r="C752" i="4" s="1"/>
  <c r="C751" i="4"/>
  <c r="B751" i="4"/>
  <c r="A751" i="4"/>
  <c r="B750" i="4"/>
  <c r="C750" i="4" s="1"/>
  <c r="A750" i="4"/>
  <c r="B749" i="4"/>
  <c r="A749" i="4"/>
  <c r="C749" i="4" s="1"/>
  <c r="B748" i="4"/>
  <c r="A748" i="4"/>
  <c r="C748" i="4" s="1"/>
  <c r="B747" i="4"/>
  <c r="A747" i="4"/>
  <c r="C747" i="4" s="1"/>
  <c r="B746" i="4"/>
  <c r="C746" i="4" s="1"/>
  <c r="A746" i="4"/>
  <c r="B745" i="4"/>
  <c r="A745" i="4"/>
  <c r="C745" i="4" s="1"/>
  <c r="B744" i="4"/>
  <c r="A744" i="4"/>
  <c r="C744" i="4" s="1"/>
  <c r="C743" i="4"/>
  <c r="B743" i="4"/>
  <c r="A743" i="4"/>
  <c r="B742" i="4"/>
  <c r="C742" i="4" s="1"/>
  <c r="A742" i="4"/>
  <c r="C741" i="4"/>
  <c r="B741" i="4"/>
  <c r="A741" i="4"/>
  <c r="B740" i="4"/>
  <c r="A740" i="4"/>
  <c r="B739" i="4"/>
  <c r="A739" i="4"/>
  <c r="C739" i="4" s="1"/>
  <c r="B738" i="4"/>
  <c r="C738" i="4" s="1"/>
  <c r="A738" i="4"/>
  <c r="B737" i="4"/>
  <c r="A737" i="4"/>
  <c r="C737" i="4" s="1"/>
  <c r="B736" i="4"/>
  <c r="A736" i="4"/>
  <c r="C736" i="4" s="1"/>
  <c r="C735" i="4"/>
  <c r="B735" i="4"/>
  <c r="A735" i="4"/>
  <c r="B734" i="4"/>
  <c r="C734" i="4" s="1"/>
  <c r="A734" i="4"/>
  <c r="C733" i="4"/>
  <c r="B733" i="4"/>
  <c r="A733" i="4"/>
  <c r="B732" i="4"/>
  <c r="A732" i="4"/>
  <c r="C732" i="4" s="1"/>
  <c r="B731" i="4"/>
  <c r="A731" i="4"/>
  <c r="C731" i="4" s="1"/>
  <c r="B730" i="4"/>
  <c r="C730" i="4" s="1"/>
  <c r="A730" i="4"/>
  <c r="B729" i="4"/>
  <c r="A729" i="4"/>
  <c r="C729" i="4" s="1"/>
  <c r="B728" i="4"/>
  <c r="A728" i="4"/>
  <c r="C728" i="4" s="1"/>
  <c r="C727" i="4"/>
  <c r="B727" i="4"/>
  <c r="A727" i="4"/>
  <c r="B726" i="4"/>
  <c r="C726" i="4" s="1"/>
  <c r="A726" i="4"/>
  <c r="C725" i="4"/>
  <c r="B725" i="4"/>
  <c r="A725" i="4"/>
  <c r="B724" i="4"/>
  <c r="A724" i="4"/>
  <c r="B723" i="4"/>
  <c r="A723" i="4"/>
  <c r="C723" i="4" s="1"/>
  <c r="B722" i="4"/>
  <c r="C722" i="4" s="1"/>
  <c r="A722" i="4"/>
  <c r="C721" i="4"/>
  <c r="B721" i="4"/>
  <c r="A721" i="4"/>
  <c r="B720" i="4"/>
  <c r="A720" i="4"/>
  <c r="C720" i="4" s="1"/>
  <c r="C719" i="4"/>
  <c r="B719" i="4"/>
  <c r="A719" i="4"/>
  <c r="B718" i="4"/>
  <c r="C718" i="4" s="1"/>
  <c r="A718" i="4"/>
  <c r="B717" i="4"/>
  <c r="A717" i="4"/>
  <c r="C717" i="4" s="1"/>
  <c r="B716" i="4"/>
  <c r="A716" i="4"/>
  <c r="C716" i="4" s="1"/>
  <c r="B715" i="4"/>
  <c r="A715" i="4"/>
  <c r="C715" i="4" s="1"/>
  <c r="B714" i="4"/>
  <c r="C714" i="4" s="1"/>
  <c r="A714" i="4"/>
  <c r="B713" i="4"/>
  <c r="A713" i="4"/>
  <c r="C713" i="4" s="1"/>
  <c r="B712" i="4"/>
  <c r="A712" i="4"/>
  <c r="C712" i="4" s="1"/>
  <c r="C711" i="4"/>
  <c r="B711" i="4"/>
  <c r="A711" i="4"/>
  <c r="B710" i="4"/>
  <c r="C710" i="4" s="1"/>
  <c r="A710" i="4"/>
  <c r="C709" i="4"/>
  <c r="B709" i="4"/>
  <c r="A709" i="4"/>
  <c r="B708" i="4"/>
  <c r="A708" i="4"/>
  <c r="B707" i="4"/>
  <c r="A707" i="4"/>
  <c r="C707" i="4" s="1"/>
  <c r="B706" i="4"/>
  <c r="C706" i="4" s="1"/>
  <c r="A706" i="4"/>
  <c r="B705" i="4"/>
  <c r="A705" i="4"/>
  <c r="C705" i="4" s="1"/>
  <c r="B704" i="4"/>
  <c r="A704" i="4"/>
  <c r="C704" i="4" s="1"/>
  <c r="C703" i="4"/>
  <c r="B703" i="4"/>
  <c r="A703" i="4"/>
  <c r="B702" i="4"/>
  <c r="C702" i="4" s="1"/>
  <c r="A702" i="4"/>
  <c r="C701" i="4"/>
  <c r="B701" i="4"/>
  <c r="A701" i="4"/>
  <c r="B700" i="4"/>
  <c r="A700" i="4"/>
  <c r="C700" i="4" s="1"/>
  <c r="B699" i="4"/>
  <c r="A699" i="4"/>
  <c r="C699" i="4" s="1"/>
  <c r="B698" i="4"/>
  <c r="C698" i="4" s="1"/>
  <c r="A698" i="4"/>
  <c r="B697" i="4"/>
  <c r="A697" i="4"/>
  <c r="C697" i="4" s="1"/>
  <c r="B696" i="4"/>
  <c r="A696" i="4"/>
  <c r="C696" i="4" s="1"/>
  <c r="C695" i="4"/>
  <c r="B695" i="4"/>
  <c r="A695" i="4"/>
  <c r="B694" i="4"/>
  <c r="C694" i="4" s="1"/>
  <c r="A694" i="4"/>
  <c r="C693" i="4"/>
  <c r="B693" i="4"/>
  <c r="A693" i="4"/>
  <c r="B692" i="4"/>
  <c r="A692" i="4"/>
  <c r="B691" i="4"/>
  <c r="A691" i="4"/>
  <c r="C691" i="4" s="1"/>
  <c r="B690" i="4"/>
  <c r="C690" i="4" s="1"/>
  <c r="A690" i="4"/>
  <c r="C689" i="4"/>
  <c r="B689" i="4"/>
  <c r="A689" i="4"/>
  <c r="B688" i="4"/>
  <c r="A688" i="4"/>
  <c r="C688" i="4" s="1"/>
  <c r="C687" i="4"/>
  <c r="B687" i="4"/>
  <c r="A687" i="4"/>
  <c r="B686" i="4"/>
  <c r="C686" i="4" s="1"/>
  <c r="A686" i="4"/>
  <c r="B685" i="4"/>
  <c r="A685" i="4"/>
  <c r="C685" i="4" s="1"/>
  <c r="B684" i="4"/>
  <c r="A684" i="4"/>
  <c r="C684" i="4" s="1"/>
  <c r="B683" i="4"/>
  <c r="A683" i="4"/>
  <c r="C683" i="4" s="1"/>
  <c r="B682" i="4"/>
  <c r="C682" i="4" s="1"/>
  <c r="A682" i="4"/>
  <c r="B681" i="4"/>
  <c r="A681" i="4"/>
  <c r="C681" i="4" s="1"/>
  <c r="B680" i="4"/>
  <c r="A680" i="4"/>
  <c r="C680" i="4" s="1"/>
  <c r="C679" i="4"/>
  <c r="B679" i="4"/>
  <c r="A679" i="4"/>
  <c r="B678" i="4"/>
  <c r="C678" i="4" s="1"/>
  <c r="A678" i="4"/>
  <c r="C677" i="4"/>
  <c r="B677" i="4"/>
  <c r="A677" i="4"/>
  <c r="B676" i="4"/>
  <c r="A676" i="4"/>
  <c r="B675" i="4"/>
  <c r="A675" i="4"/>
  <c r="C675" i="4" s="1"/>
  <c r="B674" i="4"/>
  <c r="C674" i="4" s="1"/>
  <c r="A674" i="4"/>
  <c r="B673" i="4"/>
  <c r="A673" i="4"/>
  <c r="C673" i="4" s="1"/>
  <c r="B672" i="4"/>
  <c r="A672" i="4"/>
  <c r="C672" i="4" s="1"/>
  <c r="C671" i="4"/>
  <c r="B671" i="4"/>
  <c r="A671" i="4"/>
  <c r="B670" i="4"/>
  <c r="C670" i="4" s="1"/>
  <c r="A670" i="4"/>
  <c r="C669" i="4"/>
  <c r="B669" i="4"/>
  <c r="A669" i="4"/>
  <c r="B668" i="4"/>
  <c r="A668" i="4"/>
  <c r="C668" i="4" s="1"/>
  <c r="B667" i="4"/>
  <c r="A667" i="4"/>
  <c r="C667" i="4" s="1"/>
  <c r="B666" i="4"/>
  <c r="C666" i="4" s="1"/>
  <c r="A666" i="4"/>
  <c r="B665" i="4"/>
  <c r="A665" i="4"/>
  <c r="C665" i="4" s="1"/>
  <c r="B664" i="4"/>
  <c r="A664" i="4"/>
  <c r="C664" i="4" s="1"/>
  <c r="B663" i="4"/>
  <c r="A663" i="4"/>
  <c r="C663" i="4" s="1"/>
  <c r="B662" i="4"/>
  <c r="C662" i="4" s="1"/>
  <c r="A662" i="4"/>
  <c r="C661" i="4"/>
  <c r="B661" i="4"/>
  <c r="A661" i="4"/>
  <c r="B660" i="4"/>
  <c r="A660" i="4"/>
  <c r="C660" i="4" s="1"/>
  <c r="B659" i="4"/>
  <c r="A659" i="4"/>
  <c r="C659" i="4" s="1"/>
  <c r="B658" i="4"/>
  <c r="C658" i="4" s="1"/>
  <c r="A658" i="4"/>
  <c r="B657" i="4"/>
  <c r="A657" i="4"/>
  <c r="C657" i="4" s="1"/>
  <c r="B656" i="4"/>
  <c r="A656" i="4"/>
  <c r="C656" i="4" s="1"/>
  <c r="B655" i="4"/>
  <c r="A655" i="4"/>
  <c r="C655" i="4" s="1"/>
  <c r="B654" i="4"/>
  <c r="C654" i="4" s="1"/>
  <c r="A654" i="4"/>
  <c r="C653" i="4"/>
  <c r="B653" i="4"/>
  <c r="A653" i="4"/>
  <c r="B652" i="4"/>
  <c r="A652" i="4"/>
  <c r="C652" i="4" s="1"/>
  <c r="B651" i="4"/>
  <c r="A651" i="4"/>
  <c r="C651" i="4" s="1"/>
  <c r="B650" i="4"/>
  <c r="C650" i="4" s="1"/>
  <c r="A650" i="4"/>
  <c r="B649" i="4"/>
  <c r="A649" i="4"/>
  <c r="C649" i="4" s="1"/>
  <c r="B648" i="4"/>
  <c r="A648" i="4"/>
  <c r="C648" i="4" s="1"/>
  <c r="B647" i="4"/>
  <c r="A647" i="4"/>
  <c r="C647" i="4" s="1"/>
  <c r="B646" i="4"/>
  <c r="C646" i="4" s="1"/>
  <c r="A646" i="4"/>
  <c r="C645" i="4"/>
  <c r="B645" i="4"/>
  <c r="A645" i="4"/>
  <c r="B644" i="4"/>
  <c r="A644" i="4"/>
  <c r="C644" i="4" s="1"/>
  <c r="B643" i="4"/>
  <c r="A643" i="4"/>
  <c r="C643" i="4" s="1"/>
  <c r="B642" i="4"/>
  <c r="C642" i="4" s="1"/>
  <c r="A642" i="4"/>
  <c r="B641" i="4"/>
  <c r="A641" i="4"/>
  <c r="C641" i="4" s="1"/>
  <c r="B640" i="4"/>
  <c r="A640" i="4"/>
  <c r="C640" i="4" s="1"/>
  <c r="B639" i="4"/>
  <c r="A639" i="4"/>
  <c r="C639" i="4" s="1"/>
  <c r="B638" i="4"/>
  <c r="C638" i="4" s="1"/>
  <c r="A638" i="4"/>
  <c r="C637" i="4"/>
  <c r="B637" i="4"/>
  <c r="A637" i="4"/>
  <c r="B636" i="4"/>
  <c r="A636" i="4"/>
  <c r="C636" i="4" s="1"/>
  <c r="B635" i="4"/>
  <c r="A635" i="4"/>
  <c r="C635" i="4" s="1"/>
  <c r="B634" i="4"/>
  <c r="C634" i="4" s="1"/>
  <c r="A634" i="4"/>
  <c r="B633" i="4"/>
  <c r="A633" i="4"/>
  <c r="C633" i="4" s="1"/>
  <c r="B632" i="4"/>
  <c r="A632" i="4"/>
  <c r="C632" i="4" s="1"/>
  <c r="B631" i="4"/>
  <c r="A631" i="4"/>
  <c r="C631" i="4" s="1"/>
  <c r="B630" i="4"/>
  <c r="C630" i="4" s="1"/>
  <c r="A630" i="4"/>
  <c r="C629" i="4"/>
  <c r="B629" i="4"/>
  <c r="A629" i="4"/>
  <c r="B628" i="4"/>
  <c r="A628" i="4"/>
  <c r="C628" i="4" s="1"/>
  <c r="B627" i="4"/>
  <c r="A627" i="4"/>
  <c r="C627" i="4" s="1"/>
  <c r="B626" i="4"/>
  <c r="C626" i="4" s="1"/>
  <c r="A626" i="4"/>
  <c r="B625" i="4"/>
  <c r="A625" i="4"/>
  <c r="C625" i="4" s="1"/>
  <c r="B624" i="4"/>
  <c r="A624" i="4"/>
  <c r="C624" i="4" s="1"/>
  <c r="B623" i="4"/>
  <c r="A623" i="4"/>
  <c r="C623" i="4" s="1"/>
  <c r="B622" i="4"/>
  <c r="C622" i="4" s="1"/>
  <c r="A622" i="4"/>
  <c r="C621" i="4"/>
  <c r="B621" i="4"/>
  <c r="A621" i="4"/>
  <c r="B620" i="4"/>
  <c r="A620" i="4"/>
  <c r="C620" i="4" s="1"/>
  <c r="B619" i="4"/>
  <c r="A619" i="4"/>
  <c r="C619" i="4" s="1"/>
  <c r="B618" i="4"/>
  <c r="C618" i="4" s="1"/>
  <c r="A618" i="4"/>
  <c r="B617" i="4"/>
  <c r="A617" i="4"/>
  <c r="C617" i="4" s="1"/>
  <c r="B616" i="4"/>
  <c r="A616" i="4"/>
  <c r="C616" i="4" s="1"/>
  <c r="B615" i="4"/>
  <c r="A615" i="4"/>
  <c r="C615" i="4" s="1"/>
  <c r="B614" i="4"/>
  <c r="C614" i="4" s="1"/>
  <c r="A614" i="4"/>
  <c r="C613" i="4"/>
  <c r="B613" i="4"/>
  <c r="A613" i="4"/>
  <c r="B612" i="4"/>
  <c r="A612" i="4"/>
  <c r="C612" i="4" s="1"/>
  <c r="B611" i="4"/>
  <c r="A611" i="4"/>
  <c r="C611" i="4" s="1"/>
  <c r="B610" i="4"/>
  <c r="C610" i="4" s="1"/>
  <c r="A610" i="4"/>
  <c r="B609" i="4"/>
  <c r="A609" i="4"/>
  <c r="C609" i="4" s="1"/>
  <c r="B608" i="4"/>
  <c r="A608" i="4"/>
  <c r="C608" i="4" s="1"/>
  <c r="B607" i="4"/>
  <c r="A607" i="4"/>
  <c r="C607" i="4" s="1"/>
  <c r="B606" i="4"/>
  <c r="C606" i="4" s="1"/>
  <c r="A606" i="4"/>
  <c r="C605" i="4"/>
  <c r="B605" i="4"/>
  <c r="A605" i="4"/>
  <c r="B604" i="4"/>
  <c r="A604" i="4"/>
  <c r="C604" i="4" s="1"/>
  <c r="B603" i="4"/>
  <c r="A603" i="4"/>
  <c r="C603" i="4" s="1"/>
  <c r="B602" i="4"/>
  <c r="C602" i="4" s="1"/>
  <c r="A602" i="4"/>
  <c r="B601" i="4"/>
  <c r="A601" i="4"/>
  <c r="C601" i="4" s="1"/>
  <c r="B600" i="4"/>
  <c r="A600" i="4"/>
  <c r="C600" i="4" s="1"/>
  <c r="B599" i="4"/>
  <c r="A599" i="4"/>
  <c r="C599" i="4" s="1"/>
  <c r="B598" i="4"/>
  <c r="C598" i="4" s="1"/>
  <c r="A598" i="4"/>
  <c r="C597" i="4"/>
  <c r="B597" i="4"/>
  <c r="A597" i="4"/>
  <c r="B596" i="4"/>
  <c r="A596" i="4"/>
  <c r="C596" i="4" s="1"/>
  <c r="B595" i="4"/>
  <c r="A595" i="4"/>
  <c r="C595" i="4" s="1"/>
  <c r="B594" i="4"/>
  <c r="C594" i="4" s="1"/>
  <c r="A594" i="4"/>
  <c r="B593" i="4"/>
  <c r="A593" i="4"/>
  <c r="C593" i="4" s="1"/>
  <c r="B592" i="4"/>
  <c r="A592" i="4"/>
  <c r="C592" i="4" s="1"/>
  <c r="B591" i="4"/>
  <c r="A591" i="4"/>
  <c r="C591" i="4" s="1"/>
  <c r="B590" i="4"/>
  <c r="C590" i="4" s="1"/>
  <c r="A590" i="4"/>
  <c r="C589" i="4"/>
  <c r="B589" i="4"/>
  <c r="A589" i="4"/>
  <c r="B588" i="4"/>
  <c r="A588" i="4"/>
  <c r="C588" i="4" s="1"/>
  <c r="B587" i="4"/>
  <c r="A587" i="4"/>
  <c r="C587" i="4" s="1"/>
  <c r="B586" i="4"/>
  <c r="C586" i="4" s="1"/>
  <c r="A586" i="4"/>
  <c r="B585" i="4"/>
  <c r="A585" i="4"/>
  <c r="C585" i="4" s="1"/>
  <c r="B584" i="4"/>
  <c r="A584" i="4"/>
  <c r="C584" i="4" s="1"/>
  <c r="B583" i="4"/>
  <c r="A583" i="4"/>
  <c r="C583" i="4" s="1"/>
  <c r="B582" i="4"/>
  <c r="C582" i="4" s="1"/>
  <c r="A582" i="4"/>
  <c r="C581" i="4"/>
  <c r="B581" i="4"/>
  <c r="A581" i="4"/>
  <c r="B580" i="4"/>
  <c r="A580" i="4"/>
  <c r="C580" i="4" s="1"/>
  <c r="B579" i="4"/>
  <c r="A579" i="4"/>
  <c r="C579" i="4" s="1"/>
  <c r="B578" i="4"/>
  <c r="C578" i="4" s="1"/>
  <c r="A578" i="4"/>
  <c r="B577" i="4"/>
  <c r="A577" i="4"/>
  <c r="C577" i="4" s="1"/>
  <c r="B576" i="4"/>
  <c r="A576" i="4"/>
  <c r="C576" i="4" s="1"/>
  <c r="B575" i="4"/>
  <c r="A575" i="4"/>
  <c r="C575" i="4" s="1"/>
  <c r="B574" i="4"/>
  <c r="C574" i="4" s="1"/>
  <c r="A574" i="4"/>
  <c r="C573" i="4"/>
  <c r="B573" i="4"/>
  <c r="A573" i="4"/>
  <c r="B572" i="4"/>
  <c r="A572" i="4"/>
  <c r="C572" i="4" s="1"/>
  <c r="B571" i="4"/>
  <c r="A571" i="4"/>
  <c r="C571" i="4" s="1"/>
  <c r="B570" i="4"/>
  <c r="C570" i="4" s="1"/>
  <c r="A570" i="4"/>
  <c r="B569" i="4"/>
  <c r="A569" i="4"/>
  <c r="C569" i="4" s="1"/>
  <c r="B568" i="4"/>
  <c r="A568" i="4"/>
  <c r="C568" i="4" s="1"/>
  <c r="B567" i="4"/>
  <c r="A567" i="4"/>
  <c r="C567" i="4" s="1"/>
  <c r="B566" i="4"/>
  <c r="C566" i="4" s="1"/>
  <c r="A566" i="4"/>
  <c r="C565" i="4"/>
  <c r="B565" i="4"/>
  <c r="A565" i="4"/>
  <c r="B564" i="4"/>
  <c r="A564" i="4"/>
  <c r="C564" i="4" s="1"/>
  <c r="B563" i="4"/>
  <c r="A563" i="4"/>
  <c r="C563" i="4" s="1"/>
  <c r="B562" i="4"/>
  <c r="C562" i="4" s="1"/>
  <c r="A562" i="4"/>
  <c r="B561" i="4"/>
  <c r="A561" i="4"/>
  <c r="C561" i="4" s="1"/>
  <c r="B560" i="4"/>
  <c r="A560" i="4"/>
  <c r="C560" i="4" s="1"/>
  <c r="B559" i="4"/>
  <c r="A559" i="4"/>
  <c r="C559" i="4" s="1"/>
  <c r="B558" i="4"/>
  <c r="C558" i="4" s="1"/>
  <c r="A558" i="4"/>
  <c r="C557" i="4"/>
  <c r="B557" i="4"/>
  <c r="A557" i="4"/>
  <c r="B556" i="4"/>
  <c r="A556" i="4"/>
  <c r="C556" i="4" s="1"/>
  <c r="B555" i="4"/>
  <c r="A555" i="4"/>
  <c r="C555" i="4" s="1"/>
  <c r="B554" i="4"/>
  <c r="C554" i="4" s="1"/>
  <c r="A554" i="4"/>
  <c r="B553" i="4"/>
  <c r="A553" i="4"/>
  <c r="C553" i="4" s="1"/>
  <c r="B552" i="4"/>
  <c r="A552" i="4"/>
  <c r="C552" i="4" s="1"/>
  <c r="B551" i="4"/>
  <c r="A551" i="4"/>
  <c r="C551" i="4" s="1"/>
  <c r="B550" i="4"/>
  <c r="C550" i="4" s="1"/>
  <c r="A550" i="4"/>
  <c r="C549" i="4"/>
  <c r="B549" i="4"/>
  <c r="A549" i="4"/>
  <c r="B548" i="4"/>
  <c r="A548" i="4"/>
  <c r="C548" i="4" s="1"/>
  <c r="B547" i="4"/>
  <c r="A547" i="4"/>
  <c r="C547" i="4" s="1"/>
  <c r="B546" i="4"/>
  <c r="C546" i="4" s="1"/>
  <c r="A546" i="4"/>
  <c r="B545" i="4"/>
  <c r="A545" i="4"/>
  <c r="C545" i="4" s="1"/>
  <c r="B544" i="4"/>
  <c r="A544" i="4"/>
  <c r="C544" i="4" s="1"/>
  <c r="B543" i="4"/>
  <c r="A543" i="4"/>
  <c r="C543" i="4" s="1"/>
  <c r="B542" i="4"/>
  <c r="C542" i="4" s="1"/>
  <c r="A542" i="4"/>
  <c r="C541" i="4"/>
  <c r="B541" i="4"/>
  <c r="A541" i="4"/>
  <c r="B540" i="4"/>
  <c r="A540" i="4"/>
  <c r="C540" i="4" s="1"/>
  <c r="B539" i="4"/>
  <c r="A539" i="4"/>
  <c r="C539" i="4" s="1"/>
  <c r="B538" i="4"/>
  <c r="C538" i="4" s="1"/>
  <c r="A538" i="4"/>
  <c r="B537" i="4"/>
  <c r="A537" i="4"/>
  <c r="C537" i="4" s="1"/>
  <c r="B536" i="4"/>
  <c r="A536" i="4"/>
  <c r="C536" i="4" s="1"/>
  <c r="B535" i="4"/>
  <c r="A535" i="4"/>
  <c r="C535" i="4" s="1"/>
  <c r="B534" i="4"/>
  <c r="C534" i="4" s="1"/>
  <c r="A534" i="4"/>
  <c r="C533" i="4"/>
  <c r="B533" i="4"/>
  <c r="A533" i="4"/>
  <c r="B532" i="4"/>
  <c r="A532" i="4"/>
  <c r="C532" i="4" s="1"/>
  <c r="B531" i="4"/>
  <c r="A531" i="4"/>
  <c r="C531" i="4" s="1"/>
  <c r="B530" i="4"/>
  <c r="C530" i="4" s="1"/>
  <c r="A530" i="4"/>
  <c r="B529" i="4"/>
  <c r="A529" i="4"/>
  <c r="C529" i="4" s="1"/>
  <c r="B528" i="4"/>
  <c r="A528" i="4"/>
  <c r="C528" i="4" s="1"/>
  <c r="B527" i="4"/>
  <c r="A527" i="4"/>
  <c r="C527" i="4" s="1"/>
  <c r="B526" i="4"/>
  <c r="C526" i="4" s="1"/>
  <c r="A526" i="4"/>
  <c r="C525" i="4"/>
  <c r="B525" i="4"/>
  <c r="A525" i="4"/>
  <c r="B524" i="4"/>
  <c r="A524" i="4"/>
  <c r="C524" i="4" s="1"/>
  <c r="B523" i="4"/>
  <c r="A523" i="4"/>
  <c r="C523" i="4" s="1"/>
  <c r="B522" i="4"/>
  <c r="C522" i="4" s="1"/>
  <c r="A522" i="4"/>
  <c r="B521" i="4"/>
  <c r="A521" i="4"/>
  <c r="C521" i="4" s="1"/>
  <c r="B520" i="4"/>
  <c r="A520" i="4"/>
  <c r="C520" i="4" s="1"/>
  <c r="B519" i="4"/>
  <c r="A519" i="4"/>
  <c r="C519" i="4" s="1"/>
  <c r="B518" i="4"/>
  <c r="C518" i="4" s="1"/>
  <c r="A518" i="4"/>
  <c r="C517" i="4"/>
  <c r="B517" i="4"/>
  <c r="A517" i="4"/>
  <c r="B516" i="4"/>
  <c r="A516" i="4"/>
  <c r="C516" i="4" s="1"/>
  <c r="B515" i="4"/>
  <c r="A515" i="4"/>
  <c r="C515" i="4" s="1"/>
  <c r="B514" i="4"/>
  <c r="C514" i="4" s="1"/>
  <c r="A514" i="4"/>
  <c r="B513" i="4"/>
  <c r="A513" i="4"/>
  <c r="C513" i="4" s="1"/>
  <c r="B512" i="4"/>
  <c r="A512" i="4"/>
  <c r="C512" i="4" s="1"/>
  <c r="B511" i="4"/>
  <c r="A511" i="4"/>
  <c r="C511" i="4" s="1"/>
  <c r="B510" i="4"/>
  <c r="C510" i="4" s="1"/>
  <c r="A510" i="4"/>
  <c r="C509" i="4"/>
  <c r="B509" i="4"/>
  <c r="A509" i="4"/>
  <c r="B508" i="4"/>
  <c r="A508" i="4"/>
  <c r="C508" i="4" s="1"/>
  <c r="B507" i="4"/>
  <c r="A507" i="4"/>
  <c r="C507" i="4" s="1"/>
  <c r="B506" i="4"/>
  <c r="C506" i="4" s="1"/>
  <c r="A506" i="4"/>
  <c r="B505" i="4"/>
  <c r="A505" i="4"/>
  <c r="C505" i="4" s="1"/>
  <c r="B504" i="4"/>
  <c r="A504" i="4"/>
  <c r="C504" i="4" s="1"/>
  <c r="B503" i="4"/>
  <c r="A503" i="4"/>
  <c r="C503" i="4" s="1"/>
  <c r="B502" i="4"/>
  <c r="C502" i="4" s="1"/>
  <c r="A502" i="4"/>
  <c r="C501" i="4"/>
  <c r="B501" i="4"/>
  <c r="A501" i="4"/>
  <c r="B500" i="4"/>
  <c r="A500" i="4"/>
  <c r="C500" i="4" s="1"/>
  <c r="B499" i="4"/>
  <c r="A499" i="4"/>
  <c r="C499" i="4" s="1"/>
  <c r="B498" i="4"/>
  <c r="C498" i="4" s="1"/>
  <c r="A498" i="4"/>
  <c r="B497" i="4"/>
  <c r="A497" i="4"/>
  <c r="C497" i="4" s="1"/>
  <c r="B496" i="4"/>
  <c r="A496" i="4"/>
  <c r="C496" i="4" s="1"/>
  <c r="B495" i="4"/>
  <c r="A495" i="4"/>
  <c r="C495" i="4" s="1"/>
  <c r="B494" i="4"/>
  <c r="C494" i="4" s="1"/>
  <c r="A494" i="4"/>
  <c r="C493" i="4"/>
  <c r="B493" i="4"/>
  <c r="A493" i="4"/>
  <c r="B492" i="4"/>
  <c r="A492" i="4"/>
  <c r="C492" i="4" s="1"/>
  <c r="B491" i="4"/>
  <c r="A491" i="4"/>
  <c r="C491" i="4" s="1"/>
  <c r="B490" i="4"/>
  <c r="C490" i="4" s="1"/>
  <c r="A490" i="4"/>
  <c r="B489" i="4"/>
  <c r="A489" i="4"/>
  <c r="C489" i="4" s="1"/>
  <c r="B488" i="4"/>
  <c r="A488" i="4"/>
  <c r="C488" i="4" s="1"/>
  <c r="B487" i="4"/>
  <c r="A487" i="4"/>
  <c r="C487" i="4" s="1"/>
  <c r="B486" i="4"/>
  <c r="C486" i="4" s="1"/>
  <c r="A486" i="4"/>
  <c r="C485" i="4"/>
  <c r="B485" i="4"/>
  <c r="A485" i="4"/>
  <c r="B484" i="4"/>
  <c r="A484" i="4"/>
  <c r="C484" i="4" s="1"/>
  <c r="B483" i="4"/>
  <c r="A483" i="4"/>
  <c r="C483" i="4" s="1"/>
  <c r="B482" i="4"/>
  <c r="C482" i="4" s="1"/>
  <c r="A482" i="4"/>
  <c r="B481" i="4"/>
  <c r="A481" i="4"/>
  <c r="C481" i="4" s="1"/>
  <c r="B480" i="4"/>
  <c r="A480" i="4"/>
  <c r="C480" i="4" s="1"/>
  <c r="B479" i="4"/>
  <c r="A479" i="4"/>
  <c r="C479" i="4" s="1"/>
  <c r="B478" i="4"/>
  <c r="C478" i="4" s="1"/>
  <c r="A478" i="4"/>
  <c r="C477" i="4"/>
  <c r="B477" i="4"/>
  <c r="A477" i="4"/>
  <c r="B476" i="4"/>
  <c r="A476" i="4"/>
  <c r="C476" i="4" s="1"/>
  <c r="B475" i="4"/>
  <c r="A475" i="4"/>
  <c r="C475" i="4" s="1"/>
  <c r="B474" i="4"/>
  <c r="C474" i="4" s="1"/>
  <c r="A474" i="4"/>
  <c r="B473" i="4"/>
  <c r="A473" i="4"/>
  <c r="C473" i="4" s="1"/>
  <c r="B472" i="4"/>
  <c r="A472" i="4"/>
  <c r="C472" i="4" s="1"/>
  <c r="B471" i="4"/>
  <c r="A471" i="4"/>
  <c r="C471" i="4" s="1"/>
  <c r="B470" i="4"/>
  <c r="C470" i="4" s="1"/>
  <c r="A470" i="4"/>
  <c r="C469" i="4"/>
  <c r="B469" i="4"/>
  <c r="A469" i="4"/>
  <c r="B468" i="4"/>
  <c r="A468" i="4"/>
  <c r="C468" i="4" s="1"/>
  <c r="B467" i="4"/>
  <c r="A467" i="4"/>
  <c r="C467" i="4" s="1"/>
  <c r="B466" i="4"/>
  <c r="C466" i="4" s="1"/>
  <c r="A466" i="4"/>
  <c r="B465" i="4"/>
  <c r="A465" i="4"/>
  <c r="C465" i="4" s="1"/>
  <c r="B464" i="4"/>
  <c r="A464" i="4"/>
  <c r="C464" i="4" s="1"/>
  <c r="B463" i="4"/>
  <c r="A463" i="4"/>
  <c r="C463" i="4" s="1"/>
  <c r="B462" i="4"/>
  <c r="C462" i="4" s="1"/>
  <c r="A462" i="4"/>
  <c r="C461" i="4"/>
  <c r="B461" i="4"/>
  <c r="A461" i="4"/>
  <c r="B460" i="4"/>
  <c r="A460" i="4"/>
  <c r="C460" i="4" s="1"/>
  <c r="B459" i="4"/>
  <c r="A459" i="4"/>
  <c r="C459" i="4" s="1"/>
  <c r="B458" i="4"/>
  <c r="C458" i="4" s="1"/>
  <c r="A458" i="4"/>
  <c r="B457" i="4"/>
  <c r="A457" i="4"/>
  <c r="C457" i="4" s="1"/>
  <c r="B456" i="4"/>
  <c r="A456" i="4"/>
  <c r="C456" i="4" s="1"/>
  <c r="B455" i="4"/>
  <c r="A455" i="4"/>
  <c r="C455" i="4" s="1"/>
  <c r="B454" i="4"/>
  <c r="C454" i="4" s="1"/>
  <c r="A454" i="4"/>
  <c r="C453" i="4"/>
  <c r="B453" i="4"/>
  <c r="A453" i="4"/>
  <c r="B452" i="4"/>
  <c r="A452" i="4"/>
  <c r="C452" i="4" s="1"/>
  <c r="B451" i="4"/>
  <c r="A451" i="4"/>
  <c r="C451" i="4" s="1"/>
  <c r="B450" i="4"/>
  <c r="C450" i="4" s="1"/>
  <c r="A450" i="4"/>
  <c r="B449" i="4"/>
  <c r="A449" i="4"/>
  <c r="C449" i="4" s="1"/>
  <c r="B448" i="4"/>
  <c r="A448" i="4"/>
  <c r="C448" i="4" s="1"/>
  <c r="B447" i="4"/>
  <c r="A447" i="4"/>
  <c r="C447" i="4" s="1"/>
  <c r="B446" i="4"/>
  <c r="C446" i="4" s="1"/>
  <c r="A446" i="4"/>
  <c r="C445" i="4"/>
  <c r="B445" i="4"/>
  <c r="A445" i="4"/>
  <c r="B444" i="4"/>
  <c r="A444" i="4"/>
  <c r="C444" i="4" s="1"/>
  <c r="B443" i="4"/>
  <c r="A443" i="4"/>
  <c r="C443" i="4" s="1"/>
  <c r="B442" i="4"/>
  <c r="C442" i="4" s="1"/>
  <c r="A442" i="4"/>
  <c r="B441" i="4"/>
  <c r="A441" i="4"/>
  <c r="C441" i="4" s="1"/>
  <c r="B440" i="4"/>
  <c r="A440" i="4"/>
  <c r="C440" i="4" s="1"/>
  <c r="B439" i="4"/>
  <c r="A439" i="4"/>
  <c r="C439" i="4" s="1"/>
  <c r="B438" i="4"/>
  <c r="C438" i="4" s="1"/>
  <c r="A438" i="4"/>
  <c r="C437" i="4"/>
  <c r="B437" i="4"/>
  <c r="A437" i="4"/>
  <c r="B436" i="4"/>
  <c r="A436" i="4"/>
  <c r="C436" i="4" s="1"/>
  <c r="B435" i="4"/>
  <c r="A435" i="4"/>
  <c r="C435" i="4" s="1"/>
  <c r="B434" i="4"/>
  <c r="C434" i="4" s="1"/>
  <c r="A434" i="4"/>
  <c r="B433" i="4"/>
  <c r="A433" i="4"/>
  <c r="C433" i="4" s="1"/>
  <c r="B432" i="4"/>
  <c r="A432" i="4"/>
  <c r="C432" i="4" s="1"/>
  <c r="B431" i="4"/>
  <c r="A431" i="4"/>
  <c r="C431" i="4" s="1"/>
  <c r="B430" i="4"/>
  <c r="C430" i="4" s="1"/>
  <c r="A430" i="4"/>
  <c r="C429" i="4"/>
  <c r="B429" i="4"/>
  <c r="A429" i="4"/>
  <c r="B428" i="4"/>
  <c r="A428" i="4"/>
  <c r="C428" i="4" s="1"/>
  <c r="B427" i="4"/>
  <c r="A427" i="4"/>
  <c r="C427" i="4" s="1"/>
  <c r="B426" i="4"/>
  <c r="C426" i="4" s="1"/>
  <c r="A426" i="4"/>
  <c r="B425" i="4"/>
  <c r="A425" i="4"/>
  <c r="C425" i="4" s="1"/>
  <c r="B424" i="4"/>
  <c r="A424" i="4"/>
  <c r="C424" i="4" s="1"/>
  <c r="B423" i="4"/>
  <c r="A423" i="4"/>
  <c r="C423" i="4" s="1"/>
  <c r="B422" i="4"/>
  <c r="C422" i="4" s="1"/>
  <c r="A422" i="4"/>
  <c r="C421" i="4"/>
  <c r="B421" i="4"/>
  <c r="A421" i="4"/>
  <c r="B420" i="4"/>
  <c r="A420" i="4"/>
  <c r="C420" i="4" s="1"/>
  <c r="B419" i="4"/>
  <c r="A419" i="4"/>
  <c r="C419" i="4" s="1"/>
  <c r="B418" i="4"/>
  <c r="C418" i="4" s="1"/>
  <c r="A418" i="4"/>
  <c r="B417" i="4"/>
  <c r="A417" i="4"/>
  <c r="C417" i="4" s="1"/>
  <c r="B416" i="4"/>
  <c r="A416" i="4"/>
  <c r="C416" i="4" s="1"/>
  <c r="B415" i="4"/>
  <c r="A415" i="4"/>
  <c r="C415" i="4" s="1"/>
  <c r="B414" i="4"/>
  <c r="C414" i="4" s="1"/>
  <c r="A414" i="4"/>
  <c r="C413" i="4"/>
  <c r="B413" i="4"/>
  <c r="A413" i="4"/>
  <c r="B412" i="4"/>
  <c r="A412" i="4"/>
  <c r="C412" i="4" s="1"/>
  <c r="B411" i="4"/>
  <c r="A411" i="4"/>
  <c r="C411" i="4" s="1"/>
  <c r="B410" i="4"/>
  <c r="C410" i="4" s="1"/>
  <c r="A410" i="4"/>
  <c r="B409" i="4"/>
  <c r="A409" i="4"/>
  <c r="C409" i="4" s="1"/>
  <c r="B408" i="4"/>
  <c r="A408" i="4"/>
  <c r="C408" i="4" s="1"/>
  <c r="B407" i="4"/>
  <c r="A407" i="4"/>
  <c r="C407" i="4" s="1"/>
  <c r="B406" i="4"/>
  <c r="C406" i="4" s="1"/>
  <c r="A406" i="4"/>
  <c r="C405" i="4"/>
  <c r="B405" i="4"/>
  <c r="A405" i="4"/>
  <c r="B404" i="4"/>
  <c r="A404" i="4"/>
  <c r="C404" i="4" s="1"/>
  <c r="B403" i="4"/>
  <c r="A403" i="4"/>
  <c r="C403" i="4" s="1"/>
  <c r="B402" i="4"/>
  <c r="C402" i="4" s="1"/>
  <c r="A402" i="4"/>
  <c r="B401" i="4"/>
  <c r="A401" i="4"/>
  <c r="C401" i="4" s="1"/>
  <c r="B400" i="4"/>
  <c r="A400" i="4"/>
  <c r="C400" i="4" s="1"/>
  <c r="B399" i="4"/>
  <c r="A399" i="4"/>
  <c r="C399" i="4" s="1"/>
  <c r="B398" i="4"/>
  <c r="C398" i="4" s="1"/>
  <c r="A398" i="4"/>
  <c r="C397" i="4"/>
  <c r="B397" i="4"/>
  <c r="A397" i="4"/>
  <c r="B396" i="4"/>
  <c r="A396" i="4"/>
  <c r="C396" i="4" s="1"/>
  <c r="B395" i="4"/>
  <c r="A395" i="4"/>
  <c r="C395" i="4" s="1"/>
  <c r="B394" i="4"/>
  <c r="C394" i="4" s="1"/>
  <c r="A394" i="4"/>
  <c r="B393" i="4"/>
  <c r="A393" i="4"/>
  <c r="C393" i="4" s="1"/>
  <c r="B392" i="4"/>
  <c r="A392" i="4"/>
  <c r="C392" i="4" s="1"/>
  <c r="B391" i="4"/>
  <c r="A391" i="4"/>
  <c r="C391" i="4" s="1"/>
  <c r="B390" i="4"/>
  <c r="C390" i="4" s="1"/>
  <c r="A390" i="4"/>
  <c r="C389" i="4"/>
  <c r="B389" i="4"/>
  <c r="A389" i="4"/>
  <c r="B388" i="4"/>
  <c r="A388" i="4"/>
  <c r="C388" i="4" s="1"/>
  <c r="B387" i="4"/>
  <c r="A387" i="4"/>
  <c r="C387" i="4" s="1"/>
  <c r="B386" i="4"/>
  <c r="C386" i="4" s="1"/>
  <c r="A386" i="4"/>
  <c r="B385" i="4"/>
  <c r="A385" i="4"/>
  <c r="C385" i="4" s="1"/>
  <c r="B384" i="4"/>
  <c r="A384" i="4"/>
  <c r="C384" i="4" s="1"/>
  <c r="B383" i="4"/>
  <c r="A383" i="4"/>
  <c r="C383" i="4" s="1"/>
  <c r="B382" i="4"/>
  <c r="C382" i="4" s="1"/>
  <c r="A382" i="4"/>
  <c r="C381" i="4"/>
  <c r="B381" i="4"/>
  <c r="A381" i="4"/>
  <c r="B380" i="4"/>
  <c r="A380" i="4"/>
  <c r="C380" i="4" s="1"/>
  <c r="B379" i="4"/>
  <c r="A379" i="4"/>
  <c r="C379" i="4" s="1"/>
  <c r="B378" i="4"/>
  <c r="C378" i="4" s="1"/>
  <c r="A378" i="4"/>
  <c r="B377" i="4"/>
  <c r="A377" i="4"/>
  <c r="C377" i="4" s="1"/>
  <c r="B376" i="4"/>
  <c r="A376" i="4"/>
  <c r="C376" i="4" s="1"/>
  <c r="B375" i="4"/>
  <c r="A375" i="4"/>
  <c r="C375" i="4" s="1"/>
  <c r="B374" i="4"/>
  <c r="C374" i="4" s="1"/>
  <c r="A374" i="4"/>
  <c r="C373" i="4"/>
  <c r="B373" i="4"/>
  <c r="A373" i="4"/>
  <c r="B372" i="4"/>
  <c r="A372" i="4"/>
  <c r="C372" i="4" s="1"/>
  <c r="B371" i="4"/>
  <c r="A371" i="4"/>
  <c r="C371" i="4" s="1"/>
  <c r="B370" i="4"/>
  <c r="C370" i="4" s="1"/>
  <c r="A370" i="4"/>
  <c r="B369" i="4"/>
  <c r="A369" i="4"/>
  <c r="C369" i="4" s="1"/>
  <c r="B368" i="4"/>
  <c r="A368" i="4"/>
  <c r="C368" i="4" s="1"/>
  <c r="B367" i="4"/>
  <c r="A367" i="4"/>
  <c r="C367" i="4" s="1"/>
  <c r="B366" i="4"/>
  <c r="C366" i="4" s="1"/>
  <c r="A366" i="4"/>
  <c r="C365" i="4"/>
  <c r="B365" i="4"/>
  <c r="A365" i="4"/>
  <c r="B364" i="4"/>
  <c r="A364" i="4"/>
  <c r="C364" i="4" s="1"/>
  <c r="B363" i="4"/>
  <c r="A363" i="4"/>
  <c r="C363" i="4" s="1"/>
  <c r="B362" i="4"/>
  <c r="C362" i="4" s="1"/>
  <c r="A362" i="4"/>
  <c r="B361" i="4"/>
  <c r="A361" i="4"/>
  <c r="C361" i="4" s="1"/>
  <c r="B360" i="4"/>
  <c r="A360" i="4"/>
  <c r="C360" i="4" s="1"/>
  <c r="B359" i="4"/>
  <c r="A359" i="4"/>
  <c r="C359" i="4" s="1"/>
  <c r="B358" i="4"/>
  <c r="C358" i="4" s="1"/>
  <c r="A358" i="4"/>
  <c r="C357" i="4"/>
  <c r="B357" i="4"/>
  <c r="A357" i="4"/>
  <c r="B356" i="4"/>
  <c r="A356" i="4"/>
  <c r="C356" i="4" s="1"/>
  <c r="B355" i="4"/>
  <c r="A355" i="4"/>
  <c r="C355" i="4" s="1"/>
  <c r="B354" i="4"/>
  <c r="C354" i="4" s="1"/>
  <c r="A354" i="4"/>
  <c r="B353" i="4"/>
  <c r="A353" i="4"/>
  <c r="C353" i="4" s="1"/>
  <c r="B352" i="4"/>
  <c r="A352" i="4"/>
  <c r="C352" i="4" s="1"/>
  <c r="B351" i="4"/>
  <c r="A351" i="4"/>
  <c r="C351" i="4" s="1"/>
  <c r="B350" i="4"/>
  <c r="C350" i="4" s="1"/>
  <c r="A350" i="4"/>
  <c r="C349" i="4"/>
  <c r="B349" i="4"/>
  <c r="A349" i="4"/>
  <c r="B348" i="4"/>
  <c r="A348" i="4"/>
  <c r="C348" i="4" s="1"/>
  <c r="B347" i="4"/>
  <c r="A347" i="4"/>
  <c r="C347" i="4" s="1"/>
  <c r="B346" i="4"/>
  <c r="C346" i="4" s="1"/>
  <c r="A346" i="4"/>
  <c r="B345" i="4"/>
  <c r="A345" i="4"/>
  <c r="C345" i="4" s="1"/>
  <c r="B344" i="4"/>
  <c r="A344" i="4"/>
  <c r="C344" i="4" s="1"/>
  <c r="B343" i="4"/>
  <c r="A343" i="4"/>
  <c r="C343" i="4" s="1"/>
  <c r="B342" i="4"/>
  <c r="C342" i="4" s="1"/>
  <c r="A342" i="4"/>
  <c r="C341" i="4"/>
  <c r="B341" i="4"/>
  <c r="A341" i="4"/>
  <c r="B340" i="4"/>
  <c r="A340" i="4"/>
  <c r="C340" i="4" s="1"/>
  <c r="B339" i="4"/>
  <c r="A339" i="4"/>
  <c r="C339" i="4" s="1"/>
  <c r="B338" i="4"/>
  <c r="C338" i="4" s="1"/>
  <c r="A338" i="4"/>
  <c r="B337" i="4"/>
  <c r="A337" i="4"/>
  <c r="C337" i="4" s="1"/>
  <c r="B336" i="4"/>
  <c r="A336" i="4"/>
  <c r="C336" i="4" s="1"/>
  <c r="B335" i="4"/>
  <c r="A335" i="4"/>
  <c r="C335" i="4" s="1"/>
  <c r="B334" i="4"/>
  <c r="C334" i="4" s="1"/>
  <c r="A334" i="4"/>
  <c r="C333" i="4"/>
  <c r="B333" i="4"/>
  <c r="A333" i="4"/>
  <c r="B332" i="4"/>
  <c r="A332" i="4"/>
  <c r="C332" i="4" s="1"/>
  <c r="B331" i="4"/>
  <c r="A331" i="4"/>
  <c r="C331" i="4" s="1"/>
  <c r="B330" i="4"/>
  <c r="C330" i="4" s="1"/>
  <c r="A330" i="4"/>
  <c r="B329" i="4"/>
  <c r="A329" i="4"/>
  <c r="C329" i="4" s="1"/>
  <c r="B328" i="4"/>
  <c r="A328" i="4"/>
  <c r="C328" i="4" s="1"/>
  <c r="C327" i="4"/>
  <c r="B327" i="4"/>
  <c r="A327" i="4"/>
  <c r="C326" i="4"/>
  <c r="B326" i="4"/>
  <c r="A326" i="4"/>
  <c r="B325" i="4"/>
  <c r="A325" i="4"/>
  <c r="C325" i="4" s="1"/>
  <c r="B324" i="4"/>
  <c r="A324" i="4"/>
  <c r="B323" i="4"/>
  <c r="A323" i="4"/>
  <c r="C323" i="4" s="1"/>
  <c r="B322" i="4"/>
  <c r="C322" i="4" s="1"/>
  <c r="A322" i="4"/>
  <c r="C321" i="4"/>
  <c r="B321" i="4"/>
  <c r="A321" i="4"/>
  <c r="B320" i="4"/>
  <c r="A320" i="4"/>
  <c r="C320" i="4" s="1"/>
  <c r="B319" i="4"/>
  <c r="A319" i="4"/>
  <c r="C319" i="4" s="1"/>
  <c r="C318" i="4"/>
  <c r="B318" i="4"/>
  <c r="A318" i="4"/>
  <c r="B317" i="4"/>
  <c r="A317" i="4"/>
  <c r="C317" i="4" s="1"/>
  <c r="B316" i="4"/>
  <c r="A316" i="4"/>
  <c r="C316" i="4" s="1"/>
  <c r="B315" i="4"/>
  <c r="A315" i="4"/>
  <c r="C315" i="4" s="1"/>
  <c r="C314" i="4"/>
  <c r="B314" i="4"/>
  <c r="A314" i="4"/>
  <c r="B313" i="4"/>
  <c r="A313" i="4"/>
  <c r="C313" i="4" s="1"/>
  <c r="B312" i="4"/>
  <c r="A312" i="4"/>
  <c r="C312" i="4" s="1"/>
  <c r="B311" i="4"/>
  <c r="A311" i="4"/>
  <c r="C311" i="4" s="1"/>
  <c r="C310" i="4"/>
  <c r="B310" i="4"/>
  <c r="A310" i="4"/>
  <c r="B309" i="4"/>
  <c r="A309" i="4"/>
  <c r="C309" i="4" s="1"/>
  <c r="B308" i="4"/>
  <c r="A308" i="4"/>
  <c r="C308" i="4" s="1"/>
  <c r="B307" i="4"/>
  <c r="A307" i="4"/>
  <c r="C307" i="4" s="1"/>
  <c r="C306" i="4"/>
  <c r="B306" i="4"/>
  <c r="A306" i="4"/>
  <c r="B305" i="4"/>
  <c r="A305" i="4"/>
  <c r="C305" i="4" s="1"/>
  <c r="B304" i="4"/>
  <c r="A304" i="4"/>
  <c r="C304" i="4" s="1"/>
  <c r="B303" i="4"/>
  <c r="A303" i="4"/>
  <c r="C303" i="4" s="1"/>
  <c r="C302" i="4"/>
  <c r="B302" i="4"/>
  <c r="A302" i="4"/>
  <c r="B301" i="4"/>
  <c r="C301" i="4" s="1"/>
  <c r="A301" i="4"/>
  <c r="B300" i="4"/>
  <c r="A300" i="4"/>
  <c r="C300" i="4" s="1"/>
  <c r="B299" i="4"/>
  <c r="A299" i="4"/>
  <c r="C299" i="4" s="1"/>
  <c r="C298" i="4"/>
  <c r="B298" i="4"/>
  <c r="A298" i="4"/>
  <c r="B297" i="4"/>
  <c r="C297" i="4" s="1"/>
  <c r="A297" i="4"/>
  <c r="B296" i="4"/>
  <c r="A296" i="4"/>
  <c r="C296" i="4" s="1"/>
  <c r="B295" i="4"/>
  <c r="A295" i="4"/>
  <c r="C295" i="4" s="1"/>
  <c r="C294" i="4"/>
  <c r="B294" i="4"/>
  <c r="A294" i="4"/>
  <c r="B293" i="4"/>
  <c r="C293" i="4" s="1"/>
  <c r="A293" i="4"/>
  <c r="B292" i="4"/>
  <c r="A292" i="4"/>
  <c r="C292" i="4" s="1"/>
  <c r="B291" i="4"/>
  <c r="A291" i="4"/>
  <c r="C291" i="4" s="1"/>
  <c r="C290" i="4"/>
  <c r="B290" i="4"/>
  <c r="A290" i="4"/>
  <c r="B289" i="4"/>
  <c r="C289" i="4" s="1"/>
  <c r="A289" i="4"/>
  <c r="B288" i="4"/>
  <c r="A288" i="4"/>
  <c r="C288" i="4" s="1"/>
  <c r="B287" i="4"/>
  <c r="A287" i="4"/>
  <c r="C287" i="4" s="1"/>
  <c r="C286" i="4"/>
  <c r="B286" i="4"/>
  <c r="A286" i="4"/>
  <c r="B285" i="4"/>
  <c r="C285" i="4" s="1"/>
  <c r="A285" i="4"/>
  <c r="B284" i="4"/>
  <c r="A284" i="4"/>
  <c r="C284" i="4" s="1"/>
  <c r="B283" i="4"/>
  <c r="A283" i="4"/>
  <c r="C283" i="4" s="1"/>
  <c r="C282" i="4"/>
  <c r="B282" i="4"/>
  <c r="A282" i="4"/>
  <c r="B281" i="4"/>
  <c r="C281" i="4" s="1"/>
  <c r="A281" i="4"/>
  <c r="B280" i="4"/>
  <c r="A280" i="4"/>
  <c r="C280" i="4" s="1"/>
  <c r="B279" i="4"/>
  <c r="A279" i="4"/>
  <c r="C279" i="4" s="1"/>
  <c r="C278" i="4"/>
  <c r="B278" i="4"/>
  <c r="A278" i="4"/>
  <c r="B277" i="4"/>
  <c r="C277" i="4" s="1"/>
  <c r="A277" i="4"/>
  <c r="B276" i="4"/>
  <c r="A276" i="4"/>
  <c r="C276" i="4" s="1"/>
  <c r="B275" i="4"/>
  <c r="A275" i="4"/>
  <c r="C275" i="4" s="1"/>
  <c r="C274" i="4"/>
  <c r="B274" i="4"/>
  <c r="A274" i="4"/>
  <c r="B273" i="4"/>
  <c r="C273" i="4" s="1"/>
  <c r="A273" i="4"/>
  <c r="B272" i="4"/>
  <c r="A272" i="4"/>
  <c r="C272" i="4" s="1"/>
  <c r="B271" i="4"/>
  <c r="A271" i="4"/>
  <c r="C271" i="4" s="1"/>
  <c r="C270" i="4"/>
  <c r="B270" i="4"/>
  <c r="A270" i="4"/>
  <c r="B269" i="4"/>
  <c r="C269" i="4" s="1"/>
  <c r="A269" i="4"/>
  <c r="B268" i="4"/>
  <c r="A268" i="4"/>
  <c r="C268" i="4" s="1"/>
  <c r="B267" i="4"/>
  <c r="A267" i="4"/>
  <c r="C267" i="4" s="1"/>
  <c r="C266" i="4"/>
  <c r="B266" i="4"/>
  <c r="A266" i="4"/>
  <c r="B265" i="4"/>
  <c r="C265" i="4" s="1"/>
  <c r="A265" i="4"/>
  <c r="B264" i="4"/>
  <c r="A264" i="4"/>
  <c r="C264" i="4" s="1"/>
  <c r="B263" i="4"/>
  <c r="A263" i="4"/>
  <c r="C263" i="4" s="1"/>
  <c r="C262" i="4"/>
  <c r="B262" i="4"/>
  <c r="A262" i="4"/>
  <c r="B261" i="4"/>
  <c r="C261" i="4" s="1"/>
  <c r="A261" i="4"/>
  <c r="B260" i="4"/>
  <c r="A260" i="4"/>
  <c r="C260" i="4" s="1"/>
  <c r="B259" i="4"/>
  <c r="A259" i="4"/>
  <c r="C259" i="4" s="1"/>
  <c r="C258" i="4"/>
  <c r="B258" i="4"/>
  <c r="A258" i="4"/>
  <c r="B257" i="4"/>
  <c r="C257" i="4" s="1"/>
  <c r="A257" i="4"/>
  <c r="B256" i="4"/>
  <c r="A256" i="4"/>
  <c r="C256" i="4" s="1"/>
  <c r="B255" i="4"/>
  <c r="A255" i="4"/>
  <c r="C255" i="4" s="1"/>
  <c r="C254" i="4"/>
  <c r="B254" i="4"/>
  <c r="A254" i="4"/>
  <c r="B253" i="4"/>
  <c r="C253" i="4" s="1"/>
  <c r="A253" i="4"/>
  <c r="B252" i="4"/>
  <c r="A252" i="4"/>
  <c r="C252" i="4" s="1"/>
  <c r="B251" i="4"/>
  <c r="A251" i="4"/>
  <c r="C251" i="4" s="1"/>
  <c r="C250" i="4"/>
  <c r="B250" i="4"/>
  <c r="A250" i="4"/>
  <c r="B249" i="4"/>
  <c r="C249" i="4" s="1"/>
  <c r="A249" i="4"/>
  <c r="B248" i="4"/>
  <c r="A248" i="4"/>
  <c r="C248" i="4" s="1"/>
  <c r="B247" i="4"/>
  <c r="A247" i="4"/>
  <c r="C247" i="4" s="1"/>
  <c r="C246" i="4"/>
  <c r="B246" i="4"/>
  <c r="A246" i="4"/>
  <c r="B245" i="4"/>
  <c r="C245" i="4" s="1"/>
  <c r="A245" i="4"/>
  <c r="B244" i="4"/>
  <c r="A244" i="4"/>
  <c r="C244" i="4" s="1"/>
  <c r="B243" i="4"/>
  <c r="A243" i="4"/>
  <c r="C243" i="4" s="1"/>
  <c r="C242" i="4"/>
  <c r="B242" i="4"/>
  <c r="A242" i="4"/>
  <c r="B241" i="4"/>
  <c r="C241" i="4" s="1"/>
  <c r="A241" i="4"/>
  <c r="B240" i="4"/>
  <c r="A240" i="4"/>
  <c r="C240" i="4" s="1"/>
  <c r="B239" i="4"/>
  <c r="A239" i="4"/>
  <c r="C239" i="4" s="1"/>
  <c r="C238" i="4"/>
  <c r="B238" i="4"/>
  <c r="A238" i="4"/>
  <c r="B237" i="4"/>
  <c r="C237" i="4" s="1"/>
  <c r="A237" i="4"/>
  <c r="B236" i="4"/>
  <c r="A236" i="4"/>
  <c r="C236" i="4" s="1"/>
  <c r="B235" i="4"/>
  <c r="A235" i="4"/>
  <c r="C235" i="4" s="1"/>
  <c r="C234" i="4"/>
  <c r="B234" i="4"/>
  <c r="A234" i="4"/>
  <c r="B233" i="4"/>
  <c r="C233" i="4" s="1"/>
  <c r="A233" i="4"/>
  <c r="B232" i="4"/>
  <c r="A232" i="4"/>
  <c r="C232" i="4" s="1"/>
  <c r="B231" i="4"/>
  <c r="A231" i="4"/>
  <c r="C231" i="4" s="1"/>
  <c r="C230" i="4"/>
  <c r="B230" i="4"/>
  <c r="A230" i="4"/>
  <c r="B229" i="4"/>
  <c r="C229" i="4" s="1"/>
  <c r="A229" i="4"/>
  <c r="B228" i="4"/>
  <c r="A228" i="4"/>
  <c r="C228" i="4" s="1"/>
  <c r="B227" i="4"/>
  <c r="A227" i="4"/>
  <c r="C227" i="4" s="1"/>
  <c r="C226" i="4"/>
  <c r="B226" i="4"/>
  <c r="A226" i="4"/>
  <c r="B225" i="4"/>
  <c r="C225" i="4" s="1"/>
  <c r="A225" i="4"/>
  <c r="B224" i="4"/>
  <c r="A224" i="4"/>
  <c r="C224" i="4" s="1"/>
  <c r="B223" i="4"/>
  <c r="A223" i="4"/>
  <c r="C223" i="4" s="1"/>
  <c r="C222" i="4"/>
  <c r="B222" i="4"/>
  <c r="A222" i="4"/>
  <c r="B221" i="4"/>
  <c r="C221" i="4" s="1"/>
  <c r="A221" i="4"/>
  <c r="B220" i="4"/>
  <c r="A220" i="4"/>
  <c r="C220" i="4" s="1"/>
  <c r="B219" i="4"/>
  <c r="A219" i="4"/>
  <c r="C219" i="4" s="1"/>
  <c r="C218" i="4"/>
  <c r="B218" i="4"/>
  <c r="A218" i="4"/>
  <c r="B217" i="4"/>
  <c r="C217" i="4" s="1"/>
  <c r="A217" i="4"/>
  <c r="B216" i="4"/>
  <c r="A216" i="4"/>
  <c r="C216" i="4" s="1"/>
  <c r="B215" i="4"/>
  <c r="A215" i="4"/>
  <c r="C215" i="4" s="1"/>
  <c r="C214" i="4"/>
  <c r="B214" i="4"/>
  <c r="A214" i="4"/>
  <c r="B213" i="4"/>
  <c r="C213" i="4" s="1"/>
  <c r="A213" i="4"/>
  <c r="B212" i="4"/>
  <c r="A212" i="4"/>
  <c r="C212" i="4" s="1"/>
  <c r="B211" i="4"/>
  <c r="A211" i="4"/>
  <c r="C211" i="4" s="1"/>
  <c r="C210" i="4"/>
  <c r="B210" i="4"/>
  <c r="A210" i="4"/>
  <c r="B209" i="4"/>
  <c r="C209" i="4" s="1"/>
  <c r="A209" i="4"/>
  <c r="B208" i="4"/>
  <c r="A208" i="4"/>
  <c r="C208" i="4" s="1"/>
  <c r="B207" i="4"/>
  <c r="A207" i="4"/>
  <c r="C207" i="4" s="1"/>
  <c r="C206" i="4"/>
  <c r="B206" i="4"/>
  <c r="A206" i="4"/>
  <c r="B205" i="4"/>
  <c r="C205" i="4" s="1"/>
  <c r="A205" i="4"/>
  <c r="B204" i="4"/>
  <c r="A204" i="4"/>
  <c r="C204" i="4" s="1"/>
  <c r="B203" i="4"/>
  <c r="A203" i="4"/>
  <c r="C203" i="4" s="1"/>
  <c r="C202" i="4"/>
  <c r="B202" i="4"/>
  <c r="A202" i="4"/>
  <c r="B201" i="4"/>
  <c r="C201" i="4" s="1"/>
  <c r="A201" i="4"/>
  <c r="B200" i="4"/>
  <c r="A200" i="4"/>
  <c r="C200" i="4" s="1"/>
  <c r="B199" i="4"/>
  <c r="A199" i="4"/>
  <c r="C199" i="4" s="1"/>
  <c r="C198" i="4"/>
  <c r="B198" i="4"/>
  <c r="A198" i="4"/>
  <c r="B197" i="4"/>
  <c r="C197" i="4" s="1"/>
  <c r="A197" i="4"/>
  <c r="B196" i="4"/>
  <c r="A196" i="4"/>
  <c r="C196" i="4" s="1"/>
  <c r="B195" i="4"/>
  <c r="A195" i="4"/>
  <c r="C195" i="4" s="1"/>
  <c r="C194" i="4"/>
  <c r="B194" i="4"/>
  <c r="A194" i="4"/>
  <c r="B193" i="4"/>
  <c r="C193" i="4" s="1"/>
  <c r="A193" i="4"/>
  <c r="B192" i="4"/>
  <c r="A192" i="4"/>
  <c r="C192" i="4" s="1"/>
  <c r="B191" i="4"/>
  <c r="A191" i="4"/>
  <c r="C191" i="4" s="1"/>
  <c r="C190" i="4"/>
  <c r="B190" i="4"/>
  <c r="A190" i="4"/>
  <c r="B189" i="4"/>
  <c r="C189" i="4" s="1"/>
  <c r="A189" i="4"/>
  <c r="B188" i="4"/>
  <c r="A188" i="4"/>
  <c r="C188" i="4" s="1"/>
  <c r="B187" i="4"/>
  <c r="A187" i="4"/>
  <c r="C187" i="4" s="1"/>
  <c r="C186" i="4"/>
  <c r="B186" i="4"/>
  <c r="A186" i="4"/>
  <c r="B185" i="4"/>
  <c r="C185" i="4" s="1"/>
  <c r="A185" i="4"/>
  <c r="B184" i="4"/>
  <c r="A184" i="4"/>
  <c r="C184" i="4" s="1"/>
  <c r="B183" i="4"/>
  <c r="A183" i="4"/>
  <c r="C183" i="4" s="1"/>
  <c r="C182" i="4"/>
  <c r="B182" i="4"/>
  <c r="A182" i="4"/>
  <c r="B181" i="4"/>
  <c r="C181" i="4" s="1"/>
  <c r="A181" i="4"/>
  <c r="B180" i="4"/>
  <c r="A180" i="4"/>
  <c r="C180" i="4" s="1"/>
  <c r="B179" i="4"/>
  <c r="A179" i="4"/>
  <c r="C179" i="4" s="1"/>
  <c r="C178" i="4"/>
  <c r="B178" i="4"/>
  <c r="A178" i="4"/>
  <c r="B177" i="4"/>
  <c r="C177" i="4" s="1"/>
  <c r="A177" i="4"/>
  <c r="B176" i="4"/>
  <c r="A176" i="4"/>
  <c r="C176" i="4" s="1"/>
  <c r="B175" i="4"/>
  <c r="A175" i="4"/>
  <c r="C175" i="4" s="1"/>
  <c r="C174" i="4"/>
  <c r="B174" i="4"/>
  <c r="A174" i="4"/>
  <c r="B173" i="4"/>
  <c r="C173" i="4" s="1"/>
  <c r="A173" i="4"/>
  <c r="B172" i="4"/>
  <c r="A172" i="4"/>
  <c r="C172" i="4" s="1"/>
  <c r="B171" i="4"/>
  <c r="A171" i="4"/>
  <c r="C171" i="4" s="1"/>
  <c r="C170" i="4"/>
  <c r="B170" i="4"/>
  <c r="A170" i="4"/>
  <c r="B169" i="4"/>
  <c r="C169" i="4" s="1"/>
  <c r="A169" i="4"/>
  <c r="B168" i="4"/>
  <c r="A168" i="4"/>
  <c r="C168" i="4" s="1"/>
  <c r="B167" i="4"/>
  <c r="A167" i="4"/>
  <c r="C167" i="4" s="1"/>
  <c r="C166" i="4"/>
  <c r="B166" i="4"/>
  <c r="A166" i="4"/>
  <c r="B165" i="4"/>
  <c r="C165" i="4" s="1"/>
  <c r="A165" i="4"/>
  <c r="B164" i="4"/>
  <c r="A164" i="4"/>
  <c r="C164" i="4" s="1"/>
  <c r="B163" i="4"/>
  <c r="A163" i="4"/>
  <c r="C163" i="4" s="1"/>
  <c r="C162" i="4"/>
  <c r="B162" i="4"/>
  <c r="A162" i="4"/>
  <c r="B161" i="4"/>
  <c r="C161" i="4" s="1"/>
  <c r="A161" i="4"/>
  <c r="B160" i="4"/>
  <c r="A160" i="4"/>
  <c r="C160" i="4" s="1"/>
  <c r="B159" i="4"/>
  <c r="A159" i="4"/>
  <c r="C159" i="4" s="1"/>
  <c r="C158" i="4"/>
  <c r="B158" i="4"/>
  <c r="A158" i="4"/>
  <c r="B157" i="4"/>
  <c r="C157" i="4" s="1"/>
  <c r="A157" i="4"/>
  <c r="B156" i="4"/>
  <c r="A156" i="4"/>
  <c r="C156" i="4" s="1"/>
  <c r="B155" i="4"/>
  <c r="A155" i="4"/>
  <c r="C155" i="4" s="1"/>
  <c r="C154" i="4"/>
  <c r="B154" i="4"/>
  <c r="A154" i="4"/>
  <c r="B153" i="4"/>
  <c r="C153" i="4" s="1"/>
  <c r="A153" i="4"/>
  <c r="B152" i="4"/>
  <c r="A152" i="4"/>
  <c r="C152" i="4" s="1"/>
  <c r="B151" i="4"/>
  <c r="A151" i="4"/>
  <c r="C151" i="4" s="1"/>
  <c r="C150" i="4"/>
  <c r="B150" i="4"/>
  <c r="A150" i="4"/>
  <c r="B149" i="4"/>
  <c r="C149" i="4" s="1"/>
  <c r="A149" i="4"/>
  <c r="B148" i="4"/>
  <c r="A148" i="4"/>
  <c r="C148" i="4" s="1"/>
  <c r="B147" i="4"/>
  <c r="A147" i="4"/>
  <c r="C147" i="4" s="1"/>
  <c r="C146" i="4"/>
  <c r="B146" i="4"/>
  <c r="A146" i="4"/>
  <c r="B145" i="4"/>
  <c r="C145" i="4" s="1"/>
  <c r="A145" i="4"/>
  <c r="B144" i="4"/>
  <c r="A144" i="4"/>
  <c r="C144" i="4" s="1"/>
  <c r="B143" i="4"/>
  <c r="A143" i="4"/>
  <c r="C143" i="4" s="1"/>
  <c r="C142" i="4"/>
  <c r="B142" i="4"/>
  <c r="A142" i="4"/>
  <c r="B141" i="4"/>
  <c r="C141" i="4" s="1"/>
  <c r="A141" i="4"/>
  <c r="B140" i="4"/>
  <c r="A140" i="4"/>
  <c r="C140" i="4" s="1"/>
  <c r="B139" i="4"/>
  <c r="A139" i="4"/>
  <c r="C139" i="4" s="1"/>
  <c r="C138" i="4"/>
  <c r="B138" i="4"/>
  <c r="A138" i="4"/>
  <c r="B137" i="4"/>
  <c r="C137" i="4" s="1"/>
  <c r="A137" i="4"/>
  <c r="B136" i="4"/>
  <c r="A136" i="4"/>
  <c r="C136" i="4" s="1"/>
  <c r="B135" i="4"/>
  <c r="A135" i="4"/>
  <c r="C135" i="4" s="1"/>
  <c r="C134" i="4"/>
  <c r="B134" i="4"/>
  <c r="A134" i="4"/>
  <c r="B133" i="4"/>
  <c r="C133" i="4" s="1"/>
  <c r="A133" i="4"/>
  <c r="B132" i="4"/>
  <c r="A132" i="4"/>
  <c r="C132" i="4" s="1"/>
  <c r="B131" i="4"/>
  <c r="A131" i="4"/>
  <c r="C131" i="4" s="1"/>
  <c r="C130" i="4"/>
  <c r="B130" i="4"/>
  <c r="A130" i="4"/>
  <c r="B129" i="4"/>
  <c r="C129" i="4" s="1"/>
  <c r="A129" i="4"/>
  <c r="B128" i="4"/>
  <c r="A128" i="4"/>
  <c r="C128" i="4" s="1"/>
  <c r="B127" i="4"/>
  <c r="A127" i="4"/>
  <c r="C127" i="4" s="1"/>
  <c r="C126" i="4"/>
  <c r="B126" i="4"/>
  <c r="A126" i="4"/>
  <c r="B125" i="4"/>
  <c r="C125" i="4" s="1"/>
  <c r="A125" i="4"/>
  <c r="B124" i="4"/>
  <c r="A124" i="4"/>
  <c r="C124" i="4" s="1"/>
  <c r="B123" i="4"/>
  <c r="A123" i="4"/>
  <c r="C123" i="4" s="1"/>
  <c r="C122" i="4"/>
  <c r="B122" i="4"/>
  <c r="A122" i="4"/>
  <c r="B121" i="4"/>
  <c r="C121" i="4" s="1"/>
  <c r="A121" i="4"/>
  <c r="B120" i="4"/>
  <c r="A120" i="4"/>
  <c r="C120" i="4" s="1"/>
  <c r="B119" i="4"/>
  <c r="A119" i="4"/>
  <c r="C119" i="4" s="1"/>
  <c r="C118" i="4"/>
  <c r="B118" i="4"/>
  <c r="A118" i="4"/>
  <c r="B117" i="4"/>
  <c r="C117" i="4" s="1"/>
  <c r="A117" i="4"/>
  <c r="B116" i="4"/>
  <c r="A116" i="4"/>
  <c r="C116" i="4" s="1"/>
  <c r="B115" i="4"/>
  <c r="A115" i="4"/>
  <c r="C115" i="4" s="1"/>
  <c r="C114" i="4"/>
  <c r="B114" i="4"/>
  <c r="A114" i="4"/>
  <c r="B113" i="4"/>
  <c r="C113" i="4" s="1"/>
  <c r="A113" i="4"/>
  <c r="B112" i="4"/>
  <c r="A112" i="4"/>
  <c r="C112" i="4" s="1"/>
  <c r="B111" i="4"/>
  <c r="A111" i="4"/>
  <c r="C111" i="4" s="1"/>
  <c r="C110" i="4"/>
  <c r="B110" i="4"/>
  <c r="A110" i="4"/>
  <c r="B109" i="4"/>
  <c r="C109" i="4" s="1"/>
  <c r="A109" i="4"/>
  <c r="B108" i="4"/>
  <c r="A108" i="4"/>
  <c r="C108" i="4" s="1"/>
  <c r="B107" i="4"/>
  <c r="A107" i="4"/>
  <c r="C107" i="4" s="1"/>
  <c r="C106" i="4"/>
  <c r="B106" i="4"/>
  <c r="A106" i="4"/>
  <c r="B105" i="4"/>
  <c r="C105" i="4" s="1"/>
  <c r="A105" i="4"/>
  <c r="B104" i="4"/>
  <c r="A104" i="4"/>
  <c r="C104" i="4" s="1"/>
  <c r="B103" i="4"/>
  <c r="A103" i="4"/>
  <c r="C103" i="4" s="1"/>
  <c r="C102" i="4"/>
  <c r="B102" i="4"/>
  <c r="A102" i="4"/>
  <c r="B101" i="4"/>
  <c r="C101" i="4" s="1"/>
  <c r="A101" i="4"/>
  <c r="B100" i="4"/>
  <c r="A100" i="4"/>
  <c r="C100" i="4" s="1"/>
  <c r="B99" i="4"/>
  <c r="A99" i="4"/>
  <c r="C99" i="4" s="1"/>
  <c r="C98" i="4"/>
  <c r="B98" i="4"/>
  <c r="A98" i="4"/>
  <c r="B97" i="4"/>
  <c r="C97" i="4" s="1"/>
  <c r="A97" i="4"/>
  <c r="B96" i="4"/>
  <c r="A96" i="4"/>
  <c r="C96" i="4" s="1"/>
  <c r="B95" i="4"/>
  <c r="A95" i="4"/>
  <c r="C95" i="4" s="1"/>
  <c r="C94" i="4"/>
  <c r="B94" i="4"/>
  <c r="A94" i="4"/>
  <c r="B93" i="4"/>
  <c r="C93" i="4" s="1"/>
  <c r="A93" i="4"/>
  <c r="B92" i="4"/>
  <c r="A92" i="4"/>
  <c r="C92" i="4" s="1"/>
  <c r="B91" i="4"/>
  <c r="A91" i="4"/>
  <c r="C91" i="4" s="1"/>
  <c r="C90" i="4"/>
  <c r="B90" i="4"/>
  <c r="A90" i="4"/>
  <c r="B89" i="4"/>
  <c r="C89" i="4" s="1"/>
  <c r="A89" i="4"/>
  <c r="B88" i="4"/>
  <c r="A88" i="4"/>
  <c r="C88" i="4" s="1"/>
  <c r="B87" i="4"/>
  <c r="A87" i="4"/>
  <c r="C87" i="4" s="1"/>
  <c r="C86" i="4"/>
  <c r="B86" i="4"/>
  <c r="A86" i="4"/>
  <c r="B85" i="4"/>
  <c r="C85" i="4" s="1"/>
  <c r="A85" i="4"/>
  <c r="B84" i="4"/>
  <c r="A84" i="4"/>
  <c r="C84" i="4" s="1"/>
  <c r="B83" i="4"/>
  <c r="A83" i="4"/>
  <c r="C83" i="4" s="1"/>
  <c r="C82" i="4"/>
  <c r="B82" i="4"/>
  <c r="A82" i="4"/>
  <c r="B81" i="4"/>
  <c r="C81" i="4" s="1"/>
  <c r="A81" i="4"/>
  <c r="B80" i="4"/>
  <c r="A80" i="4"/>
  <c r="C80" i="4" s="1"/>
  <c r="B79" i="4"/>
  <c r="A79" i="4"/>
  <c r="C79" i="4" s="1"/>
  <c r="C78" i="4"/>
  <c r="B78" i="4"/>
  <c r="A78" i="4"/>
  <c r="B77" i="4"/>
  <c r="C77" i="4" s="1"/>
  <c r="A77" i="4"/>
  <c r="B76" i="4"/>
  <c r="A76" i="4"/>
  <c r="C76" i="4" s="1"/>
  <c r="B75" i="4"/>
  <c r="A75" i="4"/>
  <c r="C75" i="4" s="1"/>
  <c r="B74" i="4"/>
  <c r="A74" i="4"/>
  <c r="C74" i="4" s="1"/>
  <c r="B73" i="4"/>
  <c r="C73" i="4" s="1"/>
  <c r="A73" i="4"/>
  <c r="C72" i="4"/>
  <c r="B72" i="4"/>
  <c r="A72" i="4"/>
  <c r="B71" i="4"/>
  <c r="A71" i="4"/>
  <c r="C71" i="4" s="1"/>
  <c r="B70" i="4"/>
  <c r="A70" i="4"/>
  <c r="C70" i="4" s="1"/>
  <c r="B69" i="4"/>
  <c r="C69" i="4" s="1"/>
  <c r="A69" i="4"/>
  <c r="C68" i="4"/>
  <c r="B68" i="4"/>
  <c r="A68" i="4"/>
  <c r="B67" i="4"/>
  <c r="A67" i="4"/>
  <c r="C67" i="4" s="1"/>
  <c r="B66" i="4"/>
  <c r="A66" i="4"/>
  <c r="C66" i="4" s="1"/>
  <c r="B65" i="4"/>
  <c r="C65" i="4" s="1"/>
  <c r="A65" i="4"/>
  <c r="C64" i="4"/>
  <c r="B64" i="4"/>
  <c r="A64" i="4"/>
  <c r="B63" i="4"/>
  <c r="A63" i="4"/>
  <c r="C63" i="4" s="1"/>
  <c r="B62" i="4"/>
  <c r="A62" i="4"/>
  <c r="C62" i="4" s="1"/>
  <c r="B61" i="4"/>
  <c r="C61" i="4" s="1"/>
  <c r="A61" i="4"/>
  <c r="C60" i="4"/>
  <c r="B60" i="4"/>
  <c r="A60" i="4"/>
  <c r="B59" i="4"/>
  <c r="A59" i="4"/>
  <c r="C59" i="4" s="1"/>
  <c r="B58" i="4"/>
  <c r="A58" i="4"/>
  <c r="C58" i="4" s="1"/>
  <c r="B57" i="4"/>
  <c r="C57" i="4" s="1"/>
  <c r="A57" i="4"/>
  <c r="C56" i="4"/>
  <c r="B56" i="4"/>
  <c r="A56" i="4"/>
  <c r="B55" i="4"/>
  <c r="A55" i="4"/>
  <c r="C55" i="4" s="1"/>
  <c r="B54" i="4"/>
  <c r="A54" i="4"/>
  <c r="C54" i="4" s="1"/>
  <c r="B53" i="4"/>
  <c r="C53" i="4" s="1"/>
  <c r="A53" i="4"/>
  <c r="C52" i="4"/>
  <c r="B52" i="4"/>
  <c r="A52" i="4"/>
  <c r="B51" i="4"/>
  <c r="A51" i="4"/>
  <c r="C51" i="4" s="1"/>
  <c r="B50" i="4"/>
  <c r="A50" i="4"/>
  <c r="C50" i="4" s="1"/>
  <c r="B49" i="4"/>
  <c r="C49" i="4" s="1"/>
  <c r="A49" i="4"/>
  <c r="C48" i="4"/>
  <c r="B48" i="4"/>
  <c r="A48" i="4"/>
  <c r="B47" i="4"/>
  <c r="A47" i="4"/>
  <c r="C47" i="4" s="1"/>
  <c r="B46" i="4"/>
  <c r="A46" i="4"/>
  <c r="C46" i="4" s="1"/>
  <c r="B45" i="4"/>
  <c r="C45" i="4" s="1"/>
  <c r="A45" i="4"/>
  <c r="C44" i="4"/>
  <c r="B44" i="4"/>
  <c r="A44" i="4"/>
  <c r="B43" i="4"/>
  <c r="A43" i="4"/>
  <c r="C43" i="4" s="1"/>
  <c r="B42" i="4"/>
  <c r="A42" i="4"/>
  <c r="C42" i="4" s="1"/>
  <c r="B41" i="4"/>
  <c r="C41" i="4" s="1"/>
  <c r="A41" i="4"/>
  <c r="C40" i="4"/>
  <c r="B40" i="4"/>
  <c r="A40" i="4"/>
  <c r="B39" i="4"/>
  <c r="A39" i="4"/>
  <c r="C39" i="4" s="1"/>
  <c r="B38" i="4"/>
  <c r="A38" i="4"/>
  <c r="C38" i="4" s="1"/>
  <c r="B37" i="4"/>
  <c r="C37" i="4" s="1"/>
  <c r="A37" i="4"/>
  <c r="C36" i="4"/>
  <c r="B36" i="4"/>
  <c r="A36" i="4"/>
  <c r="B35" i="4"/>
  <c r="A35" i="4"/>
  <c r="C35" i="4" s="1"/>
  <c r="B34" i="4"/>
  <c r="A34" i="4"/>
  <c r="C34" i="4" s="1"/>
  <c r="B33" i="4"/>
  <c r="C33" i="4" s="1"/>
  <c r="A33" i="4"/>
  <c r="C32" i="4"/>
  <c r="B32" i="4"/>
  <c r="A32" i="4"/>
  <c r="B31" i="4"/>
  <c r="A31" i="4"/>
  <c r="C31" i="4" s="1"/>
  <c r="B30" i="4"/>
  <c r="A30" i="4"/>
  <c r="C30" i="4" s="1"/>
  <c r="B29" i="4"/>
  <c r="C29" i="4" s="1"/>
  <c r="A29" i="4"/>
  <c r="C28" i="4"/>
  <c r="B28" i="4"/>
  <c r="A28" i="4"/>
  <c r="B27" i="4"/>
  <c r="A27" i="4"/>
  <c r="C27" i="4" s="1"/>
  <c r="B26" i="4"/>
  <c r="A26" i="4"/>
  <c r="C26" i="4" s="1"/>
  <c r="B25" i="4"/>
  <c r="C25" i="4" s="1"/>
  <c r="A25" i="4"/>
  <c r="C24" i="4"/>
  <c r="B24" i="4"/>
  <c r="A24" i="4"/>
  <c r="B23" i="4"/>
  <c r="A23" i="4"/>
  <c r="C23" i="4" s="1"/>
  <c r="B22" i="4"/>
  <c r="A22" i="4"/>
  <c r="C22" i="4" s="1"/>
  <c r="B21" i="4"/>
  <c r="C21" i="4" s="1"/>
  <c r="A21" i="4"/>
  <c r="C20" i="4"/>
  <c r="B20" i="4"/>
  <c r="A20" i="4"/>
  <c r="B19" i="4"/>
  <c r="A19" i="4"/>
  <c r="C19" i="4" s="1"/>
  <c r="B18" i="4"/>
  <c r="A18" i="4"/>
  <c r="C18" i="4" s="1"/>
  <c r="B17" i="4"/>
  <c r="C17" i="4" s="1"/>
  <c r="A17" i="4"/>
  <c r="C16" i="4"/>
  <c r="B16" i="4"/>
  <c r="A16" i="4"/>
  <c r="B15" i="4"/>
  <c r="A15" i="4"/>
  <c r="C15" i="4" s="1"/>
  <c r="B14" i="4"/>
  <c r="A14" i="4"/>
  <c r="C14" i="4" s="1"/>
  <c r="B13" i="4"/>
  <c r="C13" i="4" s="1"/>
  <c r="A13" i="4"/>
  <c r="C12" i="4"/>
  <c r="B12" i="4"/>
  <c r="A12" i="4"/>
  <c r="B11" i="4"/>
  <c r="A11" i="4"/>
  <c r="C11" i="4" s="1"/>
  <c r="B10" i="4"/>
  <c r="A10" i="4"/>
  <c r="C10" i="4" s="1"/>
  <c r="B9" i="4"/>
  <c r="C9" i="4" s="1"/>
  <c r="A9" i="4"/>
  <c r="C8" i="4"/>
  <c r="B8" i="4"/>
  <c r="A8" i="4"/>
  <c r="B7" i="4"/>
  <c r="A7" i="4"/>
  <c r="C7" i="4" s="1"/>
  <c r="B6" i="4"/>
  <c r="A6" i="4"/>
  <c r="C6" i="4" s="1"/>
  <c r="B5" i="4"/>
  <c r="C5" i="4" s="1"/>
  <c r="A5" i="4"/>
  <c r="C4" i="4"/>
  <c r="B4" i="4"/>
  <c r="A4" i="4"/>
  <c r="B3" i="4"/>
  <c r="A3" i="4"/>
  <c r="C3" i="4" s="1"/>
  <c r="B2" i="4"/>
  <c r="A2" i="4"/>
  <c r="C2" i="4" s="1"/>
  <c r="B1626" i="1"/>
  <c r="A1626" i="1"/>
  <c r="C1626" i="1" s="1"/>
  <c r="B1625" i="1"/>
  <c r="A1625" i="1"/>
  <c r="C1625" i="1" s="1"/>
  <c r="C1624" i="1"/>
  <c r="B1624" i="1"/>
  <c r="A1624" i="1"/>
  <c r="C1623" i="1"/>
  <c r="B1623" i="1"/>
  <c r="A1623" i="1"/>
  <c r="B1622" i="1"/>
  <c r="A1622" i="1"/>
  <c r="C1622" i="1" s="1"/>
  <c r="B1621" i="1"/>
  <c r="A1621" i="1"/>
  <c r="C1621" i="1" s="1"/>
  <c r="C1620" i="1"/>
  <c r="B1620" i="1"/>
  <c r="A1620" i="1"/>
  <c r="C1619" i="1"/>
  <c r="B1619" i="1"/>
  <c r="A1619" i="1"/>
  <c r="B1618" i="1"/>
  <c r="A1618" i="1"/>
  <c r="C1618" i="1" s="1"/>
  <c r="B1617" i="1"/>
  <c r="A1617" i="1"/>
  <c r="C1617" i="1" s="1"/>
  <c r="C1616" i="1"/>
  <c r="B1616" i="1"/>
  <c r="A1616" i="1"/>
  <c r="C1615" i="1"/>
  <c r="B1615" i="1"/>
  <c r="A1615" i="1"/>
  <c r="B1614" i="1"/>
  <c r="A1614" i="1"/>
  <c r="C1614" i="1" s="1"/>
  <c r="B1613" i="1"/>
  <c r="A1613" i="1"/>
  <c r="C1613" i="1" s="1"/>
  <c r="C1612" i="1"/>
  <c r="B1612" i="1"/>
  <c r="A1612" i="1"/>
  <c r="C1611" i="1"/>
  <c r="B1611" i="1"/>
  <c r="A1611" i="1"/>
  <c r="B1610" i="1"/>
  <c r="A1610" i="1"/>
  <c r="C1610" i="1" s="1"/>
  <c r="B1609" i="1"/>
  <c r="A1609" i="1"/>
  <c r="C1609" i="1" s="1"/>
  <c r="C1608" i="1"/>
  <c r="B1608" i="1"/>
  <c r="A1608" i="1"/>
  <c r="C1607" i="1"/>
  <c r="B1607" i="1"/>
  <c r="A1607" i="1"/>
  <c r="B1606" i="1"/>
  <c r="A1606" i="1"/>
  <c r="C1606" i="1" s="1"/>
  <c r="B1605" i="1"/>
  <c r="A1605" i="1"/>
  <c r="C1605" i="1" s="1"/>
  <c r="C1604" i="1"/>
  <c r="B1604" i="1"/>
  <c r="A1604" i="1"/>
  <c r="C1603" i="1"/>
  <c r="B1603" i="1"/>
  <c r="A1603" i="1"/>
  <c r="B1602" i="1"/>
  <c r="A1602" i="1"/>
  <c r="C1602" i="1" s="1"/>
  <c r="B1601" i="1"/>
  <c r="A1601" i="1"/>
  <c r="C1601" i="1" s="1"/>
  <c r="C1600" i="1"/>
  <c r="B1600" i="1"/>
  <c r="A1600" i="1"/>
  <c r="C1599" i="1"/>
  <c r="B1599" i="1"/>
  <c r="A1599" i="1"/>
  <c r="B1598" i="1"/>
  <c r="A1598" i="1"/>
  <c r="C1598" i="1" s="1"/>
  <c r="B1597" i="1"/>
  <c r="A1597" i="1"/>
  <c r="C1597" i="1" s="1"/>
  <c r="C1596" i="1"/>
  <c r="B1596" i="1"/>
  <c r="A1596" i="1"/>
  <c r="C1595" i="1"/>
  <c r="B1595" i="1"/>
  <c r="A1595" i="1"/>
  <c r="B1594" i="1"/>
  <c r="A1594" i="1"/>
  <c r="C1594" i="1" s="1"/>
  <c r="B1593" i="1"/>
  <c r="A1593" i="1"/>
  <c r="C1593" i="1" s="1"/>
  <c r="C1592" i="1"/>
  <c r="B1592" i="1"/>
  <c r="A1592" i="1"/>
  <c r="C1591" i="1"/>
  <c r="B1591" i="1"/>
  <c r="A1591" i="1"/>
  <c r="B1590" i="1"/>
  <c r="A1590" i="1"/>
  <c r="C1590" i="1" s="1"/>
  <c r="B1589" i="1"/>
  <c r="A1589" i="1"/>
  <c r="C1589" i="1" s="1"/>
  <c r="C1588" i="1"/>
  <c r="B1588" i="1"/>
  <c r="A1588" i="1"/>
  <c r="C1587" i="1"/>
  <c r="B1587" i="1"/>
  <c r="A1587" i="1"/>
  <c r="B1586" i="1"/>
  <c r="A1586" i="1"/>
  <c r="C1586" i="1" s="1"/>
  <c r="B1585" i="1"/>
  <c r="A1585" i="1"/>
  <c r="C1585" i="1" s="1"/>
  <c r="C1584" i="1"/>
  <c r="B1584" i="1"/>
  <c r="A1584" i="1"/>
  <c r="C1583" i="1"/>
  <c r="B1583" i="1"/>
  <c r="A1583" i="1"/>
  <c r="B1582" i="1"/>
  <c r="A1582" i="1"/>
  <c r="C1582" i="1" s="1"/>
  <c r="B1581" i="1"/>
  <c r="A1581" i="1"/>
  <c r="C1581" i="1" s="1"/>
  <c r="C1580" i="1"/>
  <c r="B1580" i="1"/>
  <c r="A1580" i="1"/>
  <c r="C1579" i="1"/>
  <c r="B1579" i="1"/>
  <c r="A1579" i="1"/>
  <c r="B1578" i="1"/>
  <c r="A1578" i="1"/>
  <c r="C1578" i="1" s="1"/>
  <c r="B1577" i="1"/>
  <c r="A1577" i="1"/>
  <c r="C1577" i="1" s="1"/>
  <c r="C1576" i="1"/>
  <c r="B1576" i="1"/>
  <c r="A1576" i="1"/>
  <c r="C1575" i="1"/>
  <c r="B1575" i="1"/>
  <c r="A1575" i="1"/>
  <c r="B1574" i="1"/>
  <c r="A1574" i="1"/>
  <c r="C1574" i="1" s="1"/>
  <c r="B1573" i="1"/>
  <c r="A1573" i="1"/>
  <c r="C1573" i="1" s="1"/>
  <c r="C1572" i="1"/>
  <c r="B1572" i="1"/>
  <c r="A1572" i="1"/>
  <c r="C1571" i="1"/>
  <c r="B1571" i="1"/>
  <c r="A1571" i="1"/>
  <c r="B1570" i="1"/>
  <c r="A1570" i="1"/>
  <c r="C1570" i="1" s="1"/>
  <c r="B1569" i="1"/>
  <c r="A1569" i="1"/>
  <c r="C1569" i="1" s="1"/>
  <c r="C1568" i="1"/>
  <c r="B1568" i="1"/>
  <c r="A1568" i="1"/>
  <c r="C1567" i="1"/>
  <c r="B1567" i="1"/>
  <c r="A1567" i="1"/>
  <c r="B1566" i="1"/>
  <c r="A1566" i="1"/>
  <c r="C1566" i="1" s="1"/>
  <c r="B1565" i="1"/>
  <c r="A1565" i="1"/>
  <c r="C1565" i="1" s="1"/>
  <c r="C1564" i="1"/>
  <c r="B1564" i="1"/>
  <c r="A1564" i="1"/>
  <c r="C1563" i="1"/>
  <c r="B1563" i="1"/>
  <c r="A1563" i="1"/>
  <c r="B1562" i="1"/>
  <c r="A1562" i="1"/>
  <c r="C1562" i="1" s="1"/>
  <c r="B1561" i="1"/>
  <c r="A1561" i="1"/>
  <c r="C1561" i="1" s="1"/>
  <c r="C1560" i="1"/>
  <c r="B1560" i="1"/>
  <c r="A1560" i="1"/>
  <c r="C1559" i="1"/>
  <c r="B1559" i="1"/>
  <c r="A1559" i="1"/>
  <c r="B1558" i="1"/>
  <c r="A1558" i="1"/>
  <c r="C1558" i="1" s="1"/>
  <c r="B1557" i="1"/>
  <c r="A1557" i="1"/>
  <c r="C1557" i="1" s="1"/>
  <c r="C1556" i="1"/>
  <c r="B1556" i="1"/>
  <c r="A1556" i="1"/>
  <c r="C1555" i="1"/>
  <c r="B1555" i="1"/>
  <c r="A1555" i="1"/>
  <c r="B1554" i="1"/>
  <c r="A1554" i="1"/>
  <c r="C1554" i="1" s="1"/>
  <c r="B1553" i="1"/>
  <c r="A1553" i="1"/>
  <c r="C1553" i="1" s="1"/>
  <c r="C1552" i="1"/>
  <c r="B1552" i="1"/>
  <c r="A1552" i="1"/>
  <c r="C1551" i="1"/>
  <c r="B1551" i="1"/>
  <c r="A1551" i="1"/>
  <c r="B1550" i="1"/>
  <c r="A1550" i="1"/>
  <c r="C1550" i="1" s="1"/>
  <c r="B1549" i="1"/>
  <c r="A1549" i="1"/>
  <c r="C1549" i="1" s="1"/>
  <c r="C1548" i="1"/>
  <c r="B1548" i="1"/>
  <c r="A1548" i="1"/>
  <c r="C1547" i="1"/>
  <c r="B1547" i="1"/>
  <c r="A1547" i="1"/>
  <c r="B1546" i="1"/>
  <c r="A1546" i="1"/>
  <c r="C1546" i="1" s="1"/>
  <c r="B1545" i="1"/>
  <c r="A1545" i="1"/>
  <c r="C1545" i="1" s="1"/>
  <c r="C1544" i="1"/>
  <c r="B1544" i="1"/>
  <c r="A1544" i="1"/>
  <c r="C1543" i="1"/>
  <c r="B1543" i="1"/>
  <c r="A1543" i="1"/>
  <c r="B1542" i="1"/>
  <c r="A1542" i="1"/>
  <c r="C1542" i="1" s="1"/>
  <c r="B1541" i="1"/>
  <c r="A1541" i="1"/>
  <c r="C1541" i="1" s="1"/>
  <c r="C1540" i="1"/>
  <c r="B1540" i="1"/>
  <c r="A1540" i="1"/>
  <c r="C1539" i="1"/>
  <c r="B1539" i="1"/>
  <c r="A1539" i="1"/>
  <c r="B1538" i="1"/>
  <c r="A1538" i="1"/>
  <c r="C1538" i="1" s="1"/>
  <c r="B1537" i="1"/>
  <c r="A1537" i="1"/>
  <c r="C1537" i="1" s="1"/>
  <c r="C1536" i="1"/>
  <c r="B1536" i="1"/>
  <c r="A1536" i="1"/>
  <c r="C1535" i="1"/>
  <c r="B1535" i="1"/>
  <c r="A1535" i="1"/>
  <c r="B1534" i="1"/>
  <c r="A1534" i="1"/>
  <c r="C1534" i="1" s="1"/>
  <c r="B1533" i="1"/>
  <c r="A1533" i="1"/>
  <c r="C1533" i="1" s="1"/>
  <c r="C1532" i="1"/>
  <c r="B1532" i="1"/>
  <c r="A1532" i="1"/>
  <c r="C1531" i="1"/>
  <c r="B1531" i="1"/>
  <c r="A1531" i="1"/>
  <c r="B1530" i="1"/>
  <c r="A1530" i="1"/>
  <c r="C1530" i="1" s="1"/>
  <c r="B1529" i="1"/>
  <c r="A1529" i="1"/>
  <c r="C1529" i="1" s="1"/>
  <c r="C1528" i="1"/>
  <c r="B1528" i="1"/>
  <c r="A1528" i="1"/>
  <c r="C1527" i="1"/>
  <c r="B1527" i="1"/>
  <c r="A1527" i="1"/>
  <c r="B1526" i="1"/>
  <c r="A1526" i="1"/>
  <c r="C1526" i="1" s="1"/>
  <c r="B1525" i="1"/>
  <c r="A1525" i="1"/>
  <c r="C1525" i="1" s="1"/>
  <c r="C1524" i="1"/>
  <c r="B1524" i="1"/>
  <c r="A1524" i="1"/>
  <c r="C1523" i="1"/>
  <c r="B1523" i="1"/>
  <c r="A1523" i="1"/>
  <c r="B1522" i="1"/>
  <c r="A1522" i="1"/>
  <c r="C1522" i="1" s="1"/>
  <c r="B1521" i="1"/>
  <c r="A1521" i="1"/>
  <c r="C1521" i="1" s="1"/>
  <c r="C1520" i="1"/>
  <c r="B1520" i="1"/>
  <c r="A1520" i="1"/>
  <c r="C1519" i="1"/>
  <c r="B1519" i="1"/>
  <c r="A1519" i="1"/>
  <c r="B1518" i="1"/>
  <c r="A1518" i="1"/>
  <c r="C1518" i="1" s="1"/>
  <c r="B1517" i="1"/>
  <c r="A1517" i="1"/>
  <c r="C1517" i="1" s="1"/>
  <c r="C1516" i="1"/>
  <c r="B1516" i="1"/>
  <c r="A1516" i="1"/>
  <c r="C1515" i="1"/>
  <c r="B1515" i="1"/>
  <c r="A1515" i="1"/>
  <c r="B1514" i="1"/>
  <c r="A1514" i="1"/>
  <c r="C1514" i="1" s="1"/>
  <c r="B1513" i="1"/>
  <c r="A1513" i="1"/>
  <c r="C1513" i="1" s="1"/>
  <c r="C1512" i="1"/>
  <c r="B1512" i="1"/>
  <c r="A1512" i="1"/>
  <c r="C1511" i="1"/>
  <c r="B1511" i="1"/>
  <c r="A1511" i="1"/>
  <c r="B1510" i="1"/>
  <c r="A1510" i="1"/>
  <c r="C1510" i="1" s="1"/>
  <c r="B1509" i="1"/>
  <c r="A1509" i="1"/>
  <c r="C1509" i="1" s="1"/>
  <c r="C1508" i="1"/>
  <c r="B1508" i="1"/>
  <c r="A1508" i="1"/>
  <c r="C1507" i="1"/>
  <c r="B1507" i="1"/>
  <c r="A1507" i="1"/>
  <c r="B1506" i="1"/>
  <c r="A1506" i="1"/>
  <c r="C1506" i="1" s="1"/>
  <c r="B1505" i="1"/>
  <c r="A1505" i="1"/>
  <c r="C1505" i="1" s="1"/>
  <c r="C1504" i="1"/>
  <c r="B1504" i="1"/>
  <c r="A1504" i="1"/>
  <c r="C1503" i="1"/>
  <c r="B1503" i="1"/>
  <c r="A1503" i="1"/>
  <c r="B1502" i="1"/>
  <c r="A1502" i="1"/>
  <c r="C1502" i="1" s="1"/>
  <c r="B1501" i="1"/>
  <c r="A1501" i="1"/>
  <c r="C1501" i="1" s="1"/>
  <c r="C1500" i="1"/>
  <c r="B1500" i="1"/>
  <c r="A1500" i="1"/>
  <c r="C1499" i="1"/>
  <c r="B1499" i="1"/>
  <c r="A1499" i="1"/>
  <c r="B1498" i="1"/>
  <c r="A1498" i="1"/>
  <c r="C1498" i="1" s="1"/>
  <c r="B1497" i="1"/>
  <c r="A1497" i="1"/>
  <c r="C1497" i="1" s="1"/>
  <c r="C1496" i="1"/>
  <c r="B1496" i="1"/>
  <c r="A1496" i="1"/>
  <c r="C1495" i="1"/>
  <c r="B1495" i="1"/>
  <c r="A1495" i="1"/>
  <c r="B1494" i="1"/>
  <c r="A1494" i="1"/>
  <c r="C1494" i="1" s="1"/>
  <c r="B1493" i="1"/>
  <c r="A1493" i="1"/>
  <c r="C1493" i="1" s="1"/>
  <c r="C1492" i="1"/>
  <c r="B1492" i="1"/>
  <c r="A1492" i="1"/>
  <c r="C1491" i="1"/>
  <c r="B1491" i="1"/>
  <c r="A1491" i="1"/>
  <c r="B1490" i="1"/>
  <c r="A1490" i="1"/>
  <c r="C1490" i="1" s="1"/>
  <c r="B1489" i="1"/>
  <c r="A1489" i="1"/>
  <c r="C1489" i="1" s="1"/>
  <c r="C1488" i="1"/>
  <c r="B1488" i="1"/>
  <c r="A1488" i="1"/>
  <c r="C1487" i="1"/>
  <c r="B1487" i="1"/>
  <c r="A1487" i="1"/>
  <c r="B1486" i="1"/>
  <c r="A1486" i="1"/>
  <c r="C1486" i="1" s="1"/>
  <c r="B1485" i="1"/>
  <c r="A1485" i="1"/>
  <c r="C1485" i="1" s="1"/>
  <c r="C1484" i="1"/>
  <c r="B1484" i="1"/>
  <c r="A1484" i="1"/>
  <c r="C1483" i="1"/>
  <c r="B1483" i="1"/>
  <c r="A1483" i="1"/>
  <c r="B1482" i="1"/>
  <c r="A1482" i="1"/>
  <c r="C1482" i="1" s="1"/>
  <c r="B1481" i="1"/>
  <c r="A1481" i="1"/>
  <c r="C1481" i="1" s="1"/>
  <c r="C1480" i="1"/>
  <c r="B1480" i="1"/>
  <c r="A1480" i="1"/>
  <c r="C1479" i="1"/>
  <c r="B1479" i="1"/>
  <c r="A1479" i="1"/>
  <c r="B1478" i="1"/>
  <c r="A1478" i="1"/>
  <c r="C1478" i="1" s="1"/>
  <c r="B1477" i="1"/>
  <c r="A1477" i="1"/>
  <c r="C1477" i="1" s="1"/>
  <c r="C1476" i="1"/>
  <c r="B1476" i="1"/>
  <c r="A1476" i="1"/>
  <c r="C1475" i="1"/>
  <c r="B1475" i="1"/>
  <c r="A1475" i="1"/>
  <c r="B1474" i="1"/>
  <c r="A1474" i="1"/>
  <c r="C1474" i="1" s="1"/>
  <c r="B1473" i="1"/>
  <c r="A1473" i="1"/>
  <c r="C1473" i="1" s="1"/>
  <c r="C1472" i="1"/>
  <c r="B1472" i="1"/>
  <c r="A1472" i="1"/>
  <c r="C1471" i="1"/>
  <c r="B1471" i="1"/>
  <c r="A1471" i="1"/>
  <c r="B1470" i="1"/>
  <c r="A1470" i="1"/>
  <c r="C1470" i="1" s="1"/>
  <c r="B1469" i="1"/>
  <c r="A1469" i="1"/>
  <c r="C1469" i="1" s="1"/>
  <c r="C1468" i="1"/>
  <c r="B1468" i="1"/>
  <c r="A1468" i="1"/>
  <c r="C1467" i="1"/>
  <c r="B1467" i="1"/>
  <c r="A1467" i="1"/>
  <c r="B1466" i="1"/>
  <c r="A1466" i="1"/>
  <c r="C1466" i="1" s="1"/>
  <c r="B1465" i="1"/>
  <c r="A1465" i="1"/>
  <c r="C1465" i="1" s="1"/>
  <c r="C1464" i="1"/>
  <c r="B1464" i="1"/>
  <c r="A1464" i="1"/>
  <c r="C1463" i="1"/>
  <c r="B1463" i="1"/>
  <c r="A1463" i="1"/>
  <c r="B1462" i="1"/>
  <c r="A1462" i="1"/>
  <c r="C1462" i="1" s="1"/>
  <c r="B1461" i="1"/>
  <c r="A1461" i="1"/>
  <c r="C1461" i="1" s="1"/>
  <c r="C1460" i="1"/>
  <c r="B1460" i="1"/>
  <c r="A1460" i="1"/>
  <c r="C1459" i="1"/>
  <c r="B1459" i="1"/>
  <c r="A1459" i="1"/>
  <c r="B1458" i="1"/>
  <c r="A1458" i="1"/>
  <c r="C1458" i="1" s="1"/>
  <c r="B1457" i="1"/>
  <c r="A1457" i="1"/>
  <c r="C1457" i="1" s="1"/>
  <c r="C1456" i="1"/>
  <c r="B1456" i="1"/>
  <c r="A1456" i="1"/>
  <c r="C1455" i="1"/>
  <c r="B1455" i="1"/>
  <c r="A1455" i="1"/>
  <c r="B1454" i="1"/>
  <c r="A1454" i="1"/>
  <c r="C1454" i="1" s="1"/>
  <c r="B1453" i="1"/>
  <c r="A1453" i="1"/>
  <c r="C1453" i="1" s="1"/>
  <c r="C1452" i="1"/>
  <c r="B1452" i="1"/>
  <c r="A1452" i="1"/>
  <c r="C1451" i="1"/>
  <c r="B1451" i="1"/>
  <c r="A1451" i="1"/>
  <c r="B1450" i="1"/>
  <c r="A1450" i="1"/>
  <c r="C1450" i="1" s="1"/>
  <c r="B1449" i="1"/>
  <c r="A1449" i="1"/>
  <c r="C1449" i="1" s="1"/>
  <c r="C1448" i="1"/>
  <c r="B1448" i="1"/>
  <c r="A1448" i="1"/>
  <c r="C1447" i="1"/>
  <c r="B1447" i="1"/>
  <c r="A1447" i="1"/>
  <c r="B1446" i="1"/>
  <c r="A1446" i="1"/>
  <c r="C1446" i="1" s="1"/>
  <c r="B1445" i="1"/>
  <c r="A1445" i="1"/>
  <c r="C1445" i="1" s="1"/>
  <c r="C1444" i="1"/>
  <c r="B1444" i="1"/>
  <c r="A1444" i="1"/>
  <c r="C1443" i="1"/>
  <c r="B1443" i="1"/>
  <c r="A1443" i="1"/>
  <c r="B1442" i="1"/>
  <c r="A1442" i="1"/>
  <c r="C1442" i="1" s="1"/>
  <c r="B1441" i="1"/>
  <c r="A1441" i="1"/>
  <c r="C1441" i="1" s="1"/>
  <c r="C1440" i="1"/>
  <c r="B1440" i="1"/>
  <c r="A1440" i="1"/>
  <c r="C1439" i="1"/>
  <c r="B1439" i="1"/>
  <c r="A1439" i="1"/>
  <c r="B1438" i="1"/>
  <c r="A1438" i="1"/>
  <c r="C1438" i="1" s="1"/>
  <c r="B1437" i="1"/>
  <c r="A1437" i="1"/>
  <c r="C1437" i="1" s="1"/>
  <c r="C1436" i="1"/>
  <c r="B1436" i="1"/>
  <c r="A1436" i="1"/>
  <c r="C1435" i="1"/>
  <c r="B1435" i="1"/>
  <c r="A1435" i="1"/>
  <c r="B1434" i="1"/>
  <c r="A1434" i="1"/>
  <c r="C1434" i="1" s="1"/>
  <c r="B1433" i="1"/>
  <c r="A1433" i="1"/>
  <c r="C1433" i="1" s="1"/>
  <c r="C1432" i="1"/>
  <c r="B1432" i="1"/>
  <c r="A1432" i="1"/>
  <c r="C1431" i="1"/>
  <c r="B1431" i="1"/>
  <c r="A1431" i="1"/>
  <c r="B1430" i="1"/>
  <c r="A1430" i="1"/>
  <c r="C1430" i="1" s="1"/>
  <c r="B1429" i="1"/>
  <c r="A1429" i="1"/>
  <c r="C1429" i="1" s="1"/>
  <c r="C1428" i="1"/>
  <c r="B1428" i="1"/>
  <c r="A1428" i="1"/>
  <c r="C1427" i="1"/>
  <c r="B1427" i="1"/>
  <c r="A1427" i="1"/>
  <c r="B1426" i="1"/>
  <c r="A1426" i="1"/>
  <c r="C1426" i="1" s="1"/>
  <c r="B1425" i="1"/>
  <c r="A1425" i="1"/>
  <c r="C1425" i="1" s="1"/>
  <c r="C1424" i="1"/>
  <c r="B1424" i="1"/>
  <c r="A1424" i="1"/>
  <c r="C1423" i="1"/>
  <c r="B1423" i="1"/>
  <c r="A1423" i="1"/>
  <c r="B1422" i="1"/>
  <c r="A1422" i="1"/>
  <c r="C1422" i="1" s="1"/>
  <c r="B1421" i="1"/>
  <c r="A1421" i="1"/>
  <c r="C1421" i="1" s="1"/>
  <c r="C1420" i="1"/>
  <c r="B1420" i="1"/>
  <c r="A1420" i="1"/>
  <c r="C1419" i="1"/>
  <c r="B1419" i="1"/>
  <c r="A1419" i="1"/>
  <c r="B1418" i="1"/>
  <c r="A1418" i="1"/>
  <c r="C1418" i="1" s="1"/>
  <c r="B1417" i="1"/>
  <c r="A1417" i="1"/>
  <c r="C1417" i="1" s="1"/>
  <c r="C1416" i="1"/>
  <c r="B1416" i="1"/>
  <c r="A1416" i="1"/>
  <c r="C1415" i="1"/>
  <c r="B1415" i="1"/>
  <c r="A1415" i="1"/>
  <c r="B1414" i="1"/>
  <c r="A1414" i="1"/>
  <c r="C1414" i="1" s="1"/>
  <c r="B1413" i="1"/>
  <c r="A1413" i="1"/>
  <c r="C1413" i="1" s="1"/>
  <c r="C1412" i="1"/>
  <c r="B1412" i="1"/>
  <c r="A1412" i="1"/>
  <c r="C1411" i="1"/>
  <c r="B1411" i="1"/>
  <c r="A1411" i="1"/>
  <c r="B1410" i="1"/>
  <c r="A1410" i="1"/>
  <c r="C1410" i="1" s="1"/>
  <c r="B1409" i="1"/>
  <c r="A1409" i="1"/>
  <c r="C1409" i="1" s="1"/>
  <c r="C1408" i="1"/>
  <c r="B1408" i="1"/>
  <c r="A1408" i="1"/>
  <c r="C1407" i="1"/>
  <c r="B1407" i="1"/>
  <c r="A1407" i="1"/>
  <c r="B1406" i="1"/>
  <c r="A1406" i="1"/>
  <c r="C1406" i="1" s="1"/>
  <c r="B1405" i="1"/>
  <c r="A1405" i="1"/>
  <c r="C1405" i="1" s="1"/>
  <c r="C1404" i="1"/>
  <c r="B1404" i="1"/>
  <c r="A1404" i="1"/>
  <c r="C1403" i="1"/>
  <c r="B1403" i="1"/>
  <c r="A1403" i="1"/>
  <c r="B1402" i="1"/>
  <c r="A1402" i="1"/>
  <c r="C1402" i="1" s="1"/>
  <c r="B1401" i="1"/>
  <c r="A1401" i="1"/>
  <c r="C1401" i="1" s="1"/>
  <c r="C1400" i="1"/>
  <c r="B1400" i="1"/>
  <c r="A1400" i="1"/>
  <c r="C1399" i="1"/>
  <c r="B1399" i="1"/>
  <c r="A1399" i="1"/>
  <c r="B1398" i="1"/>
  <c r="A1398" i="1"/>
  <c r="C1398" i="1" s="1"/>
  <c r="B1397" i="1"/>
  <c r="A1397" i="1"/>
  <c r="C1397" i="1" s="1"/>
  <c r="C1396" i="1"/>
  <c r="B1396" i="1"/>
  <c r="A1396" i="1"/>
  <c r="C1395" i="1"/>
  <c r="B1395" i="1"/>
  <c r="A1395" i="1"/>
  <c r="B1394" i="1"/>
  <c r="A1394" i="1"/>
  <c r="C1394" i="1" s="1"/>
  <c r="B1393" i="1"/>
  <c r="A1393" i="1"/>
  <c r="C1393" i="1" s="1"/>
  <c r="C1392" i="1"/>
  <c r="B1392" i="1"/>
  <c r="A1392" i="1"/>
  <c r="C1391" i="1"/>
  <c r="B1391" i="1"/>
  <c r="A1391" i="1"/>
  <c r="B1390" i="1"/>
  <c r="A1390" i="1"/>
  <c r="C1390" i="1" s="1"/>
  <c r="B1389" i="1"/>
  <c r="A1389" i="1"/>
  <c r="C1389" i="1" s="1"/>
  <c r="C1388" i="1"/>
  <c r="B1388" i="1"/>
  <c r="A1388" i="1"/>
  <c r="C1387" i="1"/>
  <c r="B1387" i="1"/>
  <c r="A1387" i="1"/>
  <c r="B1386" i="1"/>
  <c r="A1386" i="1"/>
  <c r="C1386" i="1" s="1"/>
  <c r="B1385" i="1"/>
  <c r="A1385" i="1"/>
  <c r="C1385" i="1" s="1"/>
  <c r="C1384" i="1"/>
  <c r="B1384" i="1"/>
  <c r="A1384" i="1"/>
  <c r="C1383" i="1"/>
  <c r="B1383" i="1"/>
  <c r="A1383" i="1"/>
  <c r="B1382" i="1"/>
  <c r="A1382" i="1"/>
  <c r="C1382" i="1" s="1"/>
  <c r="B1381" i="1"/>
  <c r="A1381" i="1"/>
  <c r="C1381" i="1" s="1"/>
  <c r="C1380" i="1"/>
  <c r="B1380" i="1"/>
  <c r="A1380" i="1"/>
  <c r="C1379" i="1"/>
  <c r="B1379" i="1"/>
  <c r="A1379" i="1"/>
  <c r="B1378" i="1"/>
  <c r="A1378" i="1"/>
  <c r="C1378" i="1" s="1"/>
  <c r="B1377" i="1"/>
  <c r="A1377" i="1"/>
  <c r="C1377" i="1" s="1"/>
  <c r="C1376" i="1"/>
  <c r="B1376" i="1"/>
  <c r="A1376" i="1"/>
  <c r="C1375" i="1"/>
  <c r="B1375" i="1"/>
  <c r="A1375" i="1"/>
  <c r="B1374" i="1"/>
  <c r="A1374" i="1"/>
  <c r="C1374" i="1" s="1"/>
  <c r="B1373" i="1"/>
  <c r="A1373" i="1"/>
  <c r="C1373" i="1" s="1"/>
  <c r="C1372" i="1"/>
  <c r="B1372" i="1"/>
  <c r="A1372" i="1"/>
  <c r="C1371" i="1"/>
  <c r="B1371" i="1"/>
  <c r="A1371" i="1"/>
  <c r="B1370" i="1"/>
  <c r="A1370" i="1"/>
  <c r="C1370" i="1" s="1"/>
  <c r="B1369" i="1"/>
  <c r="A1369" i="1"/>
  <c r="C1369" i="1" s="1"/>
  <c r="C1368" i="1"/>
  <c r="B1368" i="1"/>
  <c r="A1368" i="1"/>
  <c r="C1367" i="1"/>
  <c r="B1367" i="1"/>
  <c r="A1367" i="1"/>
  <c r="B1366" i="1"/>
  <c r="A1366" i="1"/>
  <c r="C1366" i="1" s="1"/>
  <c r="B1365" i="1"/>
  <c r="A1365" i="1"/>
  <c r="C1365" i="1" s="1"/>
  <c r="C1364" i="1"/>
  <c r="B1364" i="1"/>
  <c r="A1364" i="1"/>
  <c r="C1363" i="1"/>
  <c r="B1363" i="1"/>
  <c r="A1363" i="1"/>
  <c r="B1362" i="1"/>
  <c r="A1362" i="1"/>
  <c r="C1362" i="1" s="1"/>
  <c r="B1361" i="1"/>
  <c r="A1361" i="1"/>
  <c r="C1361" i="1" s="1"/>
  <c r="C1360" i="1"/>
  <c r="B1360" i="1"/>
  <c r="A1360" i="1"/>
  <c r="C1359" i="1"/>
  <c r="B1359" i="1"/>
  <c r="A1359" i="1"/>
  <c r="B1358" i="1"/>
  <c r="A1358" i="1"/>
  <c r="C1358" i="1" s="1"/>
  <c r="B1357" i="1"/>
  <c r="A1357" i="1"/>
  <c r="C1357" i="1" s="1"/>
  <c r="C1356" i="1"/>
  <c r="B1356" i="1"/>
  <c r="A1356" i="1"/>
  <c r="C1355" i="1"/>
  <c r="B1355" i="1"/>
  <c r="A1355" i="1"/>
  <c r="B1354" i="1"/>
  <c r="A1354" i="1"/>
  <c r="C1354" i="1" s="1"/>
  <c r="B1353" i="1"/>
  <c r="A1353" i="1"/>
  <c r="C1353" i="1" s="1"/>
  <c r="C1352" i="1"/>
  <c r="B1352" i="1"/>
  <c r="A1352" i="1"/>
  <c r="C1351" i="1"/>
  <c r="B1351" i="1"/>
  <c r="A1351" i="1"/>
  <c r="B1350" i="1"/>
  <c r="A1350" i="1"/>
  <c r="C1350" i="1" s="1"/>
  <c r="B1349" i="1"/>
  <c r="A1349" i="1"/>
  <c r="C1349" i="1" s="1"/>
  <c r="C1348" i="1"/>
  <c r="B1348" i="1"/>
  <c r="A1348" i="1"/>
  <c r="C1347" i="1"/>
  <c r="B1347" i="1"/>
  <c r="A1347" i="1"/>
  <c r="B1346" i="1"/>
  <c r="A1346" i="1"/>
  <c r="C1346" i="1" s="1"/>
  <c r="B1345" i="1"/>
  <c r="A1345" i="1"/>
  <c r="C1345" i="1" s="1"/>
  <c r="C1344" i="1"/>
  <c r="B1344" i="1"/>
  <c r="A1344" i="1"/>
  <c r="C1343" i="1"/>
  <c r="B1343" i="1"/>
  <c r="A1343" i="1"/>
  <c r="B1342" i="1"/>
  <c r="A1342" i="1"/>
  <c r="C1342" i="1" s="1"/>
  <c r="B1341" i="1"/>
  <c r="A1341" i="1"/>
  <c r="C1341" i="1" s="1"/>
  <c r="C1340" i="1"/>
  <c r="B1340" i="1"/>
  <c r="A1340" i="1"/>
  <c r="C1339" i="1"/>
  <c r="B1339" i="1"/>
  <c r="A1339" i="1"/>
  <c r="B1338" i="1"/>
  <c r="A1338" i="1"/>
  <c r="C1338" i="1" s="1"/>
  <c r="B1337" i="1"/>
  <c r="A1337" i="1"/>
  <c r="C1337" i="1" s="1"/>
  <c r="C1336" i="1"/>
  <c r="B1336" i="1"/>
  <c r="A1336" i="1"/>
  <c r="C1335" i="1"/>
  <c r="B1335" i="1"/>
  <c r="A1335" i="1"/>
  <c r="B1334" i="1"/>
  <c r="A1334" i="1"/>
  <c r="C1334" i="1" s="1"/>
  <c r="B1333" i="1"/>
  <c r="A1333" i="1"/>
  <c r="C1333" i="1" s="1"/>
  <c r="C1332" i="1"/>
  <c r="B1332" i="1"/>
  <c r="A1332" i="1"/>
  <c r="C1331" i="1"/>
  <c r="B1331" i="1"/>
  <c r="A1331" i="1"/>
  <c r="B1330" i="1"/>
  <c r="A1330" i="1"/>
  <c r="C1330" i="1" s="1"/>
  <c r="B1329" i="1"/>
  <c r="A1329" i="1"/>
  <c r="C1329" i="1" s="1"/>
  <c r="C1328" i="1"/>
  <c r="B1328" i="1"/>
  <c r="A1328" i="1"/>
  <c r="C1327" i="1"/>
  <c r="B1327" i="1"/>
  <c r="A1327" i="1"/>
  <c r="B1326" i="1"/>
  <c r="A1326" i="1"/>
  <c r="C1326" i="1" s="1"/>
  <c r="B1325" i="1"/>
  <c r="A1325" i="1"/>
  <c r="C1325" i="1" s="1"/>
  <c r="C1324" i="1"/>
  <c r="B1324" i="1"/>
  <c r="A1324" i="1"/>
  <c r="C1323" i="1"/>
  <c r="B1323" i="1"/>
  <c r="A1323" i="1"/>
  <c r="B1322" i="1"/>
  <c r="A1322" i="1"/>
  <c r="C1322" i="1" s="1"/>
  <c r="B1321" i="1"/>
  <c r="A1321" i="1"/>
  <c r="C1321" i="1" s="1"/>
  <c r="C1320" i="1"/>
  <c r="B1320" i="1"/>
  <c r="A1320" i="1"/>
  <c r="C1319" i="1"/>
  <c r="B1319" i="1"/>
  <c r="A1319" i="1"/>
  <c r="B1318" i="1"/>
  <c r="A1318" i="1"/>
  <c r="C1318" i="1" s="1"/>
  <c r="B1317" i="1"/>
  <c r="A1317" i="1"/>
  <c r="C1317" i="1" s="1"/>
  <c r="C1316" i="1"/>
  <c r="B1316" i="1"/>
  <c r="A1316" i="1"/>
  <c r="C1315" i="1"/>
  <c r="B1315" i="1"/>
  <c r="A1315" i="1"/>
  <c r="B1314" i="1"/>
  <c r="A1314" i="1"/>
  <c r="C1314" i="1" s="1"/>
  <c r="B1313" i="1"/>
  <c r="A1313" i="1"/>
  <c r="C1313" i="1" s="1"/>
  <c r="C1312" i="1"/>
  <c r="B1312" i="1"/>
  <c r="A1312" i="1"/>
  <c r="C1311" i="1"/>
  <c r="B1311" i="1"/>
  <c r="A1311" i="1"/>
  <c r="B1310" i="1"/>
  <c r="A1310" i="1"/>
  <c r="C1310" i="1" s="1"/>
  <c r="B1309" i="1"/>
  <c r="A1309" i="1"/>
  <c r="C1309" i="1" s="1"/>
  <c r="C1308" i="1"/>
  <c r="B1308" i="1"/>
  <c r="A1308" i="1"/>
  <c r="C1307" i="1"/>
  <c r="B1307" i="1"/>
  <c r="A1307" i="1"/>
  <c r="B1306" i="1"/>
  <c r="A1306" i="1"/>
  <c r="C1306" i="1" s="1"/>
  <c r="B1305" i="1"/>
  <c r="A1305" i="1"/>
  <c r="C1305" i="1" s="1"/>
  <c r="C1304" i="1"/>
  <c r="B1304" i="1"/>
  <c r="A1304" i="1"/>
  <c r="C1303" i="1"/>
  <c r="B1303" i="1"/>
  <c r="A1303" i="1"/>
  <c r="B1302" i="1"/>
  <c r="A1302" i="1"/>
  <c r="C1302" i="1" s="1"/>
  <c r="B1301" i="1"/>
  <c r="A1301" i="1"/>
  <c r="C1301" i="1" s="1"/>
  <c r="C1300" i="1"/>
  <c r="B1300" i="1"/>
  <c r="A1300" i="1"/>
  <c r="C1299" i="1"/>
  <c r="B1299" i="1"/>
  <c r="A1299" i="1"/>
  <c r="B1298" i="1"/>
  <c r="A1298" i="1"/>
  <c r="C1298" i="1" s="1"/>
  <c r="B1297" i="1"/>
  <c r="A1297" i="1"/>
  <c r="C1297" i="1" s="1"/>
  <c r="C1296" i="1"/>
  <c r="B1296" i="1"/>
  <c r="A1296" i="1"/>
  <c r="C1295" i="1"/>
  <c r="B1295" i="1"/>
  <c r="A1295" i="1"/>
  <c r="B1294" i="1"/>
  <c r="A1294" i="1"/>
  <c r="C1294" i="1" s="1"/>
  <c r="B1293" i="1"/>
  <c r="A1293" i="1"/>
  <c r="B1292" i="1"/>
  <c r="A1292" i="1"/>
  <c r="C1292" i="1" s="1"/>
  <c r="B1291" i="1"/>
  <c r="C1291" i="1" s="1"/>
  <c r="A1291" i="1"/>
  <c r="C1290" i="1"/>
  <c r="B1290" i="1"/>
  <c r="A1290" i="1"/>
  <c r="B1289" i="1"/>
  <c r="A1289" i="1"/>
  <c r="C1289" i="1" s="1"/>
  <c r="B1288" i="1"/>
  <c r="A1288" i="1"/>
  <c r="C1288" i="1" s="1"/>
  <c r="B1287" i="1"/>
  <c r="A1287" i="1"/>
  <c r="C1287" i="1" s="1"/>
  <c r="B1286" i="1"/>
  <c r="C1286" i="1" s="1"/>
  <c r="A1286" i="1"/>
  <c r="C1285" i="1"/>
  <c r="B1285" i="1"/>
  <c r="A1285" i="1"/>
  <c r="B1284" i="1"/>
  <c r="A1284" i="1"/>
  <c r="C1284" i="1" s="1"/>
  <c r="C1283" i="1"/>
  <c r="B1283" i="1"/>
  <c r="A1283" i="1"/>
  <c r="B1282" i="1"/>
  <c r="C1282" i="1" s="1"/>
  <c r="A1282" i="1"/>
  <c r="B1281" i="1"/>
  <c r="A1281" i="1"/>
  <c r="C1281" i="1" s="1"/>
  <c r="B1280" i="1"/>
  <c r="A1280" i="1"/>
  <c r="C1280" i="1" s="1"/>
  <c r="B1279" i="1"/>
  <c r="A1279" i="1"/>
  <c r="C1279" i="1" s="1"/>
  <c r="B1278" i="1"/>
  <c r="C1278" i="1" s="1"/>
  <c r="A1278" i="1"/>
  <c r="B1277" i="1"/>
  <c r="A1277" i="1"/>
  <c r="C1277" i="1" s="1"/>
  <c r="B1276" i="1"/>
  <c r="A1276" i="1"/>
  <c r="C1276" i="1" s="1"/>
  <c r="C1275" i="1"/>
  <c r="B1275" i="1"/>
  <c r="A1275" i="1"/>
  <c r="B1274" i="1"/>
  <c r="C1274" i="1" s="1"/>
  <c r="A1274" i="1"/>
  <c r="C1273" i="1"/>
  <c r="B1273" i="1"/>
  <c r="A1273" i="1"/>
  <c r="B1272" i="1"/>
  <c r="A1272" i="1"/>
  <c r="C1272" i="1" s="1"/>
  <c r="B1271" i="1"/>
  <c r="A1271" i="1"/>
  <c r="C1271" i="1" s="1"/>
  <c r="B1270" i="1"/>
  <c r="C1270" i="1" s="1"/>
  <c r="A1270" i="1"/>
  <c r="B1269" i="1"/>
  <c r="A1269" i="1"/>
  <c r="C1269" i="1" s="1"/>
  <c r="B1268" i="1"/>
  <c r="A1268" i="1"/>
  <c r="C1268" i="1" s="1"/>
  <c r="C1267" i="1"/>
  <c r="B1267" i="1"/>
  <c r="A1267" i="1"/>
  <c r="B1266" i="1"/>
  <c r="C1266" i="1" s="1"/>
  <c r="A1266" i="1"/>
  <c r="C1265" i="1"/>
  <c r="B1265" i="1"/>
  <c r="A1265" i="1"/>
  <c r="B1264" i="1"/>
  <c r="A1264" i="1"/>
  <c r="C1264" i="1" s="1"/>
  <c r="B1263" i="1"/>
  <c r="A1263" i="1"/>
  <c r="C1263" i="1" s="1"/>
  <c r="B1262" i="1"/>
  <c r="C1262" i="1" s="1"/>
  <c r="A1262" i="1"/>
  <c r="C1261" i="1"/>
  <c r="B1261" i="1"/>
  <c r="A1261" i="1"/>
  <c r="B1260" i="1"/>
  <c r="A1260" i="1"/>
  <c r="C1260" i="1" s="1"/>
  <c r="C1259" i="1"/>
  <c r="B1259" i="1"/>
  <c r="A1259" i="1"/>
  <c r="B1258" i="1"/>
  <c r="C1258" i="1" s="1"/>
  <c r="A1258" i="1"/>
  <c r="B1257" i="1"/>
  <c r="A1257" i="1"/>
  <c r="C1257" i="1" s="1"/>
  <c r="B1256" i="1"/>
  <c r="A1256" i="1"/>
  <c r="C1256" i="1" s="1"/>
  <c r="B1255" i="1"/>
  <c r="A1255" i="1"/>
  <c r="C1255" i="1" s="1"/>
  <c r="B1254" i="1"/>
  <c r="C1254" i="1" s="1"/>
  <c r="A1254" i="1"/>
  <c r="C1253" i="1"/>
  <c r="B1253" i="1"/>
  <c r="A1253" i="1"/>
  <c r="B1252" i="1"/>
  <c r="A1252" i="1"/>
  <c r="C1252" i="1" s="1"/>
  <c r="C1251" i="1"/>
  <c r="B1251" i="1"/>
  <c r="A1251" i="1"/>
  <c r="B1250" i="1"/>
  <c r="C1250" i="1" s="1"/>
  <c r="A1250" i="1"/>
  <c r="B1249" i="1"/>
  <c r="A1249" i="1"/>
  <c r="C1249" i="1" s="1"/>
  <c r="B1248" i="1"/>
  <c r="A1248" i="1"/>
  <c r="C1248" i="1" s="1"/>
  <c r="B1247" i="1"/>
  <c r="A1247" i="1"/>
  <c r="C1247" i="1" s="1"/>
  <c r="B1246" i="1"/>
  <c r="C1246" i="1" s="1"/>
  <c r="A1246" i="1"/>
  <c r="B1245" i="1"/>
  <c r="A1245" i="1"/>
  <c r="C1245" i="1" s="1"/>
  <c r="B1244" i="1"/>
  <c r="A1244" i="1"/>
  <c r="C1244" i="1" s="1"/>
  <c r="C1243" i="1"/>
  <c r="B1243" i="1"/>
  <c r="A1243" i="1"/>
  <c r="B1242" i="1"/>
  <c r="C1242" i="1" s="1"/>
  <c r="A1242" i="1"/>
  <c r="C1241" i="1"/>
  <c r="B1241" i="1"/>
  <c r="A1241" i="1"/>
  <c r="B1240" i="1"/>
  <c r="A1240" i="1"/>
  <c r="C1240" i="1" s="1"/>
  <c r="B1239" i="1"/>
  <c r="A1239" i="1"/>
  <c r="C1239" i="1" s="1"/>
  <c r="B1238" i="1"/>
  <c r="C1238" i="1" s="1"/>
  <c r="A1238" i="1"/>
  <c r="B1237" i="1"/>
  <c r="A1237" i="1"/>
  <c r="C1237" i="1" s="1"/>
  <c r="B1236" i="1"/>
  <c r="A1236" i="1"/>
  <c r="C1236" i="1" s="1"/>
  <c r="C1235" i="1"/>
  <c r="B1235" i="1"/>
  <c r="A1235" i="1"/>
  <c r="B1234" i="1"/>
  <c r="C1234" i="1" s="1"/>
  <c r="A1234" i="1"/>
  <c r="C1233" i="1"/>
  <c r="B1233" i="1"/>
  <c r="A1233" i="1"/>
  <c r="B1232" i="1"/>
  <c r="A1232" i="1"/>
  <c r="C1232" i="1" s="1"/>
  <c r="B1231" i="1"/>
  <c r="A1231" i="1"/>
  <c r="C1231" i="1" s="1"/>
  <c r="B1230" i="1"/>
  <c r="C1230" i="1" s="1"/>
  <c r="A1230" i="1"/>
  <c r="C1229" i="1"/>
  <c r="B1229" i="1"/>
  <c r="A1229" i="1"/>
  <c r="B1228" i="1"/>
  <c r="A1228" i="1"/>
  <c r="C1228" i="1" s="1"/>
  <c r="C1227" i="1"/>
  <c r="B1227" i="1"/>
  <c r="A1227" i="1"/>
  <c r="B1226" i="1"/>
  <c r="C1226" i="1" s="1"/>
  <c r="A1226" i="1"/>
  <c r="B1225" i="1"/>
  <c r="A1225" i="1"/>
  <c r="C1225" i="1" s="1"/>
  <c r="B1224" i="1"/>
  <c r="A1224" i="1"/>
  <c r="C1224" i="1" s="1"/>
  <c r="B1223" i="1"/>
  <c r="A1223" i="1"/>
  <c r="C1223" i="1" s="1"/>
  <c r="B1222" i="1"/>
  <c r="C1222" i="1" s="1"/>
  <c r="A1222" i="1"/>
  <c r="C1221" i="1"/>
  <c r="B1221" i="1"/>
  <c r="A1221" i="1"/>
  <c r="B1220" i="1"/>
  <c r="A1220" i="1"/>
  <c r="C1220" i="1" s="1"/>
  <c r="C1219" i="1"/>
  <c r="B1219" i="1"/>
  <c r="A1219" i="1"/>
  <c r="B1218" i="1"/>
  <c r="C1218" i="1" s="1"/>
  <c r="A1218" i="1"/>
  <c r="B1217" i="1"/>
  <c r="A1217" i="1"/>
  <c r="C1217" i="1" s="1"/>
  <c r="B1216" i="1"/>
  <c r="A1216" i="1"/>
  <c r="C1216" i="1" s="1"/>
  <c r="B1215" i="1"/>
  <c r="A1215" i="1"/>
  <c r="C1215" i="1" s="1"/>
  <c r="B1214" i="1"/>
  <c r="C1214" i="1" s="1"/>
  <c r="A1214" i="1"/>
  <c r="B1213" i="1"/>
  <c r="A1213" i="1"/>
  <c r="C1213" i="1" s="1"/>
  <c r="B1212" i="1"/>
  <c r="A1212" i="1"/>
  <c r="C1212" i="1" s="1"/>
  <c r="C1211" i="1"/>
  <c r="B1211" i="1"/>
  <c r="A1211" i="1"/>
  <c r="B1210" i="1"/>
  <c r="C1210" i="1" s="1"/>
  <c r="A1210" i="1"/>
  <c r="C1209" i="1"/>
  <c r="B1209" i="1"/>
  <c r="A1209" i="1"/>
  <c r="B1208" i="1"/>
  <c r="A1208" i="1"/>
  <c r="C1208" i="1" s="1"/>
  <c r="B1207" i="1"/>
  <c r="A1207" i="1"/>
  <c r="C1207" i="1" s="1"/>
  <c r="B1206" i="1"/>
  <c r="C1206" i="1" s="1"/>
  <c r="A1206" i="1"/>
  <c r="B1205" i="1"/>
  <c r="A1205" i="1"/>
  <c r="C1205" i="1" s="1"/>
  <c r="B1204" i="1"/>
  <c r="A1204" i="1"/>
  <c r="C1204" i="1" s="1"/>
  <c r="C1203" i="1"/>
  <c r="B1203" i="1"/>
  <c r="A1203" i="1"/>
  <c r="B1202" i="1"/>
  <c r="C1202" i="1" s="1"/>
  <c r="A1202" i="1"/>
  <c r="C1201" i="1"/>
  <c r="B1201" i="1"/>
  <c r="A1201" i="1"/>
  <c r="B1200" i="1"/>
  <c r="A1200" i="1"/>
  <c r="C1200" i="1" s="1"/>
  <c r="B1199" i="1"/>
  <c r="A1199" i="1"/>
  <c r="C1199" i="1" s="1"/>
  <c r="B1198" i="1"/>
  <c r="C1198" i="1" s="1"/>
  <c r="A1198" i="1"/>
  <c r="C1197" i="1"/>
  <c r="B1197" i="1"/>
  <c r="A1197" i="1"/>
  <c r="B1196" i="1"/>
  <c r="A1196" i="1"/>
  <c r="C1196" i="1" s="1"/>
  <c r="C1195" i="1"/>
  <c r="B1195" i="1"/>
  <c r="A1195" i="1"/>
  <c r="B1194" i="1"/>
  <c r="C1194" i="1" s="1"/>
  <c r="A1194" i="1"/>
  <c r="B1193" i="1"/>
  <c r="A1193" i="1"/>
  <c r="C1193" i="1" s="1"/>
  <c r="B1192" i="1"/>
  <c r="A1192" i="1"/>
  <c r="C1192" i="1" s="1"/>
  <c r="B1191" i="1"/>
  <c r="A1191" i="1"/>
  <c r="C1191" i="1" s="1"/>
  <c r="B1190" i="1"/>
  <c r="C1190" i="1" s="1"/>
  <c r="A1190" i="1"/>
  <c r="C1189" i="1"/>
  <c r="B1189" i="1"/>
  <c r="A1189" i="1"/>
  <c r="B1188" i="1"/>
  <c r="A1188" i="1"/>
  <c r="C1188" i="1" s="1"/>
  <c r="C1187" i="1"/>
  <c r="B1187" i="1"/>
  <c r="A1187" i="1"/>
  <c r="B1186" i="1"/>
  <c r="C1186" i="1" s="1"/>
  <c r="A1186" i="1"/>
  <c r="B1185" i="1"/>
  <c r="A1185" i="1"/>
  <c r="C1185" i="1" s="1"/>
  <c r="B1184" i="1"/>
  <c r="A1184" i="1"/>
  <c r="C1184" i="1" s="1"/>
  <c r="B1183" i="1"/>
  <c r="A1183" i="1"/>
  <c r="C1183" i="1" s="1"/>
  <c r="B1182" i="1"/>
  <c r="C1182" i="1" s="1"/>
  <c r="A1182" i="1"/>
  <c r="B1181" i="1"/>
  <c r="A1181" i="1"/>
  <c r="C1181" i="1" s="1"/>
  <c r="B1180" i="1"/>
  <c r="A1180" i="1"/>
  <c r="C1180" i="1" s="1"/>
  <c r="C1179" i="1"/>
  <c r="B1179" i="1"/>
  <c r="A1179" i="1"/>
  <c r="B1178" i="1"/>
  <c r="C1178" i="1" s="1"/>
  <c r="A1178" i="1"/>
  <c r="C1177" i="1"/>
  <c r="B1177" i="1"/>
  <c r="A1177" i="1"/>
  <c r="B1176" i="1"/>
  <c r="A1176" i="1"/>
  <c r="C1176" i="1" s="1"/>
  <c r="B1175" i="1"/>
  <c r="A1175" i="1"/>
  <c r="C1175" i="1" s="1"/>
  <c r="B1174" i="1"/>
  <c r="C1174" i="1" s="1"/>
  <c r="A1174" i="1"/>
  <c r="B1173" i="1"/>
  <c r="A1173" i="1"/>
  <c r="C1173" i="1" s="1"/>
  <c r="B1172" i="1"/>
  <c r="A1172" i="1"/>
  <c r="C1172" i="1" s="1"/>
  <c r="C1171" i="1"/>
  <c r="B1171" i="1"/>
  <c r="A1171" i="1"/>
  <c r="B1170" i="1"/>
  <c r="C1170" i="1" s="1"/>
  <c r="A1170" i="1"/>
  <c r="C1169" i="1"/>
  <c r="B1169" i="1"/>
  <c r="A1169" i="1"/>
  <c r="B1168" i="1"/>
  <c r="A1168" i="1"/>
  <c r="C1168" i="1" s="1"/>
  <c r="B1167" i="1"/>
  <c r="A1167" i="1"/>
  <c r="C1167" i="1" s="1"/>
  <c r="B1166" i="1"/>
  <c r="C1166" i="1" s="1"/>
  <c r="A1166" i="1"/>
  <c r="C1165" i="1"/>
  <c r="B1165" i="1"/>
  <c r="A1165" i="1"/>
  <c r="B1164" i="1"/>
  <c r="A1164" i="1"/>
  <c r="C1164" i="1" s="1"/>
  <c r="C1163" i="1"/>
  <c r="B1163" i="1"/>
  <c r="A1163" i="1"/>
  <c r="B1162" i="1"/>
  <c r="C1162" i="1" s="1"/>
  <c r="A1162" i="1"/>
  <c r="B1161" i="1"/>
  <c r="A1161" i="1"/>
  <c r="C1161" i="1" s="1"/>
  <c r="B1160" i="1"/>
  <c r="A1160" i="1"/>
  <c r="C1160" i="1" s="1"/>
  <c r="B1159" i="1"/>
  <c r="A1159" i="1"/>
  <c r="C1159" i="1" s="1"/>
  <c r="B1158" i="1"/>
  <c r="C1158" i="1" s="1"/>
  <c r="A1158" i="1"/>
  <c r="C1157" i="1"/>
  <c r="B1157" i="1"/>
  <c r="A1157" i="1"/>
  <c r="B1156" i="1"/>
  <c r="A1156" i="1"/>
  <c r="C1156" i="1" s="1"/>
  <c r="C1155" i="1"/>
  <c r="B1155" i="1"/>
  <c r="A1155" i="1"/>
  <c r="B1154" i="1"/>
  <c r="C1154" i="1" s="1"/>
  <c r="A1154" i="1"/>
  <c r="B1153" i="1"/>
  <c r="A1153" i="1"/>
  <c r="C1153" i="1" s="1"/>
  <c r="B1152" i="1"/>
  <c r="A1152" i="1"/>
  <c r="C1152" i="1" s="1"/>
  <c r="B1151" i="1"/>
  <c r="A1151" i="1"/>
  <c r="C1151" i="1" s="1"/>
  <c r="B1150" i="1"/>
  <c r="C1150" i="1" s="1"/>
  <c r="A1150" i="1"/>
  <c r="B1149" i="1"/>
  <c r="A1149" i="1"/>
  <c r="C1149" i="1" s="1"/>
  <c r="B1148" i="1"/>
  <c r="A1148" i="1"/>
  <c r="C1148" i="1" s="1"/>
  <c r="C1147" i="1"/>
  <c r="B1147" i="1"/>
  <c r="A1147" i="1"/>
  <c r="B1146" i="1"/>
  <c r="C1146" i="1" s="1"/>
  <c r="A1146" i="1"/>
  <c r="C1145" i="1"/>
  <c r="B1145" i="1"/>
  <c r="A1145" i="1"/>
  <c r="B1144" i="1"/>
  <c r="A1144" i="1"/>
  <c r="C1144" i="1" s="1"/>
  <c r="B1143" i="1"/>
  <c r="A1143" i="1"/>
  <c r="C1143" i="1" s="1"/>
  <c r="B1142" i="1"/>
  <c r="C1142" i="1" s="1"/>
  <c r="A1142" i="1"/>
  <c r="B1141" i="1"/>
  <c r="A1141" i="1"/>
  <c r="C1141" i="1" s="1"/>
  <c r="B1140" i="1"/>
  <c r="A1140" i="1"/>
  <c r="C1140" i="1" s="1"/>
  <c r="C1139" i="1"/>
  <c r="B1139" i="1"/>
  <c r="A1139" i="1"/>
  <c r="B1138" i="1"/>
  <c r="C1138" i="1" s="1"/>
  <c r="A1138" i="1"/>
  <c r="C1137" i="1"/>
  <c r="B1137" i="1"/>
  <c r="A1137" i="1"/>
  <c r="B1136" i="1"/>
  <c r="A1136" i="1"/>
  <c r="C1136" i="1" s="1"/>
  <c r="B1135" i="1"/>
  <c r="A1135" i="1"/>
  <c r="C1135" i="1" s="1"/>
  <c r="B1134" i="1"/>
  <c r="C1134" i="1" s="1"/>
  <c r="A1134" i="1"/>
  <c r="C1133" i="1"/>
  <c r="B1133" i="1"/>
  <c r="A1133" i="1"/>
  <c r="B1132" i="1"/>
  <c r="A1132" i="1"/>
  <c r="C1132" i="1" s="1"/>
  <c r="C1131" i="1"/>
  <c r="B1131" i="1"/>
  <c r="A1131" i="1"/>
  <c r="B1130" i="1"/>
  <c r="C1130" i="1" s="1"/>
  <c r="A1130" i="1"/>
  <c r="B1129" i="1"/>
  <c r="A1129" i="1"/>
  <c r="C1129" i="1" s="1"/>
  <c r="B1128" i="1"/>
  <c r="A1128" i="1"/>
  <c r="C1128" i="1" s="1"/>
  <c r="B1127" i="1"/>
  <c r="A1127" i="1"/>
  <c r="C1127" i="1" s="1"/>
  <c r="B1126" i="1"/>
  <c r="C1126" i="1" s="1"/>
  <c r="A1126" i="1"/>
  <c r="C1125" i="1"/>
  <c r="B1125" i="1"/>
  <c r="A1125" i="1"/>
  <c r="B1124" i="1"/>
  <c r="A1124" i="1"/>
  <c r="C1124" i="1" s="1"/>
  <c r="C1123" i="1"/>
  <c r="B1123" i="1"/>
  <c r="A1123" i="1"/>
  <c r="B1122" i="1"/>
  <c r="C1122" i="1" s="1"/>
  <c r="A1122" i="1"/>
  <c r="B1121" i="1"/>
  <c r="A1121" i="1"/>
  <c r="C1121" i="1" s="1"/>
  <c r="B1120" i="1"/>
  <c r="A1120" i="1"/>
  <c r="C1120" i="1" s="1"/>
  <c r="B1119" i="1"/>
  <c r="A1119" i="1"/>
  <c r="C1119" i="1" s="1"/>
  <c r="B1118" i="1"/>
  <c r="C1118" i="1" s="1"/>
  <c r="A1118" i="1"/>
  <c r="B1117" i="1"/>
  <c r="A1117" i="1"/>
  <c r="C1117" i="1" s="1"/>
  <c r="B1116" i="1"/>
  <c r="A1116" i="1"/>
  <c r="C1116" i="1" s="1"/>
  <c r="C1115" i="1"/>
  <c r="B1115" i="1"/>
  <c r="A1115" i="1"/>
  <c r="B1114" i="1"/>
  <c r="C1114" i="1" s="1"/>
  <c r="A1114" i="1"/>
  <c r="C1113" i="1"/>
  <c r="B1113" i="1"/>
  <c r="A1113" i="1"/>
  <c r="B1112" i="1"/>
  <c r="A1112" i="1"/>
  <c r="C1112" i="1" s="1"/>
  <c r="B1111" i="1"/>
  <c r="A1111" i="1"/>
  <c r="C1111" i="1" s="1"/>
  <c r="B1110" i="1"/>
  <c r="C1110" i="1" s="1"/>
  <c r="A1110" i="1"/>
  <c r="B1109" i="1"/>
  <c r="A1109" i="1"/>
  <c r="C1109" i="1" s="1"/>
  <c r="B1108" i="1"/>
  <c r="A1108" i="1"/>
  <c r="C1108" i="1" s="1"/>
  <c r="C1107" i="1"/>
  <c r="B1107" i="1"/>
  <c r="A1107" i="1"/>
  <c r="B1106" i="1"/>
  <c r="C1106" i="1" s="1"/>
  <c r="A1106" i="1"/>
  <c r="C1105" i="1"/>
  <c r="B1105" i="1"/>
  <c r="A1105" i="1"/>
  <c r="B1104" i="1"/>
  <c r="A1104" i="1"/>
  <c r="C1104" i="1" s="1"/>
  <c r="B1103" i="1"/>
  <c r="A1103" i="1"/>
  <c r="C1103" i="1" s="1"/>
  <c r="B1102" i="1"/>
  <c r="C1102" i="1" s="1"/>
  <c r="A1102" i="1"/>
  <c r="C1101" i="1"/>
  <c r="B1101" i="1"/>
  <c r="A1101" i="1"/>
  <c r="B1100" i="1"/>
  <c r="A1100" i="1"/>
  <c r="C1100" i="1" s="1"/>
  <c r="C1099" i="1"/>
  <c r="B1099" i="1"/>
  <c r="A1099" i="1"/>
  <c r="B1098" i="1"/>
  <c r="C1098" i="1" s="1"/>
  <c r="A1098" i="1"/>
  <c r="B1097" i="1"/>
  <c r="A1097" i="1"/>
  <c r="C1097" i="1" s="1"/>
  <c r="B1096" i="1"/>
  <c r="A1096" i="1"/>
  <c r="C1096" i="1" s="1"/>
  <c r="B1095" i="1"/>
  <c r="A1095" i="1"/>
  <c r="C1095" i="1" s="1"/>
  <c r="B1094" i="1"/>
  <c r="C1094" i="1" s="1"/>
  <c r="A1094" i="1"/>
  <c r="C1093" i="1"/>
  <c r="B1093" i="1"/>
  <c r="A1093" i="1"/>
  <c r="B1092" i="1"/>
  <c r="A1092" i="1"/>
  <c r="C1092" i="1" s="1"/>
  <c r="C1091" i="1"/>
  <c r="B1091" i="1"/>
  <c r="A1091" i="1"/>
  <c r="B1090" i="1"/>
  <c r="C1090" i="1" s="1"/>
  <c r="A1090" i="1"/>
  <c r="B1089" i="1"/>
  <c r="A1089" i="1"/>
  <c r="C1089" i="1" s="1"/>
  <c r="B1088" i="1"/>
  <c r="A1088" i="1"/>
  <c r="C1088" i="1" s="1"/>
  <c r="B1087" i="1"/>
  <c r="A1087" i="1"/>
  <c r="C1087" i="1" s="1"/>
  <c r="B1086" i="1"/>
  <c r="C1086" i="1" s="1"/>
  <c r="A1086" i="1"/>
  <c r="B1085" i="1"/>
  <c r="A1085" i="1"/>
  <c r="C1085" i="1" s="1"/>
  <c r="B1084" i="1"/>
  <c r="A1084" i="1"/>
  <c r="C1084" i="1" s="1"/>
  <c r="C1083" i="1"/>
  <c r="B1083" i="1"/>
  <c r="A1083" i="1"/>
  <c r="B1082" i="1"/>
  <c r="C1082" i="1" s="1"/>
  <c r="A1082" i="1"/>
  <c r="C1081" i="1"/>
  <c r="B1081" i="1"/>
  <c r="A1081" i="1"/>
  <c r="B1080" i="1"/>
  <c r="A1080" i="1"/>
  <c r="C1080" i="1" s="1"/>
  <c r="B1079" i="1"/>
  <c r="A1079" i="1"/>
  <c r="C1079" i="1" s="1"/>
  <c r="B1078" i="1"/>
  <c r="C1078" i="1" s="1"/>
  <c r="A1078" i="1"/>
  <c r="B1077" i="1"/>
  <c r="A1077" i="1"/>
  <c r="C1077" i="1" s="1"/>
  <c r="B1076" i="1"/>
  <c r="A1076" i="1"/>
  <c r="C1076" i="1" s="1"/>
  <c r="C1075" i="1"/>
  <c r="B1075" i="1"/>
  <c r="A1075" i="1"/>
  <c r="B1074" i="1"/>
  <c r="C1074" i="1" s="1"/>
  <c r="A1074" i="1"/>
  <c r="C1073" i="1"/>
  <c r="B1073" i="1"/>
  <c r="A1073" i="1"/>
  <c r="B1072" i="1"/>
  <c r="A1072" i="1"/>
  <c r="C1072" i="1" s="1"/>
  <c r="B1071" i="1"/>
  <c r="A1071" i="1"/>
  <c r="C1071" i="1" s="1"/>
  <c r="B1070" i="1"/>
  <c r="C1070" i="1" s="1"/>
  <c r="A1070" i="1"/>
  <c r="C1069" i="1"/>
  <c r="B1069" i="1"/>
  <c r="A1069" i="1"/>
  <c r="B1068" i="1"/>
  <c r="A1068" i="1"/>
  <c r="C1068" i="1" s="1"/>
  <c r="C1067" i="1"/>
  <c r="B1067" i="1"/>
  <c r="A1067" i="1"/>
  <c r="B1066" i="1"/>
  <c r="C1066" i="1" s="1"/>
  <c r="A1066" i="1"/>
  <c r="B1065" i="1"/>
  <c r="A1065" i="1"/>
  <c r="C1065" i="1" s="1"/>
  <c r="B1064" i="1"/>
  <c r="A1064" i="1"/>
  <c r="C1064" i="1" s="1"/>
  <c r="B1063" i="1"/>
  <c r="A1063" i="1"/>
  <c r="C1063" i="1" s="1"/>
  <c r="B1062" i="1"/>
  <c r="C1062" i="1" s="1"/>
  <c r="A1062" i="1"/>
  <c r="C1061" i="1"/>
  <c r="B1061" i="1"/>
  <c r="A1061" i="1"/>
  <c r="B1060" i="1"/>
  <c r="A1060" i="1"/>
  <c r="C1060" i="1" s="1"/>
  <c r="C1059" i="1"/>
  <c r="B1059" i="1"/>
  <c r="A1059" i="1"/>
  <c r="B1058" i="1"/>
  <c r="C1058" i="1" s="1"/>
  <c r="A1058" i="1"/>
  <c r="B1057" i="1"/>
  <c r="A1057" i="1"/>
  <c r="C1057" i="1" s="1"/>
  <c r="B1056" i="1"/>
  <c r="A1056" i="1"/>
  <c r="C1056" i="1" s="1"/>
  <c r="B1055" i="1"/>
  <c r="A1055" i="1"/>
  <c r="C1055" i="1" s="1"/>
  <c r="B1054" i="1"/>
  <c r="C1054" i="1" s="1"/>
  <c r="A1054" i="1"/>
  <c r="B1053" i="1"/>
  <c r="A1053" i="1"/>
  <c r="C1053" i="1" s="1"/>
  <c r="B1052" i="1"/>
  <c r="A1052" i="1"/>
  <c r="C1052" i="1" s="1"/>
  <c r="C1051" i="1"/>
  <c r="B1051" i="1"/>
  <c r="A1051" i="1"/>
  <c r="B1050" i="1"/>
  <c r="C1050" i="1" s="1"/>
  <c r="A1050" i="1"/>
  <c r="C1049" i="1"/>
  <c r="B1049" i="1"/>
  <c r="A1049" i="1"/>
  <c r="B1048" i="1"/>
  <c r="A1048" i="1"/>
  <c r="C1048" i="1" s="1"/>
  <c r="B1047" i="1"/>
  <c r="A1047" i="1"/>
  <c r="C1047" i="1" s="1"/>
  <c r="B1046" i="1"/>
  <c r="C1046" i="1" s="1"/>
  <c r="A1046" i="1"/>
  <c r="B1045" i="1"/>
  <c r="A1045" i="1"/>
  <c r="C1045" i="1" s="1"/>
  <c r="B1044" i="1"/>
  <c r="A1044" i="1"/>
  <c r="C1044" i="1" s="1"/>
  <c r="C1043" i="1"/>
  <c r="B1043" i="1"/>
  <c r="A1043" i="1"/>
  <c r="B1042" i="1"/>
  <c r="C1042" i="1" s="1"/>
  <c r="A1042" i="1"/>
  <c r="C1041" i="1"/>
  <c r="B1041" i="1"/>
  <c r="A1041" i="1"/>
  <c r="B1040" i="1"/>
  <c r="A1040" i="1"/>
  <c r="C1040" i="1" s="1"/>
  <c r="B1039" i="1"/>
  <c r="A1039" i="1"/>
  <c r="C1039" i="1" s="1"/>
  <c r="B1038" i="1"/>
  <c r="C1038" i="1" s="1"/>
  <c r="A1038" i="1"/>
  <c r="C1037" i="1"/>
  <c r="B1037" i="1"/>
  <c r="A1037" i="1"/>
  <c r="B1036" i="1"/>
  <c r="A1036" i="1"/>
  <c r="C1036" i="1" s="1"/>
  <c r="C1035" i="1"/>
  <c r="B1035" i="1"/>
  <c r="A1035" i="1"/>
  <c r="B1034" i="1"/>
  <c r="C1034" i="1" s="1"/>
  <c r="A1034" i="1"/>
  <c r="B1033" i="1"/>
  <c r="A1033" i="1"/>
  <c r="C1033" i="1" s="1"/>
  <c r="B1032" i="1"/>
  <c r="A1032" i="1"/>
  <c r="C1032" i="1" s="1"/>
  <c r="B1031" i="1"/>
  <c r="A1031" i="1"/>
  <c r="C1031" i="1" s="1"/>
  <c r="B1030" i="1"/>
  <c r="C1030" i="1" s="1"/>
  <c r="A1030" i="1"/>
  <c r="C1029" i="1"/>
  <c r="B1029" i="1"/>
  <c r="A1029" i="1"/>
  <c r="B1028" i="1"/>
  <c r="A1028" i="1"/>
  <c r="C1028" i="1" s="1"/>
  <c r="C1027" i="1"/>
  <c r="B1027" i="1"/>
  <c r="A1027" i="1"/>
  <c r="B1026" i="1"/>
  <c r="C1026" i="1" s="1"/>
  <c r="A1026" i="1"/>
  <c r="B1025" i="1"/>
  <c r="A1025" i="1"/>
  <c r="C1025" i="1" s="1"/>
  <c r="B1024" i="1"/>
  <c r="A1024" i="1"/>
  <c r="C1024" i="1" s="1"/>
  <c r="B1023" i="1"/>
  <c r="A1023" i="1"/>
  <c r="C1023" i="1" s="1"/>
  <c r="B1022" i="1"/>
  <c r="C1022" i="1" s="1"/>
  <c r="A1022" i="1"/>
  <c r="B1021" i="1"/>
  <c r="A1021" i="1"/>
  <c r="C1021" i="1" s="1"/>
  <c r="B1020" i="1"/>
  <c r="A1020" i="1"/>
  <c r="C1020" i="1" s="1"/>
  <c r="C1019" i="1"/>
  <c r="B1019" i="1"/>
  <c r="A1019" i="1"/>
  <c r="B1018" i="1"/>
  <c r="C1018" i="1" s="1"/>
  <c r="A1018" i="1"/>
  <c r="C1017" i="1"/>
  <c r="B1017" i="1"/>
  <c r="A1017" i="1"/>
  <c r="B1016" i="1"/>
  <c r="A1016" i="1"/>
  <c r="C1016" i="1" s="1"/>
  <c r="B1015" i="1"/>
  <c r="A1015" i="1"/>
  <c r="C1015" i="1" s="1"/>
  <c r="B1014" i="1"/>
  <c r="C1014" i="1" s="1"/>
  <c r="A1014" i="1"/>
  <c r="B1013" i="1"/>
  <c r="A1013" i="1"/>
  <c r="C1013" i="1" s="1"/>
  <c r="B1012" i="1"/>
  <c r="A1012" i="1"/>
  <c r="C1012" i="1" s="1"/>
  <c r="C1011" i="1"/>
  <c r="B1011" i="1"/>
  <c r="A1011" i="1"/>
  <c r="B1010" i="1"/>
  <c r="C1010" i="1" s="1"/>
  <c r="A1010" i="1"/>
  <c r="C1009" i="1"/>
  <c r="B1009" i="1"/>
  <c r="A1009" i="1"/>
  <c r="B1008" i="1"/>
  <c r="A1008" i="1"/>
  <c r="C1008" i="1" s="1"/>
  <c r="B1007" i="1"/>
  <c r="A1007" i="1"/>
  <c r="C1007" i="1" s="1"/>
  <c r="B1006" i="1"/>
  <c r="C1006" i="1" s="1"/>
  <c r="A1006" i="1"/>
  <c r="C1005" i="1"/>
  <c r="B1005" i="1"/>
  <c r="A1005" i="1"/>
  <c r="B1004" i="1"/>
  <c r="A1004" i="1"/>
  <c r="C1004" i="1" s="1"/>
  <c r="C1003" i="1"/>
  <c r="B1003" i="1"/>
  <c r="A1003" i="1"/>
  <c r="B1002" i="1"/>
  <c r="C1002" i="1" s="1"/>
  <c r="A1002" i="1"/>
  <c r="B1001" i="1"/>
  <c r="A1001" i="1"/>
  <c r="C1001" i="1" s="1"/>
  <c r="B1000" i="1"/>
  <c r="A1000" i="1"/>
  <c r="C1000" i="1" s="1"/>
  <c r="B999" i="1"/>
  <c r="A999" i="1"/>
  <c r="C999" i="1" s="1"/>
  <c r="B998" i="1"/>
  <c r="C998" i="1" s="1"/>
  <c r="A998" i="1"/>
  <c r="C997" i="1"/>
  <c r="B997" i="1"/>
  <c r="A997" i="1"/>
  <c r="B996" i="1"/>
  <c r="A996" i="1"/>
  <c r="C996" i="1" s="1"/>
  <c r="C995" i="1"/>
  <c r="B995" i="1"/>
  <c r="A995" i="1"/>
  <c r="B994" i="1"/>
  <c r="C994" i="1" s="1"/>
  <c r="A994" i="1"/>
  <c r="B993" i="1"/>
  <c r="A993" i="1"/>
  <c r="C993" i="1" s="1"/>
  <c r="B992" i="1"/>
  <c r="A992" i="1"/>
  <c r="C992" i="1" s="1"/>
  <c r="B991" i="1"/>
  <c r="A991" i="1"/>
  <c r="C991" i="1" s="1"/>
  <c r="B990" i="1"/>
  <c r="C990" i="1" s="1"/>
  <c r="A990" i="1"/>
  <c r="B989" i="1"/>
  <c r="A989" i="1"/>
  <c r="C989" i="1" s="1"/>
  <c r="B988" i="1"/>
  <c r="A988" i="1"/>
  <c r="C988" i="1" s="1"/>
  <c r="C987" i="1"/>
  <c r="B987" i="1"/>
  <c r="A987" i="1"/>
  <c r="B986" i="1"/>
  <c r="C986" i="1" s="1"/>
  <c r="A986" i="1"/>
  <c r="C985" i="1"/>
  <c r="B985" i="1"/>
  <c r="A985" i="1"/>
  <c r="B984" i="1"/>
  <c r="A984" i="1"/>
  <c r="C984" i="1" s="1"/>
  <c r="B983" i="1"/>
  <c r="A983" i="1"/>
  <c r="C983" i="1" s="1"/>
  <c r="B982" i="1"/>
  <c r="C982" i="1" s="1"/>
  <c r="A982" i="1"/>
  <c r="B981" i="1"/>
  <c r="A981" i="1"/>
  <c r="C981" i="1" s="1"/>
  <c r="B980" i="1"/>
  <c r="A980" i="1"/>
  <c r="C980" i="1" s="1"/>
  <c r="C979" i="1"/>
  <c r="B979" i="1"/>
  <c r="A979" i="1"/>
  <c r="B978" i="1"/>
  <c r="C978" i="1" s="1"/>
  <c r="A978" i="1"/>
  <c r="C977" i="1"/>
  <c r="B977" i="1"/>
  <c r="A977" i="1"/>
  <c r="B976" i="1"/>
  <c r="A976" i="1"/>
  <c r="C976" i="1" s="1"/>
  <c r="B975" i="1"/>
  <c r="A975" i="1"/>
  <c r="C975" i="1" s="1"/>
  <c r="C974" i="1"/>
  <c r="B974" i="1"/>
  <c r="A974" i="1"/>
  <c r="B973" i="1"/>
  <c r="C973" i="1" s="1"/>
  <c r="A973" i="1"/>
  <c r="B972" i="1"/>
  <c r="A972" i="1"/>
  <c r="B971" i="1"/>
  <c r="A971" i="1"/>
  <c r="C971" i="1" s="1"/>
  <c r="B970" i="1"/>
  <c r="C970" i="1" s="1"/>
  <c r="A970" i="1"/>
  <c r="B969" i="1"/>
  <c r="A969" i="1"/>
  <c r="C969" i="1" s="1"/>
  <c r="B968" i="1"/>
  <c r="A968" i="1"/>
  <c r="C968" i="1" s="1"/>
  <c r="C967" i="1"/>
  <c r="B967" i="1"/>
  <c r="A967" i="1"/>
  <c r="C966" i="1"/>
  <c r="B966" i="1"/>
  <c r="A966" i="1"/>
  <c r="B965" i="1"/>
  <c r="A965" i="1"/>
  <c r="B964" i="1"/>
  <c r="A964" i="1"/>
  <c r="B963" i="1"/>
  <c r="A963" i="1"/>
  <c r="C963" i="1" s="1"/>
  <c r="B962" i="1"/>
  <c r="A962" i="1"/>
  <c r="B961" i="1"/>
  <c r="A961" i="1"/>
  <c r="C961" i="1" s="1"/>
  <c r="B960" i="1"/>
  <c r="C960" i="1" s="1"/>
  <c r="A960" i="1"/>
  <c r="C959" i="1"/>
  <c r="B959" i="1"/>
  <c r="A959" i="1"/>
  <c r="B958" i="1"/>
  <c r="A958" i="1"/>
  <c r="C958" i="1" s="1"/>
  <c r="C957" i="1"/>
  <c r="B957" i="1"/>
  <c r="A957" i="1"/>
  <c r="B956" i="1"/>
  <c r="C956" i="1" s="1"/>
  <c r="A956" i="1"/>
  <c r="B955" i="1"/>
  <c r="A955" i="1"/>
  <c r="C955" i="1" s="1"/>
  <c r="B954" i="1"/>
  <c r="A954" i="1"/>
  <c r="B953" i="1"/>
  <c r="A953" i="1"/>
  <c r="C953" i="1" s="1"/>
  <c r="B952" i="1"/>
  <c r="C952" i="1" s="1"/>
  <c r="A952" i="1"/>
  <c r="C951" i="1"/>
  <c r="B951" i="1"/>
  <c r="A951" i="1"/>
  <c r="B950" i="1"/>
  <c r="A950" i="1"/>
  <c r="C950" i="1" s="1"/>
  <c r="C949" i="1"/>
  <c r="B949" i="1"/>
  <c r="A949" i="1"/>
  <c r="B948" i="1"/>
  <c r="C948" i="1" s="1"/>
  <c r="A948" i="1"/>
  <c r="B947" i="1"/>
  <c r="A947" i="1"/>
  <c r="C947" i="1" s="1"/>
  <c r="B946" i="1"/>
  <c r="A946" i="1"/>
  <c r="B945" i="1"/>
  <c r="A945" i="1"/>
  <c r="C945" i="1" s="1"/>
  <c r="B944" i="1"/>
  <c r="C944" i="1" s="1"/>
  <c r="A944" i="1"/>
  <c r="C943" i="1"/>
  <c r="B943" i="1"/>
  <c r="A943" i="1"/>
  <c r="B942" i="1"/>
  <c r="A942" i="1"/>
  <c r="C942" i="1" s="1"/>
  <c r="C941" i="1"/>
  <c r="B941" i="1"/>
  <c r="A941" i="1"/>
  <c r="B940" i="1"/>
  <c r="C940" i="1" s="1"/>
  <c r="A940" i="1"/>
  <c r="B939" i="1"/>
  <c r="A939" i="1"/>
  <c r="C939" i="1" s="1"/>
  <c r="B938" i="1"/>
  <c r="A938" i="1"/>
  <c r="B937" i="1"/>
  <c r="A937" i="1"/>
  <c r="C937" i="1" s="1"/>
  <c r="B936" i="1"/>
  <c r="C936" i="1" s="1"/>
  <c r="A936" i="1"/>
  <c r="C935" i="1"/>
  <c r="B935" i="1"/>
  <c r="A935" i="1"/>
  <c r="B934" i="1"/>
  <c r="A934" i="1"/>
  <c r="C934" i="1" s="1"/>
  <c r="C933" i="1"/>
  <c r="B933" i="1"/>
  <c r="A933" i="1"/>
  <c r="B932" i="1"/>
  <c r="C932" i="1" s="1"/>
  <c r="A932" i="1"/>
  <c r="B931" i="1"/>
  <c r="A931" i="1"/>
  <c r="C931" i="1" s="1"/>
  <c r="B930" i="1"/>
  <c r="A930" i="1"/>
  <c r="B929" i="1"/>
  <c r="A929" i="1"/>
  <c r="C929" i="1" s="1"/>
  <c r="B928" i="1"/>
  <c r="C928" i="1" s="1"/>
  <c r="A928" i="1"/>
  <c r="C927" i="1"/>
  <c r="B927" i="1"/>
  <c r="A927" i="1"/>
  <c r="B926" i="1"/>
  <c r="A926" i="1"/>
  <c r="C926" i="1" s="1"/>
  <c r="C925" i="1"/>
  <c r="B925" i="1"/>
  <c r="A925" i="1"/>
  <c r="B924" i="1"/>
  <c r="C924" i="1" s="1"/>
  <c r="A924" i="1"/>
  <c r="B923" i="1"/>
  <c r="A923" i="1"/>
  <c r="C923" i="1" s="1"/>
  <c r="B922" i="1"/>
  <c r="A922" i="1"/>
  <c r="B921" i="1"/>
  <c r="A921" i="1"/>
  <c r="C921" i="1" s="1"/>
  <c r="B920" i="1"/>
  <c r="C920" i="1" s="1"/>
  <c r="A920" i="1"/>
  <c r="C919" i="1"/>
  <c r="B919" i="1"/>
  <c r="A919" i="1"/>
  <c r="B918" i="1"/>
  <c r="A918" i="1"/>
  <c r="C918" i="1" s="1"/>
  <c r="C917" i="1"/>
  <c r="B917" i="1"/>
  <c r="A917" i="1"/>
  <c r="B916" i="1"/>
  <c r="C916" i="1" s="1"/>
  <c r="A916" i="1"/>
  <c r="B915" i="1"/>
  <c r="A915" i="1"/>
  <c r="C915" i="1" s="1"/>
  <c r="B914" i="1"/>
  <c r="A914" i="1"/>
  <c r="B913" i="1"/>
  <c r="A913" i="1"/>
  <c r="C913" i="1" s="1"/>
  <c r="B912" i="1"/>
  <c r="C912" i="1" s="1"/>
  <c r="A912" i="1"/>
  <c r="C911" i="1"/>
  <c r="B911" i="1"/>
  <c r="A911" i="1"/>
  <c r="B910" i="1"/>
  <c r="A910" i="1"/>
  <c r="C910" i="1" s="1"/>
  <c r="C909" i="1"/>
  <c r="B909" i="1"/>
  <c r="A909" i="1"/>
  <c r="B908" i="1"/>
  <c r="C908" i="1" s="1"/>
  <c r="A908" i="1"/>
  <c r="B907" i="1"/>
  <c r="A907" i="1"/>
  <c r="C907" i="1" s="1"/>
  <c r="B906" i="1"/>
  <c r="A906" i="1"/>
  <c r="B905" i="1"/>
  <c r="A905" i="1"/>
  <c r="C905" i="1" s="1"/>
  <c r="B904" i="1"/>
  <c r="C904" i="1" s="1"/>
  <c r="A904" i="1"/>
  <c r="C903" i="1"/>
  <c r="B903" i="1"/>
  <c r="A903" i="1"/>
  <c r="B902" i="1"/>
  <c r="A902" i="1"/>
  <c r="C902" i="1" s="1"/>
  <c r="C901" i="1"/>
  <c r="B901" i="1"/>
  <c r="A901" i="1"/>
  <c r="B900" i="1"/>
  <c r="C900" i="1" s="1"/>
  <c r="A900" i="1"/>
  <c r="B899" i="1"/>
  <c r="A899" i="1"/>
  <c r="C899" i="1" s="1"/>
  <c r="B898" i="1"/>
  <c r="A898" i="1"/>
  <c r="B897" i="1"/>
  <c r="A897" i="1"/>
  <c r="C897" i="1" s="1"/>
  <c r="B896" i="1"/>
  <c r="C896" i="1" s="1"/>
  <c r="A896" i="1"/>
  <c r="C895" i="1"/>
  <c r="B895" i="1"/>
  <c r="A895" i="1"/>
  <c r="B894" i="1"/>
  <c r="A894" i="1"/>
  <c r="C894" i="1" s="1"/>
  <c r="C893" i="1"/>
  <c r="B893" i="1"/>
  <c r="A893" i="1"/>
  <c r="B892" i="1"/>
  <c r="C892" i="1" s="1"/>
  <c r="A892" i="1"/>
  <c r="B891" i="1"/>
  <c r="A891" i="1"/>
  <c r="C891" i="1" s="1"/>
  <c r="B890" i="1"/>
  <c r="A890" i="1"/>
  <c r="B889" i="1"/>
  <c r="A889" i="1"/>
  <c r="C889" i="1" s="1"/>
  <c r="B888" i="1"/>
  <c r="C888" i="1" s="1"/>
  <c r="A888" i="1"/>
  <c r="C887" i="1"/>
  <c r="B887" i="1"/>
  <c r="A887" i="1"/>
  <c r="B886" i="1"/>
  <c r="A886" i="1"/>
  <c r="C886" i="1" s="1"/>
  <c r="C885" i="1"/>
  <c r="B885" i="1"/>
  <c r="A885" i="1"/>
  <c r="B884" i="1"/>
  <c r="C884" i="1" s="1"/>
  <c r="A884" i="1"/>
  <c r="B883" i="1"/>
  <c r="A883" i="1"/>
  <c r="C883" i="1" s="1"/>
  <c r="B882" i="1"/>
  <c r="A882" i="1"/>
  <c r="B881" i="1"/>
  <c r="A881" i="1"/>
  <c r="C881" i="1" s="1"/>
  <c r="B880" i="1"/>
  <c r="C880" i="1" s="1"/>
  <c r="A880" i="1"/>
  <c r="C879" i="1"/>
  <c r="B879" i="1"/>
  <c r="A879" i="1"/>
  <c r="B878" i="1"/>
  <c r="A878" i="1"/>
  <c r="C878" i="1" s="1"/>
  <c r="C877" i="1"/>
  <c r="B877" i="1"/>
  <c r="A877" i="1"/>
  <c r="B876" i="1"/>
  <c r="C876" i="1" s="1"/>
  <c r="A876" i="1"/>
  <c r="B875" i="1"/>
  <c r="A875" i="1"/>
  <c r="C875" i="1" s="1"/>
  <c r="B874" i="1"/>
  <c r="A874" i="1"/>
  <c r="B873" i="1"/>
  <c r="A873" i="1"/>
  <c r="C873" i="1" s="1"/>
  <c r="B872" i="1"/>
  <c r="C872" i="1" s="1"/>
  <c r="A872" i="1"/>
  <c r="C871" i="1"/>
  <c r="B871" i="1"/>
  <c r="A871" i="1"/>
  <c r="B870" i="1"/>
  <c r="A870" i="1"/>
  <c r="C870" i="1" s="1"/>
  <c r="C869" i="1"/>
  <c r="B869" i="1"/>
  <c r="A869" i="1"/>
  <c r="B868" i="1"/>
  <c r="C868" i="1" s="1"/>
  <c r="A868" i="1"/>
  <c r="B867" i="1"/>
  <c r="A867" i="1"/>
  <c r="C867" i="1" s="1"/>
  <c r="B866" i="1"/>
  <c r="A866" i="1"/>
  <c r="B865" i="1"/>
  <c r="A865" i="1"/>
  <c r="C865" i="1" s="1"/>
  <c r="B864" i="1"/>
  <c r="C864" i="1" s="1"/>
  <c r="A864" i="1"/>
  <c r="C863" i="1"/>
  <c r="B863" i="1"/>
  <c r="A863" i="1"/>
  <c r="B862" i="1"/>
  <c r="A862" i="1"/>
  <c r="C862" i="1" s="1"/>
  <c r="C861" i="1"/>
  <c r="B861" i="1"/>
  <c r="A861" i="1"/>
  <c r="B860" i="1"/>
  <c r="C860" i="1" s="1"/>
  <c r="A860" i="1"/>
  <c r="B859" i="1"/>
  <c r="A859" i="1"/>
  <c r="C859" i="1" s="1"/>
  <c r="B858" i="1"/>
  <c r="A858" i="1"/>
  <c r="B857" i="1"/>
  <c r="A857" i="1"/>
  <c r="C857" i="1" s="1"/>
  <c r="B856" i="1"/>
  <c r="C856" i="1" s="1"/>
  <c r="A856" i="1"/>
  <c r="C855" i="1"/>
  <c r="B855" i="1"/>
  <c r="A855" i="1"/>
  <c r="B854" i="1"/>
  <c r="A854" i="1"/>
  <c r="C854" i="1" s="1"/>
  <c r="C853" i="1"/>
  <c r="B853" i="1"/>
  <c r="A853" i="1"/>
  <c r="B852" i="1"/>
  <c r="C852" i="1" s="1"/>
  <c r="A852" i="1"/>
  <c r="B851" i="1"/>
  <c r="A851" i="1"/>
  <c r="C851" i="1" s="1"/>
  <c r="B850" i="1"/>
  <c r="A850" i="1"/>
  <c r="B849" i="1"/>
  <c r="A849" i="1"/>
  <c r="C849" i="1" s="1"/>
  <c r="B848" i="1"/>
  <c r="C848" i="1" s="1"/>
  <c r="A848" i="1"/>
  <c r="C847" i="1"/>
  <c r="B847" i="1"/>
  <c r="A847" i="1"/>
  <c r="B846" i="1"/>
  <c r="A846" i="1"/>
  <c r="C846" i="1" s="1"/>
  <c r="C845" i="1"/>
  <c r="B845" i="1"/>
  <c r="A845" i="1"/>
  <c r="B844" i="1"/>
  <c r="C844" i="1" s="1"/>
  <c r="A844" i="1"/>
  <c r="B843" i="1"/>
  <c r="A843" i="1"/>
  <c r="C843" i="1" s="1"/>
  <c r="B842" i="1"/>
  <c r="A842" i="1"/>
  <c r="B841" i="1"/>
  <c r="A841" i="1"/>
  <c r="C841" i="1" s="1"/>
  <c r="B840" i="1"/>
  <c r="C840" i="1" s="1"/>
  <c r="A840" i="1"/>
  <c r="C839" i="1"/>
  <c r="B839" i="1"/>
  <c r="A839" i="1"/>
  <c r="B838" i="1"/>
  <c r="A838" i="1"/>
  <c r="C838" i="1" s="1"/>
  <c r="C837" i="1"/>
  <c r="B837" i="1"/>
  <c r="A837" i="1"/>
  <c r="B836" i="1"/>
  <c r="C836" i="1" s="1"/>
  <c r="A836" i="1"/>
  <c r="B835" i="1"/>
  <c r="A835" i="1"/>
  <c r="C835" i="1" s="1"/>
  <c r="B834" i="1"/>
  <c r="A834" i="1"/>
  <c r="B833" i="1"/>
  <c r="A833" i="1"/>
  <c r="C833" i="1" s="1"/>
  <c r="B832" i="1"/>
  <c r="C832" i="1" s="1"/>
  <c r="A832" i="1"/>
  <c r="C831" i="1"/>
  <c r="B831" i="1"/>
  <c r="A831" i="1"/>
  <c r="B830" i="1"/>
  <c r="A830" i="1"/>
  <c r="C830" i="1" s="1"/>
  <c r="C829" i="1"/>
  <c r="B829" i="1"/>
  <c r="A829" i="1"/>
  <c r="B828" i="1"/>
  <c r="C828" i="1" s="1"/>
  <c r="A828" i="1"/>
  <c r="B827" i="1"/>
  <c r="A827" i="1"/>
  <c r="C827" i="1" s="1"/>
  <c r="B826" i="1"/>
  <c r="A826" i="1"/>
  <c r="B825" i="1"/>
  <c r="A825" i="1"/>
  <c r="C825" i="1" s="1"/>
  <c r="B824" i="1"/>
  <c r="C824" i="1" s="1"/>
  <c r="A824" i="1"/>
  <c r="C823" i="1"/>
  <c r="B823" i="1"/>
  <c r="A823" i="1"/>
  <c r="B822" i="1"/>
  <c r="A822" i="1"/>
  <c r="C822" i="1" s="1"/>
  <c r="C821" i="1"/>
  <c r="B821" i="1"/>
  <c r="A821" i="1"/>
  <c r="B820" i="1"/>
  <c r="C820" i="1" s="1"/>
  <c r="A820" i="1"/>
  <c r="B819" i="1"/>
  <c r="A819" i="1"/>
  <c r="C819" i="1" s="1"/>
  <c r="B818" i="1"/>
  <c r="A818" i="1"/>
  <c r="B817" i="1"/>
  <c r="A817" i="1"/>
  <c r="C817" i="1" s="1"/>
  <c r="B816" i="1"/>
  <c r="C816" i="1" s="1"/>
  <c r="A816" i="1"/>
  <c r="C815" i="1"/>
  <c r="B815" i="1"/>
  <c r="A815" i="1"/>
  <c r="B814" i="1"/>
  <c r="A814" i="1"/>
  <c r="C814" i="1" s="1"/>
  <c r="C813" i="1"/>
  <c r="B813" i="1"/>
  <c r="A813" i="1"/>
  <c r="B812" i="1"/>
  <c r="C812" i="1" s="1"/>
  <c r="A812" i="1"/>
  <c r="B811" i="1"/>
  <c r="A811" i="1"/>
  <c r="C811" i="1" s="1"/>
  <c r="B810" i="1"/>
  <c r="A810" i="1"/>
  <c r="B809" i="1"/>
  <c r="A809" i="1"/>
  <c r="C809" i="1" s="1"/>
  <c r="B808" i="1"/>
  <c r="C808" i="1" s="1"/>
  <c r="A808" i="1"/>
  <c r="C807" i="1"/>
  <c r="B807" i="1"/>
  <c r="A807" i="1"/>
  <c r="B806" i="1"/>
  <c r="A806" i="1"/>
  <c r="C806" i="1" s="1"/>
  <c r="C805" i="1"/>
  <c r="B805" i="1"/>
  <c r="A805" i="1"/>
  <c r="B804" i="1"/>
  <c r="C804" i="1" s="1"/>
  <c r="A804" i="1"/>
  <c r="B803" i="1"/>
  <c r="A803" i="1"/>
  <c r="C803" i="1" s="1"/>
  <c r="B802" i="1"/>
  <c r="A802" i="1"/>
  <c r="B801" i="1"/>
  <c r="A801" i="1"/>
  <c r="C801" i="1" s="1"/>
  <c r="B800" i="1"/>
  <c r="C800" i="1" s="1"/>
  <c r="A800" i="1"/>
  <c r="C799" i="1"/>
  <c r="B799" i="1"/>
  <c r="A799" i="1"/>
  <c r="B798" i="1"/>
  <c r="A798" i="1"/>
  <c r="C798" i="1" s="1"/>
  <c r="C797" i="1"/>
  <c r="B797" i="1"/>
  <c r="A797" i="1"/>
  <c r="B796" i="1"/>
  <c r="C796" i="1" s="1"/>
  <c r="A796" i="1"/>
  <c r="B795" i="1"/>
  <c r="A795" i="1"/>
  <c r="C795" i="1" s="1"/>
  <c r="B794" i="1"/>
  <c r="A794" i="1"/>
  <c r="B793" i="1"/>
  <c r="A793" i="1"/>
  <c r="C793" i="1" s="1"/>
  <c r="B792" i="1"/>
  <c r="C792" i="1" s="1"/>
  <c r="A792" i="1"/>
  <c r="C791" i="1"/>
  <c r="B791" i="1"/>
  <c r="A791" i="1"/>
  <c r="B790" i="1"/>
  <c r="A790" i="1"/>
  <c r="C790" i="1" s="1"/>
  <c r="C789" i="1"/>
  <c r="B789" i="1"/>
  <c r="A789" i="1"/>
  <c r="B788" i="1"/>
  <c r="C788" i="1" s="1"/>
  <c r="A788" i="1"/>
  <c r="B787" i="1"/>
  <c r="A787" i="1"/>
  <c r="C787" i="1" s="1"/>
  <c r="B786" i="1"/>
  <c r="A786" i="1"/>
  <c r="B785" i="1"/>
  <c r="A785" i="1"/>
  <c r="C785" i="1" s="1"/>
  <c r="B784" i="1"/>
  <c r="C784" i="1" s="1"/>
  <c r="A784" i="1"/>
  <c r="C783" i="1"/>
  <c r="B783" i="1"/>
  <c r="A783" i="1"/>
  <c r="B782" i="1"/>
  <c r="A782" i="1"/>
  <c r="C782" i="1" s="1"/>
  <c r="C781" i="1"/>
  <c r="B781" i="1"/>
  <c r="A781" i="1"/>
  <c r="B780" i="1"/>
  <c r="C780" i="1" s="1"/>
  <c r="A780" i="1"/>
  <c r="B779" i="1"/>
  <c r="A779" i="1"/>
  <c r="C779" i="1" s="1"/>
  <c r="B778" i="1"/>
  <c r="A778" i="1"/>
  <c r="B777" i="1"/>
  <c r="A777" i="1"/>
  <c r="C777" i="1" s="1"/>
  <c r="B776" i="1"/>
  <c r="C776" i="1" s="1"/>
  <c r="A776" i="1"/>
  <c r="C775" i="1"/>
  <c r="B775" i="1"/>
  <c r="A775" i="1"/>
  <c r="B774" i="1"/>
  <c r="A774" i="1"/>
  <c r="C774" i="1" s="1"/>
  <c r="C773" i="1"/>
  <c r="B773" i="1"/>
  <c r="A773" i="1"/>
  <c r="B772" i="1"/>
  <c r="C772" i="1" s="1"/>
  <c r="A772" i="1"/>
  <c r="B771" i="1"/>
  <c r="A771" i="1"/>
  <c r="C771" i="1" s="1"/>
  <c r="B770" i="1"/>
  <c r="A770" i="1"/>
  <c r="B769" i="1"/>
  <c r="A769" i="1"/>
  <c r="C769" i="1" s="1"/>
  <c r="B768" i="1"/>
  <c r="C768" i="1" s="1"/>
  <c r="A768" i="1"/>
  <c r="C767" i="1"/>
  <c r="B767" i="1"/>
  <c r="A767" i="1"/>
  <c r="B766" i="1"/>
  <c r="A766" i="1"/>
  <c r="C766" i="1" s="1"/>
  <c r="C765" i="1"/>
  <c r="B765" i="1"/>
  <c r="A765" i="1"/>
  <c r="B764" i="1"/>
  <c r="C764" i="1" s="1"/>
  <c r="A764" i="1"/>
  <c r="B763" i="1"/>
  <c r="A763" i="1"/>
  <c r="C763" i="1" s="1"/>
  <c r="B762" i="1"/>
  <c r="A762" i="1"/>
  <c r="B761" i="1"/>
  <c r="A761" i="1"/>
  <c r="C761" i="1" s="1"/>
  <c r="B760" i="1"/>
  <c r="C760" i="1" s="1"/>
  <c r="A760" i="1"/>
  <c r="C759" i="1"/>
  <c r="B759" i="1"/>
  <c r="A759" i="1"/>
  <c r="B758" i="1"/>
  <c r="A758" i="1"/>
  <c r="C758" i="1" s="1"/>
  <c r="C757" i="1"/>
  <c r="B757" i="1"/>
  <c r="A757" i="1"/>
  <c r="B756" i="1"/>
  <c r="C756" i="1" s="1"/>
  <c r="A756" i="1"/>
  <c r="B755" i="1"/>
  <c r="A755" i="1"/>
  <c r="C755" i="1" s="1"/>
  <c r="B754" i="1"/>
  <c r="A754" i="1"/>
  <c r="B753" i="1"/>
  <c r="A753" i="1"/>
  <c r="C753" i="1" s="1"/>
  <c r="B752" i="1"/>
  <c r="C752" i="1" s="1"/>
  <c r="A752" i="1"/>
  <c r="C751" i="1"/>
  <c r="B751" i="1"/>
  <c r="A751" i="1"/>
  <c r="B750" i="1"/>
  <c r="A750" i="1"/>
  <c r="C750" i="1" s="1"/>
  <c r="C749" i="1"/>
  <c r="B749" i="1"/>
  <c r="A749" i="1"/>
  <c r="B748" i="1"/>
  <c r="C748" i="1" s="1"/>
  <c r="A748" i="1"/>
  <c r="B747" i="1"/>
  <c r="A747" i="1"/>
  <c r="C747" i="1" s="1"/>
  <c r="B746" i="1"/>
  <c r="A746" i="1"/>
  <c r="B745" i="1"/>
  <c r="A745" i="1"/>
  <c r="C745" i="1" s="1"/>
  <c r="B744" i="1"/>
  <c r="C744" i="1" s="1"/>
  <c r="A744" i="1"/>
  <c r="C743" i="1"/>
  <c r="B743" i="1"/>
  <c r="A743" i="1"/>
  <c r="B742" i="1"/>
  <c r="A742" i="1"/>
  <c r="C742" i="1" s="1"/>
  <c r="C741" i="1"/>
  <c r="B741" i="1"/>
  <c r="A741" i="1"/>
  <c r="B740" i="1"/>
  <c r="C740" i="1" s="1"/>
  <c r="A740" i="1"/>
  <c r="B739" i="1"/>
  <c r="A739" i="1"/>
  <c r="C739" i="1" s="1"/>
  <c r="B738" i="1"/>
  <c r="A738" i="1"/>
  <c r="B737" i="1"/>
  <c r="A737" i="1"/>
  <c r="C737" i="1" s="1"/>
  <c r="B736" i="1"/>
  <c r="C736" i="1" s="1"/>
  <c r="A736" i="1"/>
  <c r="C735" i="1"/>
  <c r="B735" i="1"/>
  <c r="A735" i="1"/>
  <c r="B734" i="1"/>
  <c r="A734" i="1"/>
  <c r="C734" i="1" s="1"/>
  <c r="C733" i="1"/>
  <c r="B733" i="1"/>
  <c r="A733" i="1"/>
  <c r="B732" i="1"/>
  <c r="C732" i="1" s="1"/>
  <c r="A732" i="1"/>
  <c r="B731" i="1"/>
  <c r="A731" i="1"/>
  <c r="C731" i="1" s="1"/>
  <c r="B730" i="1"/>
  <c r="A730" i="1"/>
  <c r="B729" i="1"/>
  <c r="A729" i="1"/>
  <c r="C729" i="1" s="1"/>
  <c r="B728" i="1"/>
  <c r="C728" i="1" s="1"/>
  <c r="A728" i="1"/>
  <c r="C727" i="1"/>
  <c r="B727" i="1"/>
  <c r="A727" i="1"/>
  <c r="B726" i="1"/>
  <c r="A726" i="1"/>
  <c r="C726" i="1" s="1"/>
  <c r="C725" i="1"/>
  <c r="B725" i="1"/>
  <c r="A725" i="1"/>
  <c r="B724" i="1"/>
  <c r="C724" i="1" s="1"/>
  <c r="A724" i="1"/>
  <c r="B723" i="1"/>
  <c r="A723" i="1"/>
  <c r="C723" i="1" s="1"/>
  <c r="B722" i="1"/>
  <c r="A722" i="1"/>
  <c r="B721" i="1"/>
  <c r="A721" i="1"/>
  <c r="C721" i="1" s="1"/>
  <c r="B720" i="1"/>
  <c r="C720" i="1" s="1"/>
  <c r="A720" i="1"/>
  <c r="C719" i="1"/>
  <c r="B719" i="1"/>
  <c r="A719" i="1"/>
  <c r="B718" i="1"/>
  <c r="A718" i="1"/>
  <c r="C718" i="1" s="1"/>
  <c r="C717" i="1"/>
  <c r="B717" i="1"/>
  <c r="A717" i="1"/>
  <c r="B716" i="1"/>
  <c r="C716" i="1" s="1"/>
  <c r="A716" i="1"/>
  <c r="B715" i="1"/>
  <c r="A715" i="1"/>
  <c r="C715" i="1" s="1"/>
  <c r="B714" i="1"/>
  <c r="A714" i="1"/>
  <c r="B713" i="1"/>
  <c r="A713" i="1"/>
  <c r="C713" i="1" s="1"/>
  <c r="B712" i="1"/>
  <c r="C712" i="1" s="1"/>
  <c r="A712" i="1"/>
  <c r="C711" i="1"/>
  <c r="B711" i="1"/>
  <c r="A711" i="1"/>
  <c r="B710" i="1"/>
  <c r="A710" i="1"/>
  <c r="C710" i="1" s="1"/>
  <c r="C709" i="1"/>
  <c r="B709" i="1"/>
  <c r="A709" i="1"/>
  <c r="B708" i="1"/>
  <c r="C708" i="1" s="1"/>
  <c r="A708" i="1"/>
  <c r="B707" i="1"/>
  <c r="A707" i="1"/>
  <c r="C707" i="1" s="1"/>
  <c r="B706" i="1"/>
  <c r="A706" i="1"/>
  <c r="B705" i="1"/>
  <c r="A705" i="1"/>
  <c r="C705" i="1" s="1"/>
  <c r="B704" i="1"/>
  <c r="C704" i="1" s="1"/>
  <c r="A704" i="1"/>
  <c r="C703" i="1"/>
  <c r="B703" i="1"/>
  <c r="A703" i="1"/>
  <c r="B702" i="1"/>
  <c r="A702" i="1"/>
  <c r="C702" i="1" s="1"/>
  <c r="C701" i="1"/>
  <c r="B701" i="1"/>
  <c r="A701" i="1"/>
  <c r="B700" i="1"/>
  <c r="C700" i="1" s="1"/>
  <c r="A700" i="1"/>
  <c r="B699" i="1"/>
  <c r="A699" i="1"/>
  <c r="C699" i="1" s="1"/>
  <c r="B698" i="1"/>
  <c r="A698" i="1"/>
  <c r="B697" i="1"/>
  <c r="A697" i="1"/>
  <c r="C697" i="1" s="1"/>
  <c r="B696" i="1"/>
  <c r="C696" i="1" s="1"/>
  <c r="A696" i="1"/>
  <c r="C695" i="1"/>
  <c r="B695" i="1"/>
  <c r="A695" i="1"/>
  <c r="B694" i="1"/>
  <c r="A694" i="1"/>
  <c r="C694" i="1" s="1"/>
  <c r="C693" i="1"/>
  <c r="B693" i="1"/>
  <c r="A693" i="1"/>
  <c r="B692" i="1"/>
  <c r="C692" i="1" s="1"/>
  <c r="A692" i="1"/>
  <c r="B691" i="1"/>
  <c r="A691" i="1"/>
  <c r="C691" i="1" s="1"/>
  <c r="B690" i="1"/>
  <c r="A690" i="1"/>
  <c r="B689" i="1"/>
  <c r="A689" i="1"/>
  <c r="C689" i="1" s="1"/>
  <c r="B688" i="1"/>
  <c r="C688" i="1" s="1"/>
  <c r="A688" i="1"/>
  <c r="C687" i="1"/>
  <c r="B687" i="1"/>
  <c r="A687" i="1"/>
  <c r="B686" i="1"/>
  <c r="A686" i="1"/>
  <c r="C686" i="1" s="1"/>
  <c r="C685" i="1"/>
  <c r="B685" i="1"/>
  <c r="A685" i="1"/>
  <c r="B684" i="1"/>
  <c r="C684" i="1" s="1"/>
  <c r="A684" i="1"/>
  <c r="B683" i="1"/>
  <c r="A683" i="1"/>
  <c r="C683" i="1" s="1"/>
  <c r="B682" i="1"/>
  <c r="A682" i="1"/>
  <c r="B681" i="1"/>
  <c r="A681" i="1"/>
  <c r="C681" i="1" s="1"/>
  <c r="B680" i="1"/>
  <c r="C680" i="1" s="1"/>
  <c r="A680" i="1"/>
  <c r="C679" i="1"/>
  <c r="B679" i="1"/>
  <c r="A679" i="1"/>
  <c r="B678" i="1"/>
  <c r="A678" i="1"/>
  <c r="C678" i="1" s="1"/>
  <c r="C677" i="1"/>
  <c r="B677" i="1"/>
  <c r="A677" i="1"/>
  <c r="B676" i="1"/>
  <c r="C676" i="1" s="1"/>
  <c r="A676" i="1"/>
  <c r="B675" i="1"/>
  <c r="A675" i="1"/>
  <c r="C675" i="1" s="1"/>
  <c r="B674" i="1"/>
  <c r="A674" i="1"/>
  <c r="B673" i="1"/>
  <c r="A673" i="1"/>
  <c r="C673" i="1" s="1"/>
  <c r="B672" i="1"/>
  <c r="C672" i="1" s="1"/>
  <c r="A672" i="1"/>
  <c r="C671" i="1"/>
  <c r="B671" i="1"/>
  <c r="A671" i="1"/>
  <c r="B670" i="1"/>
  <c r="A670" i="1"/>
  <c r="C670" i="1" s="1"/>
  <c r="C669" i="1"/>
  <c r="B669" i="1"/>
  <c r="A669" i="1"/>
  <c r="B668" i="1"/>
  <c r="C668" i="1" s="1"/>
  <c r="A668" i="1"/>
  <c r="B667" i="1"/>
  <c r="A667" i="1"/>
  <c r="C667" i="1" s="1"/>
  <c r="B666" i="1"/>
  <c r="A666" i="1"/>
  <c r="B665" i="1"/>
  <c r="A665" i="1"/>
  <c r="C665" i="1" s="1"/>
  <c r="B664" i="1"/>
  <c r="C664" i="1" s="1"/>
  <c r="A664" i="1"/>
  <c r="C663" i="1"/>
  <c r="B663" i="1"/>
  <c r="A663" i="1"/>
  <c r="B662" i="1"/>
  <c r="A662" i="1"/>
  <c r="C662" i="1" s="1"/>
  <c r="C661" i="1"/>
  <c r="B661" i="1"/>
  <c r="A661" i="1"/>
  <c r="B660" i="1"/>
  <c r="C660" i="1" s="1"/>
  <c r="A660" i="1"/>
  <c r="B659" i="1"/>
  <c r="A659" i="1"/>
  <c r="C659" i="1" s="1"/>
  <c r="B658" i="1"/>
  <c r="A658" i="1"/>
  <c r="B657" i="1"/>
  <c r="A657" i="1"/>
  <c r="C657" i="1" s="1"/>
  <c r="B656" i="1"/>
  <c r="C656" i="1" s="1"/>
  <c r="A656" i="1"/>
  <c r="C655" i="1"/>
  <c r="B655" i="1"/>
  <c r="A655" i="1"/>
  <c r="B654" i="1"/>
  <c r="A654" i="1"/>
  <c r="C654" i="1" s="1"/>
  <c r="C653" i="1"/>
  <c r="B653" i="1"/>
  <c r="A653" i="1"/>
  <c r="B652" i="1"/>
  <c r="C652" i="1" s="1"/>
  <c r="A652" i="1"/>
  <c r="B651" i="1"/>
  <c r="A651" i="1"/>
  <c r="C651" i="1" s="1"/>
  <c r="B650" i="1"/>
  <c r="A650" i="1"/>
  <c r="B649" i="1"/>
  <c r="A649" i="1"/>
  <c r="C649" i="1" s="1"/>
  <c r="B648" i="1"/>
  <c r="C648" i="1" s="1"/>
  <c r="A648" i="1"/>
  <c r="C647" i="1"/>
  <c r="B647" i="1"/>
  <c r="A647" i="1"/>
  <c r="B646" i="1"/>
  <c r="A646" i="1"/>
  <c r="C646" i="1" s="1"/>
  <c r="C645" i="1"/>
  <c r="B645" i="1"/>
  <c r="A645" i="1"/>
  <c r="B644" i="1"/>
  <c r="C644" i="1" s="1"/>
  <c r="A644" i="1"/>
  <c r="B643" i="1"/>
  <c r="A643" i="1"/>
  <c r="C643" i="1" s="1"/>
  <c r="B642" i="1"/>
  <c r="A642" i="1"/>
  <c r="B641" i="1"/>
  <c r="A641" i="1"/>
  <c r="C641" i="1" s="1"/>
  <c r="B640" i="1"/>
  <c r="C640" i="1" s="1"/>
  <c r="A640" i="1"/>
  <c r="C639" i="1"/>
  <c r="B639" i="1"/>
  <c r="A639" i="1"/>
  <c r="B638" i="1"/>
  <c r="A638" i="1"/>
  <c r="C638" i="1" s="1"/>
  <c r="C637" i="1"/>
  <c r="B637" i="1"/>
  <c r="A637" i="1"/>
  <c r="B636" i="1"/>
  <c r="C636" i="1" s="1"/>
  <c r="A636" i="1"/>
  <c r="B635" i="1"/>
  <c r="A635" i="1"/>
  <c r="C635" i="1" s="1"/>
  <c r="B634" i="1"/>
  <c r="A634" i="1"/>
  <c r="B633" i="1"/>
  <c r="A633" i="1"/>
  <c r="C633" i="1" s="1"/>
  <c r="C632" i="1"/>
  <c r="B632" i="1"/>
  <c r="A632" i="1"/>
  <c r="C631" i="1"/>
  <c r="B631" i="1"/>
  <c r="A631" i="1"/>
  <c r="B630" i="1"/>
  <c r="A630" i="1"/>
  <c r="C630" i="1" s="1"/>
  <c r="B629" i="1"/>
  <c r="A629" i="1"/>
  <c r="C629" i="1" s="1"/>
  <c r="C628" i="1"/>
  <c r="B628" i="1"/>
  <c r="A628" i="1"/>
  <c r="B627" i="1"/>
  <c r="C627" i="1" s="1"/>
  <c r="A627" i="1"/>
  <c r="B626" i="1"/>
  <c r="A626" i="1"/>
  <c r="C626" i="1" s="1"/>
  <c r="C625" i="1"/>
  <c r="B625" i="1"/>
  <c r="A625" i="1"/>
  <c r="B624" i="1"/>
  <c r="C624" i="1" s="1"/>
  <c r="A624" i="1"/>
  <c r="B623" i="1"/>
  <c r="A623" i="1"/>
  <c r="B622" i="1"/>
  <c r="A622" i="1"/>
  <c r="C621" i="1"/>
  <c r="B621" i="1"/>
  <c r="A621" i="1"/>
  <c r="B620" i="1"/>
  <c r="C620" i="1" s="1"/>
  <c r="A620" i="1"/>
  <c r="B619" i="1"/>
  <c r="A619" i="1"/>
  <c r="C619" i="1" s="1"/>
  <c r="B618" i="1"/>
  <c r="A618" i="1"/>
  <c r="B617" i="1"/>
  <c r="A617" i="1"/>
  <c r="C617" i="1" s="1"/>
  <c r="B616" i="1"/>
  <c r="A616" i="1"/>
  <c r="C616" i="1" s="1"/>
  <c r="C615" i="1"/>
  <c r="B615" i="1"/>
  <c r="A615" i="1"/>
  <c r="C614" i="1"/>
  <c r="B614" i="1"/>
  <c r="A614" i="1"/>
  <c r="B613" i="1"/>
  <c r="A613" i="1"/>
  <c r="C613" i="1" s="1"/>
  <c r="B612" i="1"/>
  <c r="A612" i="1"/>
  <c r="C612" i="1" s="1"/>
  <c r="C611" i="1"/>
  <c r="B611" i="1"/>
  <c r="A611" i="1"/>
  <c r="B610" i="1"/>
  <c r="C610" i="1" s="1"/>
  <c r="A610" i="1"/>
  <c r="B609" i="1"/>
  <c r="A609" i="1"/>
  <c r="C609" i="1" s="1"/>
  <c r="B608" i="1"/>
  <c r="A608" i="1"/>
  <c r="C608" i="1" s="1"/>
  <c r="C607" i="1"/>
  <c r="B607" i="1"/>
  <c r="A607" i="1"/>
  <c r="C606" i="1"/>
  <c r="B606" i="1"/>
  <c r="A606" i="1"/>
  <c r="B605" i="1"/>
  <c r="A605" i="1"/>
  <c r="C605" i="1" s="1"/>
  <c r="B604" i="1"/>
  <c r="A604" i="1"/>
  <c r="C604" i="1" s="1"/>
  <c r="C603" i="1"/>
  <c r="B603" i="1"/>
  <c r="A603" i="1"/>
  <c r="B602" i="1"/>
  <c r="C602" i="1" s="1"/>
  <c r="A602" i="1"/>
  <c r="B601" i="1"/>
  <c r="A601" i="1"/>
  <c r="C601" i="1" s="1"/>
  <c r="B600" i="1"/>
  <c r="A600" i="1"/>
  <c r="C600" i="1" s="1"/>
  <c r="C599" i="1"/>
  <c r="B599" i="1"/>
  <c r="A599" i="1"/>
  <c r="C598" i="1"/>
  <c r="B598" i="1"/>
  <c r="A598" i="1"/>
  <c r="B597" i="1"/>
  <c r="A597" i="1"/>
  <c r="C597" i="1" s="1"/>
  <c r="B596" i="1"/>
  <c r="A596" i="1"/>
  <c r="C596" i="1" s="1"/>
  <c r="C595" i="1"/>
  <c r="B595" i="1"/>
  <c r="A595" i="1"/>
  <c r="B594" i="1"/>
  <c r="C594" i="1" s="1"/>
  <c r="A594" i="1"/>
  <c r="B593" i="1"/>
  <c r="A593" i="1"/>
  <c r="C593" i="1" s="1"/>
  <c r="B592" i="1"/>
  <c r="A592" i="1"/>
  <c r="C592" i="1" s="1"/>
  <c r="C591" i="1"/>
  <c r="B591" i="1"/>
  <c r="A591" i="1"/>
  <c r="C590" i="1"/>
  <c r="B590" i="1"/>
  <c r="A590" i="1"/>
  <c r="B589" i="1"/>
  <c r="A589" i="1"/>
  <c r="C589" i="1" s="1"/>
  <c r="B588" i="1"/>
  <c r="A588" i="1"/>
  <c r="C588" i="1" s="1"/>
  <c r="C587" i="1"/>
  <c r="B587" i="1"/>
  <c r="A587" i="1"/>
  <c r="B586" i="1"/>
  <c r="C586" i="1" s="1"/>
  <c r="A586" i="1"/>
  <c r="B585" i="1"/>
  <c r="A585" i="1"/>
  <c r="C585" i="1" s="1"/>
  <c r="B584" i="1"/>
  <c r="A584" i="1"/>
  <c r="C584" i="1" s="1"/>
  <c r="C583" i="1"/>
  <c r="B583" i="1"/>
  <c r="A583" i="1"/>
  <c r="C582" i="1"/>
  <c r="B582" i="1"/>
  <c r="A582" i="1"/>
  <c r="B581" i="1"/>
  <c r="A581" i="1"/>
  <c r="C581" i="1" s="1"/>
  <c r="B580" i="1"/>
  <c r="A580" i="1"/>
  <c r="C580" i="1" s="1"/>
  <c r="C579" i="1"/>
  <c r="B579" i="1"/>
  <c r="A579" i="1"/>
  <c r="B578" i="1"/>
  <c r="C578" i="1" s="1"/>
  <c r="A578" i="1"/>
  <c r="B577" i="1"/>
  <c r="A577" i="1"/>
  <c r="C577" i="1" s="1"/>
  <c r="B576" i="1"/>
  <c r="A576" i="1"/>
  <c r="C576" i="1" s="1"/>
  <c r="C575" i="1"/>
  <c r="B575" i="1"/>
  <c r="A575" i="1"/>
  <c r="C574" i="1"/>
  <c r="B574" i="1"/>
  <c r="A574" i="1"/>
  <c r="B573" i="1"/>
  <c r="A573" i="1"/>
  <c r="C573" i="1" s="1"/>
  <c r="B572" i="1"/>
  <c r="A572" i="1"/>
  <c r="C572" i="1" s="1"/>
  <c r="C571" i="1"/>
  <c r="B571" i="1"/>
  <c r="A571" i="1"/>
  <c r="B570" i="1"/>
  <c r="C570" i="1" s="1"/>
  <c r="A570" i="1"/>
  <c r="B569" i="1"/>
  <c r="A569" i="1"/>
  <c r="C569" i="1" s="1"/>
  <c r="B568" i="1"/>
  <c r="A568" i="1"/>
  <c r="C568" i="1" s="1"/>
  <c r="C567" i="1"/>
  <c r="B567" i="1"/>
  <c r="A567" i="1"/>
  <c r="C566" i="1"/>
  <c r="B566" i="1"/>
  <c r="A566" i="1"/>
  <c r="B565" i="1"/>
  <c r="A565" i="1"/>
  <c r="C565" i="1" s="1"/>
  <c r="B564" i="1"/>
  <c r="A564" i="1"/>
  <c r="C564" i="1" s="1"/>
  <c r="C563" i="1"/>
  <c r="B563" i="1"/>
  <c r="A563" i="1"/>
  <c r="B562" i="1"/>
  <c r="C562" i="1" s="1"/>
  <c r="A562" i="1"/>
  <c r="B561" i="1"/>
  <c r="A561" i="1"/>
  <c r="C561" i="1" s="1"/>
  <c r="B560" i="1"/>
  <c r="A560" i="1"/>
  <c r="C560" i="1" s="1"/>
  <c r="C559" i="1"/>
  <c r="B559" i="1"/>
  <c r="A559" i="1"/>
  <c r="C558" i="1"/>
  <c r="B558" i="1"/>
  <c r="A558" i="1"/>
  <c r="B557" i="1"/>
  <c r="A557" i="1"/>
  <c r="C557" i="1" s="1"/>
  <c r="B556" i="1"/>
  <c r="A556" i="1"/>
  <c r="C556" i="1" s="1"/>
  <c r="C555" i="1"/>
  <c r="B555" i="1"/>
  <c r="A555" i="1"/>
  <c r="B554" i="1"/>
  <c r="C554" i="1" s="1"/>
  <c r="A554" i="1"/>
  <c r="B553" i="1"/>
  <c r="A553" i="1"/>
  <c r="C553" i="1" s="1"/>
  <c r="B552" i="1"/>
  <c r="A552" i="1"/>
  <c r="C552" i="1" s="1"/>
  <c r="C551" i="1"/>
  <c r="B551" i="1"/>
  <c r="A551" i="1"/>
  <c r="C550" i="1"/>
  <c r="B550" i="1"/>
  <c r="A550" i="1"/>
  <c r="B549" i="1"/>
  <c r="A549" i="1"/>
  <c r="C549" i="1" s="1"/>
  <c r="B548" i="1"/>
  <c r="A548" i="1"/>
  <c r="C548" i="1" s="1"/>
  <c r="C547" i="1"/>
  <c r="B547" i="1"/>
  <c r="A547" i="1"/>
  <c r="B546" i="1"/>
  <c r="C546" i="1" s="1"/>
  <c r="A546" i="1"/>
  <c r="B545" i="1"/>
  <c r="A545" i="1"/>
  <c r="C545" i="1" s="1"/>
  <c r="B544" i="1"/>
  <c r="A544" i="1"/>
  <c r="C544" i="1" s="1"/>
  <c r="C543" i="1"/>
  <c r="B543" i="1"/>
  <c r="A543" i="1"/>
  <c r="C542" i="1"/>
  <c r="B542" i="1"/>
  <c r="A542" i="1"/>
  <c r="B541" i="1"/>
  <c r="A541" i="1"/>
  <c r="C541" i="1" s="1"/>
  <c r="B540" i="1"/>
  <c r="A540" i="1"/>
  <c r="C540" i="1" s="1"/>
  <c r="C539" i="1"/>
  <c r="B539" i="1"/>
  <c r="A539" i="1"/>
  <c r="B538" i="1"/>
  <c r="C538" i="1" s="1"/>
  <c r="A538" i="1"/>
  <c r="B537" i="1"/>
  <c r="A537" i="1"/>
  <c r="C537" i="1" s="1"/>
  <c r="B536" i="1"/>
  <c r="A536" i="1"/>
  <c r="C536" i="1" s="1"/>
  <c r="C535" i="1"/>
  <c r="B535" i="1"/>
  <c r="A535" i="1"/>
  <c r="C534" i="1"/>
  <c r="B534" i="1"/>
  <c r="A534" i="1"/>
  <c r="B533" i="1"/>
  <c r="A533" i="1"/>
  <c r="C533" i="1" s="1"/>
  <c r="B532" i="1"/>
  <c r="A532" i="1"/>
  <c r="C532" i="1" s="1"/>
  <c r="C531" i="1"/>
  <c r="B531" i="1"/>
  <c r="A531" i="1"/>
  <c r="B530" i="1"/>
  <c r="C530" i="1" s="1"/>
  <c r="A530" i="1"/>
  <c r="B529" i="1"/>
  <c r="A529" i="1"/>
  <c r="C529" i="1" s="1"/>
  <c r="B528" i="1"/>
  <c r="A528" i="1"/>
  <c r="C528" i="1" s="1"/>
  <c r="C527" i="1"/>
  <c r="B527" i="1"/>
  <c r="A527" i="1"/>
  <c r="C526" i="1"/>
  <c r="B526" i="1"/>
  <c r="A526" i="1"/>
  <c r="B525" i="1"/>
  <c r="A525" i="1"/>
  <c r="C525" i="1" s="1"/>
  <c r="B524" i="1"/>
  <c r="A524" i="1"/>
  <c r="C524" i="1" s="1"/>
  <c r="C523" i="1"/>
  <c r="B523" i="1"/>
  <c r="A523" i="1"/>
  <c r="B522" i="1"/>
  <c r="C522" i="1" s="1"/>
  <c r="A522" i="1"/>
  <c r="B521" i="1"/>
  <c r="A521" i="1"/>
  <c r="C521" i="1" s="1"/>
  <c r="B520" i="1"/>
  <c r="A520" i="1"/>
  <c r="C520" i="1" s="1"/>
  <c r="C519" i="1"/>
  <c r="B519" i="1"/>
  <c r="A519" i="1"/>
  <c r="C518" i="1"/>
  <c r="B518" i="1"/>
  <c r="A518" i="1"/>
  <c r="B517" i="1"/>
  <c r="A517" i="1"/>
  <c r="C517" i="1" s="1"/>
  <c r="B516" i="1"/>
  <c r="A516" i="1"/>
  <c r="C516" i="1" s="1"/>
  <c r="C515" i="1"/>
  <c r="B515" i="1"/>
  <c r="A515" i="1"/>
  <c r="B514" i="1"/>
  <c r="C514" i="1" s="1"/>
  <c r="A514" i="1"/>
  <c r="B513" i="1"/>
  <c r="A513" i="1"/>
  <c r="C513" i="1" s="1"/>
  <c r="B512" i="1"/>
  <c r="A512" i="1"/>
  <c r="C512" i="1" s="1"/>
  <c r="C511" i="1"/>
  <c r="B511" i="1"/>
  <c r="A511" i="1"/>
  <c r="C510" i="1"/>
  <c r="B510" i="1"/>
  <c r="A510" i="1"/>
  <c r="B509" i="1"/>
  <c r="A509" i="1"/>
  <c r="C509" i="1" s="1"/>
  <c r="B508" i="1"/>
  <c r="A508" i="1"/>
  <c r="C508" i="1" s="1"/>
  <c r="C507" i="1"/>
  <c r="B507" i="1"/>
  <c r="A507" i="1"/>
  <c r="B506" i="1"/>
  <c r="C506" i="1" s="1"/>
  <c r="A506" i="1"/>
  <c r="B505" i="1"/>
  <c r="A505" i="1"/>
  <c r="C505" i="1" s="1"/>
  <c r="B504" i="1"/>
  <c r="A504" i="1"/>
  <c r="C504" i="1" s="1"/>
  <c r="C503" i="1"/>
  <c r="B503" i="1"/>
  <c r="A503" i="1"/>
  <c r="C502" i="1"/>
  <c r="B502" i="1"/>
  <c r="A502" i="1"/>
  <c r="B501" i="1"/>
  <c r="A501" i="1"/>
  <c r="C501" i="1" s="1"/>
  <c r="B500" i="1"/>
  <c r="A500" i="1"/>
  <c r="C500" i="1" s="1"/>
  <c r="C499" i="1"/>
  <c r="B499" i="1"/>
  <c r="A499" i="1"/>
  <c r="B498" i="1"/>
  <c r="C498" i="1" s="1"/>
  <c r="A498" i="1"/>
  <c r="B497" i="1"/>
  <c r="A497" i="1"/>
  <c r="C497" i="1" s="1"/>
  <c r="B496" i="1"/>
  <c r="A496" i="1"/>
  <c r="C496" i="1" s="1"/>
  <c r="C495" i="1"/>
  <c r="B495" i="1"/>
  <c r="A495" i="1"/>
  <c r="C494" i="1"/>
  <c r="B494" i="1"/>
  <c r="A494" i="1"/>
  <c r="B493" i="1"/>
  <c r="A493" i="1"/>
  <c r="C493" i="1" s="1"/>
  <c r="B492" i="1"/>
  <c r="A492" i="1"/>
  <c r="C492" i="1" s="1"/>
  <c r="C491" i="1"/>
  <c r="B491" i="1"/>
  <c r="A491" i="1"/>
  <c r="B490" i="1"/>
  <c r="C490" i="1" s="1"/>
  <c r="A490" i="1"/>
  <c r="B489" i="1"/>
  <c r="A489" i="1"/>
  <c r="C489" i="1" s="1"/>
  <c r="B488" i="1"/>
  <c r="A488" i="1"/>
  <c r="C488" i="1" s="1"/>
  <c r="C487" i="1"/>
  <c r="B487" i="1"/>
  <c r="A487" i="1"/>
  <c r="C486" i="1"/>
  <c r="B486" i="1"/>
  <c r="A486" i="1"/>
  <c r="B485" i="1"/>
  <c r="A485" i="1"/>
  <c r="C485" i="1" s="1"/>
  <c r="B484" i="1"/>
  <c r="A484" i="1"/>
  <c r="C484" i="1" s="1"/>
  <c r="C483" i="1"/>
  <c r="B483" i="1"/>
  <c r="A483" i="1"/>
  <c r="B482" i="1"/>
  <c r="C482" i="1" s="1"/>
  <c r="A482" i="1"/>
  <c r="B481" i="1"/>
  <c r="A481" i="1"/>
  <c r="C481" i="1" s="1"/>
  <c r="B480" i="1"/>
  <c r="A480" i="1"/>
  <c r="C480" i="1" s="1"/>
  <c r="C479" i="1"/>
  <c r="B479" i="1"/>
  <c r="A479" i="1"/>
  <c r="C478" i="1"/>
  <c r="B478" i="1"/>
  <c r="A478" i="1"/>
  <c r="B477" i="1"/>
  <c r="A477" i="1"/>
  <c r="C477" i="1" s="1"/>
  <c r="B476" i="1"/>
  <c r="A476" i="1"/>
  <c r="C476" i="1" s="1"/>
  <c r="C475" i="1"/>
  <c r="B475" i="1"/>
  <c r="A475" i="1"/>
  <c r="B474" i="1"/>
  <c r="C474" i="1" s="1"/>
  <c r="A474" i="1"/>
  <c r="B473" i="1"/>
  <c r="A473" i="1"/>
  <c r="C473" i="1" s="1"/>
  <c r="B472" i="1"/>
  <c r="A472" i="1"/>
  <c r="C472" i="1" s="1"/>
  <c r="C471" i="1"/>
  <c r="B471" i="1"/>
  <c r="A471" i="1"/>
  <c r="C470" i="1"/>
  <c r="B470" i="1"/>
  <c r="A470" i="1"/>
  <c r="B469" i="1"/>
  <c r="A469" i="1"/>
  <c r="C469" i="1" s="1"/>
  <c r="B468" i="1"/>
  <c r="A468" i="1"/>
  <c r="C468" i="1" s="1"/>
  <c r="C467" i="1"/>
  <c r="B467" i="1"/>
  <c r="A467" i="1"/>
  <c r="B466" i="1"/>
  <c r="C466" i="1" s="1"/>
  <c r="A466" i="1"/>
  <c r="B465" i="1"/>
  <c r="A465" i="1"/>
  <c r="C465" i="1" s="1"/>
  <c r="B464" i="1"/>
  <c r="A464" i="1"/>
  <c r="C464" i="1" s="1"/>
  <c r="C463" i="1"/>
  <c r="B463" i="1"/>
  <c r="A463" i="1"/>
  <c r="C462" i="1"/>
  <c r="B462" i="1"/>
  <c r="A462" i="1"/>
  <c r="B461" i="1"/>
  <c r="A461" i="1"/>
  <c r="C461" i="1" s="1"/>
  <c r="B460" i="1"/>
  <c r="A460" i="1"/>
  <c r="C460" i="1" s="1"/>
  <c r="C459" i="1"/>
  <c r="B459" i="1"/>
  <c r="A459" i="1"/>
  <c r="B458" i="1"/>
  <c r="C458" i="1" s="1"/>
  <c r="A458" i="1"/>
  <c r="B457" i="1"/>
  <c r="A457" i="1"/>
  <c r="C457" i="1" s="1"/>
  <c r="B456" i="1"/>
  <c r="A456" i="1"/>
  <c r="C456" i="1" s="1"/>
  <c r="C455" i="1"/>
  <c r="B455" i="1"/>
  <c r="A455" i="1"/>
  <c r="C454" i="1"/>
  <c r="B454" i="1"/>
  <c r="A454" i="1"/>
  <c r="B453" i="1"/>
  <c r="A453" i="1"/>
  <c r="C453" i="1" s="1"/>
  <c r="B452" i="1"/>
  <c r="A452" i="1"/>
  <c r="C452" i="1" s="1"/>
  <c r="C451" i="1"/>
  <c r="B451" i="1"/>
  <c r="A451" i="1"/>
  <c r="B450" i="1"/>
  <c r="C450" i="1" s="1"/>
  <c r="A450" i="1"/>
  <c r="B449" i="1"/>
  <c r="A449" i="1"/>
  <c r="C449" i="1" s="1"/>
  <c r="B448" i="1"/>
  <c r="A448" i="1"/>
  <c r="C448" i="1" s="1"/>
  <c r="C447" i="1"/>
  <c r="B447" i="1"/>
  <c r="A447" i="1"/>
  <c r="C446" i="1"/>
  <c r="B446" i="1"/>
  <c r="A446" i="1"/>
  <c r="B445" i="1"/>
  <c r="A445" i="1"/>
  <c r="C445" i="1" s="1"/>
  <c r="B444" i="1"/>
  <c r="A444" i="1"/>
  <c r="C444" i="1" s="1"/>
  <c r="C443" i="1"/>
  <c r="B443" i="1"/>
  <c r="A443" i="1"/>
  <c r="B442" i="1"/>
  <c r="C442" i="1" s="1"/>
  <c r="A442" i="1"/>
  <c r="B441" i="1"/>
  <c r="A441" i="1"/>
  <c r="C441" i="1" s="1"/>
  <c r="B440" i="1"/>
  <c r="A440" i="1"/>
  <c r="C440" i="1" s="1"/>
  <c r="C439" i="1"/>
  <c r="B439" i="1"/>
  <c r="A439" i="1"/>
  <c r="C438" i="1"/>
  <c r="B438" i="1"/>
  <c r="A438" i="1"/>
  <c r="B437" i="1"/>
  <c r="A437" i="1"/>
  <c r="C437" i="1" s="1"/>
  <c r="B436" i="1"/>
  <c r="A436" i="1"/>
  <c r="C436" i="1" s="1"/>
  <c r="C435" i="1"/>
  <c r="B435" i="1"/>
  <c r="A435" i="1"/>
  <c r="B434" i="1"/>
  <c r="C434" i="1" s="1"/>
  <c r="A434" i="1"/>
  <c r="B433" i="1"/>
  <c r="A433" i="1"/>
  <c r="C433" i="1" s="1"/>
  <c r="B432" i="1"/>
  <c r="A432" i="1"/>
  <c r="C432" i="1" s="1"/>
  <c r="C431" i="1"/>
  <c r="B431" i="1"/>
  <c r="A431" i="1"/>
  <c r="C430" i="1"/>
  <c r="B430" i="1"/>
  <c r="A430" i="1"/>
  <c r="B429" i="1"/>
  <c r="A429" i="1"/>
  <c r="C429" i="1" s="1"/>
  <c r="B428" i="1"/>
  <c r="A428" i="1"/>
  <c r="C428" i="1" s="1"/>
  <c r="C427" i="1"/>
  <c r="B427" i="1"/>
  <c r="A427" i="1"/>
  <c r="B426" i="1"/>
  <c r="C426" i="1" s="1"/>
  <c r="A426" i="1"/>
  <c r="B425" i="1"/>
  <c r="A425" i="1"/>
  <c r="B424" i="1"/>
  <c r="A424" i="1"/>
  <c r="C424" i="1" s="1"/>
  <c r="C423" i="1"/>
  <c r="B423" i="1"/>
  <c r="A423" i="1"/>
  <c r="C422" i="1"/>
  <c r="B422" i="1"/>
  <c r="A422" i="1"/>
  <c r="B421" i="1"/>
  <c r="A421" i="1"/>
  <c r="C421" i="1" s="1"/>
  <c r="B420" i="1"/>
  <c r="A420" i="1"/>
  <c r="C420" i="1" s="1"/>
  <c r="C419" i="1"/>
  <c r="B419" i="1"/>
  <c r="A419" i="1"/>
  <c r="B418" i="1"/>
  <c r="C418" i="1" s="1"/>
  <c r="A418" i="1"/>
  <c r="B417" i="1"/>
  <c r="A417" i="1"/>
  <c r="B416" i="1"/>
  <c r="A416" i="1"/>
  <c r="C416" i="1" s="1"/>
  <c r="C415" i="1"/>
  <c r="B415" i="1"/>
  <c r="A415" i="1"/>
  <c r="C414" i="1"/>
  <c r="B414" i="1"/>
  <c r="A414" i="1"/>
  <c r="B413" i="1"/>
  <c r="A413" i="1"/>
  <c r="C413" i="1" s="1"/>
  <c r="B412" i="1"/>
  <c r="A412" i="1"/>
  <c r="C412" i="1" s="1"/>
  <c r="C411" i="1"/>
  <c r="B411" i="1"/>
  <c r="A411" i="1"/>
  <c r="B410" i="1"/>
  <c r="C410" i="1" s="1"/>
  <c r="A410" i="1"/>
  <c r="B409" i="1"/>
  <c r="A409" i="1"/>
  <c r="B408" i="1"/>
  <c r="A408" i="1"/>
  <c r="C408" i="1" s="1"/>
  <c r="C407" i="1"/>
  <c r="B407" i="1"/>
  <c r="A407" i="1"/>
  <c r="C406" i="1"/>
  <c r="B406" i="1"/>
  <c r="A406" i="1"/>
  <c r="B405" i="1"/>
  <c r="A405" i="1"/>
  <c r="C405" i="1" s="1"/>
  <c r="B404" i="1"/>
  <c r="A404" i="1"/>
  <c r="C404" i="1" s="1"/>
  <c r="C403" i="1"/>
  <c r="B403" i="1"/>
  <c r="A403" i="1"/>
  <c r="B402" i="1"/>
  <c r="C402" i="1" s="1"/>
  <c r="A402" i="1"/>
  <c r="B401" i="1"/>
  <c r="A401" i="1"/>
  <c r="B400" i="1"/>
  <c r="A400" i="1"/>
  <c r="C400" i="1" s="1"/>
  <c r="C399" i="1"/>
  <c r="B399" i="1"/>
  <c r="A399" i="1"/>
  <c r="C398" i="1"/>
  <c r="B398" i="1"/>
  <c r="A398" i="1"/>
  <c r="B397" i="1"/>
  <c r="A397" i="1"/>
  <c r="C397" i="1" s="1"/>
  <c r="B396" i="1"/>
  <c r="A396" i="1"/>
  <c r="C396" i="1" s="1"/>
  <c r="C395" i="1"/>
  <c r="B395" i="1"/>
  <c r="A395" i="1"/>
  <c r="B394" i="1"/>
  <c r="C394" i="1" s="1"/>
  <c r="A394" i="1"/>
  <c r="B393" i="1"/>
  <c r="A393" i="1"/>
  <c r="B392" i="1"/>
  <c r="A392" i="1"/>
  <c r="C392" i="1" s="1"/>
  <c r="C391" i="1"/>
  <c r="B391" i="1"/>
  <c r="A391" i="1"/>
  <c r="C390" i="1"/>
  <c r="B390" i="1"/>
  <c r="A390" i="1"/>
  <c r="B389" i="1"/>
  <c r="A389" i="1"/>
  <c r="C389" i="1" s="1"/>
  <c r="B388" i="1"/>
  <c r="A388" i="1"/>
  <c r="C388" i="1" s="1"/>
  <c r="C387" i="1"/>
  <c r="B387" i="1"/>
  <c r="A387" i="1"/>
  <c r="B386" i="1"/>
  <c r="C386" i="1" s="1"/>
  <c r="A386" i="1"/>
  <c r="B385" i="1"/>
  <c r="A385" i="1"/>
  <c r="B384" i="1"/>
  <c r="A384" i="1"/>
  <c r="C384" i="1" s="1"/>
  <c r="C383" i="1"/>
  <c r="B383" i="1"/>
  <c r="A383" i="1"/>
  <c r="C382" i="1"/>
  <c r="B382" i="1"/>
  <c r="A382" i="1"/>
  <c r="B381" i="1"/>
  <c r="A381" i="1"/>
  <c r="C381" i="1" s="1"/>
  <c r="B380" i="1"/>
  <c r="A380" i="1"/>
  <c r="C380" i="1" s="1"/>
  <c r="C379" i="1"/>
  <c r="B379" i="1"/>
  <c r="A379" i="1"/>
  <c r="B378" i="1"/>
  <c r="A378" i="1"/>
  <c r="C378" i="1" s="1"/>
  <c r="B377" i="1"/>
  <c r="A377" i="1"/>
  <c r="C376" i="1"/>
  <c r="B376" i="1"/>
  <c r="A376" i="1"/>
  <c r="B375" i="1"/>
  <c r="C375" i="1" s="1"/>
  <c r="A375" i="1"/>
  <c r="B374" i="1"/>
  <c r="A374" i="1"/>
  <c r="C374" i="1" s="1"/>
  <c r="B373" i="1"/>
  <c r="A373" i="1"/>
  <c r="B372" i="1"/>
  <c r="A372" i="1"/>
  <c r="C372" i="1" s="1"/>
  <c r="C371" i="1"/>
  <c r="B371" i="1"/>
  <c r="A371" i="1"/>
  <c r="C370" i="1"/>
  <c r="B370" i="1"/>
  <c r="A370" i="1"/>
  <c r="B369" i="1"/>
  <c r="A369" i="1"/>
  <c r="C369" i="1" s="1"/>
  <c r="B368" i="1"/>
  <c r="A368" i="1"/>
  <c r="C368" i="1" s="1"/>
  <c r="C367" i="1"/>
  <c r="B367" i="1"/>
  <c r="A367" i="1"/>
  <c r="B366" i="1"/>
  <c r="C366" i="1" s="1"/>
  <c r="A366" i="1"/>
  <c r="B365" i="1"/>
  <c r="A365" i="1"/>
  <c r="C365" i="1" s="1"/>
  <c r="C364" i="1"/>
  <c r="B364" i="1"/>
  <c r="A364" i="1"/>
  <c r="B363" i="1"/>
  <c r="C363" i="1" s="1"/>
  <c r="A363" i="1"/>
  <c r="B362" i="1"/>
  <c r="A362" i="1"/>
  <c r="C362" i="1" s="1"/>
  <c r="B361" i="1"/>
  <c r="A361" i="1"/>
  <c r="C360" i="1"/>
  <c r="B360" i="1"/>
  <c r="A360" i="1"/>
  <c r="B359" i="1"/>
  <c r="C359" i="1" s="1"/>
  <c r="A359" i="1"/>
  <c r="B358" i="1"/>
  <c r="A358" i="1"/>
  <c r="C358" i="1" s="1"/>
  <c r="B357" i="1"/>
  <c r="A357" i="1"/>
  <c r="B356" i="1"/>
  <c r="A356" i="1"/>
  <c r="C356" i="1" s="1"/>
  <c r="C355" i="1"/>
  <c r="B355" i="1"/>
  <c r="A355" i="1"/>
  <c r="C354" i="1"/>
  <c r="B354" i="1"/>
  <c r="A354" i="1"/>
  <c r="B353" i="1"/>
  <c r="A353" i="1"/>
  <c r="C353" i="1" s="1"/>
  <c r="B352" i="1"/>
  <c r="A352" i="1"/>
  <c r="C352" i="1" s="1"/>
  <c r="C351" i="1"/>
  <c r="B351" i="1"/>
  <c r="A351" i="1"/>
  <c r="B350" i="1"/>
  <c r="C350" i="1" s="1"/>
  <c r="A350" i="1"/>
  <c r="B349" i="1"/>
  <c r="A349" i="1"/>
  <c r="C349" i="1" s="1"/>
  <c r="C348" i="1"/>
  <c r="B348" i="1"/>
  <c r="A348" i="1"/>
  <c r="B347" i="1"/>
  <c r="C347" i="1" s="1"/>
  <c r="A347" i="1"/>
  <c r="B346" i="1"/>
  <c r="A346" i="1"/>
  <c r="C346" i="1" s="1"/>
  <c r="B345" i="1"/>
  <c r="A345" i="1"/>
  <c r="C344" i="1"/>
  <c r="B344" i="1"/>
  <c r="A344" i="1"/>
  <c r="B343" i="1"/>
  <c r="C343" i="1" s="1"/>
  <c r="A343" i="1"/>
  <c r="B342" i="1"/>
  <c r="A342" i="1"/>
  <c r="C342" i="1" s="1"/>
  <c r="B341" i="1"/>
  <c r="A341" i="1"/>
  <c r="B340" i="1"/>
  <c r="A340" i="1"/>
  <c r="C340" i="1" s="1"/>
  <c r="C339" i="1"/>
  <c r="B339" i="1"/>
  <c r="A339" i="1"/>
  <c r="C338" i="1"/>
  <c r="B338" i="1"/>
  <c r="A338" i="1"/>
  <c r="B337" i="1"/>
  <c r="A337" i="1"/>
  <c r="C337" i="1" s="1"/>
  <c r="B336" i="1"/>
  <c r="A336" i="1"/>
  <c r="C336" i="1" s="1"/>
  <c r="C335" i="1"/>
  <c r="B335" i="1"/>
  <c r="A335" i="1"/>
  <c r="B334" i="1"/>
  <c r="C334" i="1" s="1"/>
  <c r="A334" i="1"/>
  <c r="B333" i="1"/>
  <c r="A333" i="1"/>
  <c r="C333" i="1" s="1"/>
  <c r="C332" i="1"/>
  <c r="B332" i="1"/>
  <c r="A332" i="1"/>
  <c r="B331" i="1"/>
  <c r="C331" i="1" s="1"/>
  <c r="A331" i="1"/>
  <c r="B330" i="1"/>
  <c r="A330" i="1"/>
  <c r="C330" i="1" s="1"/>
  <c r="B329" i="1"/>
  <c r="A329" i="1"/>
  <c r="C328" i="1"/>
  <c r="B328" i="1"/>
  <c r="A328" i="1"/>
  <c r="B327" i="1"/>
  <c r="C327" i="1" s="1"/>
  <c r="A327" i="1"/>
  <c r="B326" i="1"/>
  <c r="A326" i="1"/>
  <c r="C326" i="1" s="1"/>
  <c r="B325" i="1"/>
  <c r="A325" i="1"/>
  <c r="B324" i="1"/>
  <c r="A324" i="1"/>
  <c r="C324" i="1" s="1"/>
  <c r="C323" i="1"/>
  <c r="B323" i="1"/>
  <c r="A323" i="1"/>
  <c r="C322" i="1"/>
  <c r="B322" i="1"/>
  <c r="A322" i="1"/>
  <c r="B321" i="1"/>
  <c r="A321" i="1"/>
  <c r="C321" i="1" s="1"/>
  <c r="B320" i="1"/>
  <c r="A320" i="1"/>
  <c r="C320" i="1" s="1"/>
  <c r="C319" i="1"/>
  <c r="B319" i="1"/>
  <c r="A319" i="1"/>
  <c r="B318" i="1"/>
  <c r="C318" i="1" s="1"/>
  <c r="A318" i="1"/>
  <c r="B317" i="1"/>
  <c r="A317" i="1"/>
  <c r="C317" i="1" s="1"/>
  <c r="C316" i="1"/>
  <c r="B316" i="1"/>
  <c r="A316" i="1"/>
  <c r="B315" i="1"/>
  <c r="C315" i="1" s="1"/>
  <c r="A315" i="1"/>
  <c r="B314" i="1"/>
  <c r="A314" i="1"/>
  <c r="C314" i="1" s="1"/>
  <c r="B313" i="1"/>
  <c r="A313" i="1"/>
  <c r="C312" i="1"/>
  <c r="B312" i="1"/>
  <c r="A312" i="1"/>
  <c r="B311" i="1"/>
  <c r="C311" i="1" s="1"/>
  <c r="A311" i="1"/>
  <c r="B310" i="1"/>
  <c r="A310" i="1"/>
  <c r="C310" i="1" s="1"/>
  <c r="B309" i="1"/>
  <c r="A309" i="1"/>
  <c r="B308" i="1"/>
  <c r="A308" i="1"/>
  <c r="C308" i="1" s="1"/>
  <c r="C307" i="1"/>
  <c r="B307" i="1"/>
  <c r="A307" i="1"/>
  <c r="C306" i="1"/>
  <c r="B306" i="1"/>
  <c r="A306" i="1"/>
  <c r="B305" i="1"/>
  <c r="A305" i="1"/>
  <c r="C305" i="1" s="1"/>
  <c r="B304" i="1"/>
  <c r="A304" i="1"/>
  <c r="C304" i="1" s="1"/>
  <c r="C303" i="1"/>
  <c r="B303" i="1"/>
  <c r="A303" i="1"/>
  <c r="B302" i="1"/>
  <c r="C302" i="1" s="1"/>
  <c r="A302" i="1"/>
  <c r="B301" i="1"/>
  <c r="A301" i="1"/>
  <c r="C301" i="1" s="1"/>
  <c r="C300" i="1"/>
  <c r="B300" i="1"/>
  <c r="A300" i="1"/>
  <c r="B299" i="1"/>
  <c r="C299" i="1" s="1"/>
  <c r="A299" i="1"/>
  <c r="B298" i="1"/>
  <c r="A298" i="1"/>
  <c r="C298" i="1" s="1"/>
  <c r="B297" i="1"/>
  <c r="A297" i="1"/>
  <c r="C296" i="1"/>
  <c r="B296" i="1"/>
  <c r="A296" i="1"/>
  <c r="B295" i="1"/>
  <c r="C295" i="1" s="1"/>
  <c r="A295" i="1"/>
  <c r="B294" i="1"/>
  <c r="A294" i="1"/>
  <c r="C294" i="1" s="1"/>
  <c r="B293" i="1"/>
  <c r="A293" i="1"/>
  <c r="B292" i="1"/>
  <c r="A292" i="1"/>
  <c r="C292" i="1" s="1"/>
  <c r="C291" i="1"/>
  <c r="B291" i="1"/>
  <c r="A291" i="1"/>
  <c r="C290" i="1"/>
  <c r="B290" i="1"/>
  <c r="A290" i="1"/>
  <c r="B289" i="1"/>
  <c r="A289" i="1"/>
  <c r="C289" i="1" s="1"/>
  <c r="B288" i="1"/>
  <c r="A288" i="1"/>
  <c r="C288" i="1" s="1"/>
  <c r="C287" i="1"/>
  <c r="B287" i="1"/>
  <c r="A287" i="1"/>
  <c r="B286" i="1"/>
  <c r="C286" i="1" s="1"/>
  <c r="A286" i="1"/>
  <c r="B285" i="1"/>
  <c r="A285" i="1"/>
  <c r="C285" i="1" s="1"/>
  <c r="C284" i="1"/>
  <c r="B284" i="1"/>
  <c r="A284" i="1"/>
  <c r="B283" i="1"/>
  <c r="C283" i="1" s="1"/>
  <c r="A283" i="1"/>
  <c r="B282" i="1"/>
  <c r="A282" i="1"/>
  <c r="C282" i="1" s="1"/>
  <c r="B281" i="1"/>
  <c r="A281" i="1"/>
  <c r="C280" i="1"/>
  <c r="B280" i="1"/>
  <c r="A280" i="1"/>
  <c r="B279" i="1"/>
  <c r="C279" i="1" s="1"/>
  <c r="A279" i="1"/>
  <c r="B278" i="1"/>
  <c r="A278" i="1"/>
  <c r="C278" i="1" s="1"/>
  <c r="B277" i="1"/>
  <c r="A277" i="1"/>
  <c r="B276" i="1"/>
  <c r="A276" i="1"/>
  <c r="C276" i="1" s="1"/>
  <c r="C275" i="1"/>
  <c r="B275" i="1"/>
  <c r="A275" i="1"/>
  <c r="C274" i="1"/>
  <c r="B274" i="1"/>
  <c r="A274" i="1"/>
  <c r="B273" i="1"/>
  <c r="A273" i="1"/>
  <c r="C273" i="1" s="1"/>
  <c r="B272" i="1"/>
  <c r="A272" i="1"/>
  <c r="C272" i="1" s="1"/>
  <c r="C271" i="1"/>
  <c r="B271" i="1"/>
  <c r="A271" i="1"/>
  <c r="B270" i="1"/>
  <c r="C270" i="1" s="1"/>
  <c r="A270" i="1"/>
  <c r="B269" i="1"/>
  <c r="A269" i="1"/>
  <c r="C269" i="1" s="1"/>
  <c r="C268" i="1"/>
  <c r="B268" i="1"/>
  <c r="A268" i="1"/>
  <c r="B267" i="1"/>
  <c r="C267" i="1" s="1"/>
  <c r="A267" i="1"/>
  <c r="B266" i="1"/>
  <c r="A266" i="1"/>
  <c r="C266" i="1" s="1"/>
  <c r="B265" i="1"/>
  <c r="A265" i="1"/>
  <c r="C264" i="1"/>
  <c r="B264" i="1"/>
  <c r="A264" i="1"/>
  <c r="B263" i="1"/>
  <c r="C263" i="1" s="1"/>
  <c r="A263" i="1"/>
  <c r="B262" i="1"/>
  <c r="A262" i="1"/>
  <c r="C262" i="1" s="1"/>
  <c r="B261" i="1"/>
  <c r="A261" i="1"/>
  <c r="B260" i="1"/>
  <c r="A260" i="1"/>
  <c r="C260" i="1" s="1"/>
  <c r="C259" i="1"/>
  <c r="B259" i="1"/>
  <c r="A259" i="1"/>
  <c r="C258" i="1"/>
  <c r="B258" i="1"/>
  <c r="A258" i="1"/>
  <c r="B257" i="1"/>
  <c r="A257" i="1"/>
  <c r="C257" i="1" s="1"/>
  <c r="B256" i="1"/>
  <c r="A256" i="1"/>
  <c r="C256" i="1" s="1"/>
  <c r="C255" i="1"/>
  <c r="B255" i="1"/>
  <c r="A255" i="1"/>
  <c r="B254" i="1"/>
  <c r="C254" i="1" s="1"/>
  <c r="A254" i="1"/>
  <c r="B253" i="1"/>
  <c r="A253" i="1"/>
  <c r="C253" i="1" s="1"/>
  <c r="C252" i="1"/>
  <c r="B252" i="1"/>
  <c r="A252" i="1"/>
  <c r="B251" i="1"/>
  <c r="C251" i="1" s="1"/>
  <c r="A251" i="1"/>
  <c r="B250" i="1"/>
  <c r="A250" i="1"/>
  <c r="C250" i="1" s="1"/>
  <c r="B249" i="1"/>
  <c r="A249" i="1"/>
  <c r="C248" i="1"/>
  <c r="B248" i="1"/>
  <c r="A248" i="1"/>
  <c r="B247" i="1"/>
  <c r="C247" i="1" s="1"/>
  <c r="A247" i="1"/>
  <c r="B246" i="1"/>
  <c r="A246" i="1"/>
  <c r="C246" i="1" s="1"/>
  <c r="B245" i="1"/>
  <c r="A245" i="1"/>
  <c r="B244" i="1"/>
  <c r="A244" i="1"/>
  <c r="C244" i="1" s="1"/>
  <c r="C243" i="1"/>
  <c r="B243" i="1"/>
  <c r="A243" i="1"/>
  <c r="C242" i="1"/>
  <c r="B242" i="1"/>
  <c r="A242" i="1"/>
  <c r="B241" i="1"/>
  <c r="A241" i="1"/>
  <c r="C241" i="1" s="1"/>
  <c r="B240" i="1"/>
  <c r="A240" i="1"/>
  <c r="C240" i="1" s="1"/>
  <c r="C239" i="1"/>
  <c r="B239" i="1"/>
  <c r="A239" i="1"/>
  <c r="B238" i="1"/>
  <c r="C238" i="1" s="1"/>
  <c r="A238" i="1"/>
  <c r="B237" i="1"/>
  <c r="A237" i="1"/>
  <c r="C237" i="1" s="1"/>
  <c r="C236" i="1"/>
  <c r="B236" i="1"/>
  <c r="A236" i="1"/>
  <c r="B235" i="1"/>
  <c r="C235" i="1" s="1"/>
  <c r="A235" i="1"/>
  <c r="B234" i="1"/>
  <c r="A234" i="1"/>
  <c r="C234" i="1" s="1"/>
  <c r="B233" i="1"/>
  <c r="A233" i="1"/>
  <c r="C232" i="1"/>
  <c r="B232" i="1"/>
  <c r="A232" i="1"/>
  <c r="B231" i="1"/>
  <c r="C231" i="1" s="1"/>
  <c r="A231" i="1"/>
  <c r="B230" i="1"/>
  <c r="A230" i="1"/>
  <c r="C230" i="1" s="1"/>
  <c r="B229" i="1"/>
  <c r="A229" i="1"/>
  <c r="B228" i="1"/>
  <c r="A228" i="1"/>
  <c r="C228" i="1" s="1"/>
  <c r="C227" i="1"/>
  <c r="B227" i="1"/>
  <c r="A227" i="1"/>
  <c r="C226" i="1"/>
  <c r="B226" i="1"/>
  <c r="A226" i="1"/>
  <c r="B225" i="1"/>
  <c r="A225" i="1"/>
  <c r="C225" i="1" s="1"/>
  <c r="B224" i="1"/>
  <c r="A224" i="1"/>
  <c r="C224" i="1" s="1"/>
  <c r="C223" i="1"/>
  <c r="B223" i="1"/>
  <c r="A223" i="1"/>
  <c r="B222" i="1"/>
  <c r="C222" i="1" s="1"/>
  <c r="A222" i="1"/>
  <c r="B221" i="1"/>
  <c r="A221" i="1"/>
  <c r="C221" i="1" s="1"/>
  <c r="C220" i="1"/>
  <c r="B220" i="1"/>
  <c r="A220" i="1"/>
  <c r="B219" i="1"/>
  <c r="C219" i="1" s="1"/>
  <c r="A219" i="1"/>
  <c r="B218" i="1"/>
  <c r="A218" i="1"/>
  <c r="C218" i="1" s="1"/>
  <c r="B217" i="1"/>
  <c r="A217" i="1"/>
  <c r="C216" i="1"/>
  <c r="B216" i="1"/>
  <c r="A216" i="1"/>
  <c r="B215" i="1"/>
  <c r="C215" i="1" s="1"/>
  <c r="A215" i="1"/>
  <c r="B214" i="1"/>
  <c r="A214" i="1"/>
  <c r="C214" i="1" s="1"/>
  <c r="B213" i="1"/>
  <c r="A213" i="1"/>
  <c r="B212" i="1"/>
  <c r="A212" i="1"/>
  <c r="C212" i="1" s="1"/>
  <c r="C211" i="1"/>
  <c r="B211" i="1"/>
  <c r="A211" i="1"/>
  <c r="C210" i="1"/>
  <c r="B210" i="1"/>
  <c r="A210" i="1"/>
  <c r="B209" i="1"/>
  <c r="A209" i="1"/>
  <c r="C209" i="1" s="1"/>
  <c r="B208" i="1"/>
  <c r="A208" i="1"/>
  <c r="C208" i="1" s="1"/>
  <c r="C207" i="1"/>
  <c r="B207" i="1"/>
  <c r="A207" i="1"/>
  <c r="B206" i="1"/>
  <c r="C206" i="1" s="1"/>
  <c r="A206" i="1"/>
  <c r="B205" i="1"/>
  <c r="A205" i="1"/>
  <c r="C205" i="1" s="1"/>
  <c r="C204" i="1"/>
  <c r="B204" i="1"/>
  <c r="A204" i="1"/>
  <c r="B203" i="1"/>
  <c r="C203" i="1" s="1"/>
  <c r="A203" i="1"/>
  <c r="B202" i="1"/>
  <c r="A202" i="1"/>
  <c r="C202" i="1" s="1"/>
  <c r="B201" i="1"/>
  <c r="A201" i="1"/>
  <c r="C201" i="1" s="1"/>
  <c r="C200" i="1"/>
  <c r="B200" i="1"/>
  <c r="A200" i="1"/>
  <c r="B199" i="1"/>
  <c r="C199" i="1" s="1"/>
  <c r="A199" i="1"/>
  <c r="B198" i="1"/>
  <c r="A198" i="1"/>
  <c r="C198" i="1" s="1"/>
  <c r="B197" i="1"/>
  <c r="A197" i="1"/>
  <c r="C197" i="1" s="1"/>
  <c r="C196" i="1"/>
  <c r="B196" i="1"/>
  <c r="A196" i="1"/>
  <c r="B195" i="1"/>
  <c r="C195" i="1" s="1"/>
  <c r="A195" i="1"/>
  <c r="B194" i="1"/>
  <c r="A194" i="1"/>
  <c r="C194" i="1" s="1"/>
  <c r="B193" i="1"/>
  <c r="A193" i="1"/>
  <c r="C193" i="1" s="1"/>
  <c r="C192" i="1"/>
  <c r="B192" i="1"/>
  <c r="A192" i="1"/>
  <c r="B191" i="1"/>
  <c r="C191" i="1" s="1"/>
  <c r="A191" i="1"/>
  <c r="B190" i="1"/>
  <c r="A190" i="1"/>
  <c r="C190" i="1" s="1"/>
  <c r="B189" i="1"/>
  <c r="A189" i="1"/>
  <c r="C189" i="1" s="1"/>
  <c r="C188" i="1"/>
  <c r="B188" i="1"/>
  <c r="A188" i="1"/>
  <c r="B187" i="1"/>
  <c r="C187" i="1" s="1"/>
  <c r="A187" i="1"/>
  <c r="B186" i="1"/>
  <c r="A186" i="1"/>
  <c r="C186" i="1" s="1"/>
  <c r="B185" i="1"/>
  <c r="A185" i="1"/>
  <c r="C185" i="1" s="1"/>
  <c r="C184" i="1"/>
  <c r="B184" i="1"/>
  <c r="A184" i="1"/>
  <c r="B183" i="1"/>
  <c r="C183" i="1" s="1"/>
  <c r="A183" i="1"/>
  <c r="B182" i="1"/>
  <c r="A182" i="1"/>
  <c r="C182" i="1" s="1"/>
  <c r="B181" i="1"/>
  <c r="A181" i="1"/>
  <c r="C181" i="1" s="1"/>
  <c r="C180" i="1"/>
  <c r="B180" i="1"/>
  <c r="A180" i="1"/>
  <c r="B179" i="1"/>
  <c r="C179" i="1" s="1"/>
  <c r="A179" i="1"/>
  <c r="B178" i="1"/>
  <c r="A178" i="1"/>
  <c r="C178" i="1" s="1"/>
  <c r="B177" i="1"/>
  <c r="A177" i="1"/>
  <c r="C177" i="1" s="1"/>
  <c r="C176" i="1"/>
  <c r="B176" i="1"/>
  <c r="A176" i="1"/>
  <c r="B175" i="1"/>
  <c r="C175" i="1" s="1"/>
  <c r="A175" i="1"/>
  <c r="B174" i="1"/>
  <c r="A174" i="1"/>
  <c r="C174" i="1" s="1"/>
  <c r="B173" i="1"/>
  <c r="A173" i="1"/>
  <c r="C173" i="1" s="1"/>
  <c r="C172" i="1"/>
  <c r="B172" i="1"/>
  <c r="A172" i="1"/>
  <c r="B171" i="1"/>
  <c r="C171" i="1" s="1"/>
  <c r="A171" i="1"/>
  <c r="B170" i="1"/>
  <c r="A170" i="1"/>
  <c r="C170" i="1" s="1"/>
  <c r="B169" i="1"/>
  <c r="A169" i="1"/>
  <c r="C169" i="1" s="1"/>
  <c r="C168" i="1"/>
  <c r="B168" i="1"/>
  <c r="A168" i="1"/>
  <c r="B167" i="1"/>
  <c r="C167" i="1" s="1"/>
  <c r="A167" i="1"/>
  <c r="B166" i="1"/>
  <c r="A166" i="1"/>
  <c r="C166" i="1" s="1"/>
  <c r="B165" i="1"/>
  <c r="A165" i="1"/>
  <c r="C165" i="1" s="1"/>
  <c r="C164" i="1"/>
  <c r="B164" i="1"/>
  <c r="A164" i="1"/>
  <c r="B163" i="1"/>
  <c r="C163" i="1" s="1"/>
  <c r="A163" i="1"/>
  <c r="B162" i="1"/>
  <c r="A162" i="1"/>
  <c r="C162" i="1" s="1"/>
  <c r="B161" i="1"/>
  <c r="A161" i="1"/>
  <c r="C161" i="1" s="1"/>
  <c r="C160" i="1"/>
  <c r="B160" i="1"/>
  <c r="A160" i="1"/>
  <c r="B159" i="1"/>
  <c r="C159" i="1" s="1"/>
  <c r="A159" i="1"/>
  <c r="B158" i="1"/>
  <c r="A158" i="1"/>
  <c r="C158" i="1" s="1"/>
  <c r="B157" i="1"/>
  <c r="A157" i="1"/>
  <c r="C157" i="1" s="1"/>
  <c r="C156" i="1"/>
  <c r="B156" i="1"/>
  <c r="A156" i="1"/>
  <c r="B155" i="1"/>
  <c r="C155" i="1" s="1"/>
  <c r="A155" i="1"/>
  <c r="B154" i="1"/>
  <c r="A154" i="1"/>
  <c r="C154" i="1" s="1"/>
  <c r="B153" i="1"/>
  <c r="A153" i="1"/>
  <c r="C153" i="1" s="1"/>
  <c r="C152" i="1"/>
  <c r="B152" i="1"/>
  <c r="A152" i="1"/>
  <c r="B151" i="1"/>
  <c r="C151" i="1" s="1"/>
  <c r="A151" i="1"/>
  <c r="B150" i="1"/>
  <c r="A150" i="1"/>
  <c r="C150" i="1" s="1"/>
  <c r="B149" i="1"/>
  <c r="A149" i="1"/>
  <c r="C149" i="1" s="1"/>
  <c r="C148" i="1"/>
  <c r="B148" i="1"/>
  <c r="A148" i="1"/>
  <c r="B147" i="1"/>
  <c r="C147" i="1" s="1"/>
  <c r="A147" i="1"/>
  <c r="B146" i="1"/>
  <c r="A146" i="1"/>
  <c r="C146" i="1" s="1"/>
  <c r="B145" i="1"/>
  <c r="A145" i="1"/>
  <c r="C145" i="1" s="1"/>
  <c r="C144" i="1"/>
  <c r="B144" i="1"/>
  <c r="A144" i="1"/>
  <c r="B143" i="1"/>
  <c r="C143" i="1" s="1"/>
  <c r="A143" i="1"/>
  <c r="B142" i="1"/>
  <c r="A142" i="1"/>
  <c r="C142" i="1" s="1"/>
  <c r="B141" i="1"/>
  <c r="A141" i="1"/>
  <c r="C141" i="1" s="1"/>
  <c r="C140" i="1"/>
  <c r="B140" i="1"/>
  <c r="A140" i="1"/>
  <c r="B139" i="1"/>
  <c r="C139" i="1" s="1"/>
  <c r="A139" i="1"/>
  <c r="B138" i="1"/>
  <c r="A138" i="1"/>
  <c r="C138" i="1" s="1"/>
  <c r="B137" i="1"/>
  <c r="A137" i="1"/>
  <c r="C137" i="1" s="1"/>
  <c r="C136" i="1"/>
  <c r="B136" i="1"/>
  <c r="A136" i="1"/>
  <c r="B135" i="1"/>
  <c r="C135" i="1" s="1"/>
  <c r="A135" i="1"/>
  <c r="B134" i="1"/>
  <c r="A134" i="1"/>
  <c r="C134" i="1" s="1"/>
  <c r="B133" i="1"/>
  <c r="A133" i="1"/>
  <c r="C133" i="1" s="1"/>
  <c r="C132" i="1"/>
  <c r="B132" i="1"/>
  <c r="A132" i="1"/>
  <c r="B131" i="1"/>
  <c r="C131" i="1" s="1"/>
  <c r="A131" i="1"/>
  <c r="B130" i="1"/>
  <c r="A130" i="1"/>
  <c r="C130" i="1" s="1"/>
  <c r="B129" i="1"/>
  <c r="A129" i="1"/>
  <c r="C129" i="1" s="1"/>
  <c r="C128" i="1"/>
  <c r="B128" i="1"/>
  <c r="A128" i="1"/>
  <c r="B127" i="1"/>
  <c r="C127" i="1" s="1"/>
  <c r="A127" i="1"/>
  <c r="B126" i="1"/>
  <c r="A126" i="1"/>
  <c r="C126" i="1" s="1"/>
  <c r="B125" i="1"/>
  <c r="A125" i="1"/>
  <c r="C125" i="1" s="1"/>
  <c r="C124" i="1"/>
  <c r="B124" i="1"/>
  <c r="A124" i="1"/>
  <c r="B123" i="1"/>
  <c r="C123" i="1" s="1"/>
  <c r="A123" i="1"/>
  <c r="B122" i="1"/>
  <c r="A122" i="1"/>
  <c r="C122" i="1" s="1"/>
  <c r="B121" i="1"/>
  <c r="A121" i="1"/>
  <c r="C121" i="1" s="1"/>
  <c r="C120" i="1"/>
  <c r="B120" i="1"/>
  <c r="A120" i="1"/>
  <c r="B119" i="1"/>
  <c r="C119" i="1" s="1"/>
  <c r="A119" i="1"/>
  <c r="B118" i="1"/>
  <c r="A118" i="1"/>
  <c r="C118" i="1" s="1"/>
  <c r="B117" i="1"/>
  <c r="A117" i="1"/>
  <c r="C117" i="1" s="1"/>
  <c r="C116" i="1"/>
  <c r="B116" i="1"/>
  <c r="A116" i="1"/>
  <c r="B115" i="1"/>
  <c r="C115" i="1" s="1"/>
  <c r="A115" i="1"/>
  <c r="B114" i="1"/>
  <c r="A114" i="1"/>
  <c r="C114" i="1" s="1"/>
  <c r="B113" i="1"/>
  <c r="A113" i="1"/>
  <c r="C113" i="1" s="1"/>
  <c r="C112" i="1"/>
  <c r="B112" i="1"/>
  <c r="A112" i="1"/>
  <c r="B111" i="1"/>
  <c r="C111" i="1" s="1"/>
  <c r="A111" i="1"/>
  <c r="B110" i="1"/>
  <c r="A110" i="1"/>
  <c r="C110" i="1" s="1"/>
  <c r="B109" i="1"/>
  <c r="A109" i="1"/>
  <c r="C109" i="1" s="1"/>
  <c r="C108" i="1"/>
  <c r="B108" i="1"/>
  <c r="A108" i="1"/>
  <c r="B107" i="1"/>
  <c r="C107" i="1" s="1"/>
  <c r="A107" i="1"/>
  <c r="B106" i="1"/>
  <c r="A106" i="1"/>
  <c r="C106" i="1" s="1"/>
  <c r="B105" i="1"/>
  <c r="A105" i="1"/>
  <c r="C105" i="1" s="1"/>
  <c r="C104" i="1"/>
  <c r="B104" i="1"/>
  <c r="A104" i="1"/>
  <c r="B103" i="1"/>
  <c r="C103" i="1" s="1"/>
  <c r="A103" i="1"/>
  <c r="B102" i="1"/>
  <c r="A102" i="1"/>
  <c r="C102" i="1" s="1"/>
  <c r="B101" i="1"/>
  <c r="A101" i="1"/>
  <c r="C101" i="1" s="1"/>
  <c r="C100" i="1"/>
  <c r="B100" i="1"/>
  <c r="A100" i="1"/>
  <c r="B99" i="1"/>
  <c r="C99" i="1" s="1"/>
  <c r="A99" i="1"/>
  <c r="B98" i="1"/>
  <c r="A98" i="1"/>
  <c r="C98" i="1" s="1"/>
  <c r="B97" i="1"/>
  <c r="A97" i="1"/>
  <c r="C97" i="1" s="1"/>
  <c r="C96" i="1"/>
  <c r="B96" i="1"/>
  <c r="A96" i="1"/>
  <c r="B95" i="1"/>
  <c r="C95" i="1" s="1"/>
  <c r="A95" i="1"/>
  <c r="B94" i="1"/>
  <c r="A94" i="1"/>
  <c r="C94" i="1" s="1"/>
  <c r="B93" i="1"/>
  <c r="A93" i="1"/>
  <c r="C93" i="1" s="1"/>
  <c r="C92" i="1"/>
  <c r="B92" i="1"/>
  <c r="A92" i="1"/>
  <c r="B91" i="1"/>
  <c r="C91" i="1" s="1"/>
  <c r="A91" i="1"/>
  <c r="B90" i="1"/>
  <c r="A90" i="1"/>
  <c r="C90" i="1" s="1"/>
  <c r="B89" i="1"/>
  <c r="A89" i="1"/>
  <c r="C89" i="1" s="1"/>
  <c r="C88" i="1"/>
  <c r="B88" i="1"/>
  <c r="A88" i="1"/>
  <c r="B87" i="1"/>
  <c r="C87" i="1" s="1"/>
  <c r="A87" i="1"/>
  <c r="B86" i="1"/>
  <c r="A86" i="1"/>
  <c r="C86" i="1" s="1"/>
  <c r="B85" i="1"/>
  <c r="A85" i="1"/>
  <c r="C85" i="1" s="1"/>
  <c r="C84" i="1"/>
  <c r="B84" i="1"/>
  <c r="A84" i="1"/>
  <c r="B83" i="1"/>
  <c r="C83" i="1" s="1"/>
  <c r="A83" i="1"/>
  <c r="B82" i="1"/>
  <c r="A82" i="1"/>
  <c r="C82" i="1" s="1"/>
  <c r="B81" i="1"/>
  <c r="A81" i="1"/>
  <c r="C81" i="1" s="1"/>
  <c r="C80" i="1"/>
  <c r="B80" i="1"/>
  <c r="A80" i="1"/>
  <c r="B79" i="1"/>
  <c r="C79" i="1" s="1"/>
  <c r="A79" i="1"/>
  <c r="B78" i="1"/>
  <c r="A78" i="1"/>
  <c r="C78" i="1" s="1"/>
  <c r="B77" i="1"/>
  <c r="A77" i="1"/>
  <c r="C77" i="1" s="1"/>
  <c r="C76" i="1"/>
  <c r="B76" i="1"/>
  <c r="A76" i="1"/>
  <c r="B75" i="1"/>
  <c r="C75" i="1" s="1"/>
  <c r="A75" i="1"/>
  <c r="B74" i="1"/>
  <c r="A74" i="1"/>
  <c r="C74" i="1" s="1"/>
  <c r="B73" i="1"/>
  <c r="A73" i="1"/>
  <c r="C73" i="1" s="1"/>
  <c r="C72" i="1"/>
  <c r="B72" i="1"/>
  <c r="A72" i="1"/>
  <c r="B71" i="1"/>
  <c r="C71" i="1" s="1"/>
  <c r="A71" i="1"/>
  <c r="B70" i="1"/>
  <c r="A70" i="1"/>
  <c r="C70" i="1" s="1"/>
  <c r="B69" i="1"/>
  <c r="A69" i="1"/>
  <c r="C69" i="1" s="1"/>
  <c r="C68" i="1"/>
  <c r="B68" i="1"/>
  <c r="A68" i="1"/>
  <c r="B67" i="1"/>
  <c r="C67" i="1" s="1"/>
  <c r="A67" i="1"/>
  <c r="B66" i="1"/>
  <c r="A66" i="1"/>
  <c r="C66" i="1" s="1"/>
  <c r="B65" i="1"/>
  <c r="A65" i="1"/>
  <c r="C65" i="1" s="1"/>
  <c r="C64" i="1"/>
  <c r="B64" i="1"/>
  <c r="A64" i="1"/>
  <c r="B63" i="1"/>
  <c r="C63" i="1" s="1"/>
  <c r="A63" i="1"/>
  <c r="B62" i="1"/>
  <c r="A62" i="1"/>
  <c r="C62" i="1" s="1"/>
  <c r="B61" i="1"/>
  <c r="A61" i="1"/>
  <c r="C61" i="1" s="1"/>
  <c r="C60" i="1"/>
  <c r="B60" i="1"/>
  <c r="A60" i="1"/>
  <c r="B59" i="1"/>
  <c r="C59" i="1" s="1"/>
  <c r="A59" i="1"/>
  <c r="B58" i="1"/>
  <c r="A58" i="1"/>
  <c r="C58" i="1" s="1"/>
  <c r="B57" i="1"/>
  <c r="A57" i="1"/>
  <c r="C57" i="1" s="1"/>
  <c r="C56" i="1"/>
  <c r="B56" i="1"/>
  <c r="A56" i="1"/>
  <c r="B55" i="1"/>
  <c r="C55" i="1" s="1"/>
  <c r="A55" i="1"/>
  <c r="B54" i="1"/>
  <c r="A54" i="1"/>
  <c r="C54" i="1" s="1"/>
  <c r="B53" i="1"/>
  <c r="A53" i="1"/>
  <c r="C53" i="1" s="1"/>
  <c r="C52" i="1"/>
  <c r="B52" i="1"/>
  <c r="A52" i="1"/>
  <c r="B51" i="1"/>
  <c r="C51" i="1" s="1"/>
  <c r="A51" i="1"/>
  <c r="B50" i="1"/>
  <c r="A50" i="1"/>
  <c r="C50" i="1" s="1"/>
  <c r="B49" i="1"/>
  <c r="A49" i="1"/>
  <c r="C49" i="1" s="1"/>
  <c r="C48" i="1"/>
  <c r="B48" i="1"/>
  <c r="A48" i="1"/>
  <c r="B47" i="1"/>
  <c r="C47" i="1" s="1"/>
  <c r="A47" i="1"/>
  <c r="B46" i="1"/>
  <c r="A46" i="1"/>
  <c r="C46" i="1" s="1"/>
  <c r="B45" i="1"/>
  <c r="A45" i="1"/>
  <c r="C45" i="1" s="1"/>
  <c r="C44" i="1"/>
  <c r="B44" i="1"/>
  <c r="A44" i="1"/>
  <c r="B43" i="1"/>
  <c r="C43" i="1" s="1"/>
  <c r="A43" i="1"/>
  <c r="B42" i="1"/>
  <c r="A42" i="1"/>
  <c r="C42" i="1" s="1"/>
  <c r="B41" i="1"/>
  <c r="A41" i="1"/>
  <c r="C41" i="1" s="1"/>
  <c r="C40" i="1"/>
  <c r="B40" i="1"/>
  <c r="A40" i="1"/>
  <c r="B39" i="1"/>
  <c r="C39" i="1" s="1"/>
  <c r="A39" i="1"/>
  <c r="B38" i="1"/>
  <c r="A38" i="1"/>
  <c r="C38" i="1" s="1"/>
  <c r="B37" i="1"/>
  <c r="A37" i="1"/>
  <c r="C37" i="1" s="1"/>
  <c r="C36" i="1"/>
  <c r="B36" i="1"/>
  <c r="A36" i="1"/>
  <c r="B35" i="1"/>
  <c r="C35" i="1" s="1"/>
  <c r="A35" i="1"/>
  <c r="B34" i="1"/>
  <c r="A34" i="1"/>
  <c r="C34" i="1" s="1"/>
  <c r="B33" i="1"/>
  <c r="A33" i="1"/>
  <c r="C33" i="1" s="1"/>
  <c r="C32" i="1"/>
  <c r="B32" i="1"/>
  <c r="A32" i="1"/>
  <c r="B31" i="1"/>
  <c r="C31" i="1" s="1"/>
  <c r="A31" i="1"/>
  <c r="B30" i="1"/>
  <c r="A30" i="1"/>
  <c r="C30" i="1" s="1"/>
  <c r="B29" i="1"/>
  <c r="A29" i="1"/>
  <c r="C29" i="1" s="1"/>
  <c r="C28" i="1"/>
  <c r="B28" i="1"/>
  <c r="A28" i="1"/>
  <c r="B27" i="1"/>
  <c r="C27" i="1" s="1"/>
  <c r="A27" i="1"/>
  <c r="B26" i="1"/>
  <c r="A26" i="1"/>
  <c r="C26" i="1" s="1"/>
  <c r="B25" i="1"/>
  <c r="A25" i="1"/>
  <c r="C25" i="1" s="1"/>
  <c r="C24" i="1"/>
  <c r="B24" i="1"/>
  <c r="A24" i="1"/>
  <c r="B23" i="1"/>
  <c r="C23" i="1" s="1"/>
  <c r="A23" i="1"/>
  <c r="B22" i="1"/>
  <c r="A22" i="1"/>
  <c r="C22" i="1" s="1"/>
  <c r="B21" i="1"/>
  <c r="A21" i="1"/>
  <c r="C21" i="1" s="1"/>
  <c r="C20" i="1"/>
  <c r="B20" i="1"/>
  <c r="A20" i="1"/>
  <c r="B19" i="1"/>
  <c r="C19" i="1" s="1"/>
  <c r="A19" i="1"/>
  <c r="B18" i="1"/>
  <c r="A18" i="1"/>
  <c r="C18" i="1" s="1"/>
  <c r="B17" i="1"/>
  <c r="A17" i="1"/>
  <c r="C17" i="1" s="1"/>
  <c r="C16" i="1"/>
  <c r="B16" i="1"/>
  <c r="A16" i="1"/>
  <c r="B15" i="1"/>
  <c r="C15" i="1" s="1"/>
  <c r="A15" i="1"/>
  <c r="B14" i="1"/>
  <c r="A14" i="1"/>
  <c r="C14" i="1" s="1"/>
  <c r="B13" i="1"/>
  <c r="A13" i="1"/>
  <c r="C13" i="1" s="1"/>
  <c r="C12" i="1"/>
  <c r="B12" i="1"/>
  <c r="A12" i="1"/>
  <c r="B11" i="1"/>
  <c r="C11" i="1" s="1"/>
  <c r="A11" i="1"/>
  <c r="B10" i="1"/>
  <c r="A10" i="1"/>
  <c r="C10" i="1" s="1"/>
  <c r="B9" i="1"/>
  <c r="A9" i="1"/>
  <c r="C9" i="1" s="1"/>
  <c r="C8" i="1"/>
  <c r="B8" i="1"/>
  <c r="A8" i="1"/>
  <c r="B7" i="1"/>
  <c r="C7" i="1" s="1"/>
  <c r="A7" i="1"/>
  <c r="B6" i="1"/>
  <c r="A6" i="1"/>
  <c r="C6" i="1" s="1"/>
  <c r="B5" i="1"/>
  <c r="A5" i="1"/>
  <c r="C5" i="1" s="1"/>
  <c r="C4" i="1"/>
  <c r="B4" i="1"/>
  <c r="A4" i="1"/>
  <c r="B3" i="1"/>
  <c r="C3" i="1" s="1"/>
  <c r="A3" i="1"/>
  <c r="C2" i="1"/>
  <c r="B2" i="1"/>
  <c r="A2" i="1"/>
  <c r="K12" i="3"/>
  <c r="I12" i="3"/>
  <c r="H12" i="3"/>
  <c r="G12" i="3"/>
  <c r="K11" i="3"/>
  <c r="I11" i="3"/>
  <c r="H11" i="3"/>
  <c r="G11" i="3"/>
  <c r="K10" i="3"/>
  <c r="I10" i="3"/>
  <c r="H10" i="3"/>
  <c r="G10" i="3"/>
  <c r="K9" i="3"/>
  <c r="I9" i="3"/>
  <c r="H9" i="3"/>
  <c r="G9" i="3"/>
  <c r="K8" i="3"/>
  <c r="I8" i="3"/>
  <c r="H8" i="3"/>
  <c r="G8" i="3"/>
  <c r="K7" i="3"/>
  <c r="I7" i="3"/>
  <c r="H7" i="3"/>
  <c r="G7" i="3"/>
  <c r="K6" i="3"/>
  <c r="I6" i="3"/>
  <c r="H6" i="3"/>
  <c r="G6" i="3"/>
  <c r="K5" i="3"/>
  <c r="I5" i="3"/>
  <c r="H5" i="3"/>
  <c r="G5" i="3"/>
  <c r="K4" i="3"/>
  <c r="I4" i="3"/>
  <c r="H4" i="3"/>
  <c r="G4" i="3"/>
  <c r="K3" i="3"/>
  <c r="I3" i="3"/>
  <c r="H3" i="3"/>
  <c r="G3" i="3"/>
  <c r="K2" i="3"/>
  <c r="I2" i="3"/>
  <c r="H2" i="3"/>
  <c r="G2" i="3"/>
  <c r="J10" i="3"/>
  <c r="J6" i="3"/>
  <c r="J2" i="3"/>
  <c r="J12" i="3"/>
  <c r="J8" i="3"/>
  <c r="J4" i="3"/>
  <c r="J11" i="3"/>
  <c r="J9" i="3"/>
  <c r="J7" i="3"/>
  <c r="J5" i="3"/>
  <c r="J3" i="3"/>
  <c r="C324" i="4" l="1"/>
  <c r="C676" i="4"/>
  <c r="C708" i="4"/>
  <c r="C740" i="4"/>
  <c r="C772" i="4"/>
  <c r="C1238" i="4"/>
  <c r="C1254" i="4"/>
  <c r="C1270" i="4"/>
  <c r="C1286" i="4"/>
  <c r="C1302" i="4"/>
  <c r="C1318" i="4"/>
  <c r="C1334" i="4"/>
  <c r="C1350" i="4"/>
  <c r="C692" i="4"/>
  <c r="C724" i="4"/>
  <c r="C756" i="4"/>
  <c r="C1246" i="4"/>
  <c r="C1262" i="4"/>
  <c r="C1278" i="4"/>
  <c r="C1294" i="4"/>
  <c r="C1310" i="4"/>
  <c r="C1326" i="4"/>
  <c r="C1342" i="4"/>
  <c r="C1358" i="4"/>
  <c r="C780" i="4"/>
  <c r="C788" i="4"/>
  <c r="C796" i="4"/>
  <c r="C804" i="4"/>
  <c r="C812" i="4"/>
  <c r="C820" i="4"/>
  <c r="C828" i="4"/>
  <c r="C836" i="4"/>
  <c r="C844" i="4"/>
  <c r="C852" i="4"/>
  <c r="C860" i="4"/>
  <c r="C868" i="4"/>
  <c r="C876" i="4"/>
  <c r="C884" i="4"/>
  <c r="C892" i="4"/>
  <c r="C900" i="4"/>
  <c r="C908" i="4"/>
  <c r="C916" i="4"/>
  <c r="C924" i="4"/>
  <c r="C932" i="4"/>
  <c r="C940" i="4"/>
  <c r="C948" i="4"/>
  <c r="C956" i="4"/>
  <c r="C964" i="4"/>
  <c r="C972" i="4"/>
  <c r="C980" i="4"/>
  <c r="C988" i="4"/>
  <c r="C996" i="4"/>
  <c r="C1004" i="4"/>
  <c r="C1012" i="4"/>
  <c r="C1020" i="4"/>
  <c r="C1028" i="4"/>
  <c r="C1036" i="4"/>
  <c r="C1044" i="4"/>
  <c r="C1052" i="4"/>
  <c r="C1060" i="4"/>
  <c r="C1068" i="4"/>
  <c r="C1076" i="4"/>
  <c r="C1084" i="4"/>
  <c r="C1092" i="4"/>
  <c r="C1100" i="4"/>
  <c r="C1108" i="4"/>
  <c r="C1116" i="4"/>
  <c r="C1124" i="4"/>
  <c r="C1132" i="4"/>
  <c r="C1140" i="4"/>
  <c r="C1148" i="4"/>
  <c r="C1156" i="4"/>
  <c r="C1164" i="4"/>
  <c r="C1172" i="4"/>
  <c r="C1180" i="4"/>
  <c r="C1188" i="4"/>
  <c r="C1196" i="4"/>
  <c r="C1204" i="4"/>
  <c r="C1212" i="4"/>
  <c r="C1220" i="4"/>
  <c r="C1228" i="4"/>
  <c r="C1234" i="4"/>
  <c r="C1242" i="4"/>
  <c r="C1250" i="4"/>
  <c r="C1258" i="4"/>
  <c r="C1266" i="4"/>
  <c r="C1274" i="4"/>
  <c r="C1282" i="4"/>
  <c r="C1290" i="4"/>
  <c r="C1298" i="4"/>
  <c r="C1306" i="4"/>
  <c r="C1314" i="4"/>
  <c r="C1322" i="4"/>
  <c r="C1330" i="4"/>
  <c r="C1338" i="4"/>
  <c r="C1346" i="4"/>
  <c r="C1354" i="4"/>
  <c r="C1362" i="4"/>
  <c r="C1695" i="4"/>
  <c r="C1711" i="4"/>
  <c r="C1719" i="4"/>
  <c r="C1727" i="4"/>
  <c r="C1735" i="4"/>
  <c r="C1743" i="4"/>
  <c r="C1751" i="4"/>
  <c r="C1759" i="4"/>
  <c r="C1767" i="4"/>
  <c r="C1775" i="4"/>
  <c r="C1783" i="4"/>
  <c r="C1791" i="4"/>
  <c r="C1799" i="4"/>
  <c r="C1807" i="4"/>
  <c r="C1815" i="4"/>
  <c r="C1823" i="4"/>
  <c r="C1831" i="4"/>
  <c r="C1839" i="4"/>
  <c r="C1847" i="4"/>
  <c r="C1855" i="4"/>
  <c r="C1863" i="4"/>
  <c r="C1871" i="4"/>
  <c r="C1879" i="4"/>
  <c r="C1887" i="4"/>
  <c r="C1895" i="4"/>
  <c r="C1903" i="4"/>
  <c r="C1911" i="4"/>
  <c r="C1919" i="4"/>
  <c r="C1927" i="4"/>
  <c r="C1935" i="4"/>
  <c r="C1943" i="4"/>
  <c r="C1951" i="4"/>
  <c r="C1959" i="4"/>
  <c r="C1967" i="4"/>
  <c r="C1975" i="4"/>
  <c r="C1983" i="4"/>
  <c r="C1991" i="4"/>
  <c r="C1999" i="4"/>
  <c r="C2007" i="4"/>
  <c r="C2015" i="4"/>
  <c r="C2023" i="4"/>
  <c r="C2031" i="4"/>
  <c r="C2039" i="4"/>
  <c r="C2047" i="4"/>
  <c r="C2055" i="4"/>
  <c r="C2063" i="4"/>
  <c r="C2071" i="4"/>
  <c r="C2079" i="4"/>
  <c r="C2087" i="4"/>
  <c r="C2095" i="4"/>
  <c r="C2103" i="4"/>
  <c r="C2111" i="4"/>
  <c r="C2119" i="4"/>
  <c r="C2127" i="4"/>
  <c r="C2135" i="4"/>
  <c r="C2143" i="4"/>
  <c r="C2151" i="4"/>
  <c r="C2159" i="4"/>
  <c r="C2167" i="4"/>
  <c r="C2175" i="4"/>
  <c r="C2183" i="4"/>
  <c r="C2191" i="4"/>
  <c r="C2199" i="4"/>
  <c r="C2207" i="4"/>
  <c r="C2268" i="4"/>
  <c r="C2332" i="4"/>
  <c r="C1703" i="4"/>
  <c r="C1715" i="4"/>
  <c r="C1723" i="4"/>
  <c r="C1731" i="4"/>
  <c r="C1739" i="4"/>
  <c r="C1747" i="4"/>
  <c r="C1755" i="4"/>
  <c r="C1763" i="4"/>
  <c r="C1771" i="4"/>
  <c r="C1779" i="4"/>
  <c r="C1787" i="4"/>
  <c r="C1795" i="4"/>
  <c r="C1803" i="4"/>
  <c r="C1811" i="4"/>
  <c r="C1819" i="4"/>
  <c r="C1827" i="4"/>
  <c r="C1835" i="4"/>
  <c r="C1843" i="4"/>
  <c r="C1851" i="4"/>
  <c r="C1859" i="4"/>
  <c r="C1867" i="4"/>
  <c r="C1875" i="4"/>
  <c r="C1883" i="4"/>
  <c r="C1891" i="4"/>
  <c r="C1899" i="4"/>
  <c r="C1907" i="4"/>
  <c r="C1915" i="4"/>
  <c r="C1923" i="4"/>
  <c r="C1931" i="4"/>
  <c r="C1939" i="4"/>
  <c r="C1947" i="4"/>
  <c r="C1955" i="4"/>
  <c r="C1963" i="4"/>
  <c r="C1971" i="4"/>
  <c r="C1979" i="4"/>
  <c r="C1987" i="4"/>
  <c r="C1995" i="4"/>
  <c r="C2003" i="4"/>
  <c r="C2011" i="4"/>
  <c r="C2019" i="4"/>
  <c r="C2027" i="4"/>
  <c r="C2035" i="4"/>
  <c r="C2043" i="4"/>
  <c r="C2051" i="4"/>
  <c r="C2059" i="4"/>
  <c r="C2067" i="4"/>
  <c r="C2075" i="4"/>
  <c r="C2083" i="4"/>
  <c r="C2091" i="4"/>
  <c r="C2099" i="4"/>
  <c r="C2107" i="4"/>
  <c r="C2115" i="4"/>
  <c r="C2123" i="4"/>
  <c r="C2131" i="4"/>
  <c r="C2139" i="4"/>
  <c r="C2147" i="4"/>
  <c r="C2155" i="4"/>
  <c r="C2163" i="4"/>
  <c r="C2171" i="4"/>
  <c r="C2179" i="4"/>
  <c r="C2187" i="4"/>
  <c r="C2195" i="4"/>
  <c r="C2203" i="4"/>
  <c r="C2236" i="4"/>
  <c r="C2300" i="4"/>
  <c r="C2219" i="4"/>
  <c r="C2235" i="4"/>
  <c r="C2251" i="4"/>
  <c r="C2267" i="4"/>
  <c r="C2283" i="4"/>
  <c r="C2299" i="4"/>
  <c r="C2315" i="4"/>
  <c r="C2331" i="4"/>
  <c r="C2347" i="4"/>
  <c r="C2571" i="4"/>
  <c r="C2603" i="4"/>
  <c r="C2635" i="4"/>
  <c r="C2667" i="4"/>
  <c r="C2211" i="4"/>
  <c r="C2227" i="4"/>
  <c r="C2243" i="4"/>
  <c r="C2259" i="4"/>
  <c r="C2275" i="4"/>
  <c r="C2291" i="4"/>
  <c r="C2307" i="4"/>
  <c r="C2323" i="4"/>
  <c r="C2339" i="4"/>
  <c r="C2421" i="4"/>
  <c r="C2453" i="4"/>
  <c r="C2485" i="4"/>
  <c r="C2517" i="4"/>
  <c r="C2549" i="4"/>
  <c r="C2581" i="4"/>
  <c r="C2613" i="4"/>
  <c r="C2645" i="4"/>
  <c r="C2677" i="4"/>
  <c r="C2397" i="4"/>
  <c r="C2419" i="4"/>
  <c r="C2429" i="4"/>
  <c r="C2451" i="4"/>
  <c r="C2461" i="4"/>
  <c r="C2483" i="4"/>
  <c r="C2493" i="4"/>
  <c r="C2525" i="4"/>
  <c r="C2557" i="4"/>
  <c r="C2579" i="4"/>
  <c r="C2589" i="4"/>
  <c r="C2621" i="4"/>
  <c r="C2643" i="4"/>
  <c r="C2653" i="4"/>
  <c r="C2675" i="4"/>
  <c r="C2685" i="4"/>
  <c r="C2701" i="4"/>
  <c r="C2709" i="4"/>
  <c r="C2717" i="4"/>
  <c r="C2725" i="4"/>
  <c r="C2733" i="4"/>
  <c r="C2401" i="4"/>
  <c r="C2409" i="4"/>
  <c r="C2417" i="4"/>
  <c r="C2425" i="4"/>
  <c r="C2433" i="4"/>
  <c r="C2441" i="4"/>
  <c r="C2449" i="4"/>
  <c r="C2457" i="4"/>
  <c r="C2465" i="4"/>
  <c r="C2473" i="4"/>
  <c r="C2481" i="4"/>
  <c r="C2489" i="4"/>
  <c r="C2497" i="4"/>
  <c r="C2505" i="4"/>
  <c r="C2513" i="4"/>
  <c r="C2521" i="4"/>
  <c r="C2529" i="4"/>
  <c r="C2537" i="4"/>
  <c r="C2545" i="4"/>
  <c r="C2553" i="4"/>
  <c r="C2561" i="4"/>
  <c r="C2569" i="4"/>
  <c r="C2577" i="4"/>
  <c r="C2585" i="4"/>
  <c r="C2593" i="4"/>
  <c r="C2601" i="4"/>
  <c r="C2609" i="4"/>
  <c r="C2617" i="4"/>
  <c r="C2625" i="4"/>
  <c r="C2633" i="4"/>
  <c r="C2641" i="4"/>
  <c r="C2649" i="4"/>
  <c r="C2657" i="4"/>
  <c r="C2665" i="4"/>
  <c r="C2673" i="4"/>
  <c r="C2681" i="4"/>
  <c r="C2689" i="4"/>
  <c r="C2697" i="4"/>
  <c r="C2705" i="4"/>
  <c r="C2713" i="4"/>
  <c r="C2721" i="4"/>
  <c r="C2729" i="4"/>
  <c r="C213" i="1"/>
  <c r="C229" i="1"/>
  <c r="C245" i="1"/>
  <c r="C261" i="1"/>
  <c r="C277" i="1"/>
  <c r="C293" i="1"/>
  <c r="C309" i="1"/>
  <c r="C325" i="1"/>
  <c r="C341" i="1"/>
  <c r="C357" i="1"/>
  <c r="C373" i="1"/>
  <c r="C623" i="1"/>
  <c r="C217" i="1"/>
  <c r="C233" i="1"/>
  <c r="C249" i="1"/>
  <c r="C265" i="1"/>
  <c r="C281" i="1"/>
  <c r="C297" i="1"/>
  <c r="C313" i="1"/>
  <c r="C329" i="1"/>
  <c r="C345" i="1"/>
  <c r="C361" i="1"/>
  <c r="C377" i="1"/>
  <c r="C385" i="1"/>
  <c r="C393" i="1"/>
  <c r="C401" i="1"/>
  <c r="C409" i="1"/>
  <c r="C417" i="1"/>
  <c r="C425" i="1"/>
  <c r="C618" i="1"/>
  <c r="C634" i="1"/>
  <c r="C642" i="1"/>
  <c r="C650" i="1"/>
  <c r="C658" i="1"/>
  <c r="C666" i="1"/>
  <c r="C674" i="1"/>
  <c r="C682" i="1"/>
  <c r="C690" i="1"/>
  <c r="C698" i="1"/>
  <c r="C706" i="1"/>
  <c r="C714" i="1"/>
  <c r="C722" i="1"/>
  <c r="C730" i="1"/>
  <c r="C738" i="1"/>
  <c r="C746" i="1"/>
  <c r="C754" i="1"/>
  <c r="C762" i="1"/>
  <c r="C770" i="1"/>
  <c r="C778" i="1"/>
  <c r="C786" i="1"/>
  <c r="C794" i="1"/>
  <c r="C802" i="1"/>
  <c r="C810" i="1"/>
  <c r="C818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622" i="1"/>
  <c r="C965" i="1"/>
  <c r="C964" i="1"/>
  <c r="C972" i="1"/>
  <c r="C1293" i="1"/>
  <c r="K1626" i="1"/>
  <c r="K1625" i="1"/>
  <c r="K1624" i="1"/>
  <c r="K1571" i="1"/>
  <c r="K1570" i="1"/>
  <c r="K1569" i="1"/>
  <c r="K1514" i="1"/>
  <c r="K1513" i="1"/>
  <c r="K1512" i="1"/>
  <c r="K1451" i="1"/>
  <c r="K1450" i="1"/>
  <c r="K1449" i="1"/>
  <c r="K1386" i="1"/>
  <c r="K1385" i="1"/>
  <c r="K1384" i="1"/>
  <c r="K1321" i="1"/>
  <c r="K1320" i="1"/>
  <c r="K1256" i="1"/>
  <c r="K1255" i="1"/>
  <c r="K1192" i="1"/>
  <c r="K1191" i="1"/>
  <c r="K1126" i="1"/>
  <c r="K1060" i="1"/>
  <c r="K1024" i="1"/>
  <c r="K995" i="1"/>
  <c r="K994" i="1"/>
  <c r="K968" i="1"/>
  <c r="K967" i="1"/>
  <c r="K943" i="1"/>
  <c r="K942" i="1"/>
  <c r="K921" i="1"/>
  <c r="K920" i="1"/>
  <c r="K899" i="1"/>
  <c r="K898" i="1"/>
  <c r="K897" i="1"/>
  <c r="K876" i="1"/>
  <c r="K875" i="1"/>
  <c r="K874" i="1"/>
  <c r="K873" i="1"/>
  <c r="K852" i="1"/>
  <c r="K851" i="1"/>
  <c r="K850" i="1"/>
  <c r="K849" i="1"/>
  <c r="K828" i="1"/>
  <c r="K827" i="1"/>
  <c r="K826" i="1"/>
  <c r="K825" i="1"/>
  <c r="K824" i="1"/>
  <c r="K802" i="1"/>
  <c r="K801" i="1"/>
  <c r="K800" i="1"/>
  <c r="K799" i="1"/>
  <c r="K798" i="1"/>
  <c r="K774" i="1"/>
  <c r="K773" i="1"/>
  <c r="K772" i="1"/>
  <c r="K771" i="1"/>
  <c r="K770" i="1"/>
  <c r="K745" i="1"/>
  <c r="K744" i="1"/>
  <c r="K743" i="1"/>
  <c r="K742" i="1"/>
  <c r="K741" i="1"/>
  <c r="K715" i="1"/>
  <c r="K714" i="1"/>
  <c r="K713" i="1"/>
  <c r="K712" i="1"/>
  <c r="K711" i="1"/>
  <c r="K710" i="1"/>
  <c r="K680" i="1"/>
  <c r="K679" i="1"/>
  <c r="K678" i="1"/>
  <c r="K677" i="1"/>
  <c r="K676" i="1"/>
  <c r="K675" i="1"/>
  <c r="K674" i="1"/>
  <c r="K673" i="1"/>
  <c r="K672" i="1"/>
  <c r="K634" i="1"/>
  <c r="K633" i="1"/>
  <c r="K632" i="1"/>
  <c r="K631" i="1"/>
  <c r="K630" i="1"/>
  <c r="K629" i="1"/>
  <c r="K628" i="1"/>
  <c r="K593" i="1"/>
  <c r="K592" i="1"/>
  <c r="K591" i="1"/>
  <c r="K590" i="1"/>
  <c r="K589" i="1"/>
  <c r="K588" i="1"/>
  <c r="K560" i="1"/>
  <c r="K559" i="1"/>
  <c r="K558" i="1"/>
  <c r="K557" i="1"/>
  <c r="K556" i="1"/>
  <c r="K555" i="1"/>
  <c r="K529" i="1"/>
  <c r="K528" i="1"/>
  <c r="K527" i="1"/>
  <c r="K526" i="1"/>
  <c r="K525" i="1"/>
  <c r="K500" i="1"/>
  <c r="K499" i="1"/>
  <c r="K498" i="1"/>
  <c r="K497" i="1"/>
  <c r="K496" i="1"/>
  <c r="K495" i="1"/>
  <c r="K470" i="1"/>
  <c r="K469" i="1"/>
  <c r="K468" i="1"/>
  <c r="K467" i="1"/>
  <c r="K466" i="1"/>
  <c r="K465" i="1"/>
  <c r="K439" i="1"/>
  <c r="K438" i="1"/>
  <c r="K437" i="1"/>
  <c r="K436" i="1"/>
  <c r="K435" i="1"/>
  <c r="K434" i="1"/>
  <c r="K406" i="1"/>
  <c r="K405" i="1"/>
  <c r="K404" i="1"/>
  <c r="K403" i="1"/>
  <c r="K373" i="1"/>
  <c r="K372" i="1"/>
  <c r="K371" i="1"/>
  <c r="K370" i="1"/>
  <c r="K338" i="1"/>
  <c r="K337" i="1"/>
  <c r="K336" i="1"/>
  <c r="K300" i="1"/>
  <c r="K299" i="1"/>
  <c r="K298" i="1"/>
  <c r="K256" i="1"/>
  <c r="K255" i="1"/>
  <c r="K254" i="1"/>
  <c r="K208" i="1"/>
  <c r="K207" i="1"/>
  <c r="K206" i="1"/>
  <c r="K156" i="1"/>
  <c r="K155" i="1"/>
  <c r="K154" i="1"/>
  <c r="K105" i="1"/>
  <c r="K104" i="1"/>
  <c r="K103" i="1"/>
  <c r="K53" i="1"/>
  <c r="K52" i="1"/>
  <c r="K51" i="1"/>
  <c r="K1623" i="1"/>
  <c r="K1622" i="1"/>
  <c r="K1621" i="1"/>
  <c r="K1620" i="1"/>
  <c r="K1619" i="1"/>
  <c r="K1618" i="1"/>
  <c r="K1568" i="1"/>
  <c r="K1567" i="1"/>
  <c r="K1566" i="1"/>
  <c r="K1565" i="1"/>
  <c r="K1564" i="1"/>
  <c r="K1563" i="1"/>
  <c r="K1511" i="1"/>
  <c r="K1510" i="1"/>
  <c r="K1509" i="1"/>
  <c r="K1508" i="1"/>
  <c r="K1507" i="1"/>
  <c r="K1506" i="1"/>
  <c r="K1505" i="1"/>
  <c r="K1448" i="1"/>
  <c r="K1447" i="1"/>
  <c r="K1446" i="1"/>
  <c r="K1445" i="1"/>
  <c r="K1444" i="1"/>
  <c r="K1443" i="1"/>
  <c r="K1442" i="1"/>
  <c r="K1383" i="1"/>
  <c r="K1382" i="1"/>
  <c r="K1381" i="1"/>
  <c r="K1380" i="1"/>
  <c r="K1379" i="1"/>
  <c r="K1378" i="1"/>
  <c r="K1319" i="1"/>
  <c r="K1318" i="1"/>
  <c r="K1317" i="1"/>
  <c r="K1316" i="1"/>
  <c r="K1315" i="1"/>
  <c r="K1254" i="1"/>
  <c r="K1253" i="1"/>
  <c r="K1252" i="1"/>
  <c r="K1251" i="1"/>
  <c r="K1190" i="1"/>
  <c r="K1189" i="1"/>
  <c r="K1188" i="1"/>
  <c r="K1187" i="1"/>
  <c r="K1125" i="1"/>
  <c r="K1124" i="1"/>
  <c r="K1123" i="1"/>
  <c r="K1059" i="1"/>
  <c r="K1058" i="1"/>
  <c r="K1057" i="1"/>
  <c r="K1023" i="1"/>
  <c r="K1022" i="1"/>
  <c r="K1021" i="1"/>
  <c r="K993" i="1"/>
  <c r="K992" i="1"/>
  <c r="K991" i="1"/>
  <c r="K990" i="1"/>
  <c r="K966" i="1"/>
  <c r="K965" i="1"/>
  <c r="K964" i="1"/>
  <c r="K963" i="1"/>
  <c r="K941" i="1"/>
  <c r="K940" i="1"/>
  <c r="K939" i="1"/>
  <c r="K938" i="1"/>
  <c r="K919" i="1"/>
  <c r="K918" i="1"/>
  <c r="K917" i="1"/>
  <c r="K916" i="1"/>
  <c r="K896" i="1"/>
  <c r="K895" i="1"/>
  <c r="K894" i="1"/>
  <c r="K893" i="1"/>
  <c r="K872" i="1"/>
  <c r="K871" i="1"/>
  <c r="K870" i="1"/>
  <c r="K869" i="1"/>
  <c r="K848" i="1"/>
  <c r="K847" i="1"/>
  <c r="K846" i="1"/>
  <c r="K845" i="1"/>
  <c r="K823" i="1"/>
  <c r="K822" i="1"/>
  <c r="K821" i="1"/>
  <c r="K820" i="1"/>
  <c r="K797" i="1"/>
  <c r="K796" i="1"/>
  <c r="K795" i="1"/>
  <c r="K794" i="1"/>
  <c r="K793" i="1"/>
  <c r="K769" i="1"/>
  <c r="K768" i="1"/>
  <c r="K767" i="1"/>
  <c r="K766" i="1"/>
  <c r="K765" i="1"/>
  <c r="K740" i="1"/>
  <c r="K739" i="1"/>
  <c r="K738" i="1"/>
  <c r="K737" i="1"/>
  <c r="K736" i="1"/>
  <c r="K709" i="1"/>
  <c r="K708" i="1"/>
  <c r="K707" i="1"/>
  <c r="K706" i="1"/>
  <c r="K705" i="1"/>
  <c r="K704" i="1"/>
  <c r="K671" i="1"/>
  <c r="K670" i="1"/>
  <c r="K669" i="1"/>
  <c r="K668" i="1"/>
  <c r="K667" i="1"/>
  <c r="K666" i="1"/>
  <c r="K665" i="1"/>
  <c r="K664" i="1"/>
  <c r="K627" i="1"/>
  <c r="K626" i="1"/>
  <c r="K625" i="1"/>
  <c r="K624" i="1"/>
  <c r="K623" i="1"/>
  <c r="K622" i="1"/>
  <c r="K587" i="1"/>
  <c r="K586" i="1"/>
  <c r="K585" i="1"/>
  <c r="K584" i="1"/>
  <c r="K583" i="1"/>
  <c r="K554" i="1"/>
  <c r="K553" i="1"/>
  <c r="K552" i="1"/>
  <c r="K551" i="1"/>
  <c r="K550" i="1"/>
  <c r="K524" i="1"/>
  <c r="K523" i="1"/>
  <c r="K522" i="1"/>
  <c r="K521" i="1"/>
  <c r="K520" i="1"/>
  <c r="K494" i="1"/>
  <c r="K493" i="1"/>
  <c r="K492" i="1"/>
  <c r="K491" i="1"/>
  <c r="K490" i="1"/>
  <c r="K464" i="1"/>
  <c r="K463" i="1"/>
  <c r="K462" i="1"/>
  <c r="K461" i="1"/>
  <c r="K460" i="1"/>
  <c r="K433" i="1"/>
  <c r="K432" i="1"/>
  <c r="K431" i="1"/>
  <c r="K430" i="1"/>
  <c r="K429" i="1"/>
  <c r="K428" i="1"/>
  <c r="K402" i="1"/>
  <c r="K401" i="1"/>
  <c r="K400" i="1"/>
  <c r="K399" i="1"/>
  <c r="K398" i="1"/>
  <c r="K397" i="1"/>
  <c r="K369" i="1"/>
  <c r="K368" i="1"/>
  <c r="K367" i="1"/>
  <c r="K366" i="1"/>
  <c r="K365" i="1"/>
  <c r="K364" i="1"/>
  <c r="K335" i="1"/>
  <c r="K334" i="1"/>
  <c r="K333" i="1"/>
  <c r="K332" i="1"/>
  <c r="K331" i="1"/>
  <c r="K330" i="1"/>
  <c r="K329" i="1"/>
  <c r="K297" i="1"/>
  <c r="K296" i="1"/>
  <c r="K295" i="1"/>
  <c r="K294" i="1"/>
  <c r="K293" i="1"/>
  <c r="K292" i="1"/>
  <c r="K253" i="1"/>
  <c r="K252" i="1"/>
  <c r="K251" i="1"/>
  <c r="K250" i="1"/>
  <c r="K249" i="1"/>
  <c r="K205" i="1"/>
  <c r="K204" i="1"/>
  <c r="K203" i="1"/>
  <c r="K202" i="1"/>
  <c r="K201" i="1"/>
  <c r="K153" i="1"/>
  <c r="K152" i="1"/>
  <c r="K151" i="1"/>
  <c r="K150" i="1"/>
  <c r="K149" i="1"/>
  <c r="K102" i="1"/>
  <c r="K101" i="1"/>
  <c r="K100" i="1"/>
  <c r="K99" i="1"/>
  <c r="K98" i="1"/>
  <c r="K50" i="1"/>
  <c r="K49" i="1"/>
  <c r="K48" i="1"/>
  <c r="K47" i="1"/>
  <c r="K46" i="1"/>
  <c r="K1617" i="1"/>
  <c r="K1616" i="1"/>
  <c r="K1615" i="1"/>
  <c r="K1614" i="1"/>
  <c r="K1613" i="1"/>
  <c r="K1612" i="1"/>
  <c r="K1611" i="1"/>
  <c r="K1610" i="1"/>
  <c r="K1562" i="1"/>
  <c r="K1561" i="1"/>
  <c r="K1560" i="1"/>
  <c r="K1559" i="1"/>
  <c r="K1558" i="1"/>
  <c r="K1557" i="1"/>
  <c r="K1556" i="1"/>
  <c r="K1555" i="1"/>
  <c r="K1554" i="1"/>
  <c r="K1504" i="1"/>
  <c r="K1503" i="1"/>
  <c r="K1502" i="1"/>
  <c r="K1501" i="1"/>
  <c r="K1500" i="1"/>
  <c r="K1499" i="1"/>
  <c r="K1498" i="1"/>
  <c r="K1497" i="1"/>
  <c r="K1496" i="1"/>
  <c r="K1495" i="1"/>
  <c r="K1441" i="1"/>
  <c r="K1440" i="1"/>
  <c r="K1439" i="1"/>
  <c r="K1438" i="1"/>
  <c r="K1437" i="1"/>
  <c r="K1436" i="1"/>
  <c r="K1435" i="1"/>
  <c r="K1434" i="1"/>
  <c r="K1433" i="1"/>
  <c r="K1432" i="1"/>
  <c r="K1431" i="1"/>
  <c r="K1377" i="1"/>
  <c r="K1376" i="1"/>
  <c r="K1375" i="1"/>
  <c r="K1374" i="1"/>
  <c r="K1373" i="1"/>
  <c r="K1372" i="1"/>
  <c r="K1371" i="1"/>
  <c r="K1370" i="1"/>
  <c r="K1369" i="1"/>
  <c r="K1314" i="1"/>
  <c r="K1313" i="1"/>
  <c r="K1312" i="1"/>
  <c r="K1311" i="1"/>
  <c r="K1310" i="1"/>
  <c r="K1309" i="1"/>
  <c r="K1308" i="1"/>
  <c r="K1250" i="1"/>
  <c r="K1249" i="1"/>
  <c r="K1248" i="1"/>
  <c r="K1247" i="1"/>
  <c r="K1246" i="1"/>
  <c r="K1245" i="1"/>
  <c r="K1186" i="1"/>
  <c r="K1185" i="1"/>
  <c r="K1184" i="1"/>
  <c r="K1183" i="1"/>
  <c r="K1182" i="1"/>
  <c r="K1181" i="1"/>
  <c r="K1122" i="1"/>
  <c r="K1121" i="1"/>
  <c r="K1120" i="1"/>
  <c r="K1119" i="1"/>
  <c r="K1118" i="1"/>
  <c r="K1056" i="1"/>
  <c r="K1055" i="1"/>
  <c r="K1054" i="1"/>
  <c r="K1053" i="1"/>
  <c r="K1052" i="1"/>
  <c r="K1020" i="1"/>
  <c r="K1019" i="1"/>
  <c r="K1018" i="1"/>
  <c r="K1017" i="1"/>
  <c r="K1016" i="1"/>
  <c r="K989" i="1"/>
  <c r="K988" i="1"/>
  <c r="K987" i="1"/>
  <c r="K986" i="1"/>
  <c r="K985" i="1"/>
  <c r="K962" i="1"/>
  <c r="K961" i="1"/>
  <c r="K960" i="1"/>
  <c r="K959" i="1"/>
  <c r="K937" i="1"/>
  <c r="K936" i="1"/>
  <c r="K935" i="1"/>
  <c r="K934" i="1"/>
  <c r="K915" i="1"/>
  <c r="K914" i="1"/>
  <c r="K913" i="1"/>
  <c r="K912" i="1"/>
  <c r="K892" i="1"/>
  <c r="K891" i="1"/>
  <c r="K890" i="1"/>
  <c r="K889" i="1"/>
  <c r="K868" i="1"/>
  <c r="K867" i="1"/>
  <c r="K866" i="1"/>
  <c r="K865" i="1"/>
  <c r="K844" i="1"/>
  <c r="K843" i="1"/>
  <c r="K842" i="1"/>
  <c r="K841" i="1"/>
  <c r="K819" i="1"/>
  <c r="K818" i="1"/>
  <c r="K817" i="1"/>
  <c r="K816" i="1"/>
  <c r="K792" i="1"/>
  <c r="K791" i="1"/>
  <c r="K790" i="1"/>
  <c r="K789" i="1"/>
  <c r="K764" i="1"/>
  <c r="K763" i="1"/>
  <c r="K762" i="1"/>
  <c r="K761" i="1"/>
  <c r="K735" i="1"/>
  <c r="K734" i="1"/>
  <c r="K733" i="1"/>
  <c r="K732" i="1"/>
  <c r="K731" i="1"/>
  <c r="K703" i="1"/>
  <c r="K702" i="1"/>
  <c r="K701" i="1"/>
  <c r="K700" i="1"/>
  <c r="K699" i="1"/>
  <c r="K663" i="1"/>
  <c r="K662" i="1"/>
  <c r="K661" i="1"/>
  <c r="K660" i="1"/>
  <c r="K659" i="1"/>
  <c r="K658" i="1"/>
  <c r="K657" i="1"/>
  <c r="K621" i="1"/>
  <c r="K620" i="1"/>
  <c r="K619" i="1"/>
  <c r="K618" i="1"/>
  <c r="K617" i="1"/>
  <c r="K616" i="1"/>
  <c r="K582" i="1"/>
  <c r="K581" i="1"/>
  <c r="K580" i="1"/>
  <c r="K579" i="1"/>
  <c r="K578" i="1"/>
  <c r="K549" i="1"/>
  <c r="K548" i="1"/>
  <c r="K547" i="1"/>
  <c r="K546" i="1"/>
  <c r="K545" i="1"/>
  <c r="K519" i="1"/>
  <c r="K518" i="1"/>
  <c r="K517" i="1"/>
  <c r="K516" i="1"/>
  <c r="K489" i="1"/>
  <c r="K488" i="1"/>
  <c r="K487" i="1"/>
  <c r="K486" i="1"/>
  <c r="K459" i="1"/>
  <c r="K458" i="1"/>
  <c r="K457" i="1"/>
  <c r="K456" i="1"/>
  <c r="K455" i="1"/>
  <c r="K427" i="1"/>
  <c r="K426" i="1"/>
  <c r="K425" i="1"/>
  <c r="K424" i="1"/>
  <c r="K423" i="1"/>
  <c r="K396" i="1"/>
  <c r="K395" i="1"/>
  <c r="K394" i="1"/>
  <c r="K393" i="1"/>
  <c r="K392" i="1"/>
  <c r="K363" i="1"/>
  <c r="K362" i="1"/>
  <c r="K361" i="1"/>
  <c r="K360" i="1"/>
  <c r="K359" i="1"/>
  <c r="K358" i="1"/>
  <c r="K328" i="1"/>
  <c r="K327" i="1"/>
  <c r="K326" i="1"/>
  <c r="K325" i="1"/>
  <c r="K324" i="1"/>
  <c r="K323" i="1"/>
  <c r="K291" i="1"/>
  <c r="K290" i="1"/>
  <c r="K289" i="1"/>
  <c r="K288" i="1"/>
  <c r="K287" i="1"/>
  <c r="K286" i="1"/>
  <c r="K285" i="1"/>
  <c r="K248" i="1"/>
  <c r="K247" i="1"/>
  <c r="K246" i="1"/>
  <c r="K245" i="1"/>
  <c r="K244" i="1"/>
  <c r="K243" i="1"/>
  <c r="K242" i="1"/>
  <c r="K241" i="1"/>
  <c r="K200" i="1"/>
  <c r="K199" i="1"/>
  <c r="K198" i="1"/>
  <c r="K197" i="1"/>
  <c r="K196" i="1"/>
  <c r="K195" i="1"/>
  <c r="K194" i="1"/>
  <c r="K193" i="1"/>
  <c r="K148" i="1"/>
  <c r="K147" i="1"/>
  <c r="K146" i="1"/>
  <c r="K145" i="1"/>
  <c r="K144" i="1"/>
  <c r="K143" i="1"/>
  <c r="K142" i="1"/>
  <c r="K97" i="1"/>
  <c r="K96" i="1"/>
  <c r="K95" i="1"/>
  <c r="K94" i="1"/>
  <c r="K93" i="1"/>
  <c r="K92" i="1"/>
  <c r="K91" i="1"/>
  <c r="K90" i="1"/>
  <c r="K45" i="1"/>
  <c r="K44" i="1"/>
  <c r="K43" i="1"/>
  <c r="K42" i="1"/>
  <c r="K41" i="1"/>
  <c r="K40" i="1"/>
  <c r="K39" i="1"/>
  <c r="K38" i="1"/>
  <c r="K1609" i="1"/>
  <c r="K1608" i="1"/>
  <c r="K1607" i="1"/>
  <c r="K1606" i="1"/>
  <c r="K1605" i="1"/>
  <c r="K1604" i="1"/>
  <c r="K1603" i="1"/>
  <c r="K1602" i="1"/>
  <c r="K1601" i="1"/>
  <c r="K1600" i="1"/>
  <c r="K1553" i="1"/>
  <c r="K1552" i="1"/>
  <c r="K1551" i="1"/>
  <c r="K1550" i="1"/>
  <c r="K1549" i="1"/>
  <c r="K1548" i="1"/>
  <c r="K1547" i="1"/>
  <c r="K1546" i="1"/>
  <c r="K1545" i="1"/>
  <c r="K1544" i="1"/>
  <c r="K1543" i="1"/>
  <c r="K1494" i="1"/>
  <c r="K1493" i="1"/>
  <c r="K1492" i="1"/>
  <c r="K1491" i="1"/>
  <c r="K1490" i="1"/>
  <c r="K1489" i="1"/>
  <c r="K1488" i="1"/>
  <c r="K1487" i="1"/>
  <c r="K1486" i="1"/>
  <c r="K1485" i="1"/>
  <c r="K1484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07" i="1"/>
  <c r="K1306" i="1"/>
  <c r="K1305" i="1"/>
  <c r="K1304" i="1"/>
  <c r="K1303" i="1"/>
  <c r="K1302" i="1"/>
  <c r="K1301" i="1"/>
  <c r="K1300" i="1"/>
  <c r="K1299" i="1"/>
  <c r="K1298" i="1"/>
  <c r="K1244" i="1"/>
  <c r="K1243" i="1"/>
  <c r="K1242" i="1"/>
  <c r="K1241" i="1"/>
  <c r="K1240" i="1"/>
  <c r="K1239" i="1"/>
  <c r="K1238" i="1"/>
  <c r="K1237" i="1"/>
  <c r="K1236" i="1"/>
  <c r="K1180" i="1"/>
  <c r="K1179" i="1"/>
  <c r="K1178" i="1"/>
  <c r="K1177" i="1"/>
  <c r="K1176" i="1"/>
  <c r="K1175" i="1"/>
  <c r="K1174" i="1"/>
  <c r="K1173" i="1"/>
  <c r="K1117" i="1"/>
  <c r="K1116" i="1"/>
  <c r="K1115" i="1"/>
  <c r="K1114" i="1"/>
  <c r="K1113" i="1"/>
  <c r="K1112" i="1"/>
  <c r="K1111" i="1"/>
  <c r="K1051" i="1"/>
  <c r="K1050" i="1"/>
  <c r="K1049" i="1"/>
  <c r="K1048" i="1"/>
  <c r="K1047" i="1"/>
  <c r="K1046" i="1"/>
  <c r="K1045" i="1"/>
  <c r="K1015" i="1"/>
  <c r="K1014" i="1"/>
  <c r="K1013" i="1"/>
  <c r="K1012" i="1"/>
  <c r="K1011" i="1"/>
  <c r="K984" i="1"/>
  <c r="K983" i="1"/>
  <c r="K982" i="1"/>
  <c r="K981" i="1"/>
  <c r="K958" i="1"/>
  <c r="K957" i="1"/>
  <c r="K956" i="1"/>
  <c r="K955" i="1"/>
  <c r="K933" i="1"/>
  <c r="K932" i="1"/>
  <c r="K931" i="1"/>
  <c r="K911" i="1"/>
  <c r="K910" i="1"/>
  <c r="K909" i="1"/>
  <c r="K888" i="1"/>
  <c r="K887" i="1"/>
  <c r="K886" i="1"/>
  <c r="K864" i="1"/>
  <c r="K863" i="1"/>
  <c r="K862" i="1"/>
  <c r="K840" i="1"/>
  <c r="K839" i="1"/>
  <c r="K838" i="1"/>
  <c r="K815" i="1"/>
  <c r="K814" i="1"/>
  <c r="K813" i="1"/>
  <c r="K788" i="1"/>
  <c r="K787" i="1"/>
  <c r="K786" i="1"/>
  <c r="K785" i="1"/>
  <c r="K760" i="1"/>
  <c r="K759" i="1"/>
  <c r="K758" i="1"/>
  <c r="K757" i="1"/>
  <c r="K730" i="1"/>
  <c r="K729" i="1"/>
  <c r="K728" i="1"/>
  <c r="K727" i="1"/>
  <c r="K698" i="1"/>
  <c r="K697" i="1"/>
  <c r="K696" i="1"/>
  <c r="K695" i="1"/>
  <c r="K694" i="1"/>
  <c r="K656" i="1"/>
  <c r="K655" i="1"/>
  <c r="K654" i="1"/>
  <c r="K653" i="1"/>
  <c r="K652" i="1"/>
  <c r="K651" i="1"/>
  <c r="K615" i="1"/>
  <c r="K614" i="1"/>
  <c r="K613" i="1"/>
  <c r="K612" i="1"/>
  <c r="K611" i="1"/>
  <c r="K577" i="1"/>
  <c r="K576" i="1"/>
  <c r="K575" i="1"/>
  <c r="K574" i="1"/>
  <c r="K544" i="1"/>
  <c r="K543" i="1"/>
  <c r="K542" i="1"/>
  <c r="K541" i="1"/>
  <c r="K515" i="1"/>
  <c r="K514" i="1"/>
  <c r="K513" i="1"/>
  <c r="K512" i="1"/>
  <c r="K485" i="1"/>
  <c r="K484" i="1"/>
  <c r="K483" i="1"/>
  <c r="K482" i="1"/>
  <c r="K454" i="1"/>
  <c r="K453" i="1"/>
  <c r="K452" i="1"/>
  <c r="K451" i="1"/>
  <c r="K422" i="1"/>
  <c r="K421" i="1"/>
  <c r="K420" i="1"/>
  <c r="K419" i="1"/>
  <c r="K391" i="1"/>
  <c r="K390" i="1"/>
  <c r="K389" i="1"/>
  <c r="K388" i="1"/>
  <c r="K387" i="1"/>
  <c r="K357" i="1"/>
  <c r="K356" i="1"/>
  <c r="K355" i="1"/>
  <c r="K354" i="1"/>
  <c r="K353" i="1"/>
  <c r="K322" i="1"/>
  <c r="K321" i="1"/>
  <c r="K320" i="1"/>
  <c r="K319" i="1"/>
  <c r="K318" i="1"/>
  <c r="K317" i="1"/>
  <c r="K284" i="1"/>
  <c r="K283" i="1"/>
  <c r="K282" i="1"/>
  <c r="K281" i="1"/>
  <c r="K280" i="1"/>
  <c r="K279" i="1"/>
  <c r="K278" i="1"/>
  <c r="K240" i="1"/>
  <c r="K239" i="1"/>
  <c r="K238" i="1"/>
  <c r="K237" i="1"/>
  <c r="K236" i="1"/>
  <c r="K235" i="1"/>
  <c r="K234" i="1"/>
  <c r="K233" i="1"/>
  <c r="K192" i="1"/>
  <c r="K191" i="1"/>
  <c r="K190" i="1"/>
  <c r="K189" i="1"/>
  <c r="K188" i="1"/>
  <c r="K187" i="1"/>
  <c r="K186" i="1"/>
  <c r="K185" i="1"/>
  <c r="K184" i="1"/>
  <c r="K141" i="1"/>
  <c r="K140" i="1"/>
  <c r="K139" i="1"/>
  <c r="K138" i="1"/>
  <c r="K137" i="1"/>
  <c r="K136" i="1"/>
  <c r="K135" i="1"/>
  <c r="K134" i="1"/>
  <c r="K133" i="1"/>
  <c r="K89" i="1"/>
  <c r="K88" i="1"/>
  <c r="K87" i="1"/>
  <c r="K86" i="1"/>
  <c r="K85" i="1"/>
  <c r="K84" i="1"/>
  <c r="K83" i="1"/>
  <c r="K82" i="1"/>
  <c r="K81" i="1"/>
  <c r="K37" i="1"/>
  <c r="K36" i="1"/>
  <c r="K35" i="1"/>
  <c r="K34" i="1"/>
  <c r="K33" i="1"/>
  <c r="K32" i="1"/>
  <c r="K31" i="1"/>
  <c r="K30" i="1"/>
  <c r="K29" i="1"/>
  <c r="K1599" i="1"/>
  <c r="K1598" i="1"/>
  <c r="K1597" i="1"/>
  <c r="K1596" i="1"/>
  <c r="K1595" i="1"/>
  <c r="K1594" i="1"/>
  <c r="K1593" i="1"/>
  <c r="K1592" i="1"/>
  <c r="K1591" i="1"/>
  <c r="K1542" i="1"/>
  <c r="K1541" i="1"/>
  <c r="K1540" i="1"/>
  <c r="K1539" i="1"/>
  <c r="K1538" i="1"/>
  <c r="K1537" i="1"/>
  <c r="K1536" i="1"/>
  <c r="K1535" i="1"/>
  <c r="K1534" i="1"/>
  <c r="K1483" i="1"/>
  <c r="K1482" i="1"/>
  <c r="K1481" i="1"/>
  <c r="K1480" i="1"/>
  <c r="K1479" i="1"/>
  <c r="K1478" i="1"/>
  <c r="K1477" i="1"/>
  <c r="K1476" i="1"/>
  <c r="K1475" i="1"/>
  <c r="K1474" i="1"/>
  <c r="K1418" i="1"/>
  <c r="K1417" i="1"/>
  <c r="K1416" i="1"/>
  <c r="K1415" i="1"/>
  <c r="K1414" i="1"/>
  <c r="K1413" i="1"/>
  <c r="K1412" i="1"/>
  <c r="K1411" i="1"/>
  <c r="K1410" i="1"/>
  <c r="K1409" i="1"/>
  <c r="K1356" i="1"/>
  <c r="K1355" i="1"/>
  <c r="K1354" i="1"/>
  <c r="K1353" i="1"/>
  <c r="K1352" i="1"/>
  <c r="K1351" i="1"/>
  <c r="K1350" i="1"/>
  <c r="K1349" i="1"/>
  <c r="K1348" i="1"/>
  <c r="K1347" i="1"/>
  <c r="K1346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172" i="1"/>
  <c r="K1171" i="1"/>
  <c r="K1170" i="1"/>
  <c r="K1169" i="1"/>
  <c r="K1168" i="1"/>
  <c r="K1167" i="1"/>
  <c r="K1166" i="1"/>
  <c r="K1165" i="1"/>
  <c r="K1164" i="1"/>
  <c r="K1163" i="1"/>
  <c r="K1162" i="1"/>
  <c r="K1110" i="1"/>
  <c r="K1109" i="1"/>
  <c r="K1108" i="1"/>
  <c r="K1107" i="1"/>
  <c r="K1106" i="1"/>
  <c r="K1105" i="1"/>
  <c r="K1104" i="1"/>
  <c r="K1103" i="1"/>
  <c r="K1102" i="1"/>
  <c r="K1101" i="1"/>
  <c r="K1044" i="1"/>
  <c r="K1043" i="1"/>
  <c r="K1042" i="1"/>
  <c r="K1041" i="1"/>
  <c r="K1040" i="1"/>
  <c r="K1039" i="1"/>
  <c r="K1010" i="1"/>
  <c r="K1009" i="1"/>
  <c r="K1008" i="1"/>
  <c r="K1007" i="1"/>
  <c r="K1006" i="1"/>
  <c r="K980" i="1"/>
  <c r="K979" i="1"/>
  <c r="K978" i="1"/>
  <c r="K977" i="1"/>
  <c r="K954" i="1"/>
  <c r="K953" i="1"/>
  <c r="K952" i="1"/>
  <c r="K930" i="1"/>
  <c r="K929" i="1"/>
  <c r="K928" i="1"/>
  <c r="K908" i="1"/>
  <c r="K907" i="1"/>
  <c r="K906" i="1"/>
  <c r="K885" i="1"/>
  <c r="K884" i="1"/>
  <c r="K883" i="1"/>
  <c r="K861" i="1"/>
  <c r="K860" i="1"/>
  <c r="K859" i="1"/>
  <c r="K837" i="1"/>
  <c r="K836" i="1"/>
  <c r="K835" i="1"/>
  <c r="K812" i="1"/>
  <c r="K811" i="1"/>
  <c r="K810" i="1"/>
  <c r="K784" i="1"/>
  <c r="K783" i="1"/>
  <c r="K782" i="1"/>
  <c r="K756" i="1"/>
  <c r="K755" i="1"/>
  <c r="K754" i="1"/>
  <c r="K726" i="1"/>
  <c r="K725" i="1"/>
  <c r="K724" i="1"/>
  <c r="K693" i="1"/>
  <c r="K692" i="1"/>
  <c r="K691" i="1"/>
  <c r="K690" i="1"/>
  <c r="K650" i="1"/>
  <c r="K649" i="1"/>
  <c r="K648" i="1"/>
  <c r="K647" i="1"/>
  <c r="K646" i="1"/>
  <c r="K610" i="1"/>
  <c r="K609" i="1"/>
  <c r="K608" i="1"/>
  <c r="K607" i="1"/>
  <c r="K606" i="1"/>
  <c r="K573" i="1"/>
  <c r="K572" i="1"/>
  <c r="K571" i="1"/>
  <c r="K570" i="1"/>
  <c r="K540" i="1"/>
  <c r="K539" i="1"/>
  <c r="K538" i="1"/>
  <c r="K511" i="1"/>
  <c r="K510" i="1"/>
  <c r="K509" i="1"/>
  <c r="K481" i="1"/>
  <c r="K480" i="1"/>
  <c r="K479" i="1"/>
  <c r="K450" i="1"/>
  <c r="K449" i="1"/>
  <c r="K448" i="1"/>
  <c r="K418" i="1"/>
  <c r="K417" i="1"/>
  <c r="K416" i="1"/>
  <c r="K415" i="1"/>
  <c r="K386" i="1"/>
  <c r="K385" i="1"/>
  <c r="K384" i="1"/>
  <c r="K383" i="1"/>
  <c r="K352" i="1"/>
  <c r="K351" i="1"/>
  <c r="K350" i="1"/>
  <c r="K349" i="1"/>
  <c r="K316" i="1"/>
  <c r="K315" i="1"/>
  <c r="K314" i="1"/>
  <c r="K313" i="1"/>
  <c r="K312" i="1"/>
  <c r="K277" i="1"/>
  <c r="K276" i="1"/>
  <c r="K275" i="1"/>
  <c r="K274" i="1"/>
  <c r="K273" i="1"/>
  <c r="K272" i="1"/>
  <c r="K232" i="1"/>
  <c r="K231" i="1"/>
  <c r="K230" i="1"/>
  <c r="K229" i="1"/>
  <c r="K228" i="1"/>
  <c r="K227" i="1"/>
  <c r="K226" i="1"/>
  <c r="K183" i="1"/>
  <c r="K182" i="1"/>
  <c r="K181" i="1"/>
  <c r="K180" i="1"/>
  <c r="K179" i="1"/>
  <c r="K178" i="1"/>
  <c r="K177" i="1"/>
  <c r="K176" i="1"/>
  <c r="K175" i="1"/>
  <c r="K132" i="1"/>
  <c r="K131" i="1"/>
  <c r="K130" i="1"/>
  <c r="K129" i="1"/>
  <c r="K128" i="1"/>
  <c r="K127" i="1"/>
  <c r="K126" i="1"/>
  <c r="K125" i="1"/>
  <c r="K124" i="1"/>
  <c r="K80" i="1"/>
  <c r="K79" i="1"/>
  <c r="K78" i="1"/>
  <c r="K77" i="1"/>
  <c r="K76" i="1"/>
  <c r="K75" i="1"/>
  <c r="K74" i="1"/>
  <c r="K73" i="1"/>
  <c r="K28" i="1"/>
  <c r="K27" i="1"/>
  <c r="K26" i="1"/>
  <c r="K25" i="1"/>
  <c r="K24" i="1"/>
  <c r="K23" i="1"/>
  <c r="K22" i="1"/>
  <c r="K21" i="1"/>
  <c r="K1590" i="1"/>
  <c r="K1589" i="1"/>
  <c r="K1588" i="1"/>
  <c r="K1587" i="1"/>
  <c r="K1586" i="1"/>
  <c r="K1585" i="1"/>
  <c r="K1584" i="1"/>
  <c r="K1533" i="1"/>
  <c r="K1532" i="1"/>
  <c r="K1531" i="1"/>
  <c r="K1530" i="1"/>
  <c r="K1529" i="1"/>
  <c r="K1528" i="1"/>
  <c r="K1527" i="1"/>
  <c r="K1473" i="1"/>
  <c r="K1472" i="1"/>
  <c r="K1471" i="1"/>
  <c r="K1470" i="1"/>
  <c r="K1469" i="1"/>
  <c r="K1468" i="1"/>
  <c r="K1467" i="1"/>
  <c r="K1466" i="1"/>
  <c r="K1408" i="1"/>
  <c r="K1407" i="1"/>
  <c r="K1406" i="1"/>
  <c r="K1405" i="1"/>
  <c r="K1404" i="1"/>
  <c r="K1403" i="1"/>
  <c r="K1402" i="1"/>
  <c r="K1401" i="1"/>
  <c r="K1345" i="1"/>
  <c r="K1344" i="1"/>
  <c r="K1343" i="1"/>
  <c r="K1342" i="1"/>
  <c r="K1341" i="1"/>
  <c r="K1340" i="1"/>
  <c r="K1339" i="1"/>
  <c r="K1338" i="1"/>
  <c r="K1337" i="1"/>
  <c r="K1284" i="1"/>
  <c r="K1283" i="1"/>
  <c r="K1282" i="1"/>
  <c r="K1281" i="1"/>
  <c r="K1280" i="1"/>
  <c r="K1279" i="1"/>
  <c r="K1278" i="1"/>
  <c r="K1277" i="1"/>
  <c r="K1276" i="1"/>
  <c r="K1275" i="1"/>
  <c r="K1222" i="1"/>
  <c r="K1221" i="1"/>
  <c r="K1220" i="1"/>
  <c r="K1219" i="1"/>
  <c r="K1218" i="1"/>
  <c r="K1217" i="1"/>
  <c r="K1216" i="1"/>
  <c r="K1215" i="1"/>
  <c r="K1214" i="1"/>
  <c r="K1213" i="1"/>
  <c r="K121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38" i="1"/>
  <c r="K1037" i="1"/>
  <c r="K1036" i="1"/>
  <c r="K1035" i="1"/>
  <c r="K1034" i="1"/>
  <c r="K1005" i="1"/>
  <c r="K1004" i="1"/>
  <c r="K1003" i="1"/>
  <c r="K1002" i="1"/>
  <c r="K976" i="1"/>
  <c r="K975" i="1"/>
  <c r="K974" i="1"/>
  <c r="K951" i="1"/>
  <c r="K950" i="1"/>
  <c r="K949" i="1"/>
  <c r="K927" i="1"/>
  <c r="K926" i="1"/>
  <c r="K905" i="1"/>
  <c r="K904" i="1"/>
  <c r="K882" i="1"/>
  <c r="K881" i="1"/>
  <c r="K858" i="1"/>
  <c r="K857" i="1"/>
  <c r="K834" i="1"/>
  <c r="K833" i="1"/>
  <c r="K809" i="1"/>
  <c r="K808" i="1"/>
  <c r="K781" i="1"/>
  <c r="K780" i="1"/>
  <c r="K753" i="1"/>
  <c r="K752" i="1"/>
  <c r="K751" i="1"/>
  <c r="K723" i="1"/>
  <c r="K722" i="1"/>
  <c r="K721" i="1"/>
  <c r="K689" i="1"/>
  <c r="K688" i="1"/>
  <c r="K687" i="1"/>
  <c r="K645" i="1"/>
  <c r="K644" i="1"/>
  <c r="K643" i="1"/>
  <c r="K642" i="1"/>
  <c r="K605" i="1"/>
  <c r="K604" i="1"/>
  <c r="K603" i="1"/>
  <c r="K602" i="1"/>
  <c r="K569" i="1"/>
  <c r="K568" i="1"/>
  <c r="K567" i="1"/>
  <c r="K537" i="1"/>
  <c r="K536" i="1"/>
  <c r="K535" i="1"/>
  <c r="K508" i="1"/>
  <c r="K507" i="1"/>
  <c r="K506" i="1"/>
  <c r="K478" i="1"/>
  <c r="K477" i="1"/>
  <c r="K476" i="1"/>
  <c r="K447" i="1"/>
  <c r="K446" i="1"/>
  <c r="K445" i="1"/>
  <c r="K414" i="1"/>
  <c r="K413" i="1"/>
  <c r="K412" i="1"/>
  <c r="K382" i="1"/>
  <c r="K381" i="1"/>
  <c r="K380" i="1"/>
  <c r="K348" i="1"/>
  <c r="K347" i="1"/>
  <c r="K346" i="1"/>
  <c r="K345" i="1"/>
  <c r="K311" i="1"/>
  <c r="K310" i="1"/>
  <c r="K309" i="1"/>
  <c r="K308" i="1"/>
  <c r="K271" i="1"/>
  <c r="K270" i="1"/>
  <c r="K269" i="1"/>
  <c r="K268" i="1"/>
  <c r="K267" i="1"/>
  <c r="K225" i="1"/>
  <c r="K224" i="1"/>
  <c r="K223" i="1"/>
  <c r="K222" i="1"/>
  <c r="K221" i="1"/>
  <c r="K220" i="1"/>
  <c r="K174" i="1"/>
  <c r="K173" i="1"/>
  <c r="K172" i="1"/>
  <c r="K171" i="1"/>
  <c r="K170" i="1"/>
  <c r="K169" i="1"/>
  <c r="K168" i="1"/>
  <c r="K123" i="1"/>
  <c r="K122" i="1"/>
  <c r="K121" i="1"/>
  <c r="K120" i="1"/>
  <c r="K119" i="1"/>
  <c r="K118" i="1"/>
  <c r="K117" i="1"/>
  <c r="K72" i="1"/>
  <c r="K71" i="1"/>
  <c r="K70" i="1"/>
  <c r="K69" i="1"/>
  <c r="K68" i="1"/>
  <c r="K67" i="1"/>
  <c r="K66" i="1"/>
  <c r="K20" i="1"/>
  <c r="K19" i="1"/>
  <c r="K18" i="1"/>
  <c r="K17" i="1"/>
  <c r="K16" i="1"/>
  <c r="K15" i="1"/>
  <c r="K14" i="1"/>
  <c r="K1583" i="1"/>
  <c r="K1582" i="1"/>
  <c r="K1581" i="1"/>
  <c r="K1580" i="1"/>
  <c r="K1579" i="1"/>
  <c r="K1526" i="1"/>
  <c r="K1525" i="1"/>
  <c r="K1524" i="1"/>
  <c r="K1523" i="1"/>
  <c r="K1522" i="1"/>
  <c r="K1465" i="1"/>
  <c r="K1464" i="1"/>
  <c r="K1463" i="1"/>
  <c r="K1462" i="1"/>
  <c r="K1461" i="1"/>
  <c r="K1460" i="1"/>
  <c r="K1400" i="1"/>
  <c r="K1399" i="1"/>
  <c r="K1398" i="1"/>
  <c r="K1397" i="1"/>
  <c r="K1396" i="1"/>
  <c r="K1395" i="1"/>
  <c r="K1336" i="1"/>
  <c r="K1335" i="1"/>
  <c r="K1334" i="1"/>
  <c r="K1333" i="1"/>
  <c r="K1332" i="1"/>
  <c r="K1331" i="1"/>
  <c r="K1330" i="1"/>
  <c r="K1274" i="1"/>
  <c r="K1273" i="1"/>
  <c r="K1272" i="1"/>
  <c r="K1271" i="1"/>
  <c r="K1270" i="1"/>
  <c r="K1269" i="1"/>
  <c r="K1268" i="1"/>
  <c r="K1267" i="1"/>
  <c r="K1211" i="1"/>
  <c r="K1210" i="1"/>
  <c r="K1209" i="1"/>
  <c r="K1208" i="1"/>
  <c r="K1207" i="1"/>
  <c r="K1206" i="1"/>
  <c r="K1205" i="1"/>
  <c r="K1204" i="1"/>
  <c r="K1203" i="1"/>
  <c r="K1148" i="1"/>
  <c r="K1147" i="1"/>
  <c r="K1146" i="1"/>
  <c r="K1145" i="1"/>
  <c r="K1144" i="1"/>
  <c r="K1143" i="1"/>
  <c r="K1142" i="1"/>
  <c r="K1141" i="1"/>
  <c r="K1140" i="1"/>
  <c r="K1139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33" i="1"/>
  <c r="K1032" i="1"/>
  <c r="K1031" i="1"/>
  <c r="K1030" i="1"/>
  <c r="K1001" i="1"/>
  <c r="K1000" i="1"/>
  <c r="K999" i="1"/>
  <c r="K973" i="1"/>
  <c r="K972" i="1"/>
  <c r="K948" i="1"/>
  <c r="K947" i="1"/>
  <c r="K925" i="1"/>
  <c r="K924" i="1"/>
  <c r="K903" i="1"/>
  <c r="K902" i="1"/>
  <c r="K880" i="1"/>
  <c r="K879" i="1"/>
  <c r="K856" i="1"/>
  <c r="K855" i="1"/>
  <c r="K832" i="1"/>
  <c r="K831" i="1"/>
  <c r="K807" i="1"/>
  <c r="K806" i="1"/>
  <c r="K779" i="1"/>
  <c r="K778" i="1"/>
  <c r="K750" i="1"/>
  <c r="K749" i="1"/>
  <c r="K720" i="1"/>
  <c r="K719" i="1"/>
  <c r="K686" i="1"/>
  <c r="K685" i="1"/>
  <c r="K684" i="1"/>
  <c r="K641" i="1"/>
  <c r="K640" i="1"/>
  <c r="K639" i="1"/>
  <c r="K601" i="1"/>
  <c r="K600" i="1"/>
  <c r="K599" i="1"/>
  <c r="K566" i="1"/>
  <c r="K565" i="1"/>
  <c r="K564" i="1"/>
  <c r="K534" i="1"/>
  <c r="K533" i="1"/>
  <c r="K505" i="1"/>
  <c r="K504" i="1"/>
  <c r="K475" i="1"/>
  <c r="K474" i="1"/>
  <c r="K444" i="1"/>
  <c r="K443" i="1"/>
  <c r="K411" i="1"/>
  <c r="K410" i="1"/>
  <c r="K379" i="1"/>
  <c r="K378" i="1"/>
  <c r="K377" i="1"/>
  <c r="K344" i="1"/>
  <c r="K343" i="1"/>
  <c r="K342" i="1"/>
  <c r="K307" i="1"/>
  <c r="K306" i="1"/>
  <c r="K305" i="1"/>
  <c r="K266" i="1"/>
  <c r="K265" i="1"/>
  <c r="K264" i="1"/>
  <c r="K263" i="1"/>
  <c r="K219" i="1"/>
  <c r="K218" i="1"/>
  <c r="K217" i="1"/>
  <c r="K216" i="1"/>
  <c r="K215" i="1"/>
  <c r="K167" i="1"/>
  <c r="K166" i="1"/>
  <c r="K165" i="1"/>
  <c r="K164" i="1"/>
  <c r="K163" i="1"/>
  <c r="K116" i="1"/>
  <c r="K115" i="1"/>
  <c r="K114" i="1"/>
  <c r="K113" i="1"/>
  <c r="K112" i="1"/>
  <c r="K65" i="1"/>
  <c r="K64" i="1"/>
  <c r="K63" i="1"/>
  <c r="K62" i="1"/>
  <c r="K61" i="1"/>
  <c r="K13" i="1"/>
  <c r="K12" i="1"/>
  <c r="K11" i="1"/>
  <c r="K10" i="1"/>
  <c r="K9" i="1"/>
  <c r="K1578" i="1"/>
  <c r="K1577" i="1"/>
  <c r="K1576" i="1"/>
  <c r="K1575" i="1"/>
  <c r="K1521" i="1"/>
  <c r="K1520" i="1"/>
  <c r="K1519" i="1"/>
  <c r="K1518" i="1"/>
  <c r="K1459" i="1"/>
  <c r="K1458" i="1"/>
  <c r="K1457" i="1"/>
  <c r="K1456" i="1"/>
  <c r="K1455" i="1"/>
  <c r="K1394" i="1"/>
  <c r="K1393" i="1"/>
  <c r="K1392" i="1"/>
  <c r="K1391" i="1"/>
  <c r="K1390" i="1"/>
  <c r="K1329" i="1"/>
  <c r="K1328" i="1"/>
  <c r="K1327" i="1"/>
  <c r="K1326" i="1"/>
  <c r="K1325" i="1"/>
  <c r="K1266" i="1"/>
  <c r="K1265" i="1"/>
  <c r="K1264" i="1"/>
  <c r="K1263" i="1"/>
  <c r="K1262" i="1"/>
  <c r="K1261" i="1"/>
  <c r="K1202" i="1"/>
  <c r="K1201" i="1"/>
  <c r="K1200" i="1"/>
  <c r="K1199" i="1"/>
  <c r="K1198" i="1"/>
  <c r="K1197" i="1"/>
  <c r="K1138" i="1"/>
  <c r="K1137" i="1"/>
  <c r="K1136" i="1"/>
  <c r="K1135" i="1"/>
  <c r="K1134" i="1"/>
  <c r="K1133" i="1"/>
  <c r="K1132" i="1"/>
  <c r="K1075" i="1"/>
  <c r="K1074" i="1"/>
  <c r="K1073" i="1"/>
  <c r="K1072" i="1"/>
  <c r="K1071" i="1"/>
  <c r="K1070" i="1"/>
  <c r="K1069" i="1"/>
  <c r="K1068" i="1"/>
  <c r="K1067" i="1"/>
  <c r="K1029" i="1"/>
  <c r="K1028" i="1"/>
  <c r="K1027" i="1"/>
  <c r="K998" i="1"/>
  <c r="K997" i="1"/>
  <c r="K971" i="1"/>
  <c r="K970" i="1"/>
  <c r="K946" i="1"/>
  <c r="K945" i="1"/>
  <c r="K923" i="1"/>
  <c r="K901" i="1"/>
  <c r="K878" i="1"/>
  <c r="K854" i="1"/>
  <c r="K830" i="1"/>
  <c r="K805" i="1"/>
  <c r="K804" i="1"/>
  <c r="K777" i="1"/>
  <c r="K776" i="1"/>
  <c r="K748" i="1"/>
  <c r="K747" i="1"/>
  <c r="K718" i="1"/>
  <c r="K717" i="1"/>
  <c r="K683" i="1"/>
  <c r="K682" i="1"/>
  <c r="K638" i="1"/>
  <c r="K637" i="1"/>
  <c r="K636" i="1"/>
  <c r="K598" i="1"/>
  <c r="K597" i="1"/>
  <c r="K596" i="1"/>
  <c r="K563" i="1"/>
  <c r="K562" i="1"/>
  <c r="K532" i="1"/>
  <c r="K531" i="1"/>
  <c r="K503" i="1"/>
  <c r="K502" i="1"/>
  <c r="K473" i="1"/>
  <c r="K472" i="1"/>
  <c r="K442" i="1"/>
  <c r="K441" i="1"/>
  <c r="K409" i="1"/>
  <c r="K408" i="1"/>
  <c r="K376" i="1"/>
  <c r="K375" i="1"/>
  <c r="K341" i="1"/>
  <c r="K340" i="1"/>
  <c r="K304" i="1"/>
  <c r="K303" i="1"/>
  <c r="K302" i="1"/>
  <c r="K262" i="1"/>
  <c r="K261" i="1"/>
  <c r="K260" i="1"/>
  <c r="K214" i="1"/>
  <c r="K213" i="1"/>
  <c r="K212" i="1"/>
  <c r="K211" i="1"/>
  <c r="K162" i="1"/>
  <c r="K161" i="1"/>
  <c r="K160" i="1"/>
  <c r="K159" i="1"/>
  <c r="K111" i="1"/>
  <c r="K110" i="1"/>
  <c r="K109" i="1"/>
  <c r="K108" i="1"/>
  <c r="K60" i="1"/>
  <c r="K59" i="1"/>
  <c r="K58" i="1"/>
  <c r="K57" i="1"/>
  <c r="K8" i="1"/>
  <c r="K7" i="1"/>
  <c r="K6" i="1"/>
  <c r="K5" i="1"/>
  <c r="K1574" i="1"/>
  <c r="K1573" i="1"/>
  <c r="K1572" i="1"/>
  <c r="K1517" i="1"/>
  <c r="K1516" i="1"/>
  <c r="K1515" i="1"/>
  <c r="K1454" i="1"/>
  <c r="K1453" i="1"/>
  <c r="K1452" i="1"/>
  <c r="K1389" i="1"/>
  <c r="K1388" i="1"/>
  <c r="K1387" i="1"/>
  <c r="K1324" i="1"/>
  <c r="K1323" i="1"/>
  <c r="K1322" i="1"/>
  <c r="K1260" i="1"/>
  <c r="K1259" i="1"/>
  <c r="K1258" i="1"/>
  <c r="K1257" i="1"/>
  <c r="K1196" i="1"/>
  <c r="K1195" i="1"/>
  <c r="K1194" i="1"/>
  <c r="K1193" i="1"/>
  <c r="K1131" i="1"/>
  <c r="K1130" i="1"/>
  <c r="K1129" i="1"/>
  <c r="K1128" i="1"/>
  <c r="K1127" i="1"/>
  <c r="K1066" i="1"/>
  <c r="K1065" i="1"/>
  <c r="K1064" i="1"/>
  <c r="K1063" i="1"/>
  <c r="K1062" i="1"/>
  <c r="K1061" i="1"/>
  <c r="K1026" i="1"/>
  <c r="K1025" i="1"/>
  <c r="K996" i="1"/>
  <c r="K969" i="1"/>
  <c r="K944" i="1"/>
  <c r="K922" i="1"/>
  <c r="K900" i="1"/>
  <c r="K877" i="1"/>
  <c r="K853" i="1"/>
  <c r="K829" i="1"/>
  <c r="K803" i="1"/>
  <c r="K775" i="1"/>
  <c r="K746" i="1"/>
  <c r="K716" i="1"/>
  <c r="K681" i="1"/>
  <c r="K635" i="1"/>
  <c r="K595" i="1"/>
  <c r="K594" i="1"/>
  <c r="K561" i="1"/>
  <c r="K530" i="1"/>
  <c r="K501" i="1"/>
  <c r="K471" i="1"/>
  <c r="K440" i="1"/>
  <c r="K407" i="1"/>
  <c r="K374" i="1"/>
  <c r="K339" i="1"/>
  <c r="K301" i="1"/>
  <c r="K259" i="1"/>
  <c r="K258" i="1"/>
  <c r="K257" i="1"/>
  <c r="K210" i="1"/>
  <c r="K209" i="1"/>
  <c r="K158" i="1"/>
  <c r="K157" i="1"/>
  <c r="K107" i="1"/>
  <c r="K106" i="1"/>
  <c r="K56" i="1"/>
  <c r="K55" i="1"/>
  <c r="K54" i="1"/>
  <c r="K4" i="1"/>
  <c r="K3" i="1"/>
  <c r="K2" i="1"/>
  <c r="J825" i="1"/>
  <c r="J468" i="1"/>
  <c r="J1442" i="1"/>
  <c r="J794" i="1"/>
  <c r="J401" i="1"/>
  <c r="J1555" i="1"/>
  <c r="J1017" i="1"/>
  <c r="J617" i="1"/>
  <c r="J714" i="1"/>
  <c r="J1623" i="1"/>
  <c r="J797" i="1"/>
  <c r="J297" i="1"/>
  <c r="J1250" i="1"/>
  <c r="J620" i="1"/>
  <c r="J197" i="1"/>
  <c r="J897" i="1"/>
  <c r="J528" i="1"/>
  <c r="J1510" i="1"/>
  <c r="J869" i="1"/>
  <c r="J464" i="1"/>
  <c r="J1614" i="1"/>
  <c r="J1121" i="1"/>
  <c r="J699" i="1"/>
  <c r="J802" i="1"/>
  <c r="J298" i="1"/>
  <c r="J896" i="1"/>
  <c r="J399" i="1"/>
  <c r="J1377" i="1"/>
  <c r="J733" i="1"/>
  <c r="J285" i="1"/>
  <c r="J1491" i="1"/>
  <c r="J772" i="1"/>
  <c r="J156" i="1"/>
  <c r="J870" i="1"/>
  <c r="J365" i="1"/>
  <c r="J1370" i="1"/>
  <c r="J700" i="1"/>
  <c r="J155" i="1"/>
  <c r="J364" i="1"/>
  <c r="J663" i="1"/>
  <c r="J91" i="1"/>
  <c r="J1242" i="1"/>
  <c r="J760" i="1"/>
  <c r="J284" i="1"/>
  <c r="J1538" i="1"/>
  <c r="J875" i="1"/>
  <c r="J966" i="1"/>
  <c r="J496" i="1"/>
  <c r="J820" i="1"/>
  <c r="J1559" i="1"/>
  <c r="J621" i="1"/>
  <c r="J104" i="1"/>
  <c r="J333" i="1"/>
  <c r="J661" i="1"/>
  <c r="J1543" i="1"/>
  <c r="J631" i="1"/>
  <c r="J1187" i="1"/>
  <c r="J398" i="1"/>
  <c r="J1055" i="1"/>
  <c r="J672" i="1"/>
  <c r="J402" i="1"/>
  <c r="J455" i="1"/>
  <c r="J1419" i="1"/>
  <c r="J788" i="1"/>
  <c r="J187" i="1"/>
  <c r="J1293" i="1"/>
  <c r="J1123" i="1"/>
  <c r="J1495" i="1"/>
  <c r="J395" i="1"/>
  <c r="J1492" i="1"/>
  <c r="J1048" i="1"/>
  <c r="J576" i="1"/>
  <c r="J140" i="1"/>
  <c r="J558" i="1"/>
  <c r="J986" i="1"/>
  <c r="J1362" i="1"/>
  <c r="J420" i="1"/>
  <c r="J1348" i="1"/>
  <c r="J1514" i="1"/>
  <c r="J256" i="1"/>
  <c r="J665" i="1"/>
  <c r="J1376" i="1"/>
  <c r="J1449" i="1"/>
  <c r="J1319" i="1"/>
  <c r="J1616" i="1"/>
  <c r="J427" i="1"/>
  <c r="J1426" i="1"/>
  <c r="J499" i="1"/>
  <c r="J919" i="1"/>
  <c r="J252" i="1"/>
  <c r="J934" i="1"/>
  <c r="J406" i="1"/>
  <c r="J99" i="1"/>
  <c r="J323" i="1"/>
  <c r="J1303" i="1"/>
  <c r="J694" i="1"/>
  <c r="J86" i="1"/>
  <c r="J1321" i="1"/>
  <c r="J793" i="1"/>
  <c r="J1246" i="1"/>
  <c r="J291" i="1"/>
  <c r="J1423" i="1"/>
  <c r="J981" i="1"/>
  <c r="J484" i="1"/>
  <c r="J85" i="1"/>
  <c r="J1566" i="1"/>
  <c r="J581" i="1"/>
  <c r="J739" i="1"/>
  <c r="J548" i="1"/>
  <c r="J205" i="1"/>
  <c r="J1487" i="1"/>
  <c r="J1057" i="1"/>
  <c r="J1019" i="1"/>
  <c r="J294" i="1"/>
  <c r="J1364" i="1"/>
  <c r="J141" i="1"/>
  <c r="J917" i="1"/>
  <c r="J362" i="1"/>
  <c r="J1015" i="1"/>
  <c r="J136" i="1"/>
  <c r="J865" i="1"/>
  <c r="J958" i="1"/>
  <c r="J1416" i="1"/>
  <c r="J907" i="1"/>
  <c r="J349" i="1"/>
  <c r="J1529" i="1"/>
  <c r="J1098" i="1"/>
  <c r="J1384" i="1"/>
  <c r="J634" i="1"/>
  <c r="J154" i="1"/>
  <c r="J990" i="1"/>
  <c r="J587" i="1"/>
  <c r="J202" i="1"/>
  <c r="J1314" i="1"/>
  <c r="J818" i="1"/>
  <c r="J1126" i="1"/>
  <c r="J495" i="1"/>
  <c r="J1188" i="1"/>
  <c r="J552" i="1"/>
  <c r="J1558" i="1"/>
  <c r="J912" i="1"/>
  <c r="J393" i="1"/>
  <c r="J1624" i="1"/>
  <c r="J712" i="1"/>
  <c r="J336" i="1"/>
  <c r="J1125" i="1"/>
  <c r="J669" i="1"/>
  <c r="J295" i="1"/>
  <c r="J1433" i="1"/>
  <c r="J891" i="1"/>
  <c r="J1569" i="1"/>
  <c r="J560" i="1"/>
  <c r="J1382" i="1"/>
  <c r="J666" i="1"/>
  <c r="J49" i="1"/>
  <c r="J989" i="1"/>
  <c r="J458" i="1"/>
  <c r="J45" i="1"/>
  <c r="J1386" i="1"/>
  <c r="J529" i="1"/>
  <c r="J1317" i="1"/>
  <c r="J623" i="1"/>
  <c r="J1615" i="1"/>
  <c r="J960" i="1"/>
  <c r="J771" i="1"/>
  <c r="J848" i="1"/>
  <c r="J1369" i="1"/>
  <c r="J358" i="1"/>
  <c r="J1429" i="1"/>
  <c r="J1012" i="1"/>
  <c r="J515" i="1"/>
  <c r="J133" i="1"/>
  <c r="J1349" i="1"/>
  <c r="J405" i="1"/>
  <c r="J849" i="1"/>
  <c r="J1446" i="1"/>
  <c r="J430" i="1"/>
  <c r="J1052" i="1"/>
  <c r="J744" i="1"/>
  <c r="J846" i="1"/>
  <c r="J1312" i="1"/>
  <c r="J241" i="1"/>
  <c r="J1024" i="1"/>
  <c r="J255" i="1"/>
  <c r="J707" i="1"/>
  <c r="J1557" i="1"/>
  <c r="J732" i="1"/>
  <c r="J1124" i="1"/>
  <c r="J1120" i="1"/>
  <c r="J96" i="1"/>
  <c r="J1112" i="1"/>
  <c r="J454" i="1"/>
  <c r="J1542" i="1"/>
  <c r="J589" i="1"/>
  <c r="J462" i="1"/>
  <c r="J817" i="1"/>
  <c r="J144" i="1"/>
  <c r="J1302" i="1"/>
  <c r="J815" i="1"/>
  <c r="J353" i="1"/>
  <c r="J1593" i="1"/>
  <c r="J627" i="1"/>
  <c r="J243" i="1"/>
  <c r="J910" i="1"/>
  <c r="J33" i="1"/>
  <c r="J1165" i="1"/>
  <c r="J679" i="1"/>
  <c r="J1058" i="1"/>
  <c r="J253" i="1"/>
  <c r="J867" i="1"/>
  <c r="J555" i="1"/>
  <c r="J624" i="1"/>
  <c r="J962" i="1"/>
  <c r="J41" i="1"/>
  <c r="J827" i="1"/>
  <c r="J1567" i="1"/>
  <c r="J584" i="1"/>
  <c r="J1434" i="1"/>
  <c r="J1571" i="1"/>
  <c r="J795" i="1"/>
  <c r="J819" i="1"/>
  <c r="J1603" i="1"/>
  <c r="J982" i="1"/>
  <c r="J354" i="1"/>
  <c r="J1476" i="1"/>
  <c r="J299" i="1"/>
  <c r="J293" i="1"/>
  <c r="J616" i="1"/>
  <c r="J40" i="1"/>
  <c r="J1237" i="1"/>
  <c r="J729" i="1"/>
  <c r="J279" i="1"/>
  <c r="J1483" i="1"/>
  <c r="J251" i="1"/>
  <c r="J435" i="1"/>
  <c r="J1498" i="1"/>
  <c r="J1563" i="1"/>
  <c r="J549" i="1"/>
  <c r="J371" i="1"/>
  <c r="J705" i="1"/>
  <c r="J1437" i="1"/>
  <c r="J1626" i="1"/>
  <c r="J1445" i="1"/>
  <c r="J102" i="1"/>
  <c r="J488" i="1"/>
  <c r="J800" i="1"/>
  <c r="J1380" i="1"/>
  <c r="J397" i="1"/>
  <c r="J987" i="1"/>
  <c r="J680" i="1"/>
  <c r="J769" i="1"/>
  <c r="J1186" i="1"/>
  <c r="J193" i="1"/>
  <c r="J673" i="1"/>
  <c r="J738" i="1"/>
  <c r="J1122" i="1"/>
  <c r="J1316" i="1"/>
  <c r="J486" i="1"/>
  <c r="J1116" i="1"/>
  <c r="J191" i="1"/>
  <c r="J633" i="1"/>
  <c r="J207" i="1"/>
  <c r="J1372" i="1"/>
  <c r="J1253" i="1"/>
  <c r="J423" i="1"/>
  <c r="J470" i="1"/>
  <c r="J152" i="1"/>
  <c r="J300" i="1"/>
  <c r="J287" i="1"/>
  <c r="J614" i="1"/>
  <c r="J994" i="1"/>
  <c r="J1119" i="1"/>
  <c r="J1367" i="1"/>
  <c r="J453" i="1"/>
  <c r="J1379" i="1"/>
  <c r="J1173" i="1"/>
  <c r="J1231" i="1"/>
  <c r="J1506" i="1"/>
  <c r="J1056" i="1"/>
  <c r="J871" i="1"/>
  <c r="J245" i="1"/>
  <c r="J337" i="1"/>
  <c r="J1562" i="1"/>
  <c r="J1443" i="1"/>
  <c r="J146" i="1"/>
  <c r="J485" i="1"/>
  <c r="J710" i="1"/>
  <c r="J889" i="1"/>
  <c r="J1306" i="1"/>
  <c r="J357" i="1"/>
  <c r="J766" i="1"/>
  <c r="J366" i="1"/>
  <c r="J1181" i="1"/>
  <c r="J103" i="1"/>
  <c r="J659" i="1"/>
  <c r="J396" i="1"/>
  <c r="J422" i="1"/>
  <c r="J400" i="1"/>
  <c r="J1486" i="1"/>
  <c r="J319" i="1"/>
  <c r="J290" i="1"/>
  <c r="J318" i="1"/>
  <c r="J1010" i="1"/>
  <c r="J228" i="1"/>
  <c r="J1280" i="1"/>
  <c r="J687" i="1"/>
  <c r="J71" i="1"/>
  <c r="J1143" i="1"/>
  <c r="J444" i="1"/>
  <c r="J1325" i="1"/>
  <c r="J502" i="1"/>
  <c r="J1127" i="1"/>
  <c r="J556" i="1"/>
  <c r="J985" i="1"/>
  <c r="J1361" i="1"/>
  <c r="J419" i="1"/>
  <c r="J1347" i="1"/>
  <c r="J929" i="1"/>
  <c r="J352" i="1"/>
  <c r="J1532" i="1"/>
  <c r="J1149" i="1"/>
  <c r="J536" i="1"/>
  <c r="J1583" i="1"/>
  <c r="J1079" i="1"/>
  <c r="J266" i="1"/>
  <c r="J1138" i="1"/>
  <c r="J302" i="1"/>
  <c r="J900" i="1"/>
  <c r="J706" i="1"/>
  <c r="J933" i="1"/>
  <c r="J1167" i="1"/>
  <c r="J176" i="1"/>
  <c r="J927" i="1"/>
  <c r="J1274" i="1"/>
  <c r="J404" i="1"/>
  <c r="J1441" i="1"/>
  <c r="J1507" i="1"/>
  <c r="J518" i="1"/>
  <c r="J559" i="1"/>
  <c r="J296" i="1"/>
  <c r="J469" i="1"/>
  <c r="J363" i="1"/>
  <c r="J698" i="1"/>
  <c r="J1570" i="1"/>
  <c r="J1313" i="1"/>
  <c r="J1428" i="1"/>
  <c r="J514" i="1"/>
  <c r="J254" i="1"/>
  <c r="J1485" i="1"/>
  <c r="J278" i="1"/>
  <c r="J1110" i="1"/>
  <c r="J606" i="1"/>
  <c r="J124" i="1"/>
  <c r="J1276" i="1"/>
  <c r="J809" i="1"/>
  <c r="J171" i="1"/>
  <c r="J1209" i="1"/>
  <c r="J601" i="1"/>
  <c r="J1457" i="1"/>
  <c r="J682" i="1"/>
  <c r="J1260" i="1"/>
  <c r="J920" i="1"/>
  <c r="J1500" i="1"/>
  <c r="J1494" i="1"/>
  <c r="J611" i="1"/>
  <c r="J1415" i="1"/>
  <c r="J1009" i="1"/>
  <c r="J479" i="1"/>
  <c r="J24" i="1"/>
  <c r="J1161" i="1"/>
  <c r="J645" i="1"/>
  <c r="J70" i="1"/>
  <c r="J1142" i="1"/>
  <c r="J443" i="1"/>
  <c r="J1266" i="1"/>
  <c r="J473" i="1"/>
  <c r="J1066" i="1"/>
  <c r="J372" i="1"/>
  <c r="J1301" i="1"/>
  <c r="J1292" i="1"/>
  <c r="J315" i="1"/>
  <c r="J1096" i="1"/>
  <c r="J1526" i="1"/>
  <c r="J218" i="1"/>
  <c r="J213" i="1"/>
  <c r="J389" i="1"/>
  <c r="J27" i="1"/>
  <c r="J1207" i="1"/>
  <c r="J1389" i="1"/>
  <c r="J615" i="1"/>
  <c r="J129" i="1"/>
  <c r="J1269" i="1"/>
  <c r="J1572" i="1"/>
  <c r="J545" i="1"/>
  <c r="J236" i="1"/>
  <c r="J812" i="1"/>
  <c r="J1408" i="1"/>
  <c r="J382" i="1"/>
  <c r="J551" i="1"/>
  <c r="J1499" i="1"/>
  <c r="J823" i="1"/>
  <c r="J1496" i="1"/>
  <c r="J35" i="1"/>
  <c r="J244" i="1"/>
  <c r="J34" i="1"/>
  <c r="J786" i="1"/>
  <c r="J837" i="1"/>
  <c r="J1468" i="1"/>
  <c r="J414" i="1"/>
  <c r="J973" i="1"/>
  <c r="J1071" i="1"/>
  <c r="J594" i="1"/>
  <c r="J359" i="1"/>
  <c r="J134" i="1"/>
  <c r="J725" i="1"/>
  <c r="J1343" i="1"/>
  <c r="J308" i="1"/>
  <c r="J831" i="1"/>
  <c r="J945" i="1"/>
  <c r="J210" i="1"/>
  <c r="J237" i="1"/>
  <c r="J1466" i="1"/>
  <c r="J948" i="1"/>
  <c r="J340" i="1"/>
  <c r="J1287" i="1"/>
  <c r="J348" i="1"/>
  <c r="J1573" i="1"/>
  <c r="J1296" i="1"/>
  <c r="J508" i="1"/>
  <c r="J160" i="1"/>
  <c r="J1489" i="1"/>
  <c r="J1166" i="1"/>
  <c r="J1473" i="1"/>
  <c r="J68" i="1"/>
  <c r="J410" i="1"/>
  <c r="J442" i="1"/>
  <c r="J1251" i="1"/>
  <c r="J886" i="1"/>
  <c r="J79" i="1"/>
  <c r="J1145" i="1"/>
  <c r="J1061" i="1"/>
  <c r="J281" i="1"/>
  <c r="J1341" i="1"/>
  <c r="J685" i="1"/>
  <c r="J3" i="1"/>
  <c r="J878" i="1"/>
  <c r="J1243" i="1"/>
  <c r="J312" i="1"/>
  <c r="J1523" i="1"/>
  <c r="J1259" i="1"/>
  <c r="J539" i="1"/>
  <c r="J1199" i="1"/>
  <c r="J1405" i="1"/>
  <c r="J1357" i="1"/>
  <c r="J166" i="1"/>
  <c r="J1291" i="1"/>
  <c r="J1525" i="1"/>
  <c r="J683" i="1"/>
  <c r="J198" i="1"/>
  <c r="J1092" i="1"/>
  <c r="J209" i="1"/>
  <c r="J1588" i="1"/>
  <c r="J1245" i="1"/>
  <c r="J324" i="1"/>
  <c r="J48" i="1"/>
  <c r="J195" i="1"/>
  <c r="J770" i="1"/>
  <c r="J1359" i="1"/>
  <c r="J894" i="1"/>
  <c r="J135" i="1"/>
  <c r="J511" i="1"/>
  <c r="J1216" i="1"/>
  <c r="J119" i="1"/>
  <c r="J505" i="1"/>
  <c r="J562" i="1"/>
  <c r="J676" i="1"/>
  <c r="J1420" i="1"/>
  <c r="J1352" i="1"/>
  <c r="J386" i="1"/>
  <c r="J1153" i="1"/>
  <c r="J17" i="1"/>
  <c r="J342" i="1"/>
  <c r="J341" i="1"/>
  <c r="J941" i="1"/>
  <c r="J1225" i="1"/>
  <c r="J1003" i="1"/>
  <c r="J163" i="1"/>
  <c r="J1065" i="1"/>
  <c r="J647" i="1"/>
  <c r="J1086" i="1"/>
  <c r="J553" i="1"/>
  <c r="J693" i="1"/>
  <c r="J1144" i="1"/>
  <c r="J921" i="1"/>
  <c r="J1190" i="1"/>
  <c r="J46" i="1"/>
  <c r="J828" i="1"/>
  <c r="J671" i="1"/>
  <c r="J764" i="1"/>
  <c r="J630" i="1"/>
  <c r="J767" i="1"/>
  <c r="J1310" i="1"/>
  <c r="J466" i="1"/>
  <c r="J292" i="1"/>
  <c r="J361" i="1"/>
  <c r="J434" i="1"/>
  <c r="J204" i="1"/>
  <c r="J527" i="1"/>
  <c r="J200" i="1"/>
  <c r="J653" i="1"/>
  <c r="J1285" i="1"/>
  <c r="J1021" i="1"/>
  <c r="J1320" i="1"/>
  <c r="J935" i="1"/>
  <c r="J1505" i="1"/>
  <c r="J892" i="1"/>
  <c r="J761" i="1"/>
  <c r="J320" i="1"/>
  <c r="J736" i="1"/>
  <c r="J1607" i="1"/>
  <c r="J238" i="1"/>
  <c r="J489" i="1"/>
  <c r="J1477" i="1"/>
  <c r="J845" i="1"/>
  <c r="J774" i="1"/>
  <c r="J701" i="1"/>
  <c r="J1252" i="1"/>
  <c r="J762" i="1"/>
  <c r="J517" i="1"/>
  <c r="J235" i="1"/>
  <c r="J523" i="1"/>
  <c r="J1545" i="1"/>
  <c r="J186" i="1"/>
  <c r="J773" i="1"/>
  <c r="J740" i="1"/>
  <c r="J670" i="1"/>
  <c r="J991" i="1"/>
  <c r="J730" i="1"/>
  <c r="J1431" i="1"/>
  <c r="J787" i="1"/>
  <c r="J494" i="1"/>
  <c r="J84" i="1"/>
  <c r="J610" i="1"/>
  <c r="J1403" i="1"/>
  <c r="J507" i="1"/>
  <c r="J1397" i="1"/>
  <c r="J684" i="1"/>
  <c r="J1135" i="1"/>
  <c r="J57" i="1"/>
  <c r="J1451" i="1"/>
  <c r="J487" i="1"/>
  <c r="J909" i="1"/>
  <c r="J1475" i="1"/>
  <c r="J810" i="1"/>
  <c r="J131" i="1"/>
  <c r="J1215" i="1"/>
  <c r="J380" i="1"/>
  <c r="J1271" i="1"/>
  <c r="J504" i="1"/>
  <c r="J1029" i="1"/>
  <c r="J1452" i="1"/>
  <c r="J629" i="1"/>
  <c r="J452" i="1"/>
  <c r="J690" i="1"/>
  <c r="J1152" i="1"/>
  <c r="J1082" i="1"/>
  <c r="J709" i="1"/>
  <c r="J632" i="1"/>
  <c r="J97" i="1"/>
  <c r="J964" i="1"/>
  <c r="J619" i="1"/>
  <c r="J1608" i="1"/>
  <c r="J137" i="1"/>
  <c r="J335" i="1"/>
  <c r="J1241" i="1"/>
  <c r="J89" i="1"/>
  <c r="J148" i="1"/>
  <c r="J1596" i="1"/>
  <c r="J883" i="1"/>
  <c r="J182" i="1"/>
  <c r="J1158" i="1"/>
  <c r="J476" i="1"/>
  <c r="J1335" i="1"/>
  <c r="J379" i="1"/>
  <c r="J1075" i="1"/>
  <c r="J5" i="1"/>
  <c r="J437" i="1"/>
  <c r="J424" i="1"/>
  <c r="J839" i="1"/>
  <c r="J1294" i="1"/>
  <c r="J756" i="1"/>
  <c r="J127" i="1"/>
  <c r="J1097" i="1"/>
  <c r="J345" i="1"/>
  <c r="J1267" i="1"/>
  <c r="J219" i="1"/>
  <c r="J997" i="1"/>
  <c r="J1324" i="1"/>
  <c r="J432" i="1"/>
  <c r="J322" i="1"/>
  <c r="J608" i="1"/>
  <c r="J834" i="1"/>
  <c r="J1032" i="1"/>
  <c r="J717" i="1"/>
  <c r="J1356" i="1"/>
  <c r="J689" i="1"/>
  <c r="J637" i="1"/>
  <c r="J1418" i="1"/>
  <c r="J881" i="1"/>
  <c r="J901" i="1"/>
  <c r="J1604" i="1"/>
  <c r="J1232" i="1"/>
  <c r="J74" i="1"/>
  <c r="J120" i="1"/>
  <c r="J899" i="1"/>
  <c r="J465" i="1"/>
  <c r="J246" i="1"/>
  <c r="J667" i="1"/>
  <c r="J421" i="1"/>
  <c r="J185" i="1"/>
  <c r="J275" i="1"/>
  <c r="J753" i="1"/>
  <c r="J565" i="1"/>
  <c r="J159" i="1"/>
  <c r="J1373" i="1"/>
  <c r="J1410" i="1"/>
  <c r="J181" i="1"/>
  <c r="J605" i="1"/>
  <c r="J378" i="1"/>
  <c r="J1574" i="1"/>
  <c r="J1177" i="1"/>
  <c r="J1088" i="1"/>
  <c r="J1391" i="1"/>
  <c r="J758" i="1"/>
  <c r="J1270" i="1"/>
  <c r="J325" i="1"/>
  <c r="J1213" i="1"/>
  <c r="J1191" i="1"/>
  <c r="J321" i="1"/>
  <c r="J175" i="1"/>
  <c r="J1336" i="1"/>
  <c r="J1264" i="1"/>
  <c r="J258" i="1"/>
  <c r="J29" i="1"/>
  <c r="J781" i="1"/>
  <c r="J531" i="1"/>
  <c r="J1228" i="1"/>
  <c r="J270" i="1"/>
  <c r="J1388" i="1"/>
  <c r="J1025" i="1"/>
  <c r="J1288" i="1"/>
  <c r="J447" i="1"/>
  <c r="J742" i="1"/>
  <c r="J121" i="1"/>
  <c r="J1104" i="1"/>
  <c r="J1170" i="1"/>
  <c r="J247" i="1"/>
  <c r="J643" i="1"/>
  <c r="J1322" i="1"/>
  <c r="J928" i="1"/>
  <c r="J59" i="1"/>
  <c r="J968" i="1"/>
  <c r="J965" i="1"/>
  <c r="J796" i="1"/>
  <c r="J1179" i="1"/>
  <c r="J937" i="1"/>
  <c r="J30" i="1"/>
  <c r="J1295" i="1"/>
  <c r="J73" i="1"/>
  <c r="J381" i="1"/>
  <c r="J115" i="1"/>
  <c r="J1131" i="1"/>
  <c r="J288" i="1"/>
  <c r="J1168" i="1"/>
  <c r="J1586" i="1"/>
  <c r="J268" i="1"/>
  <c r="J9" i="1"/>
  <c r="J996" i="1"/>
  <c r="J139" i="1"/>
  <c r="J311" i="1"/>
  <c r="J830" i="1"/>
  <c r="J1171" i="1"/>
  <c r="J167" i="1"/>
  <c r="J388" i="1"/>
  <c r="J347" i="1"/>
  <c r="J628" i="1"/>
  <c r="J813" i="1"/>
  <c r="J754" i="1"/>
  <c r="J1151" i="1"/>
  <c r="J1273" i="1"/>
  <c r="J1577" i="1"/>
  <c r="J1454" i="1"/>
  <c r="J1309" i="1"/>
  <c r="J1474" i="1"/>
  <c r="J1214" i="1"/>
  <c r="J265" i="1"/>
  <c r="J51" i="1"/>
  <c r="J1162" i="1"/>
  <c r="J780" i="1"/>
  <c r="J1326" i="1"/>
  <c r="J592" i="1"/>
  <c r="J436" i="1"/>
  <c r="J743" i="1"/>
  <c r="J876" i="1"/>
  <c r="J931" i="1"/>
  <c r="J98" i="1"/>
  <c r="J656" i="1"/>
  <c r="J94" i="1"/>
  <c r="J1227" i="1"/>
  <c r="J1587" i="1"/>
  <c r="J602" i="1"/>
  <c r="J779" i="1"/>
  <c r="J1517" i="1"/>
  <c r="J785" i="1"/>
  <c r="J80" i="1"/>
  <c r="J1208" i="1"/>
  <c r="J162" i="1"/>
  <c r="J1044" i="1"/>
  <c r="J63" i="1"/>
  <c r="J351" i="1"/>
  <c r="J329" i="1"/>
  <c r="J1077" i="1"/>
  <c r="J1300" i="1"/>
  <c r="J22" i="1"/>
  <c r="J217" i="1"/>
  <c r="J554" i="1"/>
  <c r="J446" i="1"/>
  <c r="J757" i="1"/>
  <c r="J1551" i="1"/>
  <c r="J1115" i="1"/>
  <c r="J1150" i="1"/>
  <c r="J1564" i="1"/>
  <c r="J1089" i="1"/>
  <c r="J1438" i="1"/>
  <c r="J530" i="1"/>
  <c r="J276" i="1"/>
  <c r="J607" i="1"/>
  <c r="J908" i="1"/>
  <c r="J1612" i="1"/>
  <c r="J1576" i="1"/>
  <c r="J1392" i="1"/>
  <c r="J1113" i="1"/>
  <c r="J947" i="1"/>
  <c r="J445" i="1"/>
  <c r="J1381" i="1"/>
  <c r="J1565" i="1"/>
  <c r="J330" i="1"/>
  <c r="J703" i="1"/>
  <c r="J939" i="1"/>
  <c r="J1020" i="1"/>
  <c r="J1255" i="1"/>
  <c r="J963" i="1"/>
  <c r="J1502" i="1"/>
  <c r="J967" i="1"/>
  <c r="J521" i="1"/>
  <c r="J582" i="1"/>
  <c r="J898" i="1"/>
  <c r="J490" i="1"/>
  <c r="J1385" i="1"/>
  <c r="J959" i="1"/>
  <c r="J888" i="1"/>
  <c r="J1417" i="1"/>
  <c r="J675" i="1"/>
  <c r="J843" i="1"/>
  <c r="J1611" i="1"/>
  <c r="J801" i="1"/>
  <c r="J1375" i="1"/>
  <c r="J1556" i="1"/>
  <c r="J956" i="1"/>
  <c r="J105" i="1"/>
  <c r="J286" i="1"/>
  <c r="J697" i="1"/>
  <c r="J47" i="1"/>
  <c r="J233" i="1"/>
  <c r="J500" i="1"/>
  <c r="J660" i="1"/>
  <c r="J1371" i="1"/>
  <c r="J678" i="1"/>
  <c r="J1185" i="1"/>
  <c r="J1247" i="1"/>
  <c r="J838" i="1"/>
  <c r="J1315" i="1"/>
  <c r="J194" i="1"/>
  <c r="J613" i="1"/>
  <c r="J1184" i="1"/>
  <c r="J674" i="1"/>
  <c r="J591" i="1"/>
  <c r="J590" i="1"/>
  <c r="J1049" i="1"/>
  <c r="J526" i="1"/>
  <c r="J1298" i="1"/>
  <c r="J438" i="1"/>
  <c r="J612" i="1"/>
  <c r="J782" i="1"/>
  <c r="J25" i="1"/>
  <c r="J858" i="1"/>
  <c r="J1580" i="1"/>
  <c r="J880" i="1"/>
  <c r="J1519" i="1"/>
  <c r="J260" i="1"/>
  <c r="J339" i="1"/>
  <c r="J1617" i="1"/>
  <c r="J1117" i="1"/>
  <c r="J32" i="1"/>
  <c r="J1041" i="1"/>
  <c r="J231" i="1"/>
  <c r="J1283" i="1"/>
  <c r="J721" i="1"/>
  <c r="J1400" i="1"/>
  <c r="J719" i="1"/>
  <c r="J1328" i="1"/>
  <c r="J60" i="1"/>
  <c r="J54" i="1"/>
  <c r="J1366" i="1"/>
  <c r="J953" i="1"/>
  <c r="J1338" i="1"/>
  <c r="J16" i="1"/>
  <c r="J1254" i="1"/>
  <c r="J519" i="1"/>
  <c r="J1118" i="1"/>
  <c r="J1621" i="1"/>
  <c r="J988" i="1"/>
  <c r="J890" i="1"/>
  <c r="J387" i="1"/>
  <c r="J847" i="1"/>
  <c r="J90" i="1"/>
  <c r="J283" i="1"/>
  <c r="J731" i="1"/>
  <c r="J542" i="1"/>
  <c r="J1006" i="1"/>
  <c r="J313" i="1"/>
  <c r="J1344" i="1"/>
  <c r="J642" i="1"/>
  <c r="J1524" i="1"/>
  <c r="J832" i="1"/>
  <c r="J1263" i="1"/>
  <c r="J211" i="1"/>
  <c r="J257" i="1"/>
  <c r="J844" i="1"/>
  <c r="J1050" i="1"/>
  <c r="J1595" i="1"/>
  <c r="J906" i="1"/>
  <c r="J227" i="1"/>
  <c r="J1279" i="1"/>
  <c r="J506" i="1"/>
  <c r="J1396" i="1"/>
  <c r="J641" i="1"/>
  <c r="J1134" i="1"/>
  <c r="J8" i="1"/>
  <c r="J851" i="1"/>
  <c r="J814" i="1"/>
  <c r="J885" i="1"/>
  <c r="J1278" i="1"/>
  <c r="J1211" i="1"/>
  <c r="J1133" i="1"/>
  <c r="J498" i="1"/>
  <c r="J1156" i="1"/>
  <c r="J1455" i="1"/>
  <c r="J1425" i="1"/>
  <c r="J1281" i="1"/>
  <c r="J11" i="1"/>
  <c r="J149" i="1"/>
  <c r="J1478" i="1"/>
  <c r="J272" i="1"/>
  <c r="J723" i="1"/>
  <c r="J1249" i="1"/>
  <c r="J1625" i="1"/>
  <c r="J1620" i="1"/>
  <c r="J824" i="1"/>
  <c r="J911" i="1"/>
  <c r="J1421" i="1"/>
  <c r="J570" i="1"/>
  <c r="J493" i="1"/>
  <c r="J338" i="1"/>
  <c r="J93" i="1"/>
  <c r="J151" i="1"/>
  <c r="J1059" i="1"/>
  <c r="J1422" i="1"/>
  <c r="J841" i="1"/>
  <c r="J1360" i="1"/>
  <c r="J1450" i="1"/>
  <c r="J585" i="1"/>
  <c r="J550" i="1"/>
  <c r="J1299" i="1"/>
  <c r="J547" i="1"/>
  <c r="J1512" i="1"/>
  <c r="J873" i="1"/>
  <c r="J367" i="1"/>
  <c r="J428" i="1"/>
  <c r="J1175" i="1"/>
  <c r="J426" i="1"/>
  <c r="J677" i="1"/>
  <c r="J943" i="1"/>
  <c r="J42" i="1"/>
  <c r="J95" i="1"/>
  <c r="J1244" i="1"/>
  <c r="J128" i="1"/>
  <c r="J220" i="1"/>
  <c r="J65" i="1"/>
  <c r="J829" i="1"/>
  <c r="J1553" i="1"/>
  <c r="J1164" i="1"/>
  <c r="J1406" i="1"/>
  <c r="J118" i="1"/>
  <c r="J1575" i="1"/>
  <c r="J440" i="1"/>
  <c r="J1351" i="1"/>
  <c r="J267" i="1"/>
  <c r="J936" i="1"/>
  <c r="J852" i="1"/>
  <c r="J203" i="1"/>
  <c r="J467" i="1"/>
  <c r="J759" i="1"/>
  <c r="J840" i="1"/>
  <c r="J448" i="1"/>
  <c r="J976" i="1"/>
  <c r="J1030" i="1"/>
  <c r="J441" i="1"/>
  <c r="J492" i="1"/>
  <c r="J184" i="1"/>
  <c r="J316" i="1"/>
  <c r="J857" i="1"/>
  <c r="J879" i="1"/>
  <c r="J214" i="1"/>
  <c r="J143" i="1"/>
  <c r="J1527" i="1"/>
  <c r="J1459" i="1"/>
  <c r="J509" i="1"/>
  <c r="J1308" i="1"/>
  <c r="J806" i="1"/>
  <c r="J695" i="1"/>
  <c r="J1038" i="1"/>
  <c r="J328" i="1"/>
  <c r="J577" i="1"/>
  <c r="J425" i="1"/>
  <c r="J1220" i="1"/>
  <c r="J1205" i="1"/>
  <c r="J1196" i="1"/>
  <c r="J1013" i="1"/>
  <c r="J418" i="1"/>
  <c r="J66" i="1"/>
  <c r="J1262" i="1"/>
  <c r="J546" i="1"/>
  <c r="J412" i="1"/>
  <c r="J1194" i="1"/>
  <c r="J1100" i="1"/>
  <c r="J864" i="1"/>
  <c r="J566" i="1"/>
  <c r="J932" i="1"/>
  <c r="J1159" i="1"/>
  <c r="J855" i="1"/>
  <c r="J1064" i="1"/>
  <c r="J1163" i="1"/>
  <c r="J475" i="1"/>
  <c r="J1239" i="1"/>
  <c r="J1332" i="1"/>
  <c r="J1084" i="1"/>
  <c r="J317" i="1"/>
  <c r="J600" i="1"/>
  <c r="J1479" i="1"/>
  <c r="J1240" i="1"/>
  <c r="J1530" i="1"/>
  <c r="J650" i="1"/>
  <c r="J1458" i="1"/>
  <c r="J1470" i="1"/>
  <c r="J1535" i="1"/>
  <c r="J874" i="1"/>
  <c r="J792" i="1"/>
  <c r="J1598" i="1"/>
  <c r="J390" i="1"/>
  <c r="J1102" i="1"/>
  <c r="J1037" i="1"/>
  <c r="J925" i="1"/>
  <c r="J471" i="1"/>
  <c r="J482" i="1"/>
  <c r="J177" i="1"/>
  <c r="J1330" i="1"/>
  <c r="J854" i="1"/>
  <c r="J1047" i="1"/>
  <c r="J1395" i="1"/>
  <c r="J106" i="1"/>
  <c r="J222" i="1"/>
  <c r="J1286" i="1"/>
  <c r="J1072" i="1"/>
  <c r="J1365" i="1"/>
  <c r="J384" i="1"/>
  <c r="J310" i="1"/>
  <c r="J306" i="1"/>
  <c r="J944" i="1"/>
  <c r="J1427" i="1"/>
  <c r="J1589" i="1"/>
  <c r="J1137" i="1"/>
  <c r="J983" i="1"/>
  <c r="J1221" i="1"/>
  <c r="J503" i="1"/>
  <c r="J101" i="1"/>
  <c r="J1605" i="1"/>
  <c r="J668" i="1"/>
  <c r="J1409" i="1"/>
  <c r="J893" i="1"/>
  <c r="J429" i="1"/>
  <c r="J53" i="1"/>
  <c r="J1568" i="1"/>
  <c r="J1511" i="1"/>
  <c r="J1613" i="1"/>
  <c r="J1508" i="1"/>
  <c r="J1609" i="1"/>
  <c r="J737" i="1"/>
  <c r="J201" i="1"/>
  <c r="J1600" i="1"/>
  <c r="J1610" i="1"/>
  <c r="J768" i="1"/>
  <c r="J1594" i="1"/>
  <c r="J862" i="1"/>
  <c r="J145" i="1"/>
  <c r="J1534" i="1"/>
  <c r="J1541" i="1"/>
  <c r="J480" i="1"/>
  <c r="J1268" i="1"/>
  <c r="J747" i="1"/>
  <c r="J242" i="1"/>
  <c r="J648" i="1"/>
  <c r="J904" i="1"/>
  <c r="J114" i="1"/>
  <c r="J1054" i="1"/>
  <c r="J1585" i="1"/>
  <c r="J334" i="1"/>
  <c r="J664" i="1"/>
  <c r="J1045" i="1"/>
  <c r="J1011" i="1"/>
  <c r="J1411" i="1"/>
  <c r="J1472" i="1"/>
  <c r="J1139" i="1"/>
  <c r="J1063" i="1"/>
  <c r="J1304" i="1"/>
  <c r="J609" i="1"/>
  <c r="J174" i="1"/>
  <c r="J1518" i="1"/>
  <c r="J790" i="1"/>
  <c r="J478" i="1"/>
  <c r="J775" i="1"/>
  <c r="J497" i="1"/>
  <c r="J158" i="1"/>
  <c r="J538" i="1"/>
  <c r="J993" i="1"/>
  <c r="J1016" i="1"/>
  <c r="J1106" i="1"/>
  <c r="J1464" i="1"/>
  <c r="J798" i="1"/>
  <c r="J1172" i="1"/>
  <c r="J975" i="1"/>
  <c r="J409" i="1"/>
  <c r="J835" i="1"/>
  <c r="J971" i="1"/>
  <c r="J377" i="1"/>
  <c r="J179" i="1"/>
  <c r="J789" i="1"/>
  <c r="J926" i="1"/>
  <c r="J970" i="1"/>
  <c r="J1549" i="1"/>
  <c r="J1327" i="1"/>
  <c r="J229" i="1"/>
  <c r="J178" i="1"/>
  <c r="J861" i="1"/>
  <c r="J638" i="1"/>
  <c r="J7" i="1"/>
  <c r="J72" i="1"/>
  <c r="J1210" i="1"/>
  <c r="J513" i="1"/>
  <c r="J481" i="1"/>
  <c r="J1513" i="1"/>
  <c r="J544" i="1"/>
  <c r="J360" i="1"/>
  <c r="J232" i="1"/>
  <c r="J1147" i="1"/>
  <c r="J765" i="1"/>
  <c r="J954" i="1"/>
  <c r="J569" i="1"/>
  <c r="J1516" i="1"/>
  <c r="J226" i="1"/>
  <c r="J110" i="1"/>
  <c r="J923" i="1"/>
  <c r="J1099" i="1"/>
  <c r="J392" i="1"/>
  <c r="J125" i="1"/>
  <c r="J1081" i="1"/>
  <c r="J304" i="1"/>
  <c r="J651" i="1"/>
  <c r="J20" i="1"/>
  <c r="J456" i="1"/>
  <c r="J168" i="1"/>
  <c r="J2" i="1"/>
  <c r="J842" i="1"/>
  <c r="J618" i="1"/>
  <c r="J516" i="1"/>
  <c r="J942" i="1"/>
  <c r="J1540" i="1"/>
  <c r="J1340" i="1"/>
  <c r="J18" i="1"/>
  <c r="J375" i="1"/>
  <c r="J1539" i="1"/>
  <c r="J808" i="1"/>
  <c r="J1074" i="1"/>
  <c r="J75" i="1"/>
  <c r="J969" i="1"/>
  <c r="J408" i="1"/>
  <c r="J636" i="1"/>
  <c r="J1007" i="1"/>
  <c r="J1031" i="1"/>
  <c r="J1358" i="1"/>
  <c r="J1028" i="1"/>
  <c r="J734" i="1"/>
  <c r="J1374" i="1"/>
  <c r="J305" i="1"/>
  <c r="J274" i="1"/>
  <c r="J1008" i="1"/>
  <c r="J807" i="1"/>
  <c r="J451" i="1"/>
  <c r="J853" i="1"/>
  <c r="J132" i="1"/>
  <c r="J752" i="1"/>
  <c r="J1404" i="1"/>
  <c r="J271" i="1"/>
  <c r="J916" i="1"/>
  <c r="J1533" i="1"/>
  <c r="J1467" i="1"/>
  <c r="J1536" i="1"/>
  <c r="J1224" i="1"/>
  <c r="J1258" i="1"/>
  <c r="J50" i="1"/>
  <c r="J1353" i="1"/>
  <c r="J649" i="1"/>
  <c r="J804" i="1"/>
  <c r="J540" i="1"/>
  <c r="J597" i="1"/>
  <c r="J411" i="1"/>
  <c r="J407" i="1"/>
  <c r="J1046" i="1"/>
  <c r="J116" i="1"/>
  <c r="J1342" i="1"/>
  <c r="J1091" i="1"/>
  <c r="J1002" i="1"/>
  <c r="J1521" i="1"/>
  <c r="J1136" i="1"/>
  <c r="J652" i="1"/>
  <c r="J727" i="1"/>
  <c r="J1490" i="1"/>
  <c r="J1394" i="1"/>
  <c r="J44" i="1"/>
  <c r="J902" i="1"/>
  <c r="J1014" i="1"/>
  <c r="J836" i="1"/>
  <c r="J23" i="1"/>
  <c r="J142" i="1"/>
  <c r="J1114" i="1"/>
  <c r="J1183" i="1"/>
  <c r="J1435" i="1"/>
  <c r="J583" i="1"/>
  <c r="J1504" i="1"/>
  <c r="J992" i="1"/>
  <c r="J1552" i="1"/>
  <c r="J625" i="1"/>
  <c r="J1368" i="1"/>
  <c r="J1546" i="1"/>
  <c r="J1178" i="1"/>
  <c r="J655" i="1"/>
  <c r="J206" i="1"/>
  <c r="J711" i="1"/>
  <c r="J1297" i="1"/>
  <c r="J1597" i="1"/>
  <c r="J332" i="1"/>
  <c r="J1289" i="1"/>
  <c r="J1544" i="1"/>
  <c r="J1212" i="1"/>
  <c r="J1076" i="1"/>
  <c r="J1387" i="1"/>
  <c r="J654" i="1"/>
  <c r="J510" i="1"/>
  <c r="J223" i="1"/>
  <c r="J777" i="1"/>
  <c r="J248" i="1"/>
  <c r="J568" i="1"/>
  <c r="J708" i="1"/>
  <c r="J1439" i="1"/>
  <c r="J1480" i="1"/>
  <c r="J1537" i="1"/>
  <c r="J1235" i="1"/>
  <c r="J1094" i="1"/>
  <c r="J216" i="1"/>
  <c r="J716" i="1"/>
  <c r="J355" i="1"/>
  <c r="J1528" i="1"/>
  <c r="J1579" i="1"/>
  <c r="J718" i="1"/>
  <c r="J1592" i="1"/>
  <c r="J173" i="1"/>
  <c r="J979" i="1"/>
  <c r="J1103" i="1"/>
  <c r="J1447" i="1"/>
  <c r="J1217" i="1"/>
  <c r="J100" i="1"/>
  <c r="J1363" i="1"/>
  <c r="J77" i="1"/>
  <c r="J165" i="1"/>
  <c r="J872" i="1"/>
  <c r="J980" i="1"/>
  <c r="J1334" i="1"/>
  <c r="J1062" i="1"/>
  <c r="J273" i="1"/>
  <c r="J259" i="1"/>
  <c r="J1073" i="1"/>
  <c r="J1398" i="1"/>
  <c r="J1412" i="1"/>
  <c r="J477" i="1"/>
  <c r="J6" i="1"/>
  <c r="J572" i="1"/>
  <c r="J715" i="1"/>
  <c r="J951" i="1"/>
  <c r="J10" i="1"/>
  <c r="J1471" i="1"/>
  <c r="J1606" i="1"/>
  <c r="J1582" i="1"/>
  <c r="J370" i="1"/>
  <c r="J639" i="1"/>
  <c r="J1522" i="1"/>
  <c r="J1618" i="1"/>
  <c r="J373" i="1"/>
  <c r="J586" i="1"/>
  <c r="J1305" i="1"/>
  <c r="J1407" i="1"/>
  <c r="J1329" i="1"/>
  <c r="J1182" i="1"/>
  <c r="J691" i="1"/>
  <c r="J1083" i="1"/>
  <c r="J107" i="1"/>
  <c r="J1401" i="1"/>
  <c r="J189" i="1"/>
  <c r="J1129" i="1"/>
  <c r="J344" i="1"/>
  <c r="J138" i="1"/>
  <c r="J1345" i="1"/>
  <c r="J749" i="1"/>
  <c r="J56" i="1"/>
  <c r="J1040" i="1"/>
  <c r="J1078" i="1"/>
  <c r="J87" i="1"/>
  <c r="J1206" i="1"/>
  <c r="J938" i="1"/>
  <c r="J1444" i="1"/>
  <c r="J1493" i="1"/>
  <c r="J1602" i="1"/>
  <c r="J1501" i="1"/>
  <c r="J977" i="1"/>
  <c r="J1154" i="1"/>
  <c r="J1331" i="1"/>
  <c r="J157" i="1"/>
  <c r="J1105" i="1"/>
  <c r="J170" i="1"/>
  <c r="J681" i="1"/>
  <c r="J751" i="1"/>
  <c r="J88" i="1"/>
  <c r="J188" i="1"/>
  <c r="J1026" i="1"/>
  <c r="J314" i="1"/>
  <c r="J1132" i="1"/>
  <c r="J1346" i="1"/>
  <c r="J821" i="1"/>
  <c r="J1248" i="1"/>
  <c r="J1482" i="1"/>
  <c r="J303" i="1"/>
  <c r="J1463" i="1"/>
  <c r="J644" i="1"/>
  <c r="J657" i="1"/>
  <c r="J1148" i="1"/>
  <c r="J403" i="1"/>
  <c r="J1272" i="1"/>
  <c r="J450" i="1"/>
  <c r="J1053" i="1"/>
  <c r="J1548" i="1"/>
  <c r="J239" i="1"/>
  <c r="J1080" i="1"/>
  <c r="J1070" i="1"/>
  <c r="J161" i="1"/>
  <c r="J172" i="1"/>
  <c r="J1469" i="1"/>
  <c r="J816" i="1"/>
  <c r="J1550" i="1"/>
  <c r="J1284" i="1"/>
  <c r="J55" i="1"/>
  <c r="J1219" i="1"/>
  <c r="J1192" i="1"/>
  <c r="J1515" i="1"/>
  <c r="J978" i="1"/>
  <c r="J952" i="1"/>
  <c r="J109" i="1"/>
  <c r="J686" i="1"/>
  <c r="J1465" i="1"/>
  <c r="J1390" i="1"/>
  <c r="J1560" i="1"/>
  <c r="J588" i="1"/>
  <c r="J1223" i="1"/>
  <c r="J76" i="1"/>
  <c r="J69" i="1"/>
  <c r="J1591" i="1"/>
  <c r="J784" i="1"/>
  <c r="J461" i="1"/>
  <c r="J537" i="1"/>
  <c r="J413" i="1"/>
  <c r="J472" i="1"/>
  <c r="J1584" i="1"/>
  <c r="J1333" i="1"/>
  <c r="J557" i="1"/>
  <c r="J439" i="1"/>
  <c r="J1601" i="1"/>
  <c r="J31" i="1"/>
  <c r="J995" i="1"/>
  <c r="J81" i="1"/>
  <c r="J1256" i="1"/>
  <c r="J1424" i="1"/>
  <c r="J961" i="1"/>
  <c r="J543" i="1"/>
  <c r="J346" i="1"/>
  <c r="J626" i="1"/>
  <c r="J1230" i="1"/>
  <c r="J924" i="1"/>
  <c r="J385" i="1"/>
  <c r="J745" i="1"/>
  <c r="J1307" i="1"/>
  <c r="J1236" i="1"/>
  <c r="J67" i="1"/>
  <c r="J147" i="1"/>
  <c r="J1004" i="1"/>
  <c r="J301" i="1"/>
  <c r="J1323" i="1"/>
  <c r="J221" i="1"/>
  <c r="J1622" i="1"/>
  <c r="J1354" i="1"/>
  <c r="J598" i="1"/>
  <c r="J1157" i="1"/>
  <c r="J1233" i="1"/>
  <c r="J307" i="1"/>
  <c r="J859" i="1"/>
  <c r="J449" i="1"/>
  <c r="J457" i="1"/>
  <c r="J783" i="1"/>
  <c r="J702" i="1"/>
  <c r="J1456" i="1"/>
  <c r="J877" i="1"/>
  <c r="J915" i="1"/>
  <c r="J1440" i="1"/>
  <c r="J887" i="1"/>
  <c r="J1460" i="1"/>
  <c r="J83" i="1"/>
  <c r="J949" i="1"/>
  <c r="J755" i="1"/>
  <c r="J1035" i="1"/>
  <c r="J431" i="1"/>
  <c r="J15" i="1"/>
  <c r="J326" i="1"/>
  <c r="J604" i="1"/>
  <c r="J78" i="1"/>
  <c r="J491" i="1"/>
  <c r="J1311" i="1"/>
  <c r="J234" i="1"/>
  <c r="J415" i="1"/>
  <c r="J1201" i="1"/>
  <c r="J1275" i="1"/>
  <c r="J215" i="1"/>
  <c r="J596" i="1"/>
  <c r="J1034" i="1"/>
  <c r="J225" i="1"/>
  <c r="J746" i="1"/>
  <c r="J1155" i="1"/>
  <c r="J14" i="1"/>
  <c r="J1234" i="1"/>
  <c r="J230" i="1"/>
  <c r="J940" i="1"/>
  <c r="J39" i="1"/>
  <c r="J1101" i="1"/>
  <c r="J501" i="1"/>
  <c r="J930" i="1"/>
  <c r="J1141" i="1"/>
  <c r="J376" i="1"/>
  <c r="J261" i="1"/>
  <c r="J578" i="1"/>
  <c r="J720" i="1"/>
  <c r="J1481" i="1"/>
  <c r="J1160" i="1"/>
  <c r="J595" i="1"/>
  <c r="J1461" i="1"/>
  <c r="J1355" i="1"/>
  <c r="J1229" i="1"/>
  <c r="J1085" i="1"/>
  <c r="J1453" i="1"/>
  <c r="J1261" i="1"/>
  <c r="J1068" i="1"/>
  <c r="J459" i="1"/>
  <c r="J579" i="1"/>
  <c r="J1599" i="1"/>
  <c r="J19" i="1"/>
  <c r="J741" i="1"/>
  <c r="J914" i="1"/>
  <c r="J289" i="1"/>
  <c r="J791" i="1"/>
  <c r="J868" i="1"/>
  <c r="J1497" i="1"/>
  <c r="J391" i="1"/>
  <c r="J249" i="1"/>
  <c r="J895" i="1"/>
  <c r="J82" i="1"/>
  <c r="J955" i="1"/>
  <c r="J1042" i="1"/>
  <c r="J1547" i="1"/>
  <c r="J463" i="1"/>
  <c r="J1554" i="1"/>
  <c r="J1318" i="1"/>
  <c r="J1503" i="1"/>
  <c r="J735" i="1"/>
  <c r="J1290" i="1"/>
  <c r="J1005" i="1"/>
  <c r="J263" i="1"/>
  <c r="J1378" i="1"/>
  <c r="J192" i="1"/>
  <c r="J28" i="1"/>
  <c r="J1146" i="1"/>
  <c r="J532" i="1"/>
  <c r="J37" i="1"/>
  <c r="J750" i="1"/>
  <c r="J153" i="1"/>
  <c r="J918" i="1"/>
  <c r="J662" i="1"/>
  <c r="J369" i="1"/>
  <c r="J726" i="1"/>
  <c r="J309" i="1"/>
  <c r="J61" i="1"/>
  <c r="J1022" i="1"/>
  <c r="J1226" i="1"/>
  <c r="J1402" i="1"/>
  <c r="J1033" i="1"/>
  <c r="J803" i="1"/>
  <c r="J1108" i="1"/>
  <c r="J640" i="1"/>
  <c r="J117" i="1"/>
  <c r="J571" i="1"/>
  <c r="J1176" i="1"/>
  <c r="J1060" i="1"/>
  <c r="J866" i="1"/>
  <c r="J1023" i="1"/>
  <c r="J1090" i="1"/>
  <c r="J1393" i="1"/>
  <c r="J1484" i="1"/>
  <c r="J1590" i="1"/>
  <c r="J1087" i="1"/>
  <c r="J1448" i="1"/>
  <c r="J1462" i="1"/>
  <c r="J724" i="1"/>
  <c r="J1189" i="1"/>
  <c r="J1202" i="1"/>
  <c r="J884" i="1"/>
  <c r="J1140" i="1"/>
  <c r="J1561" i="1"/>
  <c r="J1282" i="1"/>
  <c r="J913" i="1"/>
  <c r="J1520" i="1"/>
  <c r="J208" i="1"/>
  <c r="J1093" i="1"/>
  <c r="J1218" i="1"/>
  <c r="J12" i="1"/>
  <c r="J574" i="1"/>
  <c r="J850" i="1"/>
  <c r="J113" i="1"/>
  <c r="J522" i="1"/>
  <c r="J1509" i="1"/>
  <c r="J199" i="1"/>
  <c r="J728" i="1"/>
  <c r="J722" i="1"/>
  <c r="J1067" i="1"/>
  <c r="J957" i="1"/>
  <c r="J1339" i="1"/>
  <c r="J778" i="1"/>
  <c r="J394" i="1"/>
  <c r="J856" i="1"/>
  <c r="J1531" i="1"/>
  <c r="J43" i="1"/>
  <c r="J1257" i="1"/>
  <c r="J1350" i="1"/>
  <c r="J833" i="1"/>
  <c r="J1198" i="1"/>
  <c r="J822" i="1"/>
  <c r="J417" i="1"/>
  <c r="J262" i="1"/>
  <c r="J646" i="1"/>
  <c r="J474" i="1"/>
  <c r="J763" i="1"/>
  <c r="J520" i="1"/>
  <c r="J280" i="1"/>
  <c r="J1174" i="1"/>
  <c r="J1051" i="1"/>
  <c r="J692" i="1"/>
  <c r="J950" i="1"/>
  <c r="J343" i="1"/>
  <c r="J368" i="1"/>
  <c r="J573" i="1"/>
  <c r="J1001" i="1"/>
  <c r="J150" i="1"/>
  <c r="J1203" i="1"/>
  <c r="J882" i="1"/>
  <c r="J416" i="1"/>
  <c r="J1436" i="1"/>
  <c r="J1095" i="1"/>
  <c r="J212" i="1"/>
  <c r="J277" i="1"/>
  <c r="J1039" i="1"/>
  <c r="J1488" i="1"/>
  <c r="J383" i="1"/>
  <c r="J1180" i="1"/>
  <c r="J164" i="1"/>
  <c r="J1578" i="1"/>
  <c r="J999" i="1"/>
  <c r="J1193" i="1"/>
  <c r="J713" i="1"/>
  <c r="J250" i="1"/>
  <c r="J1069" i="1"/>
  <c r="J183" i="1"/>
  <c r="J1027" i="1"/>
  <c r="J190" i="1"/>
  <c r="J922" i="1"/>
  <c r="J575" i="1"/>
  <c r="J688" i="1"/>
  <c r="J52" i="1"/>
  <c r="J264" i="1"/>
  <c r="J433" i="1"/>
  <c r="J799" i="1"/>
  <c r="J224" i="1"/>
  <c r="J38" i="1"/>
  <c r="J122" i="1"/>
  <c r="J1414" i="1"/>
  <c r="J860" i="1"/>
  <c r="J1581" i="1"/>
  <c r="J1277" i="1"/>
  <c r="J331" i="1"/>
  <c r="J4" i="1"/>
  <c r="J112" i="1"/>
  <c r="J658" i="1"/>
  <c r="J603" i="1"/>
  <c r="J826" i="1"/>
  <c r="J905" i="1"/>
  <c r="J1204" i="1"/>
  <c r="J984" i="1"/>
  <c r="J567" i="1"/>
  <c r="J776" i="1"/>
  <c r="J524" i="1"/>
  <c r="J1197" i="1"/>
  <c r="J972" i="1"/>
  <c r="J535" i="1"/>
  <c r="J533" i="1"/>
  <c r="J512" i="1"/>
  <c r="J593" i="1"/>
  <c r="J580" i="1"/>
  <c r="J622" i="1"/>
  <c r="J525" i="1"/>
  <c r="J1413" i="1"/>
  <c r="J460" i="1"/>
  <c r="J1111" i="1"/>
  <c r="J1018" i="1"/>
  <c r="J1169" i="1"/>
  <c r="J998" i="1"/>
  <c r="J1036" i="1"/>
  <c r="J1130" i="1"/>
  <c r="J1430" i="1"/>
  <c r="J327" i="1"/>
  <c r="J21" i="1"/>
  <c r="J946" i="1"/>
  <c r="J1109" i="1"/>
  <c r="J64" i="1"/>
  <c r="J126" i="1"/>
  <c r="J599" i="1"/>
  <c r="J1043" i="1"/>
  <c r="J1238" i="1"/>
  <c r="J123" i="1"/>
  <c r="J541" i="1"/>
  <c r="J13" i="1"/>
  <c r="J130" i="1"/>
  <c r="J704" i="1"/>
  <c r="J62" i="1"/>
  <c r="J169" i="1"/>
  <c r="J748" i="1"/>
  <c r="J534" i="1"/>
  <c r="J1337" i="1"/>
  <c r="J196" i="1"/>
  <c r="J1432" i="1"/>
  <c r="J811" i="1"/>
  <c r="J108" i="1"/>
  <c r="J1200" i="1"/>
  <c r="J1265" i="1"/>
  <c r="J26" i="1"/>
  <c r="J1107" i="1"/>
  <c r="J805" i="1"/>
  <c r="J635" i="1"/>
  <c r="J1128" i="1"/>
  <c r="J1619" i="1"/>
  <c r="J483" i="1"/>
  <c r="J269" i="1"/>
  <c r="J92" i="1"/>
  <c r="J696" i="1"/>
  <c r="J1000" i="1"/>
  <c r="J36" i="1"/>
  <c r="J903" i="1"/>
  <c r="J1383" i="1"/>
  <c r="J111" i="1"/>
  <c r="J974" i="1"/>
  <c r="J1222" i="1"/>
  <c r="J374" i="1"/>
  <c r="J240" i="1"/>
  <c r="J180" i="1"/>
  <c r="J356" i="1"/>
  <c r="J564" i="1"/>
  <c r="J1399" i="1"/>
  <c r="J282" i="1"/>
  <c r="J58" i="1"/>
  <c r="J863" i="1"/>
  <c r="J1195" i="1"/>
  <c r="J350" i="1"/>
  <c r="J561" i="1"/>
  <c r="J563" i="1"/>
</calcChain>
</file>

<file path=xl/connections.xml><?xml version="1.0" encoding="utf-8"?>
<connections xmlns="http://schemas.openxmlformats.org/spreadsheetml/2006/main">
  <connection id="1" name="real" type="6" refreshedVersion="4" background="1" saveData="1">
    <textPr codePage="437" sourceFile="D:\GitHub\mike_illustrations\Color\munsell_saturation\real.dat" delimited="0">
      <textFields count="6">
        <textField/>
        <textField position="6"/>
        <textField position="9"/>
        <textField position="12"/>
        <textField position="19"/>
        <textField position="26"/>
      </textFields>
    </textPr>
  </connection>
</connections>
</file>

<file path=xl/sharedStrings.xml><?xml version="1.0" encoding="utf-8"?>
<sst xmlns="http://schemas.openxmlformats.org/spreadsheetml/2006/main" count="4415" uniqueCount="61">
  <si>
    <t>R</t>
  </si>
  <si>
    <t>G</t>
  </si>
  <si>
    <t>B</t>
  </si>
  <si>
    <t>YR</t>
  </si>
  <si>
    <t>Y</t>
  </si>
  <si>
    <t>GY</t>
  </si>
  <si>
    <t>BG</t>
  </si>
  <si>
    <t>PB</t>
  </si>
  <si>
    <t>P</t>
  </si>
  <si>
    <t>RP</t>
  </si>
  <si>
    <t>hue_div</t>
  </si>
  <si>
    <t>hue_mod</t>
  </si>
  <si>
    <t>hue_dec</t>
  </si>
  <si>
    <t>Saturation</t>
  </si>
  <si>
    <t>Color</t>
  </si>
  <si>
    <t>h</t>
  </si>
  <si>
    <t>V</t>
  </si>
  <si>
    <t>C</t>
  </si>
  <si>
    <t>x</t>
  </si>
  <si>
    <t>y</t>
  </si>
  <si>
    <t>10RP</t>
  </si>
  <si>
    <t>2.5R</t>
  </si>
  <si>
    <t>5R</t>
  </si>
  <si>
    <t>7.5R</t>
  </si>
  <si>
    <t>10R</t>
  </si>
  <si>
    <t>2.5YR</t>
  </si>
  <si>
    <t>5YR</t>
  </si>
  <si>
    <t>7.5YR</t>
  </si>
  <si>
    <t>10YR</t>
  </si>
  <si>
    <t>2.5Y</t>
  </si>
  <si>
    <t>5Y</t>
  </si>
  <si>
    <t>7.5Y</t>
  </si>
  <si>
    <t>10Y</t>
  </si>
  <si>
    <t>2.5GY</t>
  </si>
  <si>
    <t>5GY</t>
  </si>
  <si>
    <t>7.5GY</t>
  </si>
  <si>
    <t>10GY</t>
  </si>
  <si>
    <t>2.5G</t>
  </si>
  <si>
    <t>5G</t>
  </si>
  <si>
    <t>7.5G</t>
  </si>
  <si>
    <t>10G</t>
  </si>
  <si>
    <t>2.5BG</t>
  </si>
  <si>
    <t>5BG</t>
  </si>
  <si>
    <t>7.5BG</t>
  </si>
  <si>
    <t>10BG</t>
  </si>
  <si>
    <t>2.5B</t>
  </si>
  <si>
    <t>5B</t>
  </si>
  <si>
    <t>7.5B</t>
  </si>
  <si>
    <t>10B</t>
  </si>
  <si>
    <t>2.5PB</t>
  </si>
  <si>
    <t>5PB</t>
  </si>
  <si>
    <t>7.5PB</t>
  </si>
  <si>
    <t>10PB</t>
  </si>
  <si>
    <t>2.5P</t>
  </si>
  <si>
    <t>5P</t>
  </si>
  <si>
    <t>7.5P</t>
  </si>
  <si>
    <t>10P</t>
  </si>
  <si>
    <t>2.5RP</t>
  </si>
  <si>
    <t>5RP</t>
  </si>
  <si>
    <t>7.5RP</t>
  </si>
  <si>
    <t>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</si>
</sst>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FF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z val="10"/>
      <name val="Verdana"/>
    </font>
  </fonts>
  <fills count="279">
    <fill>
      <patternFill patternType="none"/>
    </fill>
    <fill>
      <patternFill patternType="gray125"/>
    </fill>
    <fill>
      <patternFill patternType="solid">
        <fgColor rgb="FF2C1620"/>
        <bgColor indexed="64"/>
      </patternFill>
    </fill>
    <fill>
      <patternFill patternType="solid">
        <fgColor rgb="FF7E9B99"/>
        <bgColor indexed="64"/>
      </patternFill>
    </fill>
    <fill>
      <patternFill patternType="solid">
        <fgColor rgb="FF62A09E"/>
        <bgColor indexed="64"/>
      </patternFill>
    </fill>
    <fill>
      <patternFill patternType="solid">
        <fgColor rgb="FF3DA4A3"/>
        <bgColor indexed="64"/>
      </patternFill>
    </fill>
    <fill>
      <patternFill patternType="solid">
        <fgColor rgb="FF7F9A9B"/>
        <bgColor indexed="64"/>
      </patternFill>
    </fill>
    <fill>
      <patternFill patternType="solid">
        <fgColor rgb="FF649FA3"/>
        <bgColor indexed="64"/>
      </patternFill>
    </fill>
    <fill>
      <patternFill patternType="solid">
        <fgColor rgb="FF3CA3AA"/>
        <bgColor indexed="64"/>
      </patternFill>
    </fill>
    <fill>
      <patternFill patternType="solid">
        <fgColor rgb="FF809A9D"/>
        <bgColor indexed="64"/>
      </patternFill>
    </fill>
    <fill>
      <patternFill patternType="solid">
        <fgColor rgb="FF679EA6"/>
        <bgColor indexed="64"/>
      </patternFill>
    </fill>
    <fill>
      <patternFill patternType="solid">
        <fgColor rgb="FF40A2B0"/>
        <bgColor indexed="64"/>
      </patternFill>
    </fill>
    <fill>
      <patternFill patternType="solid">
        <fgColor rgb="FF83999F"/>
        <bgColor indexed="64"/>
      </patternFill>
    </fill>
    <fill>
      <patternFill patternType="solid">
        <fgColor rgb="FF6C9DA9"/>
        <bgColor indexed="64"/>
      </patternFill>
    </fill>
    <fill>
      <patternFill patternType="solid">
        <fgColor rgb="FF4BA0B6"/>
        <bgColor indexed="64"/>
      </patternFill>
    </fill>
    <fill>
      <patternFill patternType="solid">
        <fgColor rgb="FF8598A0"/>
        <bgColor indexed="64"/>
      </patternFill>
    </fill>
    <fill>
      <patternFill patternType="solid">
        <fgColor rgb="FF729BAC"/>
        <bgColor indexed="64"/>
      </patternFill>
    </fill>
    <fill>
      <patternFill patternType="solid">
        <fgColor rgb="FF3FA49B"/>
        <bgColor indexed="64"/>
      </patternFill>
    </fill>
    <fill>
      <patternFill patternType="solid">
        <fgColor rgb="FF63A099"/>
        <bgColor indexed="64"/>
      </patternFill>
    </fill>
    <fill>
      <patternFill patternType="solid">
        <fgColor rgb="FF7E9B97"/>
        <bgColor indexed="64"/>
      </patternFill>
    </fill>
    <fill>
      <patternFill patternType="solid">
        <fgColor rgb="FF46A593"/>
        <bgColor indexed="64"/>
      </patternFill>
    </fill>
    <fill>
      <patternFill patternType="solid">
        <fgColor rgb="FF64A093"/>
        <bgColor indexed="64"/>
      </patternFill>
    </fill>
    <fill>
      <patternFill patternType="solid">
        <fgColor rgb="FF7F9B94"/>
        <bgColor indexed="64"/>
      </patternFill>
    </fill>
    <fill>
      <patternFill patternType="solid">
        <fgColor rgb="FF350F23"/>
        <bgColor indexed="64"/>
      </patternFill>
    </fill>
    <fill>
      <patternFill patternType="solid">
        <fgColor rgb="FF3C0325"/>
        <bgColor indexed="64"/>
      </patternFill>
    </fill>
    <fill>
      <patternFill patternType="solid">
        <fgColor rgb="FF2D161E"/>
        <bgColor indexed="64"/>
      </patternFill>
    </fill>
    <fill>
      <patternFill patternType="solid">
        <fgColor rgb="FF360E1F"/>
        <bgColor indexed="64"/>
      </patternFill>
    </fill>
    <fill>
      <patternFill patternType="solid">
        <fgColor rgb="FF3E0020"/>
        <bgColor indexed="64"/>
      </patternFill>
    </fill>
    <fill>
      <patternFill patternType="solid">
        <fgColor rgb="FF2D161B"/>
        <bgColor indexed="64"/>
      </patternFill>
    </fill>
    <fill>
      <patternFill patternType="solid">
        <fgColor rgb="FF370E1B"/>
        <bgColor indexed="64"/>
      </patternFill>
    </fill>
    <fill>
      <patternFill patternType="solid">
        <fgColor rgb="FF2E1619"/>
        <bgColor indexed="64"/>
      </patternFill>
    </fill>
    <fill>
      <patternFill patternType="solid">
        <fgColor rgb="FF380E17"/>
        <bgColor indexed="64"/>
      </patternFill>
    </fill>
    <fill>
      <patternFill patternType="solid">
        <fgColor rgb="FF2E1617"/>
        <bgColor indexed="64"/>
      </patternFill>
    </fill>
    <fill>
      <patternFill patternType="solid">
        <fgColor rgb="FF380E12"/>
        <bgColor indexed="64"/>
      </patternFill>
    </fill>
    <fill>
      <patternFill patternType="solid">
        <fgColor rgb="FF2D1714"/>
        <bgColor indexed="64"/>
      </patternFill>
    </fill>
    <fill>
      <patternFill patternType="solid">
        <fgColor rgb="FF380F0A"/>
        <bgColor indexed="64"/>
      </patternFill>
    </fill>
    <fill>
      <patternFill patternType="solid">
        <fgColor rgb="FF410302"/>
        <bgColor indexed="64"/>
      </patternFill>
    </fill>
    <fill>
      <patternFill patternType="solid">
        <fgColor rgb="FF2C1810"/>
        <bgColor indexed="64"/>
      </patternFill>
    </fill>
    <fill>
      <patternFill patternType="solid">
        <fgColor rgb="FF2B190D"/>
        <bgColor indexed="64"/>
      </patternFill>
    </fill>
    <fill>
      <patternFill patternType="solid">
        <fgColor rgb="FF291A0A"/>
        <bgColor indexed="64"/>
      </patternFill>
    </fill>
    <fill>
      <patternFill patternType="solid">
        <fgColor rgb="FF261B07"/>
        <bgColor indexed="64"/>
      </patternFill>
    </fill>
    <fill>
      <patternFill patternType="solid">
        <fgColor rgb="FF241C07"/>
        <bgColor indexed="64"/>
      </patternFill>
    </fill>
    <fill>
      <patternFill patternType="solid">
        <fgColor rgb="FF211D09"/>
        <bgColor indexed="64"/>
      </patternFill>
    </fill>
    <fill>
      <patternFill patternType="solid">
        <fgColor rgb="FF1E1E0C"/>
        <bgColor indexed="64"/>
      </patternFill>
    </fill>
    <fill>
      <patternFill patternType="solid">
        <fgColor rgb="FF1B1E0F"/>
        <bgColor indexed="64"/>
      </patternFill>
    </fill>
    <fill>
      <patternFill patternType="solid">
        <fgColor rgb="FF191F12"/>
        <bgColor indexed="64"/>
      </patternFill>
    </fill>
    <fill>
      <patternFill patternType="solid">
        <fgColor rgb="FF161F15"/>
        <bgColor indexed="64"/>
      </patternFill>
    </fill>
    <fill>
      <patternFill patternType="solid">
        <fgColor rgb="FF062302"/>
        <bgColor indexed="64"/>
      </patternFill>
    </fill>
    <fill>
      <patternFill patternType="solid">
        <fgColor rgb="FF141F17"/>
        <bgColor indexed="64"/>
      </patternFill>
    </fill>
    <fill>
      <patternFill patternType="solid">
        <fgColor rgb="FF132018"/>
        <bgColor indexed="64"/>
      </patternFill>
    </fill>
    <fill>
      <patternFill patternType="solid">
        <fgColor rgb="FF112019"/>
        <bgColor indexed="64"/>
      </patternFill>
    </fill>
    <fill>
      <patternFill patternType="solid">
        <fgColor rgb="FF1C055C"/>
        <bgColor indexed="64"/>
      </patternFill>
    </fill>
    <fill>
      <patternFill patternType="solid">
        <fgColor rgb="FF1F1A2B"/>
        <bgColor indexed="64"/>
      </patternFill>
    </fill>
    <fill>
      <patternFill patternType="solid">
        <fgColor rgb="FF211735"/>
        <bgColor indexed="64"/>
      </patternFill>
    </fill>
    <fill>
      <patternFill patternType="solid">
        <fgColor rgb="FF153826"/>
        <bgColor indexed="64"/>
      </patternFill>
    </fill>
    <fill>
      <patternFill patternType="solid">
        <fgColor rgb="FF27352C"/>
        <bgColor indexed="64"/>
      </patternFill>
    </fill>
    <fill>
      <patternFill patternType="solid">
        <fgColor rgb="FF033A16"/>
        <bgColor indexed="64"/>
      </patternFill>
    </fill>
    <fill>
      <patternFill patternType="solid">
        <fgColor rgb="FF1C3820"/>
        <bgColor indexed="64"/>
      </patternFill>
    </fill>
    <fill>
      <patternFill patternType="solid">
        <fgColor rgb="FF29342A"/>
        <bgColor indexed="64"/>
      </patternFill>
    </fill>
    <fill>
      <patternFill patternType="solid">
        <fgColor rgb="FF153907"/>
        <bgColor indexed="64"/>
      </patternFill>
    </fill>
    <fill>
      <patternFill patternType="solid">
        <fgColor rgb="FF22371A"/>
        <bgColor indexed="64"/>
      </patternFill>
    </fill>
    <fill>
      <patternFill patternType="solid">
        <fgColor rgb="FF2B3428"/>
        <bgColor indexed="64"/>
      </patternFill>
    </fill>
    <fill>
      <patternFill patternType="solid">
        <fgColor rgb="FF293613"/>
        <bgColor indexed="64"/>
      </patternFill>
    </fill>
    <fill>
      <patternFill patternType="solid">
        <fgColor rgb="FF2E3426"/>
        <bgColor indexed="64"/>
      </patternFill>
    </fill>
    <fill>
      <patternFill patternType="solid">
        <fgColor rgb="FF2F350C"/>
        <bgColor indexed="64"/>
      </patternFill>
    </fill>
    <fill>
      <patternFill patternType="solid">
        <fgColor rgb="FF303324"/>
        <bgColor indexed="64"/>
      </patternFill>
    </fill>
    <fill>
      <patternFill patternType="solid">
        <fgColor rgb="FF353304"/>
        <bgColor indexed="64"/>
      </patternFill>
    </fill>
    <fill>
      <patternFill patternType="solid">
        <fgColor rgb="FF333222"/>
        <bgColor indexed="64"/>
      </patternFill>
    </fill>
    <fill>
      <patternFill patternType="solid">
        <fgColor rgb="FF3A3200"/>
        <bgColor indexed="64"/>
      </patternFill>
    </fill>
    <fill>
      <patternFill patternType="solid">
        <fgColor rgb="FF363220"/>
        <bgColor indexed="64"/>
      </patternFill>
    </fill>
    <fill>
      <patternFill patternType="solid">
        <fgColor rgb="FF3E3002"/>
        <bgColor indexed="64"/>
      </patternFill>
    </fill>
    <fill>
      <patternFill patternType="solid">
        <fgColor rgb="FF383120"/>
        <bgColor indexed="64"/>
      </patternFill>
    </fill>
    <fill>
      <patternFill patternType="solid">
        <fgColor rgb="FF412E07"/>
        <bgColor indexed="64"/>
      </patternFill>
    </fill>
    <fill>
      <patternFill patternType="solid">
        <fgColor rgb="FF3A3020"/>
        <bgColor indexed="64"/>
      </patternFill>
    </fill>
    <fill>
      <patternFill patternType="solid">
        <fgColor rgb="FF452D0D"/>
        <bgColor indexed="64"/>
      </patternFill>
    </fill>
    <fill>
      <patternFill patternType="solid">
        <fgColor rgb="FF3D2F21"/>
        <bgColor indexed="64"/>
      </patternFill>
    </fill>
    <fill>
      <patternFill patternType="solid">
        <fgColor rgb="FF482B12"/>
        <bgColor indexed="64"/>
      </patternFill>
    </fill>
    <fill>
      <patternFill patternType="solid">
        <fgColor rgb="FF3F2E23"/>
        <bgColor indexed="64"/>
      </patternFill>
    </fill>
    <fill>
      <patternFill patternType="solid">
        <fgColor rgb="FFFFB1BC"/>
        <bgColor indexed="64"/>
      </patternFill>
    </fill>
    <fill>
      <patternFill patternType="solid">
        <fgColor rgb="FFFFA9B8"/>
        <bgColor indexed="64"/>
      </patternFill>
    </fill>
    <fill>
      <patternFill patternType="solid">
        <fgColor rgb="FFF2E2E3"/>
        <bgColor indexed="64"/>
      </patternFill>
    </fill>
    <fill>
      <patternFill patternType="solid">
        <fgColor rgb="FFFFDBDE"/>
        <bgColor indexed="64"/>
      </patternFill>
    </fill>
    <fill>
      <patternFill patternType="solid">
        <fgColor rgb="FFFFD3D9"/>
        <bgColor indexed="64"/>
      </patternFill>
    </fill>
    <fill>
      <patternFill patternType="solid">
        <fgColor rgb="FF524734"/>
        <bgColor indexed="64"/>
      </patternFill>
    </fill>
    <fill>
      <patternFill patternType="solid">
        <fgColor rgb="FFB2914A"/>
        <bgColor indexed="64"/>
      </patternFill>
    </fill>
    <fill>
      <patternFill patternType="solid">
        <fgColor rgb="FFB88F2C"/>
        <bgColor indexed="64"/>
      </patternFill>
    </fill>
    <fill>
      <patternFill patternType="solid">
        <fgColor rgb="FFBBAE95"/>
        <bgColor indexed="64"/>
      </patternFill>
    </fill>
    <fill>
      <patternFill patternType="solid">
        <fgColor rgb="FFC5AD7D"/>
        <bgColor indexed="64"/>
      </patternFill>
    </fill>
    <fill>
      <patternFill patternType="solid">
        <fgColor rgb="FFCDAB63"/>
        <bgColor indexed="64"/>
      </patternFill>
    </fill>
    <fill>
      <patternFill patternType="solid">
        <fgColor rgb="FFD4AA48"/>
        <bgColor indexed="64"/>
      </patternFill>
    </fill>
    <fill>
      <patternFill patternType="solid">
        <fgColor rgb="FFD9A923"/>
        <bgColor indexed="64"/>
      </patternFill>
    </fill>
    <fill>
      <patternFill patternType="solid">
        <fgColor rgb="FFD6C9AE"/>
        <bgColor indexed="64"/>
      </patternFill>
    </fill>
    <fill>
      <patternFill patternType="solid">
        <fgColor rgb="FFDFC896"/>
        <bgColor indexed="64"/>
      </patternFill>
    </fill>
    <fill>
      <patternFill patternType="solid">
        <fgColor rgb="FFAA9264"/>
        <bgColor indexed="64"/>
      </patternFill>
    </fill>
    <fill>
      <patternFill patternType="solid">
        <fgColor rgb="FFA0947C"/>
        <bgColor indexed="64"/>
      </patternFill>
    </fill>
    <fill>
      <patternFill patternType="solid">
        <fgColor rgb="FF9C750D"/>
        <bgColor indexed="64"/>
      </patternFill>
    </fill>
    <fill>
      <patternFill patternType="solid">
        <fgColor rgb="FF644108"/>
        <bgColor indexed="64"/>
      </patternFill>
    </fill>
    <fill>
      <patternFill patternType="solid">
        <fgColor rgb="FF5E4423"/>
        <bgColor indexed="64"/>
      </patternFill>
    </fill>
    <fill>
      <patternFill patternType="solid">
        <fgColor rgb="FF554636"/>
        <bgColor indexed="64"/>
      </patternFill>
    </fill>
    <fill>
      <patternFill patternType="solid">
        <fgColor rgb="FFFFD988"/>
        <bgColor indexed="64"/>
      </patternFill>
    </fill>
    <fill>
      <patternFill patternType="solid">
        <fgColor rgb="FFFFDC9F"/>
        <bgColor indexed="64"/>
      </patternFill>
    </fill>
    <fill>
      <patternFill patternType="solid">
        <fgColor rgb="FFFFDFB6"/>
        <bgColor indexed="64"/>
      </patternFill>
    </fill>
    <fill>
      <patternFill patternType="solid">
        <fgColor rgb="FFFFBA5A"/>
        <bgColor indexed="64"/>
      </patternFill>
    </fill>
    <fill>
      <patternFill patternType="solid">
        <fgColor rgb="FFE9C49F"/>
        <bgColor indexed="64"/>
      </patternFill>
    </fill>
    <fill>
      <patternFill patternType="solid">
        <fgColor rgb="FFF39D1C"/>
        <bgColor indexed="64"/>
      </patternFill>
    </fill>
    <fill>
      <patternFill patternType="solid">
        <fgColor rgb="FFDAA671"/>
        <bgColor indexed="64"/>
      </patternFill>
    </fill>
    <fill>
      <patternFill patternType="solid">
        <fgColor rgb="FFCF8524"/>
        <bgColor indexed="64"/>
      </patternFill>
    </fill>
    <fill>
      <patternFill patternType="solid">
        <fgColor rgb="FFC0AC9B"/>
        <bgColor indexed="64"/>
      </patternFill>
    </fill>
    <fill>
      <patternFill patternType="solid">
        <fgColor rgb="FFF7E2D2"/>
        <bgColor indexed="64"/>
      </patternFill>
    </fill>
    <fill>
      <patternFill patternType="solid">
        <fgColor rgb="FFFFB666"/>
        <bgColor indexed="64"/>
      </patternFill>
    </fill>
    <fill>
      <patternFill patternType="solid">
        <fgColor rgb="FFD0A78B"/>
        <bgColor indexed="64"/>
      </patternFill>
    </fill>
    <fill>
      <patternFill patternType="solid">
        <fgColor rgb="FF805840"/>
        <bgColor indexed="64"/>
      </patternFill>
    </fill>
    <fill>
      <patternFill patternType="solid">
        <fgColor rgb="FFFFAB5F"/>
        <bgColor indexed="64"/>
      </patternFill>
    </fill>
    <fill>
      <patternFill patternType="solid">
        <fgColor rgb="FFFEBC99"/>
        <bgColor indexed="64"/>
      </patternFill>
    </fill>
    <fill>
      <patternFill patternType="solid">
        <fgColor rgb="FFDD7C45"/>
        <bgColor indexed="64"/>
      </patternFill>
    </fill>
    <fill>
      <patternFill patternType="solid">
        <fgColor rgb="FF673E2F"/>
        <bgColor indexed="64"/>
      </patternFill>
    </fill>
    <fill>
      <patternFill patternType="solid">
        <fgColor rgb="FFDAC6C0"/>
        <bgColor indexed="64"/>
      </patternFill>
    </fill>
    <fill>
      <patternFill patternType="solid">
        <fgColor rgb="FFCF5428"/>
        <bgColor indexed="64"/>
      </patternFill>
    </fill>
    <fill>
      <patternFill patternType="solid">
        <fgColor rgb="FF693D34"/>
        <bgColor indexed="64"/>
      </patternFill>
    </fill>
    <fill>
      <patternFill patternType="solid">
        <fgColor rgb="FFE29F92"/>
        <bgColor indexed="64"/>
      </patternFill>
    </fill>
    <fill>
      <patternFill patternType="solid">
        <fgColor rgb="FFFF4B33"/>
        <bgColor indexed="64"/>
      </patternFill>
    </fill>
    <fill>
      <patternFill patternType="solid">
        <fgColor rgb="FFBC2221"/>
        <bgColor indexed="64"/>
      </patternFill>
    </fill>
    <fill>
      <patternFill patternType="solid">
        <fgColor rgb="FF422C2C"/>
        <bgColor indexed="64"/>
      </patternFill>
    </fill>
    <fill>
      <patternFill patternType="solid">
        <fgColor rgb="FFEF6B6A"/>
        <bgColor indexed="64"/>
      </patternFill>
    </fill>
    <fill>
      <patternFill patternType="solid">
        <fgColor rgb="FFF4083D"/>
        <bgColor indexed="64"/>
      </patternFill>
    </fill>
    <fill>
      <patternFill patternType="solid">
        <fgColor rgb="FFD34D51"/>
        <bgColor indexed="64"/>
      </patternFill>
    </fill>
    <fill>
      <patternFill patternType="solid">
        <fgColor rgb="FF9D4646"/>
        <bgColor indexed="64"/>
      </patternFill>
    </fill>
    <fill>
      <patternFill patternType="solid">
        <fgColor rgb="FF745B5A"/>
        <bgColor indexed="64"/>
      </patternFill>
    </fill>
    <fill>
      <patternFill patternType="solid">
        <fgColor rgb="FFFFD3D2"/>
        <bgColor indexed="64"/>
      </patternFill>
    </fill>
    <fill>
      <patternFill patternType="solid">
        <fgColor rgb="FF422C2E"/>
        <bgColor indexed="64"/>
      </patternFill>
    </fill>
    <fill>
      <patternFill patternType="solid">
        <fgColor rgb="FFAC6966"/>
        <bgColor indexed="64"/>
      </patternFill>
    </fill>
    <fill>
      <patternFill patternType="solid">
        <fgColor rgb="FFEDC0BB"/>
        <bgColor indexed="64"/>
      </patternFill>
    </fill>
    <fill>
      <patternFill patternType="solid">
        <fgColor rgb="FF9D463D"/>
        <bgColor indexed="64"/>
      </patternFill>
    </fill>
    <fill>
      <patternFill patternType="solid">
        <fgColor rgb="FFFF8870"/>
        <bgColor indexed="64"/>
      </patternFill>
    </fill>
    <fill>
      <patternFill patternType="solid">
        <fgColor rgb="FF90503F"/>
        <bgColor indexed="64"/>
      </patternFill>
    </fill>
    <fill>
      <patternFill patternType="solid">
        <fgColor rgb="FFFF8C5B"/>
        <bgColor indexed="64"/>
      </patternFill>
    </fill>
    <fill>
      <patternFill patternType="solid">
        <fgColor rgb="FFFFDAC9"/>
        <bgColor indexed="64"/>
      </patternFill>
    </fill>
    <fill>
      <patternFill patternType="solid">
        <fgColor rgb="FF9C715F"/>
        <bgColor indexed="64"/>
      </patternFill>
    </fill>
    <fill>
      <patternFill patternType="solid">
        <fgColor rgb="FFE6762F"/>
        <bgColor indexed="64"/>
      </patternFill>
    </fill>
    <fill>
      <patternFill patternType="solid">
        <fgColor rgb="FFEE710A"/>
        <bgColor indexed="64"/>
      </patternFill>
    </fill>
    <fill>
      <patternFill patternType="solid">
        <fgColor rgb="FFC1ABA1"/>
        <bgColor indexed="64"/>
      </patternFill>
    </fill>
    <fill>
      <patternFill patternType="solid">
        <fgColor rgb="FFD2A691"/>
        <bgColor indexed="64"/>
      </patternFill>
    </fill>
    <fill>
      <patternFill patternType="solid">
        <fgColor rgb="FFE1A180"/>
        <bgColor indexed="64"/>
      </patternFill>
    </fill>
    <fill>
      <patternFill patternType="solid">
        <fgColor rgb="FFEF9C70"/>
        <bgColor indexed="64"/>
      </patternFill>
    </fill>
    <fill>
      <patternFill patternType="solid">
        <fgColor rgb="FFFA965F"/>
        <bgColor indexed="64"/>
      </patternFill>
    </fill>
    <fill>
      <patternFill patternType="solid">
        <fgColor rgb="FFFF9148"/>
        <bgColor indexed="64"/>
      </patternFill>
    </fill>
    <fill>
      <patternFill patternType="solid">
        <fgColor rgb="FFFF8B2C"/>
        <bgColor indexed="64"/>
      </patternFill>
    </fill>
    <fill>
      <patternFill patternType="solid">
        <fgColor rgb="FFDBC6BD"/>
        <bgColor indexed="64"/>
      </patternFill>
    </fill>
    <fill>
      <patternFill patternType="solid">
        <fgColor rgb="FFEFC1AA"/>
        <bgColor indexed="64"/>
      </patternFill>
    </fill>
    <fill>
      <patternFill patternType="solid">
        <fgColor rgb="FFFFB687"/>
        <bgColor indexed="64"/>
      </patternFill>
    </fill>
    <fill>
      <patternFill patternType="solid">
        <fgColor rgb="FFFFB174"/>
        <bgColor indexed="64"/>
      </patternFill>
    </fill>
    <fill>
      <patternFill patternType="solid">
        <fgColor rgb="FFF7E1D7"/>
        <bgColor indexed="64"/>
      </patternFill>
    </fill>
    <fill>
      <patternFill patternType="solid">
        <fgColor rgb="FFB78C78"/>
        <bgColor indexed="64"/>
      </patternFill>
    </fill>
    <fill>
      <patternFill patternType="solid">
        <fgColor rgb="FFCCA6AD"/>
        <bgColor indexed="64"/>
      </patternFill>
    </fill>
    <fill>
      <patternFill patternType="solid">
        <fgColor rgb="FFFF6FAC"/>
        <bgColor indexed="64"/>
      </patternFill>
    </fill>
    <fill>
      <patternFill patternType="solid">
        <fgColor rgb="FFFFB1C6"/>
        <bgColor indexed="64"/>
      </patternFill>
    </fill>
    <fill>
      <patternFill patternType="solid">
        <fgColor rgb="FFF9B9C6"/>
        <bgColor indexed="64"/>
      </patternFill>
    </fill>
    <fill>
      <patternFill patternType="solid">
        <fgColor rgb="FFF1E2E4"/>
        <bgColor indexed="64"/>
      </patternFill>
    </fill>
    <fill>
      <patternFill patternType="solid">
        <fgColor rgb="FFAB696D"/>
        <bgColor indexed="64"/>
      </patternFill>
    </fill>
    <fill>
      <patternFill patternType="solid">
        <fgColor rgb="FFC1CBD5"/>
        <bgColor indexed="64"/>
      </patternFill>
    </fill>
    <fill>
      <patternFill patternType="solid">
        <fgColor rgb="FF78B5E7"/>
        <bgColor indexed="64"/>
      </patternFill>
    </fill>
    <fill>
      <patternFill patternType="solid">
        <fgColor rgb="FF75333D"/>
        <bgColor indexed="64"/>
      </patternFill>
    </fill>
    <fill>
      <patternFill patternType="solid">
        <fgColor rgb="FF82283A"/>
        <bgColor indexed="64"/>
      </patternFill>
    </fill>
    <fill>
      <patternFill patternType="solid">
        <fgColor rgb="FFDC405D"/>
        <bgColor indexed="64"/>
      </patternFill>
    </fill>
    <fill>
      <patternFill patternType="solid">
        <fgColor rgb="FFE82D5A"/>
        <bgColor indexed="64"/>
      </patternFill>
    </fill>
    <fill>
      <patternFill patternType="solid">
        <fgColor rgb="FFE09EA0"/>
        <bgColor indexed="64"/>
      </patternFill>
    </fill>
    <fill>
      <patternFill patternType="solid">
        <fgColor rgb="FFF0979A"/>
        <bgColor indexed="64"/>
      </patternFill>
    </fill>
    <fill>
      <patternFill patternType="solid">
        <fgColor rgb="FFFDB9B9"/>
        <bgColor indexed="64"/>
      </patternFill>
    </fill>
    <fill>
      <patternFill patternType="solid">
        <fgColor rgb="FFF2E2E2"/>
        <bgColor indexed="64"/>
      </patternFill>
    </fill>
    <fill>
      <patternFill patternType="solid">
        <fgColor rgb="FF5C4242"/>
        <bgColor indexed="64"/>
      </patternFill>
    </fill>
    <fill>
      <patternFill patternType="solid">
        <fgColor rgb="FF630E26"/>
        <bgColor indexed="64"/>
      </patternFill>
    </fill>
    <fill>
      <patternFill patternType="solid">
        <fgColor rgb="FF581D28"/>
        <bgColor indexed="64"/>
      </patternFill>
    </fill>
    <fill>
      <patternFill patternType="solid">
        <fgColor rgb="FF4E252B"/>
        <bgColor indexed="64"/>
      </patternFill>
    </fill>
    <fill>
      <patternFill patternType="solid">
        <fgColor rgb="FFBE1A34"/>
        <bgColor indexed="64"/>
      </patternFill>
    </fill>
    <fill>
      <patternFill patternType="solid">
        <fgColor rgb="FF8C7675"/>
        <bgColor indexed="64"/>
      </patternFill>
    </fill>
    <fill>
      <patternFill patternType="solid">
        <fgColor rgb="FFC65857"/>
        <bgColor indexed="64"/>
      </patternFill>
    </fill>
    <fill>
      <patternFill patternType="solid">
        <fgColor rgb="FFDD414B"/>
        <bgColor indexed="64"/>
      </patternFill>
    </fill>
    <fill>
      <patternFill patternType="solid">
        <fgColor rgb="FFE82F44"/>
        <bgColor indexed="64"/>
      </patternFill>
    </fill>
    <fill>
      <patternFill patternType="solid">
        <fgColor rgb="FFA6908F"/>
        <bgColor indexed="64"/>
      </patternFill>
    </fill>
    <fill>
      <patternFill patternType="solid">
        <fgColor rgb="FFB78A87"/>
        <bgColor indexed="64"/>
      </patternFill>
    </fill>
    <fill>
      <patternFill patternType="solid">
        <fgColor rgb="FFC7847F"/>
        <bgColor indexed="64"/>
      </patternFill>
    </fill>
    <fill>
      <patternFill patternType="solid">
        <fgColor rgb="FF798FE9"/>
        <bgColor indexed="64"/>
      </patternFill>
    </fill>
    <fill>
      <patternFill patternType="solid">
        <fgColor rgb="FF8091D9"/>
        <bgColor indexed="64"/>
      </patternFill>
    </fill>
    <fill>
      <patternFill patternType="solid">
        <fgColor rgb="FF8592CB"/>
        <bgColor indexed="64"/>
      </patternFill>
    </fill>
    <fill>
      <patternFill patternType="solid">
        <fgColor rgb="FF8A93BE"/>
        <bgColor indexed="64"/>
      </patternFill>
    </fill>
    <fill>
      <patternFill patternType="solid">
        <fgColor rgb="FF8E94AF"/>
        <bgColor indexed="64"/>
      </patternFill>
    </fill>
    <fill>
      <patternFill patternType="solid">
        <fgColor rgb="FF9294A1"/>
        <bgColor indexed="64"/>
      </patternFill>
    </fill>
    <fill>
      <patternFill patternType="solid">
        <fgColor rgb="FF486AFF"/>
        <bgColor indexed="64"/>
      </patternFill>
    </fill>
    <fill>
      <patternFill patternType="solid">
        <fgColor rgb="FF4D6DF7"/>
        <bgColor indexed="64"/>
      </patternFill>
    </fill>
    <fill>
      <patternFill patternType="solid">
        <fgColor rgb="FF5371E8"/>
        <bgColor indexed="64"/>
      </patternFill>
    </fill>
    <fill>
      <patternFill patternType="solid">
        <fgColor rgb="FF5A73DA"/>
        <bgColor indexed="64"/>
      </patternFill>
    </fill>
    <fill>
      <patternFill patternType="solid">
        <fgColor rgb="FF6175CC"/>
        <bgColor indexed="64"/>
      </patternFill>
    </fill>
    <fill>
      <patternFill patternType="solid">
        <fgColor rgb="FF728EF9"/>
        <bgColor indexed="64"/>
      </patternFill>
    </fill>
    <fill>
      <patternFill patternType="solid">
        <fgColor rgb="FFACAFBB"/>
        <bgColor indexed="64"/>
      </patternFill>
    </fill>
    <fill>
      <patternFill patternType="solid">
        <fgColor rgb="FFA8AEC9"/>
        <bgColor indexed="64"/>
      </patternFill>
    </fill>
    <fill>
      <patternFill patternType="solid">
        <fgColor rgb="FFE2E5F0"/>
        <bgColor indexed="64"/>
      </patternFill>
    </fill>
    <fill>
      <patternFill patternType="solid">
        <fgColor rgb="FFBCC9F6"/>
        <bgColor indexed="64"/>
      </patternFill>
    </fill>
    <fill>
      <patternFill patternType="solid">
        <fgColor rgb="FFC2C9E5"/>
        <bgColor indexed="64"/>
      </patternFill>
    </fill>
    <fill>
      <patternFill patternType="solid">
        <fgColor rgb="FFC7CAD5"/>
        <bgColor indexed="64"/>
      </patternFill>
    </fill>
    <fill>
      <patternFill patternType="solid">
        <fgColor rgb="FF98ABF9"/>
        <bgColor indexed="64"/>
      </patternFill>
    </fill>
    <fill>
      <patternFill patternType="solid">
        <fgColor rgb="FF9EADE8"/>
        <bgColor indexed="64"/>
      </patternFill>
    </fill>
    <fill>
      <patternFill patternType="solid">
        <fgColor rgb="FFA3AED9"/>
        <bgColor indexed="64"/>
      </patternFill>
    </fill>
    <fill>
      <patternFill patternType="solid">
        <fgColor rgb="FF7079A4"/>
        <bgColor indexed="64"/>
      </patternFill>
    </fill>
    <fill>
      <patternFill patternType="solid">
        <fgColor rgb="FF747A95"/>
        <bgColor indexed="64"/>
      </patternFill>
    </fill>
    <fill>
      <patternFill patternType="solid">
        <fgColor rgb="FF6C77B1"/>
        <bgColor indexed="64"/>
      </patternFill>
    </fill>
    <fill>
      <patternFill patternType="solid">
        <fgColor rgb="FF6776BE"/>
        <bgColor indexed="64"/>
      </patternFill>
    </fill>
    <fill>
      <patternFill patternType="solid">
        <fgColor rgb="FF787A88"/>
        <bgColor indexed="64"/>
      </patternFill>
    </fill>
    <fill>
      <patternFill patternType="solid">
        <fgColor rgb="FF4137FF"/>
        <bgColor indexed="64"/>
      </patternFill>
    </fill>
    <fill>
      <patternFill patternType="solid">
        <fgColor rgb="FF3F3FFA"/>
        <bgColor indexed="64"/>
      </patternFill>
    </fill>
    <fill>
      <patternFill patternType="solid">
        <fgColor rgb="FF3E46EE"/>
        <bgColor indexed="64"/>
      </patternFill>
    </fill>
    <fill>
      <patternFill patternType="solid">
        <fgColor rgb="FF2C0897"/>
        <bgColor indexed="64"/>
      </patternFill>
    </fill>
    <fill>
      <patternFill patternType="solid">
        <fgColor rgb="FFEB98AC"/>
        <bgColor indexed="64"/>
      </patternFill>
    </fill>
    <fill>
      <patternFill patternType="solid">
        <fgColor rgb="FF3E4573"/>
        <bgColor indexed="64"/>
      </patternFill>
    </fill>
    <fill>
      <patternFill patternType="solid">
        <fgColor rgb="FF3A437F"/>
        <bgColor indexed="64"/>
      </patternFill>
    </fill>
    <fill>
      <patternFill patternType="solid">
        <fgColor rgb="FF29168D"/>
        <bgColor indexed="64"/>
      </patternFill>
    </fill>
    <fill>
      <patternFill patternType="solid">
        <fgColor rgb="FF261E84"/>
        <bgColor indexed="64"/>
      </patternFill>
    </fill>
    <fill>
      <patternFill patternType="solid">
        <fgColor rgb="FF25247A"/>
        <bgColor indexed="64"/>
      </patternFill>
    </fill>
    <fill>
      <patternFill patternType="solid">
        <fgColor rgb="FF242870"/>
        <bgColor indexed="64"/>
      </patternFill>
    </fill>
    <fill>
      <patternFill patternType="solid">
        <fgColor rgb="FF262B64"/>
        <bgColor indexed="64"/>
      </patternFill>
    </fill>
    <fill>
      <patternFill patternType="solid">
        <fgColor rgb="FF292D58"/>
        <bgColor indexed="64"/>
      </patternFill>
    </fill>
    <fill>
      <patternFill patternType="solid">
        <fgColor rgb="FF464758"/>
        <bgColor indexed="64"/>
      </patternFill>
    </fill>
    <fill>
      <patternFill patternType="solid">
        <fgColor rgb="FF424666"/>
        <bgColor indexed="64"/>
      </patternFill>
    </fill>
    <fill>
      <patternFill patternType="solid">
        <fgColor rgb="FF36418B"/>
        <bgColor indexed="64"/>
      </patternFill>
    </fill>
    <fill>
      <patternFill patternType="solid">
        <fgColor rgb="FF181A36"/>
        <bgColor indexed="64"/>
      </patternFill>
    </fill>
    <fill>
      <patternFill patternType="solid">
        <fgColor rgb="FFDFE6F0"/>
        <bgColor indexed="64"/>
      </patternFill>
    </fill>
    <fill>
      <patternFill patternType="solid">
        <fgColor rgb="FF1B1B2B"/>
        <bgColor indexed="64"/>
      </patternFill>
    </fill>
    <fill>
      <patternFill patternType="solid">
        <fgColor rgb="FF161741"/>
        <bgColor indexed="64"/>
      </patternFill>
    </fill>
    <fill>
      <patternFill patternType="solid">
        <fgColor rgb="FF17134B"/>
        <bgColor indexed="64"/>
      </patternFill>
    </fill>
    <fill>
      <patternFill patternType="solid">
        <fgColor rgb="FF190E54"/>
        <bgColor indexed="64"/>
      </patternFill>
    </fill>
    <fill>
      <patternFill patternType="solid">
        <fgColor rgb="FF2C2F4C"/>
        <bgColor indexed="64"/>
      </patternFill>
    </fill>
    <fill>
      <patternFill patternType="solid">
        <fgColor rgb="FF323AA3"/>
        <bgColor indexed="64"/>
      </patternFill>
    </fill>
    <fill>
      <patternFill patternType="solid">
        <fgColor rgb="FF333E97"/>
        <bgColor indexed="64"/>
      </patternFill>
    </fill>
    <fill>
      <patternFill patternType="solid">
        <fgColor rgb="FFBACCE5"/>
        <bgColor indexed="64"/>
      </patternFill>
    </fill>
    <fill>
      <patternFill patternType="solid">
        <fgColor rgb="FFADCCF7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EC4A"/>
        <bgColor indexed="64"/>
      </patternFill>
    </fill>
    <fill>
      <patternFill patternType="solid">
        <fgColor rgb="FF65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E3B19"/>
        <bgColor indexed="64"/>
      </patternFill>
    </fill>
    <fill>
      <patternFill patternType="solid">
        <fgColor rgb="FFFFA9A1"/>
        <bgColor indexed="64"/>
      </patternFill>
    </fill>
    <fill>
      <patternFill patternType="solid">
        <fgColor rgb="FFFFB1AA"/>
        <bgColor indexed="64"/>
      </patternFill>
    </fill>
    <fill>
      <patternFill patternType="solid">
        <fgColor rgb="FFF4E2DF"/>
        <bgColor indexed="64"/>
      </patternFill>
    </fill>
    <fill>
      <patternFill patternType="solid">
        <fgColor rgb="FFFFDAD5"/>
        <bgColor indexed="64"/>
      </patternFill>
    </fill>
    <fill>
      <patternFill patternType="solid">
        <fgColor rgb="FFFFD3CB"/>
        <bgColor indexed="64"/>
      </patternFill>
    </fill>
    <fill>
      <patternFill patternType="solid">
        <fgColor rgb="FF4E2527"/>
        <bgColor indexed="64"/>
      </patternFill>
    </fill>
    <fill>
      <patternFill patternType="solid">
        <fgColor rgb="FF581E22"/>
        <bgColor indexed="64"/>
      </patternFill>
    </fill>
    <fill>
      <patternFill patternType="solid">
        <fgColor rgb="FF63101D"/>
        <bgColor indexed="64"/>
      </patternFill>
    </fill>
    <fill>
      <patternFill patternType="solid">
        <fgColor rgb="FF5C4240"/>
        <bgColor indexed="64"/>
      </patternFill>
    </fill>
    <fill>
      <patternFill patternType="solid">
        <fgColor rgb="FF6A3C37"/>
        <bgColor indexed="64"/>
      </patternFill>
    </fill>
    <fill>
      <patternFill patternType="solid">
        <fgColor rgb="FF763530"/>
        <bgColor indexed="64"/>
      </patternFill>
    </fill>
    <fill>
      <patternFill patternType="solid">
        <fgColor rgb="FF812B27"/>
        <bgColor indexed="64"/>
      </patternFill>
    </fill>
    <fill>
      <patternFill patternType="solid">
        <fgColor rgb="FF8C1D1E"/>
        <bgColor indexed="64"/>
      </patternFill>
    </fill>
    <fill>
      <patternFill patternType="solid">
        <fgColor rgb="FF745B59"/>
        <bgColor indexed="64"/>
      </patternFill>
    </fill>
    <fill>
      <patternFill patternType="solid">
        <fgColor rgb="FF845550"/>
        <bgColor indexed="64"/>
      </patternFill>
    </fill>
    <fill>
      <patternFill patternType="solid">
        <fgColor rgb="FF914E47"/>
        <bgColor indexed="64"/>
      </patternFill>
    </fill>
    <fill>
      <patternFill patternType="solid">
        <fgColor rgb="FF10201B"/>
        <bgColor indexed="64"/>
      </patternFill>
    </fill>
    <fill>
      <patternFill patternType="solid">
        <fgColor rgb="FF0F201C"/>
        <bgColor indexed="64"/>
      </patternFill>
    </fill>
    <fill>
      <patternFill patternType="solid">
        <fgColor rgb="FF0F1E2A"/>
        <bgColor indexed="64"/>
      </patternFill>
    </fill>
    <fill>
      <patternFill patternType="solid">
        <fgColor rgb="FF0C1F28"/>
        <bgColor indexed="64"/>
      </patternFill>
    </fill>
    <fill>
      <patternFill patternType="solid">
        <fgColor rgb="FF0A1F27"/>
        <bgColor indexed="64"/>
      </patternFill>
    </fill>
    <fill>
      <patternFill patternType="solid">
        <fgColor rgb="FF0A2025"/>
        <bgColor indexed="64"/>
      </patternFill>
    </fill>
    <fill>
      <patternFill patternType="solid">
        <fgColor rgb="FF0A2024"/>
        <bgColor indexed="64"/>
      </patternFill>
    </fill>
    <fill>
      <patternFill patternType="solid">
        <fgColor rgb="FF0B2022"/>
        <bgColor indexed="64"/>
      </patternFill>
    </fill>
    <fill>
      <patternFill patternType="solid">
        <fgColor rgb="FF0C2020"/>
        <bgColor indexed="64"/>
      </patternFill>
    </fill>
    <fill>
      <patternFill patternType="solid">
        <fgColor rgb="FF0E201E"/>
        <bgColor indexed="64"/>
      </patternFill>
    </fill>
    <fill>
      <patternFill patternType="solid">
        <fgColor rgb="FF121E2A"/>
        <bgColor indexed="64"/>
      </patternFill>
    </fill>
    <fill>
      <patternFill patternType="solid">
        <fgColor rgb="FF161D2B"/>
        <bgColor indexed="64"/>
      </patternFill>
    </fill>
    <fill>
      <patternFill patternType="solid">
        <fgColor rgb="FF0B1D36"/>
        <bgColor indexed="64"/>
      </patternFill>
    </fill>
    <fill>
      <patternFill patternType="solid">
        <fgColor rgb="FF4F3A87"/>
        <bgColor indexed="64"/>
      </patternFill>
    </fill>
    <fill>
      <patternFill patternType="solid">
        <fgColor rgb="FFFFDCEC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1C1C1C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/>
  </cellStyleXfs>
  <cellXfs count="286">
    <xf numFmtId="0" fontId="0" fillId="0" borderId="0" xfId="0"/>
    <xf numFmtId="0" fontId="2" fillId="2" borderId="0" xfId="1" applyFont="1" applyFill="1"/>
    <xf numFmtId="0" fontId="3" fillId="2" borderId="0" xfId="1" applyFont="1" applyFill="1"/>
    <xf numFmtId="0" fontId="3" fillId="3" borderId="0" xfId="1" applyFont="1" applyFill="1"/>
    <xf numFmtId="0" fontId="3" fillId="4" borderId="0" xfId="1" applyFont="1" applyFill="1"/>
    <xf numFmtId="0" fontId="3" fillId="5" borderId="0" xfId="1" applyFont="1" applyFill="1"/>
    <xf numFmtId="0" fontId="3" fillId="6" borderId="0" xfId="1" applyFont="1" applyFill="1"/>
    <xf numFmtId="0" fontId="3" fillId="7" borderId="0" xfId="1" applyFont="1" applyFill="1"/>
    <xf numFmtId="0" fontId="3" fillId="8" borderId="0" xfId="1" applyFont="1" applyFill="1"/>
    <xf numFmtId="0" fontId="3" fillId="9" borderId="0" xfId="1" applyFont="1" applyFill="1"/>
    <xf numFmtId="0" fontId="3" fillId="10" borderId="0" xfId="1" applyFont="1" applyFill="1"/>
    <xf numFmtId="0" fontId="3" fillId="12" borderId="0" xfId="1" applyFont="1" applyFill="1"/>
    <xf numFmtId="0" fontId="3" fillId="13" borderId="0" xfId="1" applyFont="1" applyFill="1"/>
    <xf numFmtId="0" fontId="3" fillId="14" borderId="0" xfId="1" applyFont="1" applyFill="1"/>
    <xf numFmtId="0" fontId="3" fillId="15" borderId="0" xfId="1" applyFont="1" applyFill="1"/>
    <xf numFmtId="0" fontId="3" fillId="16" borderId="0" xfId="1" applyFont="1" applyFill="1"/>
    <xf numFmtId="0" fontId="3" fillId="17" borderId="0" xfId="1" applyFont="1" applyFill="1"/>
    <xf numFmtId="0" fontId="3" fillId="18" borderId="0" xfId="1" applyFont="1" applyFill="1"/>
    <xf numFmtId="0" fontId="3" fillId="19" borderId="0" xfId="1" applyFont="1" applyFill="1"/>
    <xf numFmtId="0" fontId="3" fillId="20" borderId="0" xfId="1" applyFont="1" applyFill="1"/>
    <xf numFmtId="0" fontId="3" fillId="21" borderId="0" xfId="1" applyFont="1" applyFill="1"/>
    <xf numFmtId="0" fontId="3" fillId="22" borderId="0" xfId="1" applyFont="1" applyFill="1"/>
    <xf numFmtId="0" fontId="2" fillId="23" borderId="0" xfId="1" applyFont="1" applyFill="1"/>
    <xf numFmtId="0" fontId="2" fillId="24" borderId="0" xfId="1" applyFont="1" applyFill="1"/>
    <xf numFmtId="0" fontId="2" fillId="25" borderId="0" xfId="1" applyFont="1" applyFill="1"/>
    <xf numFmtId="0" fontId="2" fillId="26" borderId="0" xfId="1" applyFont="1" applyFill="1"/>
    <xf numFmtId="0" fontId="2" fillId="27" borderId="0" xfId="1" applyFont="1" applyFill="1"/>
    <xf numFmtId="0" fontId="2" fillId="28" borderId="0" xfId="1" applyFont="1" applyFill="1"/>
    <xf numFmtId="0" fontId="2" fillId="29" borderId="0" xfId="1" applyFont="1" applyFill="1"/>
    <xf numFmtId="0" fontId="2" fillId="30" borderId="0" xfId="1" applyFont="1" applyFill="1"/>
    <xf numFmtId="0" fontId="2" fillId="31" borderId="0" xfId="1" applyFont="1" applyFill="1"/>
    <xf numFmtId="0" fontId="2" fillId="32" borderId="0" xfId="1" applyFont="1" applyFill="1"/>
    <xf numFmtId="0" fontId="2" fillId="33" borderId="0" xfId="1" applyFont="1" applyFill="1"/>
    <xf numFmtId="0" fontId="2" fillId="34" borderId="0" xfId="1" applyFont="1" applyFill="1"/>
    <xf numFmtId="0" fontId="2" fillId="35" borderId="0" xfId="1" applyFont="1" applyFill="1"/>
    <xf numFmtId="0" fontId="2" fillId="36" borderId="0" xfId="1" applyFont="1" applyFill="1"/>
    <xf numFmtId="0" fontId="2" fillId="37" borderId="0" xfId="1" applyFont="1" applyFill="1"/>
    <xf numFmtId="0" fontId="2" fillId="38" borderId="0" xfId="1" applyFont="1" applyFill="1"/>
    <xf numFmtId="0" fontId="2" fillId="39" borderId="0" xfId="1" applyFont="1" applyFill="1"/>
    <xf numFmtId="0" fontId="2" fillId="40" borderId="0" xfId="1" applyFont="1" applyFill="1"/>
    <xf numFmtId="0" fontId="2" fillId="41" borderId="0" xfId="1" applyFont="1" applyFill="1"/>
    <xf numFmtId="0" fontId="2" fillId="42" borderId="0" xfId="1" applyFont="1" applyFill="1"/>
    <xf numFmtId="0" fontId="2" fillId="43" borderId="0" xfId="1" applyFont="1" applyFill="1"/>
    <xf numFmtId="0" fontId="2" fillId="44" borderId="0" xfId="1" applyFont="1" applyFill="1"/>
    <xf numFmtId="0" fontId="2" fillId="45" borderId="0" xfId="1" applyFont="1" applyFill="1"/>
    <xf numFmtId="0" fontId="2" fillId="46" borderId="0" xfId="1" applyFont="1" applyFill="1"/>
    <xf numFmtId="0" fontId="2" fillId="47" borderId="0" xfId="1" applyFont="1" applyFill="1"/>
    <xf numFmtId="0" fontId="2" fillId="48" borderId="0" xfId="1" applyFont="1" applyFill="1"/>
    <xf numFmtId="0" fontId="2" fillId="49" borderId="0" xfId="1" applyFont="1" applyFill="1"/>
    <xf numFmtId="0" fontId="2" fillId="50" borderId="0" xfId="1" applyFont="1" applyFill="1"/>
    <xf numFmtId="0" fontId="2" fillId="54" borderId="0" xfId="1" applyFont="1" applyFill="1"/>
    <xf numFmtId="0" fontId="2" fillId="55" borderId="0" xfId="1" applyFont="1" applyFill="1"/>
    <xf numFmtId="0" fontId="2" fillId="56" borderId="0" xfId="1" applyFont="1" applyFill="1"/>
    <xf numFmtId="0" fontId="2" fillId="57" borderId="0" xfId="1" applyFont="1" applyFill="1"/>
    <xf numFmtId="0" fontId="2" fillId="58" borderId="0" xfId="1" applyFont="1" applyFill="1"/>
    <xf numFmtId="0" fontId="2" fillId="59" borderId="0" xfId="1" applyFont="1" applyFill="1"/>
    <xf numFmtId="0" fontId="2" fillId="60" borderId="0" xfId="1" applyFont="1" applyFill="1"/>
    <xf numFmtId="0" fontId="2" fillId="61" borderId="0" xfId="1" applyFont="1" applyFill="1"/>
    <xf numFmtId="0" fontId="2" fillId="62" borderId="0" xfId="1" applyFont="1" applyFill="1"/>
    <xf numFmtId="0" fontId="2" fillId="63" borderId="0" xfId="1" applyFont="1" applyFill="1"/>
    <xf numFmtId="0" fontId="2" fillId="64" borderId="0" xfId="1" applyFont="1" applyFill="1"/>
    <xf numFmtId="0" fontId="2" fillId="65" borderId="0" xfId="1" applyFont="1" applyFill="1"/>
    <xf numFmtId="0" fontId="2" fillId="66" borderId="0" xfId="1" applyFont="1" applyFill="1"/>
    <xf numFmtId="0" fontId="2" fillId="67" borderId="0" xfId="1" applyFont="1" applyFill="1"/>
    <xf numFmtId="0" fontId="2" fillId="68" borderId="0" xfId="1" applyFont="1" applyFill="1"/>
    <xf numFmtId="0" fontId="2" fillId="69" borderId="0" xfId="1" applyFont="1" applyFill="1"/>
    <xf numFmtId="0" fontId="2" fillId="70" borderId="0" xfId="1" applyFont="1" applyFill="1"/>
    <xf numFmtId="0" fontId="2" fillId="71" borderId="0" xfId="1" applyFont="1" applyFill="1"/>
    <xf numFmtId="0" fontId="2" fillId="72" borderId="0" xfId="1" applyFont="1" applyFill="1"/>
    <xf numFmtId="0" fontId="2" fillId="73" borderId="0" xfId="1" applyFont="1" applyFill="1"/>
    <xf numFmtId="0" fontId="2" fillId="74" borderId="0" xfId="1" applyFont="1" applyFill="1"/>
    <xf numFmtId="0" fontId="2" fillId="75" borderId="0" xfId="1" applyFont="1" applyFill="1"/>
    <xf numFmtId="0" fontId="2" fillId="76" borderId="0" xfId="1" applyFont="1" applyFill="1"/>
    <xf numFmtId="0" fontId="2" fillId="77" borderId="0" xfId="1" applyFont="1" applyFill="1"/>
    <xf numFmtId="0" fontId="2" fillId="83" borderId="0" xfId="1" applyFont="1" applyFill="1"/>
    <xf numFmtId="0" fontId="2" fillId="95" borderId="0" xfId="1" applyFont="1" applyFill="1"/>
    <xf numFmtId="0" fontId="2" fillId="96" borderId="0" xfId="1" applyFont="1" applyFill="1"/>
    <xf numFmtId="0" fontId="2" fillId="97" borderId="0" xfId="1" applyFont="1" applyFill="1"/>
    <xf numFmtId="0" fontId="2" fillId="98" borderId="0" xfId="1" applyFont="1" applyFill="1"/>
    <xf numFmtId="0" fontId="2" fillId="111" borderId="0" xfId="1" applyFont="1" applyFill="1"/>
    <xf numFmtId="0" fontId="2" fillId="115" borderId="0" xfId="1" applyFont="1" applyFill="1"/>
    <xf numFmtId="0" fontId="2" fillId="117" borderId="0" xfId="1" applyFont="1" applyFill="1"/>
    <xf numFmtId="0" fontId="2" fillId="118" borderId="0" xfId="1" applyFont="1" applyFill="1"/>
    <xf numFmtId="0" fontId="2" fillId="120" borderId="0" xfId="1" applyFont="1" applyFill="1"/>
    <xf numFmtId="0" fontId="2" fillId="121" borderId="0" xfId="1" applyFont="1" applyFill="1"/>
    <xf numFmtId="0" fontId="2" fillId="122" borderId="0" xfId="1" applyFont="1" applyFill="1"/>
    <xf numFmtId="0" fontId="2" fillId="124" borderId="0" xfId="1" applyFont="1" applyFill="1"/>
    <xf numFmtId="0" fontId="2" fillId="125" borderId="0" xfId="1" applyFont="1" applyFill="1"/>
    <xf numFmtId="0" fontId="2" fillId="126" borderId="0" xfId="1" applyFont="1" applyFill="1"/>
    <xf numFmtId="0" fontId="2" fillId="127" borderId="0" xfId="1" applyFont="1" applyFill="1"/>
    <xf numFmtId="0" fontId="2" fillId="129" borderId="0" xfId="1" applyFont="1" applyFill="1"/>
    <xf numFmtId="0" fontId="2" fillId="130" borderId="0" xfId="1" applyFont="1" applyFill="1"/>
    <xf numFmtId="0" fontId="2" fillId="132" borderId="0" xfId="1" applyFont="1" applyFill="1"/>
    <xf numFmtId="0" fontId="2" fillId="134" borderId="0" xfId="1" applyFont="1" applyFill="1"/>
    <xf numFmtId="0" fontId="2" fillId="137" borderId="0" xfId="1" applyFont="1" applyFill="1"/>
    <xf numFmtId="0" fontId="3" fillId="153" borderId="0" xfId="1" applyFont="1" applyFill="1"/>
    <xf numFmtId="0" fontId="3" fillId="154" borderId="0" xfId="1" applyFont="1" applyFill="1"/>
    <xf numFmtId="0" fontId="3" fillId="155" borderId="0" xfId="1" applyFont="1" applyFill="1"/>
    <xf numFmtId="0" fontId="3" fillId="156" borderId="0" xfId="1" applyFont="1" applyFill="1"/>
    <xf numFmtId="0" fontId="3" fillId="157" borderId="0" xfId="1" applyFont="1" applyFill="1"/>
    <xf numFmtId="0" fontId="2" fillId="158" borderId="0" xfId="1" applyFont="1" applyFill="1"/>
    <xf numFmtId="0" fontId="3" fillId="159" borderId="0" xfId="1" applyFont="1" applyFill="1"/>
    <xf numFmtId="0" fontId="3" fillId="160" borderId="0" xfId="1" applyFont="1" applyFill="1"/>
    <xf numFmtId="0" fontId="2" fillId="161" borderId="0" xfId="1" applyFont="1" applyFill="1"/>
    <xf numFmtId="0" fontId="2" fillId="162" borderId="0" xfId="1" applyFont="1" applyFill="1"/>
    <xf numFmtId="0" fontId="2" fillId="163" borderId="0" xfId="1" applyFont="1" applyFill="1"/>
    <xf numFmtId="0" fontId="2" fillId="164" borderId="0" xfId="1" applyFont="1" applyFill="1"/>
    <xf numFmtId="0" fontId="2" fillId="169" borderId="0" xfId="1" applyFont="1" applyFill="1"/>
    <xf numFmtId="0" fontId="2" fillId="170" borderId="0" xfId="1" applyFont="1" applyFill="1"/>
    <xf numFmtId="0" fontId="2" fillId="171" borderId="0" xfId="1" applyFont="1" applyFill="1"/>
    <xf numFmtId="0" fontId="2" fillId="172" borderId="0" xfId="1" applyFont="1" applyFill="1"/>
    <xf numFmtId="0" fontId="2" fillId="173" borderId="0" xfId="1" applyFont="1" applyFill="1"/>
    <xf numFmtId="0" fontId="2" fillId="174" borderId="0" xfId="1" applyFont="1" applyFill="1"/>
    <xf numFmtId="0" fontId="2" fillId="175" borderId="0" xfId="1" applyFont="1" applyFill="1"/>
    <xf numFmtId="0" fontId="2" fillId="176" borderId="0" xfId="1" applyFont="1" applyFill="1"/>
    <xf numFmtId="0" fontId="2" fillId="177" borderId="0" xfId="1" applyFont="1" applyFill="1"/>
    <xf numFmtId="0" fontId="3" fillId="181" borderId="0" xfId="1" applyFont="1" applyFill="1"/>
    <xf numFmtId="0" fontId="3" fillId="182" borderId="0" xfId="1" applyFont="1" applyFill="1"/>
    <xf numFmtId="0" fontId="3" fillId="183" borderId="0" xfId="1" applyFont="1" applyFill="1"/>
    <xf numFmtId="0" fontId="3" fillId="184" borderId="0" xfId="1" applyFont="1" applyFill="1"/>
    <xf numFmtId="0" fontId="3" fillId="185" borderId="0" xfId="1" applyFont="1" applyFill="1"/>
    <xf numFmtId="0" fontId="3" fillId="186" borderId="0" xfId="1" applyFont="1" applyFill="1"/>
    <xf numFmtId="0" fontId="3" fillId="192" borderId="0" xfId="1" applyFont="1" applyFill="1"/>
    <xf numFmtId="0" fontId="3" fillId="193" borderId="0" xfId="1" applyFont="1" applyFill="1"/>
    <xf numFmtId="0" fontId="3" fillId="194" borderId="0" xfId="1" applyFont="1" applyFill="1"/>
    <xf numFmtId="0" fontId="3" fillId="195" borderId="0" xfId="1" applyFont="1" applyFill="1"/>
    <xf numFmtId="0" fontId="3" fillId="196" borderId="0" xfId="1" applyFont="1" applyFill="1"/>
    <xf numFmtId="0" fontId="3" fillId="197" borderId="0" xfId="1" applyFont="1" applyFill="1"/>
    <xf numFmtId="0" fontId="3" fillId="198" borderId="0" xfId="1" applyFont="1" applyFill="1"/>
    <xf numFmtId="0" fontId="3" fillId="199" borderId="0" xfId="1" applyFont="1" applyFill="1"/>
    <xf numFmtId="0" fontId="3" fillId="200" borderId="0" xfId="1" applyFont="1" applyFill="1"/>
    <xf numFmtId="0" fontId="3" fillId="201" borderId="0" xfId="1" applyFont="1" applyFill="1"/>
    <xf numFmtId="0" fontId="3" fillId="211" borderId="0" xfId="1" applyFont="1" applyFill="1"/>
    <xf numFmtId="0" fontId="2" fillId="223" borderId="0" xfId="1" applyFont="1" applyFill="1"/>
    <xf numFmtId="0" fontId="3" fillId="224" borderId="0" xfId="1" applyFont="1" applyFill="1"/>
    <xf numFmtId="0" fontId="2" fillId="225" borderId="0" xfId="1" applyFont="1" applyFill="1"/>
    <xf numFmtId="0" fontId="2" fillId="226" borderId="0" xfId="1" applyFont="1" applyFill="1"/>
    <xf numFmtId="0" fontId="2" fillId="227" borderId="0" xfId="1" applyFont="1" applyFill="1"/>
    <xf numFmtId="0" fontId="2" fillId="228" borderId="0" xfId="1" applyFont="1" applyFill="1"/>
    <xf numFmtId="0" fontId="3" fillId="232" borderId="0" xfId="1" applyFont="1" applyFill="1"/>
    <xf numFmtId="0" fontId="3" fillId="233" borderId="0" xfId="1" applyFont="1" applyFill="1"/>
    <xf numFmtId="0" fontId="2" fillId="234" borderId="0" xfId="1" applyFont="1" applyFill="1"/>
    <xf numFmtId="0" fontId="3" fillId="235" borderId="0" xfId="1" applyFont="1" applyFill="1"/>
    <xf numFmtId="0" fontId="2" fillId="236" borderId="0" xfId="1" applyFont="1" applyFill="1"/>
    <xf numFmtId="0" fontId="2" fillId="237" borderId="0" xfId="1" applyFont="1" applyFill="1"/>
    <xf numFmtId="0" fontId="3" fillId="238" borderId="0" xfId="1" applyFont="1" applyFill="1"/>
    <xf numFmtId="0" fontId="3" fillId="239" borderId="0" xfId="1" applyFont="1" applyFill="1"/>
    <xf numFmtId="0" fontId="3" fillId="240" borderId="0" xfId="1" applyFont="1" applyFill="1"/>
    <xf numFmtId="0" fontId="3" fillId="241" borderId="0" xfId="1" applyFont="1" applyFill="1"/>
    <xf numFmtId="0" fontId="2" fillId="244" borderId="0" xfId="1" applyFont="1" applyFill="1"/>
    <xf numFmtId="0" fontId="2" fillId="245" borderId="0" xfId="1" applyFont="1" applyFill="1"/>
    <xf numFmtId="0" fontId="2" fillId="251" borderId="0" xfId="1" applyFont="1" applyFill="1"/>
    <xf numFmtId="0" fontId="2" fillId="252" borderId="0" xfId="1" applyFont="1" applyFill="1"/>
    <xf numFmtId="0" fontId="2" fillId="253" borderId="0" xfId="1" applyFont="1" applyFill="1"/>
    <xf numFmtId="0" fontId="2" fillId="254" borderId="0" xfId="1" applyFont="1" applyFill="1"/>
    <xf numFmtId="0" fontId="2" fillId="255" borderId="0" xfId="1" applyFont="1" applyFill="1"/>
    <xf numFmtId="0" fontId="2" fillId="256" borderId="0" xfId="1" applyFont="1" applyFill="1"/>
    <xf numFmtId="0" fontId="2" fillId="257" borderId="0" xfId="1" applyFont="1" applyFill="1"/>
    <xf numFmtId="0" fontId="2" fillId="258" borderId="0" xfId="1" applyFont="1" applyFill="1"/>
    <xf numFmtId="0" fontId="2" fillId="259" borderId="0" xfId="1" applyFont="1" applyFill="1"/>
    <xf numFmtId="0" fontId="2" fillId="260" borderId="0" xfId="1" applyFont="1" applyFill="1"/>
    <xf numFmtId="0" fontId="2" fillId="261" borderId="0" xfId="1" applyFont="1" applyFill="1"/>
    <xf numFmtId="0" fontId="4" fillId="0" borderId="0" xfId="2"/>
    <xf numFmtId="0" fontId="2" fillId="112" borderId="0" xfId="1" applyFont="1" applyFill="1"/>
    <xf numFmtId="0" fontId="4" fillId="0" borderId="0" xfId="2"/>
    <xf numFmtId="0" fontId="2" fillId="151" borderId="0" xfId="1" applyFont="1" applyFill="1"/>
    <xf numFmtId="0" fontId="2" fillId="140" borderId="0" xfId="1" applyFont="1" applyFill="1"/>
    <xf numFmtId="0" fontId="2" fillId="250" borderId="0" xfId="1" applyFont="1" applyFill="1"/>
    <xf numFmtId="0" fontId="2" fillId="103" borderId="0" xfId="1" applyFont="1" applyFill="1"/>
    <xf numFmtId="0" fontId="2" fillId="249" borderId="0" xfId="1" applyFont="1" applyFill="1"/>
    <xf numFmtId="0" fontId="2" fillId="139" borderId="0" xfId="1" applyFont="1" applyFill="1"/>
    <xf numFmtId="0" fontId="2" fillId="109" borderId="0" xfId="1" applyFont="1" applyFill="1"/>
    <xf numFmtId="0" fontId="2" fillId="93" borderId="0" xfId="1" applyFont="1" applyFill="1"/>
    <xf numFmtId="0" fontId="2" fillId="90" borderId="0" xfId="1" applyFont="1" applyFill="1"/>
    <xf numFmtId="0" fontId="2" fillId="146" borderId="0" xfId="1" applyFont="1" applyFill="1"/>
    <xf numFmtId="0" fontId="2" fillId="113" borderId="0" xfId="1" applyFont="1" applyFill="1"/>
    <xf numFmtId="0" fontId="3" fillId="209" borderId="0" xfId="1" applyFont="1" applyFill="1"/>
    <xf numFmtId="0" fontId="2" fillId="248" borderId="0" xfId="1" applyFont="1" applyFill="1"/>
    <xf numFmtId="0" fontId="2" fillId="108" borderId="0" xfId="1" applyFont="1" applyFill="1"/>
    <xf numFmtId="0" fontId="2" fillId="149" borderId="0" xfId="1" applyFont="1" applyFill="1"/>
    <xf numFmtId="0" fontId="2" fillId="78" borderId="0" xfId="1" applyFont="1" applyFill="1"/>
    <xf numFmtId="0" fontId="2" fillId="242" borderId="0" xfId="1" applyFont="1" applyFill="1"/>
    <xf numFmtId="0" fontId="2" fillId="107" borderId="0" xfId="1" applyFont="1" applyFill="1"/>
    <xf numFmtId="0" fontId="2" fillId="178" borderId="0" xfId="1" applyFont="1" applyFill="1"/>
    <xf numFmtId="0" fontId="2" fillId="136" borderId="0" xfId="1" applyFont="1" applyFill="1"/>
    <xf numFmtId="0" fontId="2" fillId="148" borderId="0" xfId="1" applyFont="1" applyFill="1"/>
    <xf numFmtId="0" fontId="2" fillId="152" borderId="0" xfId="1" applyFont="1" applyFill="1"/>
    <xf numFmtId="0" fontId="2" fillId="101" borderId="0" xfId="1" applyFont="1" applyFill="1"/>
    <xf numFmtId="0" fontId="2" fillId="86" borderId="0" xfId="1" applyFont="1" applyFill="1"/>
    <xf numFmtId="0" fontId="2" fillId="247" borderId="0" xfId="1" applyFont="1" applyFill="1"/>
    <xf numFmtId="0" fontId="2" fillId="142" borderId="0" xfId="1" applyFont="1" applyFill="1"/>
    <xf numFmtId="0" fontId="2" fillId="106" borderId="0" xfId="1" applyFont="1" applyFill="1"/>
    <xf numFmtId="0" fontId="2" fillId="168" borderId="0" xfId="1" applyFont="1" applyFill="1"/>
    <xf numFmtId="0" fontId="2" fillId="85" borderId="0" xfId="1" applyFont="1" applyFill="1"/>
    <xf numFmtId="0" fontId="2" fillId="145" borderId="0" xfId="1" applyFont="1" applyFill="1"/>
    <xf numFmtId="0" fontId="3" fillId="52" borderId="0" xfId="1" applyFont="1" applyFill="1"/>
    <xf numFmtId="0" fontId="2" fillId="94" borderId="0" xfId="1" applyFont="1" applyFill="1"/>
    <xf numFmtId="0" fontId="3" fillId="213" borderId="0" xfId="1" applyFont="1" applyFill="1"/>
    <xf numFmtId="0" fontId="2" fillId="150" borderId="0" xfId="1" applyFont="1" applyFill="1"/>
    <xf numFmtId="0" fontId="2" fillId="104" borderId="0" xfId="1" applyFont="1" applyFill="1"/>
    <xf numFmtId="0" fontId="3" fillId="187" borderId="0" xfId="1" applyFont="1" applyFill="1"/>
    <xf numFmtId="0" fontId="3" fillId="51" borderId="0" xfId="1" applyFont="1" applyFill="1"/>
    <xf numFmtId="0" fontId="2" fillId="100" borderId="0" xfId="1" applyFont="1" applyFill="1"/>
    <xf numFmtId="0" fontId="3" fillId="217" borderId="0" xfId="1" applyFont="1" applyFill="1"/>
    <xf numFmtId="0" fontId="2" fillId="179" borderId="0" xfId="1" applyFont="1" applyFill="1"/>
    <xf numFmtId="0" fontId="3" fillId="225" borderId="0" xfId="1" applyFont="1" applyFill="1"/>
    <xf numFmtId="0" fontId="2" fillId="133" borderId="0" xfId="1" applyFont="1" applyFill="1"/>
    <xf numFmtId="0" fontId="2" fillId="110" borderId="0" xfId="1" applyFont="1" applyFill="1"/>
    <xf numFmtId="0" fontId="2" fillId="119" borderId="0" xfId="1" applyFont="1" applyFill="1"/>
    <xf numFmtId="0" fontId="2" fillId="180" borderId="0" xfId="1" applyFont="1" applyFill="1"/>
    <xf numFmtId="0" fontId="3" fillId="228" borderId="0" xfId="1" applyFont="1" applyFill="1"/>
    <xf numFmtId="0" fontId="2" fillId="147" borderId="0" xfId="1" applyFont="1" applyFill="1"/>
    <xf numFmtId="0" fontId="3" fillId="230" borderId="0" xfId="1" applyFont="1" applyFill="1"/>
    <xf numFmtId="0" fontId="3" fillId="210" borderId="0" xfId="1" applyFont="1" applyFill="1"/>
    <xf numFmtId="0" fontId="2" fillId="87" borderId="0" xfId="1" applyFont="1" applyFill="1"/>
    <xf numFmtId="0" fontId="2" fillId="135" borderId="0" xfId="1" applyFont="1" applyFill="1"/>
    <xf numFmtId="0" fontId="2" fillId="84" borderId="0" xfId="1" applyFont="1" applyFill="1"/>
    <xf numFmtId="0" fontId="3" fillId="204" borderId="0" xfId="1" applyFont="1" applyFill="1"/>
    <xf numFmtId="0" fontId="2" fillId="143" borderId="0" xfId="1" applyFont="1" applyFill="1"/>
    <xf numFmtId="0" fontId="2" fillId="80" borderId="0" xfId="1" applyFont="1" applyFill="1"/>
    <xf numFmtId="0" fontId="3" fillId="221" borderId="0" xfId="1" applyFont="1" applyFill="1"/>
    <xf numFmtId="0" fontId="2" fillId="128" borderId="0" xfId="1" applyFont="1" applyFill="1"/>
    <xf numFmtId="0" fontId="2" fillId="141" borderId="0" xfId="1" applyFont="1" applyFill="1"/>
    <xf numFmtId="0" fontId="2" fillId="138" borderId="0" xfId="1" applyFont="1" applyFill="1"/>
    <xf numFmtId="0" fontId="2" fillId="11" borderId="0" xfId="1" applyFont="1" applyFill="1"/>
    <xf numFmtId="0" fontId="2" fillId="166" borderId="0" xfId="1" applyFont="1" applyFill="1"/>
    <xf numFmtId="0" fontId="2" fillId="91" borderId="0" xfId="1" applyFont="1" applyFill="1"/>
    <xf numFmtId="0" fontId="2" fillId="89" borderId="0" xfId="1" applyFont="1" applyFill="1"/>
    <xf numFmtId="0" fontId="2" fillId="88" borderId="0" xfId="1" applyFont="1" applyFill="1"/>
    <xf numFmtId="0" fontId="3" fillId="207" borderId="0" xfId="1" applyFont="1" applyFill="1"/>
    <xf numFmtId="0" fontId="3" fillId="227" borderId="0" xfId="1" applyFont="1" applyFill="1"/>
    <xf numFmtId="0" fontId="3" fillId="203" borderId="0" xfId="1" applyFont="1" applyFill="1"/>
    <xf numFmtId="0" fontId="3" fillId="216" borderId="0" xfId="1" applyFont="1" applyFill="1"/>
    <xf numFmtId="0" fontId="2" fillId="92" borderId="0" xfId="1" applyFont="1" applyFill="1"/>
    <xf numFmtId="0" fontId="2" fillId="82" borderId="0" xfId="1" applyFont="1" applyFill="1"/>
    <xf numFmtId="0" fontId="3" fillId="226" borderId="0" xfId="1" applyFont="1" applyFill="1"/>
    <xf numFmtId="0" fontId="3" fillId="191" borderId="0" xfId="1" applyFont="1" applyFill="1"/>
    <xf numFmtId="0" fontId="2" fillId="105" borderId="0" xfId="1" applyFont="1" applyFill="1"/>
    <xf numFmtId="0" fontId="3" fillId="208" borderId="0" xfId="1" applyFont="1" applyFill="1"/>
    <xf numFmtId="0" fontId="3" fillId="231" borderId="0" xfId="1" applyFont="1" applyFill="1"/>
    <xf numFmtId="0" fontId="3" fillId="214" borderId="0" xfId="1" applyFont="1" applyFill="1"/>
    <xf numFmtId="0" fontId="2" fillId="79" borderId="0" xfId="1" applyFont="1" applyFill="1"/>
    <xf numFmtId="0" fontId="3" fillId="220" borderId="0" xfId="1" applyFont="1" applyFill="1"/>
    <xf numFmtId="0" fontId="3" fillId="202" borderId="0" xfId="1" applyFont="1" applyFill="1"/>
    <xf numFmtId="0" fontId="2" fillId="167" borderId="0" xfId="1" applyFont="1" applyFill="1"/>
    <xf numFmtId="0" fontId="3" fillId="223" borderId="0" xfId="1" applyFont="1" applyFill="1"/>
    <xf numFmtId="0" fontId="3" fillId="215" borderId="0" xfId="1" applyFont="1" applyFill="1"/>
    <xf numFmtId="0" fontId="2" fillId="99" borderId="0" xfId="1" applyFont="1" applyFill="1"/>
    <xf numFmtId="0" fontId="2" fillId="123" borderId="0" xfId="1" applyFont="1" applyFill="1"/>
    <xf numFmtId="0" fontId="3" fillId="212" borderId="0" xfId="1" applyFont="1" applyFill="1"/>
    <xf numFmtId="0" fontId="3" fillId="205" borderId="0" xfId="1" applyFont="1" applyFill="1"/>
    <xf numFmtId="0" fontId="3" fillId="222" borderId="0" xfId="1" applyFont="1" applyFill="1"/>
    <xf numFmtId="0" fontId="3" fillId="218" borderId="0" xfId="1" applyFont="1" applyFill="1"/>
    <xf numFmtId="0" fontId="3" fillId="243" borderId="0" xfId="1" applyFont="1" applyFill="1"/>
    <xf numFmtId="0" fontId="3" fillId="206" borderId="0" xfId="1" applyFont="1" applyFill="1"/>
    <xf numFmtId="0" fontId="3" fillId="229" borderId="0" xfId="1" applyFont="1" applyFill="1"/>
    <xf numFmtId="0" fontId="2" fillId="144" borderId="0" xfId="1" applyFont="1" applyFill="1"/>
    <xf numFmtId="0" fontId="2" fillId="116" borderId="0" xfId="1" applyFont="1" applyFill="1"/>
    <xf numFmtId="0" fontId="2" fillId="246" borderId="0" xfId="1" applyFont="1" applyFill="1"/>
    <xf numFmtId="0" fontId="3" fillId="189" borderId="0" xfId="1" applyFont="1" applyFill="1"/>
    <xf numFmtId="0" fontId="2" fillId="102" borderId="0" xfId="1" applyFont="1" applyFill="1"/>
    <xf numFmtId="0" fontId="2" fillId="131" borderId="0" xfId="1" applyFont="1" applyFill="1"/>
    <xf numFmtId="0" fontId="3" fillId="219" borderId="0" xfId="1" applyFont="1" applyFill="1"/>
    <xf numFmtId="0" fontId="2" fillId="81" borderId="0" xfId="1" applyFont="1" applyFill="1"/>
    <xf numFmtId="0" fontId="3" fillId="188" borderId="0" xfId="1" applyFont="1" applyFill="1"/>
    <xf numFmtId="0" fontId="3" fillId="190" borderId="0" xfId="1" applyFont="1" applyFill="1"/>
    <xf numFmtId="0" fontId="3" fillId="53" borderId="0" xfId="1" applyFont="1" applyFill="1"/>
    <xf numFmtId="0" fontId="2" fillId="165" borderId="0" xfId="1" applyFont="1" applyFill="1"/>
    <xf numFmtId="0" fontId="2" fillId="114" borderId="0" xfId="1" applyFont="1" applyFill="1"/>
    <xf numFmtId="0" fontId="2" fillId="262" borderId="0" xfId="1" applyFont="1" applyFill="1"/>
    <xf numFmtId="0" fontId="2" fillId="263" borderId="0" xfId="1" applyFont="1" applyFill="1"/>
    <xf numFmtId="0" fontId="2" fillId="264" borderId="0" xfId="1" applyFont="1" applyFill="1"/>
    <xf numFmtId="0" fontId="2" fillId="265" borderId="0" xfId="1" applyFont="1" applyFill="1"/>
    <xf numFmtId="0" fontId="2" fillId="266" borderId="0" xfId="1" applyFont="1" applyFill="1"/>
    <xf numFmtId="0" fontId="2" fillId="267" borderId="0" xfId="1" applyFont="1" applyFill="1"/>
    <xf numFmtId="0" fontId="2" fillId="268" borderId="0" xfId="1" applyFont="1" applyFill="1"/>
    <xf numFmtId="0" fontId="2" fillId="269" borderId="0" xfId="1" applyFont="1" applyFill="1"/>
    <xf numFmtId="0" fontId="2" fillId="270" borderId="0" xfId="1" applyFont="1" applyFill="1"/>
    <xf numFmtId="0" fontId="2" fillId="271" borderId="0" xfId="1" applyFont="1" applyFill="1"/>
    <xf numFmtId="0" fontId="2" fillId="272" borderId="0" xfId="1" applyFont="1" applyFill="1"/>
    <xf numFmtId="0" fontId="2" fillId="273" borderId="0" xfId="1" applyFont="1" applyFill="1"/>
    <xf numFmtId="0" fontId="2" fillId="274" borderId="0" xfId="1" applyFont="1" applyFill="1"/>
    <xf numFmtId="0" fontId="2" fillId="275" borderId="0" xfId="1" applyFont="1" applyFill="1"/>
    <xf numFmtId="0" fontId="3" fillId="276" borderId="0" xfId="1" applyFont="1" applyFill="1"/>
    <xf numFmtId="0" fontId="2" fillId="277" borderId="0" xfId="1" applyFont="1" applyFill="1"/>
    <xf numFmtId="0" fontId="2" fillId="278" borderId="0" xfId="1" applyFont="1" applyFill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al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626"/>
  <sheetViews>
    <sheetView workbookViewId="0">
      <pane ySplit="1" topLeftCell="A2" activePane="bottomLeft" state="frozen"/>
      <selection pane="bottomLeft" activeCell="E1" sqref="E1:F1"/>
    </sheetView>
  </sheetViews>
  <sheetFormatPr defaultRowHeight="14.4" x14ac:dyDescent="0.3"/>
  <cols>
    <col min="10" max="10" width="8.88671875" customWidth="1"/>
  </cols>
  <sheetData>
    <row r="1" spans="1:11" x14ac:dyDescent="0.3">
      <c r="A1" t="s">
        <v>10</v>
      </c>
      <c r="B1" t="s">
        <v>11</v>
      </c>
      <c r="C1" t="s">
        <v>12</v>
      </c>
      <c r="D1" s="162" t="s">
        <v>15</v>
      </c>
      <c r="E1" s="162" t="s">
        <v>16</v>
      </c>
      <c r="F1" s="162" t="s">
        <v>17</v>
      </c>
      <c r="G1" s="164" t="s">
        <v>0</v>
      </c>
      <c r="H1" s="164" t="s">
        <v>1</v>
      </c>
      <c r="I1" s="164" t="s">
        <v>2</v>
      </c>
      <c r="J1" t="s">
        <v>60</v>
      </c>
      <c r="K1" t="s">
        <v>13</v>
      </c>
    </row>
    <row r="2" spans="1:11" x14ac:dyDescent="0.3">
      <c r="A2">
        <f>LOOKUP(9E+307,--MID(D2,1,{1,2,3,4,5}))</f>
        <v>10</v>
      </c>
      <c r="B2">
        <f>VLOOKUP(MID(D2,LOOKUP(2,1/ISNUMBER(-MID(D2,1,{1,2,3,4,5})),{1,2,3,4,5})+1,9),'Hue codes'!$A$1:$B$10,2,FALSE)</f>
        <v>90</v>
      </c>
      <c r="C2">
        <f>IF(A2+B2=100,0,A2+B2)</f>
        <v>0</v>
      </c>
      <c r="D2" s="162" t="s">
        <v>20</v>
      </c>
      <c r="E2" s="162">
        <v>1</v>
      </c>
      <c r="F2" s="162">
        <v>2</v>
      </c>
      <c r="G2" s="164">
        <v>0.17249999999999999</v>
      </c>
      <c r="H2" s="164">
        <v>8.5500000000000007E-2</v>
      </c>
      <c r="I2" s="164">
        <v>0.1249</v>
      </c>
      <c r="J2" s="1" t="str">
        <f>HYPERLINK(SetRGB(J2,G2*255,H2*255,I2*255),"HOVER!")</f>
        <v>HOVER!</v>
      </c>
      <c r="K2">
        <f t="shared" ref="K2:K54" si="0">E2/F2</f>
        <v>0.5</v>
      </c>
    </row>
    <row r="3" spans="1:11" x14ac:dyDescent="0.3">
      <c r="A3">
        <f>LOOKUP(9E+307,--MID(D3,1,{1,2,3,4,5}))</f>
        <v>10</v>
      </c>
      <c r="B3">
        <f>VLOOKUP(MID(D3,LOOKUP(2,1/ISNUMBER(-MID(D3,1,{1,2,3,4,5})),{1,2,3,4,5})+1,9),'Hue codes'!$A$1:$B$10,2,FALSE)</f>
        <v>90</v>
      </c>
      <c r="C3">
        <f t="shared" ref="C3:C66" si="1">IF(A3+B3=100,0,A3+B3)</f>
        <v>0</v>
      </c>
      <c r="D3" s="162" t="s">
        <v>20</v>
      </c>
      <c r="E3" s="162">
        <v>1</v>
      </c>
      <c r="F3" s="162">
        <v>4</v>
      </c>
      <c r="G3" s="164">
        <v>0.20660000000000001</v>
      </c>
      <c r="H3" s="164">
        <v>5.7799999999999997E-2</v>
      </c>
      <c r="I3" s="164">
        <v>0.1353</v>
      </c>
      <c r="J3" s="22" t="str">
        <f>HYPERLINK(SetRGB(J3,G3*255,H3*255,I3*255),"HOVER!")</f>
        <v>HOVER!</v>
      </c>
      <c r="K3">
        <f t="shared" si="0"/>
        <v>0.25</v>
      </c>
    </row>
    <row r="4" spans="1:11" x14ac:dyDescent="0.3">
      <c r="A4">
        <f>LOOKUP(9E+307,--MID(D4,1,{1,2,3,4,5}))</f>
        <v>10</v>
      </c>
      <c r="B4">
        <f>VLOOKUP(MID(D4,LOOKUP(2,1/ISNUMBER(-MID(D4,1,{1,2,3,4,5})),{1,2,3,4,5})+1,9),'Hue codes'!$A$1:$B$10,2,FALSE)</f>
        <v>90</v>
      </c>
      <c r="C4">
        <f t="shared" si="1"/>
        <v>0</v>
      </c>
      <c r="D4" s="162" t="s">
        <v>20</v>
      </c>
      <c r="E4" s="162">
        <v>1</v>
      </c>
      <c r="F4" s="162">
        <v>6</v>
      </c>
      <c r="G4" s="164">
        <v>0.23669999999999999</v>
      </c>
      <c r="H4" s="164">
        <v>0.01</v>
      </c>
      <c r="I4" s="164">
        <v>0.14649999999999999</v>
      </c>
      <c r="J4" s="23" t="str">
        <f>HYPERLINK(SetRGB(J4,G4*255,H4*255,I4*255),"HOVER!")</f>
        <v>HOVER!</v>
      </c>
      <c r="K4">
        <f t="shared" si="0"/>
        <v>0.16666666666666666</v>
      </c>
    </row>
    <row r="5" spans="1:11" x14ac:dyDescent="0.3">
      <c r="A5">
        <f>LOOKUP(9E+307,--MID(D5,1,{1,2,3,4,5}))</f>
        <v>2.5</v>
      </c>
      <c r="B5">
        <f>VLOOKUP(MID(D5,LOOKUP(2,1/ISNUMBER(-MID(D5,1,{1,2,3,4,5})),{1,2,3,4,5})+1,9),'Hue codes'!$A$1:$B$10,2,FALSE)</f>
        <v>0</v>
      </c>
      <c r="C5">
        <f t="shared" si="1"/>
        <v>2.5</v>
      </c>
      <c r="D5" s="162" t="s">
        <v>21</v>
      </c>
      <c r="E5" s="162">
        <v>1</v>
      </c>
      <c r="F5" s="162">
        <v>2</v>
      </c>
      <c r="G5" s="164">
        <v>0.17549999999999999</v>
      </c>
      <c r="H5" s="164">
        <v>8.5099999999999995E-2</v>
      </c>
      <c r="I5" s="164">
        <v>0.11609999999999999</v>
      </c>
      <c r="J5" s="24" t="str">
        <f>HYPERLINK(SetRGB(J5,G5*255,H5*255,I5*255),"HOVER!")</f>
        <v>HOVER!</v>
      </c>
      <c r="K5">
        <f t="shared" si="0"/>
        <v>0.5</v>
      </c>
    </row>
    <row r="6" spans="1:11" x14ac:dyDescent="0.3">
      <c r="A6">
        <f>LOOKUP(9E+307,--MID(D6,1,{1,2,3,4,5}))</f>
        <v>2.5</v>
      </c>
      <c r="B6">
        <f>VLOOKUP(MID(D6,LOOKUP(2,1/ISNUMBER(-MID(D6,1,{1,2,3,4,5})),{1,2,3,4,5})+1,9),'Hue codes'!$A$1:$B$10,2,FALSE)</f>
        <v>0</v>
      </c>
      <c r="C6">
        <f t="shared" si="1"/>
        <v>2.5</v>
      </c>
      <c r="D6" s="162" t="s">
        <v>21</v>
      </c>
      <c r="E6" s="162">
        <v>1</v>
      </c>
      <c r="F6" s="162">
        <v>4</v>
      </c>
      <c r="G6" s="164">
        <v>0.2114</v>
      </c>
      <c r="H6" s="164">
        <v>5.6099999999999997E-2</v>
      </c>
      <c r="I6" s="164">
        <v>0.12089999999999999</v>
      </c>
      <c r="J6" s="25" t="str">
        <f>HYPERLINK(SetRGB(J6,G6*255,H6*255,I6*255),"HOVER!")</f>
        <v>HOVER!</v>
      </c>
      <c r="K6">
        <f t="shared" si="0"/>
        <v>0.25</v>
      </c>
    </row>
    <row r="7" spans="1:11" x14ac:dyDescent="0.3">
      <c r="A7">
        <f>LOOKUP(9E+307,--MID(D7,1,{1,2,3,4,5}))</f>
        <v>2.5</v>
      </c>
      <c r="B7">
        <f>VLOOKUP(MID(D7,LOOKUP(2,1/ISNUMBER(-MID(D7,1,{1,2,3,4,5})),{1,2,3,4,5})+1,9),'Hue codes'!$A$1:$B$10,2,FALSE)</f>
        <v>0</v>
      </c>
      <c r="C7">
        <f t="shared" si="1"/>
        <v>2.5</v>
      </c>
      <c r="D7" s="162" t="s">
        <v>21</v>
      </c>
      <c r="E7" s="162">
        <v>1</v>
      </c>
      <c r="F7" s="162">
        <v>6</v>
      </c>
      <c r="G7" s="164">
        <v>0.24460000000000001</v>
      </c>
      <c r="H7" s="164">
        <v>-1.6000000000000001E-3</v>
      </c>
      <c r="I7" s="164">
        <v>0.1273</v>
      </c>
      <c r="J7" s="26" t="str">
        <f>HYPERLINK(SetRGB(J7,G7*255,H7*255,I7*255),"HOVER!")</f>
        <v>HOVER!</v>
      </c>
      <c r="K7">
        <f t="shared" si="0"/>
        <v>0.16666666666666666</v>
      </c>
    </row>
    <row r="8" spans="1:11" x14ac:dyDescent="0.3">
      <c r="A8">
        <f>LOOKUP(9E+307,--MID(D8,1,{1,2,3,4,5}))</f>
        <v>5</v>
      </c>
      <c r="B8">
        <f>VLOOKUP(MID(D8,LOOKUP(2,1/ISNUMBER(-MID(D8,1,{1,2,3,4,5})),{1,2,3,4,5})+1,9),'Hue codes'!$A$1:$B$10,2,FALSE)</f>
        <v>0</v>
      </c>
      <c r="C8">
        <f t="shared" si="1"/>
        <v>5</v>
      </c>
      <c r="D8" s="162" t="s">
        <v>22</v>
      </c>
      <c r="E8" s="162">
        <v>1</v>
      </c>
      <c r="F8" s="162">
        <v>2</v>
      </c>
      <c r="G8" s="164">
        <v>0.17780000000000001</v>
      </c>
      <c r="H8" s="164">
        <v>8.4900000000000003E-2</v>
      </c>
      <c r="I8" s="164">
        <v>0.1069</v>
      </c>
      <c r="J8" s="27" t="str">
        <f>HYPERLINK(SetRGB(J8,G8*255,H8*255,I8*255),"HOVER!")</f>
        <v>HOVER!</v>
      </c>
      <c r="K8">
        <f t="shared" si="0"/>
        <v>0.5</v>
      </c>
    </row>
    <row r="9" spans="1:11" x14ac:dyDescent="0.3">
      <c r="A9">
        <f>LOOKUP(9E+307,--MID(D9,1,{1,2,3,4,5}))</f>
        <v>5</v>
      </c>
      <c r="B9">
        <f>VLOOKUP(MID(D9,LOOKUP(2,1/ISNUMBER(-MID(D9,1,{1,2,3,4,5})),{1,2,3,4,5})+1,9),'Hue codes'!$A$1:$B$10,2,FALSE)</f>
        <v>0</v>
      </c>
      <c r="C9">
        <f t="shared" si="1"/>
        <v>5</v>
      </c>
      <c r="D9" s="162" t="s">
        <v>22</v>
      </c>
      <c r="E9" s="162">
        <v>1</v>
      </c>
      <c r="F9" s="162">
        <v>4</v>
      </c>
      <c r="G9" s="164">
        <v>0.21529999999999999</v>
      </c>
      <c r="H9" s="164">
        <v>5.5100000000000003E-2</v>
      </c>
      <c r="I9" s="164">
        <v>0.1057</v>
      </c>
      <c r="J9" s="28" t="str">
        <f>HYPERLINK(SetRGB(J9,G9*255,H9*255,I9*255),"HOVER!")</f>
        <v>HOVER!</v>
      </c>
      <c r="K9">
        <f t="shared" si="0"/>
        <v>0.25</v>
      </c>
    </row>
    <row r="10" spans="1:11" x14ac:dyDescent="0.3">
      <c r="A10">
        <f>LOOKUP(9E+307,--MID(D10,1,{1,2,3,4,5}))</f>
        <v>7.5</v>
      </c>
      <c r="B10">
        <f>VLOOKUP(MID(D10,LOOKUP(2,1/ISNUMBER(-MID(D10,1,{1,2,3,4,5})),{1,2,3,4,5})+1,9),'Hue codes'!$A$1:$B$10,2,FALSE)</f>
        <v>0</v>
      </c>
      <c r="C10">
        <f t="shared" si="1"/>
        <v>7.5</v>
      </c>
      <c r="D10" s="162" t="s">
        <v>23</v>
      </c>
      <c r="E10" s="162">
        <v>1</v>
      </c>
      <c r="F10" s="162">
        <v>2</v>
      </c>
      <c r="G10" s="164">
        <v>0.1789</v>
      </c>
      <c r="H10" s="164">
        <v>8.5300000000000001E-2</v>
      </c>
      <c r="I10" s="164">
        <v>9.8799999999999999E-2</v>
      </c>
      <c r="J10" s="29" t="str">
        <f>HYPERLINK(SetRGB(J10,G10*255,H10*255,I10*255),"HOVER!")</f>
        <v>HOVER!</v>
      </c>
      <c r="K10">
        <f t="shared" si="0"/>
        <v>0.5</v>
      </c>
    </row>
    <row r="11" spans="1:11" x14ac:dyDescent="0.3">
      <c r="A11">
        <f>LOOKUP(9E+307,--MID(D11,1,{1,2,3,4,5}))</f>
        <v>7.5</v>
      </c>
      <c r="B11">
        <f>VLOOKUP(MID(D11,LOOKUP(2,1/ISNUMBER(-MID(D11,1,{1,2,3,4,5})),{1,2,3,4,5})+1,9),'Hue codes'!$A$1:$B$10,2,FALSE)</f>
        <v>0</v>
      </c>
      <c r="C11">
        <f t="shared" si="1"/>
        <v>7.5</v>
      </c>
      <c r="D11" s="162" t="s">
        <v>23</v>
      </c>
      <c r="E11" s="162">
        <v>1</v>
      </c>
      <c r="F11" s="162">
        <v>4</v>
      </c>
      <c r="G11" s="164">
        <v>0.21790000000000001</v>
      </c>
      <c r="H11" s="164">
        <v>5.4899999999999997E-2</v>
      </c>
      <c r="I11" s="164">
        <v>9.0399999999999994E-2</v>
      </c>
      <c r="J11" s="30" t="str">
        <f>HYPERLINK(SetRGB(J11,G11*255,H11*255,I11*255),"HOVER!")</f>
        <v>HOVER!</v>
      </c>
      <c r="K11">
        <f t="shared" si="0"/>
        <v>0.25</v>
      </c>
    </row>
    <row r="12" spans="1:11" x14ac:dyDescent="0.3">
      <c r="A12">
        <f>LOOKUP(9E+307,--MID(D12,1,{1,2,3,4,5}))</f>
        <v>10</v>
      </c>
      <c r="B12">
        <f>VLOOKUP(MID(D12,LOOKUP(2,1/ISNUMBER(-MID(D12,1,{1,2,3,4,5})),{1,2,3,4,5})+1,9),'Hue codes'!$A$1:$B$10,2,FALSE)</f>
        <v>0</v>
      </c>
      <c r="C12">
        <f t="shared" si="1"/>
        <v>10</v>
      </c>
      <c r="D12" s="162" t="s">
        <v>24</v>
      </c>
      <c r="E12" s="162">
        <v>1</v>
      </c>
      <c r="F12" s="162">
        <v>2</v>
      </c>
      <c r="G12" s="164">
        <v>0.1789</v>
      </c>
      <c r="H12" s="164">
        <v>8.6300000000000002E-2</v>
      </c>
      <c r="I12" s="164">
        <v>0.09</v>
      </c>
      <c r="J12" s="31" t="str">
        <f>HYPERLINK(SetRGB(J12,G12*255,H12*255,I12*255),"HOVER!")</f>
        <v>HOVER!</v>
      </c>
      <c r="K12">
        <f t="shared" si="0"/>
        <v>0.5</v>
      </c>
    </row>
    <row r="13" spans="1:11" x14ac:dyDescent="0.3">
      <c r="A13">
        <f>LOOKUP(9E+307,--MID(D13,1,{1,2,3,4,5}))</f>
        <v>10</v>
      </c>
      <c r="B13">
        <f>VLOOKUP(MID(D13,LOOKUP(2,1/ISNUMBER(-MID(D13,1,{1,2,3,4,5})),{1,2,3,4,5})+1,9),'Hue codes'!$A$1:$B$10,2,FALSE)</f>
        <v>0</v>
      </c>
      <c r="C13">
        <f t="shared" si="1"/>
        <v>10</v>
      </c>
      <c r="D13" s="162" t="s">
        <v>24</v>
      </c>
      <c r="E13" s="162">
        <v>1</v>
      </c>
      <c r="F13" s="162">
        <v>4</v>
      </c>
      <c r="G13" s="164">
        <v>0.22070000000000001</v>
      </c>
      <c r="H13" s="164">
        <v>5.4600000000000003E-2</v>
      </c>
      <c r="I13" s="164">
        <v>7.2499999999999995E-2</v>
      </c>
      <c r="J13" s="32" t="str">
        <f>HYPERLINK(SetRGB(J13,G13*255,H13*255,I13*255),"HOVER!")</f>
        <v>HOVER!</v>
      </c>
      <c r="K13">
        <f t="shared" si="0"/>
        <v>0.25</v>
      </c>
    </row>
    <row r="14" spans="1:11" x14ac:dyDescent="0.3">
      <c r="A14">
        <f>LOOKUP(9E+307,--MID(D14,1,{1,2,3,4,5}))</f>
        <v>2.5</v>
      </c>
      <c r="B14">
        <f>VLOOKUP(MID(D14,LOOKUP(2,1/ISNUMBER(-MID(D14,1,{1,2,3,4,5})),{1,2,3,4,5})+1,9),'Hue codes'!$A$1:$B$10,2,FALSE)</f>
        <v>10</v>
      </c>
      <c r="C14">
        <f t="shared" si="1"/>
        <v>12.5</v>
      </c>
      <c r="D14" s="162" t="s">
        <v>25</v>
      </c>
      <c r="E14" s="162">
        <v>1</v>
      </c>
      <c r="F14" s="162">
        <v>2</v>
      </c>
      <c r="G14" s="164">
        <v>0.17699999999999999</v>
      </c>
      <c r="H14" s="164">
        <v>8.8900000000000007E-2</v>
      </c>
      <c r="I14" s="164">
        <v>7.6899999999999996E-2</v>
      </c>
      <c r="J14" s="33" t="str">
        <f>HYPERLINK(SetRGB(J14,G14*255,H14*255,I14*255),"HOVER!")</f>
        <v>HOVER!</v>
      </c>
      <c r="K14">
        <f t="shared" si="0"/>
        <v>0.5</v>
      </c>
    </row>
    <row r="15" spans="1:11" x14ac:dyDescent="0.3">
      <c r="A15">
        <f>LOOKUP(9E+307,--MID(D15,1,{1,2,3,4,5}))</f>
        <v>2.5</v>
      </c>
      <c r="B15">
        <f>VLOOKUP(MID(D15,LOOKUP(2,1/ISNUMBER(-MID(D15,1,{1,2,3,4,5})),{1,2,3,4,5})+1,9),'Hue codes'!$A$1:$B$10,2,FALSE)</f>
        <v>10</v>
      </c>
      <c r="C15">
        <f t="shared" si="1"/>
        <v>12.5</v>
      </c>
      <c r="D15" s="162" t="s">
        <v>25</v>
      </c>
      <c r="E15" s="162">
        <v>1</v>
      </c>
      <c r="F15" s="162">
        <v>4</v>
      </c>
      <c r="G15" s="164">
        <v>0.2215</v>
      </c>
      <c r="H15" s="164">
        <v>5.7200000000000001E-2</v>
      </c>
      <c r="I15" s="164">
        <v>4.1000000000000002E-2</v>
      </c>
      <c r="J15" s="34" t="str">
        <f>HYPERLINK(SetRGB(J15,G15*255,H15*255,I15*255),"HOVER!")</f>
        <v>HOVER!</v>
      </c>
      <c r="K15">
        <f t="shared" si="0"/>
        <v>0.25</v>
      </c>
    </row>
    <row r="16" spans="1:11" x14ac:dyDescent="0.3">
      <c r="A16">
        <f>LOOKUP(9E+307,--MID(D16,1,{1,2,3,4,5}))</f>
        <v>2.5</v>
      </c>
      <c r="B16">
        <f>VLOOKUP(MID(D16,LOOKUP(2,1/ISNUMBER(-MID(D16,1,{1,2,3,4,5})),{1,2,3,4,5})+1,9),'Hue codes'!$A$1:$B$10,2,FALSE)</f>
        <v>10</v>
      </c>
      <c r="C16">
        <f t="shared" si="1"/>
        <v>12.5</v>
      </c>
      <c r="D16" s="162" t="s">
        <v>25</v>
      </c>
      <c r="E16" s="162">
        <v>1</v>
      </c>
      <c r="F16" s="162">
        <v>6</v>
      </c>
      <c r="G16" s="164">
        <v>0.253</v>
      </c>
      <c r="H16" s="164">
        <v>1.04E-2</v>
      </c>
      <c r="I16" s="164">
        <v>9.2999999999999992E-3</v>
      </c>
      <c r="J16" s="35" t="str">
        <f>HYPERLINK(SetRGB(J16,G16*255,H16*255,I16*255),"HOVER!")</f>
        <v>HOVER!</v>
      </c>
      <c r="K16">
        <f t="shared" si="0"/>
        <v>0.16666666666666666</v>
      </c>
    </row>
    <row r="17" spans="1:11" x14ac:dyDescent="0.3">
      <c r="A17">
        <f>LOOKUP(9E+307,--MID(D17,1,{1,2,3,4,5}))</f>
        <v>5</v>
      </c>
      <c r="B17">
        <f>VLOOKUP(MID(D17,LOOKUP(2,1/ISNUMBER(-MID(D17,1,{1,2,3,4,5})),{1,2,3,4,5})+1,9),'Hue codes'!$A$1:$B$10,2,FALSE)</f>
        <v>10</v>
      </c>
      <c r="C17">
        <f t="shared" si="1"/>
        <v>15</v>
      </c>
      <c r="D17" s="162" t="s">
        <v>26</v>
      </c>
      <c r="E17" s="162">
        <v>1</v>
      </c>
      <c r="F17" s="162">
        <v>2</v>
      </c>
      <c r="G17" s="164">
        <v>0.17280000000000001</v>
      </c>
      <c r="H17" s="164">
        <v>9.2600000000000002E-2</v>
      </c>
      <c r="I17" s="164">
        <v>6.1499999999999999E-2</v>
      </c>
      <c r="J17" s="36" t="str">
        <f>HYPERLINK(SetRGB(J17,G17*255,H17*255,I17*255),"HOVER!")</f>
        <v>HOVER!</v>
      </c>
      <c r="K17">
        <f t="shared" si="0"/>
        <v>0.5</v>
      </c>
    </row>
    <row r="18" spans="1:11" x14ac:dyDescent="0.3">
      <c r="A18">
        <f>LOOKUP(9E+307,--MID(D18,1,{1,2,3,4,5}))</f>
        <v>7.5</v>
      </c>
      <c r="B18">
        <f>VLOOKUP(MID(D18,LOOKUP(2,1/ISNUMBER(-MID(D18,1,{1,2,3,4,5})),{1,2,3,4,5})+1,9),'Hue codes'!$A$1:$B$10,2,FALSE)</f>
        <v>10</v>
      </c>
      <c r="C18">
        <f t="shared" si="1"/>
        <v>17.5</v>
      </c>
      <c r="D18" s="162" t="s">
        <v>27</v>
      </c>
      <c r="E18" s="162">
        <v>1</v>
      </c>
      <c r="F18" s="162">
        <v>2</v>
      </c>
      <c r="G18" s="164">
        <v>0.1676</v>
      </c>
      <c r="H18" s="164">
        <v>9.6199999999999994E-2</v>
      </c>
      <c r="I18" s="164">
        <v>4.9500000000000002E-2</v>
      </c>
      <c r="J18" s="37" t="str">
        <f>HYPERLINK(SetRGB(J18,G18*255,H18*255,I18*255),"HOVER!")</f>
        <v>HOVER!</v>
      </c>
      <c r="K18">
        <f t="shared" si="0"/>
        <v>0.5</v>
      </c>
    </row>
    <row r="19" spans="1:11" x14ac:dyDescent="0.3">
      <c r="A19">
        <f>LOOKUP(9E+307,--MID(D19,1,{1,2,3,4,5}))</f>
        <v>10</v>
      </c>
      <c r="B19">
        <f>VLOOKUP(MID(D19,LOOKUP(2,1/ISNUMBER(-MID(D19,1,{1,2,3,4,5})),{1,2,3,4,5})+1,9),'Hue codes'!$A$1:$B$10,2,FALSE)</f>
        <v>10</v>
      </c>
      <c r="C19">
        <f t="shared" si="1"/>
        <v>20</v>
      </c>
      <c r="D19" s="162" t="s">
        <v>28</v>
      </c>
      <c r="E19" s="162">
        <v>1</v>
      </c>
      <c r="F19" s="162">
        <v>2</v>
      </c>
      <c r="G19" s="164">
        <v>0.16070000000000001</v>
      </c>
      <c r="H19" s="164">
        <v>0.1004</v>
      </c>
      <c r="I19" s="164">
        <v>3.7499999999999999E-2</v>
      </c>
      <c r="J19" s="38" t="str">
        <f>HYPERLINK(SetRGB(J19,G19*255,H19*255,I19*255),"HOVER!")</f>
        <v>HOVER!</v>
      </c>
      <c r="K19">
        <f t="shared" si="0"/>
        <v>0.5</v>
      </c>
    </row>
    <row r="20" spans="1:11" x14ac:dyDescent="0.3">
      <c r="A20">
        <f>LOOKUP(9E+307,--MID(D20,1,{1,2,3,4,5}))</f>
        <v>2.5</v>
      </c>
      <c r="B20">
        <f>VLOOKUP(MID(D20,LOOKUP(2,1/ISNUMBER(-MID(D20,1,{1,2,3,4,5})),{1,2,3,4,5})+1,9),'Hue codes'!$A$1:$B$10,2,FALSE)</f>
        <v>20</v>
      </c>
      <c r="C20">
        <f t="shared" si="1"/>
        <v>22.5</v>
      </c>
      <c r="D20" s="162" t="s">
        <v>29</v>
      </c>
      <c r="E20" s="162">
        <v>1</v>
      </c>
      <c r="F20" s="162">
        <v>2</v>
      </c>
      <c r="G20" s="164">
        <v>0.14979999999999999</v>
      </c>
      <c r="H20" s="164">
        <v>0.1057</v>
      </c>
      <c r="I20" s="164">
        <v>2.92E-2</v>
      </c>
      <c r="J20" s="39" t="str">
        <f>HYPERLINK(SetRGB(J20,G20*255,H20*255,I20*255),"HOVER!")</f>
        <v>HOVER!</v>
      </c>
      <c r="K20">
        <f t="shared" si="0"/>
        <v>0.5</v>
      </c>
    </row>
    <row r="21" spans="1:11" x14ac:dyDescent="0.3">
      <c r="A21">
        <f>LOOKUP(9E+307,--MID(D21,1,{1,2,3,4,5}))</f>
        <v>5</v>
      </c>
      <c r="B21">
        <f>VLOOKUP(MID(D21,LOOKUP(2,1/ISNUMBER(-MID(D21,1,{1,2,3,4,5})),{1,2,3,4,5})+1,9),'Hue codes'!$A$1:$B$10,2,FALSE)</f>
        <v>20</v>
      </c>
      <c r="C21">
        <f t="shared" si="1"/>
        <v>25</v>
      </c>
      <c r="D21" s="162" t="s">
        <v>30</v>
      </c>
      <c r="E21" s="162">
        <v>1</v>
      </c>
      <c r="F21" s="162">
        <v>2</v>
      </c>
      <c r="G21" s="164">
        <v>0.14050000000000001</v>
      </c>
      <c r="H21" s="164">
        <v>0.1095</v>
      </c>
      <c r="I21" s="164">
        <v>2.92E-2</v>
      </c>
      <c r="J21" s="40" t="str">
        <f>HYPERLINK(SetRGB(J21,G21*255,H21*255,I21*255),"HOVER!")</f>
        <v>HOVER!</v>
      </c>
      <c r="K21">
        <f t="shared" si="0"/>
        <v>0.5</v>
      </c>
    </row>
    <row r="22" spans="1:11" x14ac:dyDescent="0.3">
      <c r="A22">
        <f>LOOKUP(9E+307,--MID(D22,1,{1,2,3,4,5}))</f>
        <v>7.5</v>
      </c>
      <c r="B22">
        <f>VLOOKUP(MID(D22,LOOKUP(2,1/ISNUMBER(-MID(D22,1,{1,2,3,4,5})),{1,2,3,4,5})+1,9),'Hue codes'!$A$1:$B$10,2,FALSE)</f>
        <v>20</v>
      </c>
      <c r="C22">
        <f t="shared" si="1"/>
        <v>27.5</v>
      </c>
      <c r="D22" s="162" t="s">
        <v>31</v>
      </c>
      <c r="E22" s="162">
        <v>1</v>
      </c>
      <c r="F22" s="162">
        <v>2</v>
      </c>
      <c r="G22" s="164">
        <v>0.13009999999999999</v>
      </c>
      <c r="H22" s="164">
        <v>0.113</v>
      </c>
      <c r="I22" s="164">
        <v>3.5000000000000003E-2</v>
      </c>
      <c r="J22" s="41" t="str">
        <f>HYPERLINK(SetRGB(J22,G22*255,H22*255,I22*255),"HOVER!")</f>
        <v>HOVER!</v>
      </c>
      <c r="K22">
        <f t="shared" si="0"/>
        <v>0.5</v>
      </c>
    </row>
    <row r="23" spans="1:11" x14ac:dyDescent="0.3">
      <c r="A23">
        <f>LOOKUP(9E+307,--MID(D23,1,{1,2,3,4,5}))</f>
        <v>10</v>
      </c>
      <c r="B23">
        <f>VLOOKUP(MID(D23,LOOKUP(2,1/ISNUMBER(-MID(D23,1,{1,2,3,4,5})),{1,2,3,4,5})+1,9),'Hue codes'!$A$1:$B$10,2,FALSE)</f>
        <v>20</v>
      </c>
      <c r="C23">
        <f t="shared" si="1"/>
        <v>30</v>
      </c>
      <c r="D23" s="162" t="s">
        <v>32</v>
      </c>
      <c r="E23" s="162">
        <v>1</v>
      </c>
      <c r="F23" s="162">
        <v>2</v>
      </c>
      <c r="G23" s="164">
        <v>0.1193</v>
      </c>
      <c r="H23" s="164">
        <v>0.1159</v>
      </c>
      <c r="I23" s="164">
        <v>4.6800000000000001E-2</v>
      </c>
      <c r="J23" s="42" t="str">
        <f>HYPERLINK(SetRGB(J23,G23*255,H23*255,I23*255),"HOVER!")</f>
        <v>HOVER!</v>
      </c>
      <c r="K23">
        <f t="shared" si="0"/>
        <v>0.5</v>
      </c>
    </row>
    <row r="24" spans="1:11" x14ac:dyDescent="0.3">
      <c r="A24">
        <f>LOOKUP(9E+307,--MID(D24,1,{1,2,3,4,5}))</f>
        <v>2.5</v>
      </c>
      <c r="B24">
        <f>VLOOKUP(MID(D24,LOOKUP(2,1/ISNUMBER(-MID(D24,1,{1,2,3,4,5})),{1,2,3,4,5})+1,9),'Hue codes'!$A$1:$B$10,2,FALSE)</f>
        <v>30</v>
      </c>
      <c r="C24">
        <f t="shared" si="1"/>
        <v>32.5</v>
      </c>
      <c r="D24" s="162" t="s">
        <v>33</v>
      </c>
      <c r="E24" s="162">
        <v>1</v>
      </c>
      <c r="F24" s="162">
        <v>2</v>
      </c>
      <c r="G24" s="164">
        <v>0.1072</v>
      </c>
      <c r="H24" s="164">
        <v>0.1187</v>
      </c>
      <c r="I24" s="164">
        <v>6.0199999999999997E-2</v>
      </c>
      <c r="J24" s="43" t="str">
        <f>HYPERLINK(SetRGB(J24,G24*255,H24*255,I24*255),"HOVER!")</f>
        <v>HOVER!</v>
      </c>
      <c r="K24">
        <f t="shared" si="0"/>
        <v>0.5</v>
      </c>
    </row>
    <row r="25" spans="1:11" x14ac:dyDescent="0.3">
      <c r="A25">
        <f>LOOKUP(9E+307,--MID(D25,1,{1,2,3,4,5}))</f>
        <v>5</v>
      </c>
      <c r="B25">
        <f>VLOOKUP(MID(D25,LOOKUP(2,1/ISNUMBER(-MID(D25,1,{1,2,3,4,5})),{1,2,3,4,5})+1,9),'Hue codes'!$A$1:$B$10,2,FALSE)</f>
        <v>30</v>
      </c>
      <c r="C25">
        <f t="shared" si="1"/>
        <v>35</v>
      </c>
      <c r="D25" s="162" t="s">
        <v>34</v>
      </c>
      <c r="E25" s="162">
        <v>1</v>
      </c>
      <c r="F25" s="162">
        <v>2</v>
      </c>
      <c r="G25" s="164">
        <v>9.8400000000000001E-2</v>
      </c>
      <c r="H25" s="164">
        <v>0.12039999999999999</v>
      </c>
      <c r="I25" s="164">
        <v>6.9599999999999995E-2</v>
      </c>
      <c r="J25" s="44" t="str">
        <f>HYPERLINK(SetRGB(J25,G25*255,H25*255,I25*255),"HOVER!")</f>
        <v>HOVER!</v>
      </c>
      <c r="K25">
        <f t="shared" si="0"/>
        <v>0.5</v>
      </c>
    </row>
    <row r="26" spans="1:11" x14ac:dyDescent="0.3">
      <c r="A26">
        <f>LOOKUP(9E+307,--MID(D26,1,{1,2,3,4,5}))</f>
        <v>7.5</v>
      </c>
      <c r="B26">
        <f>VLOOKUP(MID(D26,LOOKUP(2,1/ISNUMBER(-MID(D26,1,{1,2,3,4,5})),{1,2,3,4,5})+1,9),'Hue codes'!$A$1:$B$10,2,FALSE)</f>
        <v>30</v>
      </c>
      <c r="C26">
        <f t="shared" si="1"/>
        <v>37.5</v>
      </c>
      <c r="D26" s="162" t="s">
        <v>35</v>
      </c>
      <c r="E26" s="162">
        <v>1</v>
      </c>
      <c r="F26" s="162">
        <v>2</v>
      </c>
      <c r="G26" s="164">
        <v>8.77E-2</v>
      </c>
      <c r="H26" s="164">
        <v>0.1221</v>
      </c>
      <c r="I26" s="164">
        <v>8.0600000000000005E-2</v>
      </c>
      <c r="J26" s="45" t="str">
        <f>HYPERLINK(SetRGB(J26,G26*255,H26*255,I26*255),"HOVER!")</f>
        <v>HOVER!</v>
      </c>
      <c r="K26">
        <f t="shared" si="0"/>
        <v>0.5</v>
      </c>
    </row>
    <row r="27" spans="1:11" x14ac:dyDescent="0.3">
      <c r="A27">
        <f>LOOKUP(9E+307,--MID(D27,1,{1,2,3,4,5}))</f>
        <v>7.5</v>
      </c>
      <c r="B27">
        <f>VLOOKUP(MID(D27,LOOKUP(2,1/ISNUMBER(-MID(D27,1,{1,2,3,4,5})),{1,2,3,4,5})+1,9),'Hue codes'!$A$1:$B$10,2,FALSE)</f>
        <v>30</v>
      </c>
      <c r="C27">
        <f t="shared" si="1"/>
        <v>37.5</v>
      </c>
      <c r="D27" s="162" t="s">
        <v>35</v>
      </c>
      <c r="E27" s="162">
        <v>1</v>
      </c>
      <c r="F27" s="162">
        <v>4</v>
      </c>
      <c r="G27" s="164">
        <v>2.1700000000000001E-2</v>
      </c>
      <c r="H27" s="164">
        <v>0.1353</v>
      </c>
      <c r="I27" s="164">
        <v>7.4999999999999997E-3</v>
      </c>
      <c r="J27" s="46" t="str">
        <f>HYPERLINK(SetRGB(J27,G27*255,H27*255,I27*255),"HOVER!")</f>
        <v>HOVER!</v>
      </c>
      <c r="K27">
        <f t="shared" si="0"/>
        <v>0.25</v>
      </c>
    </row>
    <row r="28" spans="1:11" x14ac:dyDescent="0.3">
      <c r="A28">
        <f>LOOKUP(9E+307,--MID(D28,1,{1,2,3,4,5}))</f>
        <v>10</v>
      </c>
      <c r="B28">
        <f>VLOOKUP(MID(D28,LOOKUP(2,1/ISNUMBER(-MID(D28,1,{1,2,3,4,5})),{1,2,3,4,5})+1,9),'Hue codes'!$A$1:$B$10,2,FALSE)</f>
        <v>30</v>
      </c>
      <c r="C28">
        <f t="shared" si="1"/>
        <v>40</v>
      </c>
      <c r="D28" s="162" t="s">
        <v>36</v>
      </c>
      <c r="E28" s="162">
        <v>1</v>
      </c>
      <c r="F28" s="162">
        <v>2</v>
      </c>
      <c r="G28" s="164">
        <v>7.9399999999999998E-2</v>
      </c>
      <c r="H28" s="164">
        <v>0.1232</v>
      </c>
      <c r="I28" s="164">
        <v>8.9099999999999999E-2</v>
      </c>
      <c r="J28" s="47" t="str">
        <f>HYPERLINK(SetRGB(J28,G28*255,H28*255,I28*255),"HOVER!")</f>
        <v>HOVER!</v>
      </c>
      <c r="K28">
        <f t="shared" si="0"/>
        <v>0.5</v>
      </c>
    </row>
    <row r="29" spans="1:11" x14ac:dyDescent="0.3">
      <c r="A29">
        <f>LOOKUP(9E+307,--MID(D29,1,{1,2,3,4,5}))</f>
        <v>2.5</v>
      </c>
      <c r="B29">
        <f>VLOOKUP(MID(D29,LOOKUP(2,1/ISNUMBER(-MID(D29,1,{1,2,3,4,5})),{1,2,3,4,5})+1,9),'Hue codes'!$A$1:$B$10,2,FALSE)</f>
        <v>40</v>
      </c>
      <c r="C29">
        <f t="shared" si="1"/>
        <v>42.5</v>
      </c>
      <c r="D29" s="162" t="s">
        <v>37</v>
      </c>
      <c r="E29" s="162">
        <v>1</v>
      </c>
      <c r="F29" s="162">
        <v>2</v>
      </c>
      <c r="G29" s="164">
        <v>7.3599999999999999E-2</v>
      </c>
      <c r="H29" s="164">
        <v>0.12379999999999999</v>
      </c>
      <c r="I29" s="164">
        <v>9.4799999999999995E-2</v>
      </c>
      <c r="J29" s="48" t="str">
        <f>HYPERLINK(SetRGB(J29,G29*255,H29*255,I29*255),"HOVER!")</f>
        <v>HOVER!</v>
      </c>
      <c r="K29">
        <f t="shared" si="0"/>
        <v>0.5</v>
      </c>
    </row>
    <row r="30" spans="1:11" x14ac:dyDescent="0.3">
      <c r="A30">
        <f>LOOKUP(9E+307,--MID(D30,1,{1,2,3,4,5}))</f>
        <v>5</v>
      </c>
      <c r="B30">
        <f>VLOOKUP(MID(D30,LOOKUP(2,1/ISNUMBER(-MID(D30,1,{1,2,3,4,5})),{1,2,3,4,5})+1,9),'Hue codes'!$A$1:$B$10,2,FALSE)</f>
        <v>40</v>
      </c>
      <c r="C30">
        <f t="shared" si="1"/>
        <v>45</v>
      </c>
      <c r="D30" s="162" t="s">
        <v>38</v>
      </c>
      <c r="E30" s="162">
        <v>1</v>
      </c>
      <c r="F30" s="162">
        <v>2</v>
      </c>
      <c r="G30" s="164">
        <v>6.8599999999999994E-2</v>
      </c>
      <c r="H30" s="164">
        <v>0.1244</v>
      </c>
      <c r="I30" s="164">
        <v>9.9500000000000005E-2</v>
      </c>
      <c r="J30" s="49" t="str">
        <f>HYPERLINK(SetRGB(J30,G30*255,H30*255,I30*255),"HOVER!")</f>
        <v>HOVER!</v>
      </c>
      <c r="K30">
        <f t="shared" si="0"/>
        <v>0.5</v>
      </c>
    </row>
    <row r="31" spans="1:11" x14ac:dyDescent="0.3">
      <c r="A31">
        <f>LOOKUP(9E+307,--MID(D31,1,{1,2,3,4,5}))</f>
        <v>7.5</v>
      </c>
      <c r="B31">
        <f>VLOOKUP(MID(D31,LOOKUP(2,1/ISNUMBER(-MID(D31,1,{1,2,3,4,5})),{1,2,3,4,5})+1,9),'Hue codes'!$A$1:$B$10,2,FALSE)</f>
        <v>40</v>
      </c>
      <c r="C31">
        <f t="shared" si="1"/>
        <v>47.5</v>
      </c>
      <c r="D31" s="162" t="s">
        <v>39</v>
      </c>
      <c r="E31" s="162">
        <v>1</v>
      </c>
      <c r="F31" s="162">
        <v>2</v>
      </c>
      <c r="G31" s="164">
        <v>6.3700000000000007E-2</v>
      </c>
      <c r="H31" s="164">
        <v>0.12470000000000001</v>
      </c>
      <c r="I31" s="164">
        <v>0.1045</v>
      </c>
      <c r="J31" s="269" t="str">
        <f>HYPERLINK(SetRGB(J31,G31*255,H31*255,I31*255),"HOVER!")</f>
        <v>HOVER!</v>
      </c>
      <c r="K31">
        <f t="shared" si="0"/>
        <v>0.5</v>
      </c>
    </row>
    <row r="32" spans="1:11" x14ac:dyDescent="0.3">
      <c r="A32">
        <f>LOOKUP(9E+307,--MID(D32,1,{1,2,3,4,5}))</f>
        <v>10</v>
      </c>
      <c r="B32">
        <f>VLOOKUP(MID(D32,LOOKUP(2,1/ISNUMBER(-MID(D32,1,{1,2,3,4,5})),{1,2,3,4,5})+1,9),'Hue codes'!$A$1:$B$10,2,FALSE)</f>
        <v>40</v>
      </c>
      <c r="C32">
        <f t="shared" si="1"/>
        <v>50</v>
      </c>
      <c r="D32" s="162" t="s">
        <v>40</v>
      </c>
      <c r="E32" s="162">
        <v>1</v>
      </c>
      <c r="F32" s="162">
        <v>2</v>
      </c>
      <c r="G32" s="164">
        <v>5.8999999999999997E-2</v>
      </c>
      <c r="H32" s="164">
        <v>0.12509999999999999</v>
      </c>
      <c r="I32" s="164">
        <v>0.10929999999999999</v>
      </c>
      <c r="J32" s="270" t="str">
        <f>HYPERLINK(SetRGB(J32,G32*255,H32*255,I32*255),"HOVER!")</f>
        <v>HOVER!</v>
      </c>
      <c r="K32">
        <f t="shared" si="0"/>
        <v>0.5</v>
      </c>
    </row>
    <row r="33" spans="1:11" x14ac:dyDescent="0.3">
      <c r="A33">
        <f>LOOKUP(9E+307,--MID(D33,1,{1,2,3,4,5}))</f>
        <v>2.5</v>
      </c>
      <c r="B33">
        <f>VLOOKUP(MID(D33,LOOKUP(2,1/ISNUMBER(-MID(D33,1,{1,2,3,4,5})),{1,2,3,4,5})+1,9),'Hue codes'!$A$1:$B$10,2,FALSE)</f>
        <v>50</v>
      </c>
      <c r="C33">
        <f t="shared" si="1"/>
        <v>52.5</v>
      </c>
      <c r="D33" s="162" t="s">
        <v>41</v>
      </c>
      <c r="E33" s="162">
        <v>1</v>
      </c>
      <c r="F33" s="162">
        <v>2</v>
      </c>
      <c r="G33" s="164">
        <v>5.3100000000000001E-2</v>
      </c>
      <c r="H33" s="164">
        <v>0.12529999999999999</v>
      </c>
      <c r="I33" s="164">
        <v>0.1164</v>
      </c>
      <c r="J33" s="278" t="str">
        <f>HYPERLINK(SetRGB(J33,G33*255,H33*255,I33*255),"HOVER!")</f>
        <v>HOVER!</v>
      </c>
      <c r="K33">
        <f t="shared" si="0"/>
        <v>0.5</v>
      </c>
    </row>
    <row r="34" spans="1:11" x14ac:dyDescent="0.3">
      <c r="A34">
        <f>LOOKUP(9E+307,--MID(D34,1,{1,2,3,4,5}))</f>
        <v>5</v>
      </c>
      <c r="B34">
        <f>VLOOKUP(MID(D34,LOOKUP(2,1/ISNUMBER(-MID(D34,1,{1,2,3,4,5})),{1,2,3,4,5})+1,9),'Hue codes'!$A$1:$B$10,2,FALSE)</f>
        <v>50</v>
      </c>
      <c r="C34">
        <f t="shared" si="1"/>
        <v>55</v>
      </c>
      <c r="D34" s="162" t="s">
        <v>42</v>
      </c>
      <c r="E34" s="162">
        <v>1</v>
      </c>
      <c r="F34" s="162">
        <v>2</v>
      </c>
      <c r="G34" s="164">
        <v>4.6300000000000001E-2</v>
      </c>
      <c r="H34" s="164">
        <v>0.12529999999999999</v>
      </c>
      <c r="I34" s="164">
        <v>0.12520000000000001</v>
      </c>
      <c r="J34" s="277" t="str">
        <f>HYPERLINK(SetRGB(J34,G34*255,H34*255,I34*255),"HOVER!")</f>
        <v>HOVER!</v>
      </c>
      <c r="K34">
        <f t="shared" si="0"/>
        <v>0.5</v>
      </c>
    </row>
    <row r="35" spans="1:11" x14ac:dyDescent="0.3">
      <c r="A35">
        <f>LOOKUP(9E+307,--MID(D35,1,{1,2,3,4,5}))</f>
        <v>7.5</v>
      </c>
      <c r="B35">
        <f>VLOOKUP(MID(D35,LOOKUP(2,1/ISNUMBER(-MID(D35,1,{1,2,3,4,5})),{1,2,3,4,5})+1,9),'Hue codes'!$A$1:$B$10,2,FALSE)</f>
        <v>50</v>
      </c>
      <c r="C35">
        <f t="shared" si="1"/>
        <v>57.5</v>
      </c>
      <c r="D35" s="162" t="s">
        <v>43</v>
      </c>
      <c r="E35" s="162">
        <v>1</v>
      </c>
      <c r="F35" s="162">
        <v>2</v>
      </c>
      <c r="G35" s="164">
        <v>4.1599999999999998E-2</v>
      </c>
      <c r="H35" s="164">
        <v>0.12509999999999999</v>
      </c>
      <c r="I35" s="164">
        <v>0.13220000000000001</v>
      </c>
      <c r="J35" s="276" t="str">
        <f>HYPERLINK(SetRGB(J35,G35*255,H35*255,I35*255),"HOVER!")</f>
        <v>HOVER!</v>
      </c>
      <c r="K35">
        <f t="shared" si="0"/>
        <v>0.5</v>
      </c>
    </row>
    <row r="36" spans="1:11" x14ac:dyDescent="0.3">
      <c r="A36">
        <f>LOOKUP(9E+307,--MID(D36,1,{1,2,3,4,5}))</f>
        <v>10</v>
      </c>
      <c r="B36">
        <f>VLOOKUP(MID(D36,LOOKUP(2,1/ISNUMBER(-MID(D36,1,{1,2,3,4,5})),{1,2,3,4,5})+1,9),'Hue codes'!$A$1:$B$10,2,FALSE)</f>
        <v>50</v>
      </c>
      <c r="C36">
        <f t="shared" si="1"/>
        <v>60</v>
      </c>
      <c r="D36" s="162" t="s">
        <v>44</v>
      </c>
      <c r="E36" s="162">
        <v>1</v>
      </c>
      <c r="F36" s="162">
        <v>2</v>
      </c>
      <c r="G36" s="164">
        <v>3.8399999999999997E-2</v>
      </c>
      <c r="H36" s="164">
        <v>0.1245</v>
      </c>
      <c r="I36" s="164">
        <v>0.14050000000000001</v>
      </c>
      <c r="J36" s="275" t="str">
        <f>HYPERLINK(SetRGB(J36,G36*255,H36*255,I36*255),"HOVER!")</f>
        <v>HOVER!</v>
      </c>
      <c r="K36">
        <f t="shared" si="0"/>
        <v>0.5</v>
      </c>
    </row>
    <row r="37" spans="1:11" x14ac:dyDescent="0.3">
      <c r="A37">
        <f>LOOKUP(9E+307,--MID(D37,1,{1,2,3,4,5}))</f>
        <v>2.5</v>
      </c>
      <c r="B37">
        <f>VLOOKUP(MID(D37,LOOKUP(2,1/ISNUMBER(-MID(D37,1,{1,2,3,4,5})),{1,2,3,4,5})+1,9),'Hue codes'!$A$1:$B$10,2,FALSE)</f>
        <v>60</v>
      </c>
      <c r="C37">
        <f t="shared" si="1"/>
        <v>62.5</v>
      </c>
      <c r="D37" s="162" t="s">
        <v>45</v>
      </c>
      <c r="E37" s="162">
        <v>1</v>
      </c>
      <c r="F37" s="162">
        <v>2</v>
      </c>
      <c r="G37" s="164">
        <v>3.7699999999999997E-2</v>
      </c>
      <c r="H37" s="164">
        <v>0.12379999999999999</v>
      </c>
      <c r="I37" s="164">
        <v>0.14649999999999999</v>
      </c>
      <c r="J37" s="274" t="str">
        <f>HYPERLINK(SetRGB(J37,G37*255,H37*255,I37*255),"HOVER!")</f>
        <v>HOVER!</v>
      </c>
      <c r="K37">
        <f t="shared" si="0"/>
        <v>0.5</v>
      </c>
    </row>
    <row r="38" spans="1:11" x14ac:dyDescent="0.3">
      <c r="A38">
        <f>LOOKUP(9E+307,--MID(D38,1,{1,2,3,4,5}))</f>
        <v>5</v>
      </c>
      <c r="B38">
        <f>VLOOKUP(MID(D38,LOOKUP(2,1/ISNUMBER(-MID(D38,1,{1,2,3,4,5})),{1,2,3,4,5})+1,9),'Hue codes'!$A$1:$B$10,2,FALSE)</f>
        <v>60</v>
      </c>
      <c r="C38">
        <f t="shared" si="1"/>
        <v>65</v>
      </c>
      <c r="D38" s="162" t="s">
        <v>46</v>
      </c>
      <c r="E38" s="162">
        <v>1</v>
      </c>
      <c r="F38" s="162">
        <v>2</v>
      </c>
      <c r="G38" s="164">
        <v>3.9100000000000003E-2</v>
      </c>
      <c r="H38" s="164">
        <v>0.12280000000000001</v>
      </c>
      <c r="I38" s="164">
        <v>0.1527</v>
      </c>
      <c r="J38" s="273" t="str">
        <f>HYPERLINK(SetRGB(J38,G38*255,H38*255,I38*255),"HOVER!")</f>
        <v>HOVER!</v>
      </c>
      <c r="K38">
        <f t="shared" si="0"/>
        <v>0.5</v>
      </c>
    </row>
    <row r="39" spans="1:11" x14ac:dyDescent="0.3">
      <c r="A39">
        <f>LOOKUP(9E+307,--MID(D39,1,{1,2,3,4,5}))</f>
        <v>7.5</v>
      </c>
      <c r="B39">
        <f>VLOOKUP(MID(D39,LOOKUP(2,1/ISNUMBER(-MID(D39,1,{1,2,3,4,5})),{1,2,3,4,5})+1,9),'Hue codes'!$A$1:$B$10,2,FALSE)</f>
        <v>60</v>
      </c>
      <c r="C39">
        <f t="shared" si="1"/>
        <v>67.5</v>
      </c>
      <c r="D39" s="162" t="s">
        <v>47</v>
      </c>
      <c r="E39" s="162">
        <v>1</v>
      </c>
      <c r="F39" s="162">
        <v>2</v>
      </c>
      <c r="G39" s="164">
        <v>4.6800000000000001E-2</v>
      </c>
      <c r="H39" s="164">
        <v>0.121</v>
      </c>
      <c r="I39" s="164">
        <v>0.15820000000000001</v>
      </c>
      <c r="J39" s="272" t="str">
        <f>HYPERLINK(SetRGB(J39,G39*255,H39*255,I39*255),"HOVER!")</f>
        <v>HOVER!</v>
      </c>
      <c r="K39">
        <f t="shared" si="0"/>
        <v>0.5</v>
      </c>
    </row>
    <row r="40" spans="1:11" x14ac:dyDescent="0.3">
      <c r="A40">
        <f>LOOKUP(9E+307,--MID(D40,1,{1,2,3,4,5}))</f>
        <v>10</v>
      </c>
      <c r="B40">
        <f>VLOOKUP(MID(D40,LOOKUP(2,1/ISNUMBER(-MID(D40,1,{1,2,3,4,5})),{1,2,3,4,5})+1,9),'Hue codes'!$A$1:$B$10,2,FALSE)</f>
        <v>60</v>
      </c>
      <c r="C40">
        <f t="shared" si="1"/>
        <v>70</v>
      </c>
      <c r="D40" s="162" t="s">
        <v>48</v>
      </c>
      <c r="E40" s="162">
        <v>1</v>
      </c>
      <c r="F40" s="162">
        <v>2</v>
      </c>
      <c r="G40" s="164">
        <v>5.6899999999999999E-2</v>
      </c>
      <c r="H40" s="164">
        <v>0.1188</v>
      </c>
      <c r="I40" s="164">
        <v>0.16300000000000001</v>
      </c>
      <c r="J40" s="271" t="str">
        <f>HYPERLINK(SetRGB(J40,G40*255,H40*255,I40*255),"HOVER!")</f>
        <v>HOVER!</v>
      </c>
      <c r="K40">
        <f t="shared" si="0"/>
        <v>0.5</v>
      </c>
    </row>
    <row r="41" spans="1:11" x14ac:dyDescent="0.3">
      <c r="A41">
        <f>LOOKUP(9E+307,--MID(D41,1,{1,2,3,4,5}))</f>
        <v>2.5</v>
      </c>
      <c r="B41">
        <f>VLOOKUP(MID(D41,LOOKUP(2,1/ISNUMBER(-MID(D41,1,{1,2,3,4,5})),{1,2,3,4,5})+1,9),'Hue codes'!$A$1:$B$10,2,FALSE)</f>
        <v>70</v>
      </c>
      <c r="C41">
        <f t="shared" si="1"/>
        <v>72.5</v>
      </c>
      <c r="D41" s="162" t="s">
        <v>49</v>
      </c>
      <c r="E41" s="162">
        <v>1</v>
      </c>
      <c r="F41" s="162">
        <v>2</v>
      </c>
      <c r="G41" s="164">
        <v>7.0699999999999999E-2</v>
      </c>
      <c r="H41" s="164">
        <v>0.1158</v>
      </c>
      <c r="I41" s="164">
        <v>0.16639999999999999</v>
      </c>
      <c r="J41" s="279" t="str">
        <f>HYPERLINK(SetRGB(J41,G41*255,H41*255,I41*255),"HOVER!")</f>
        <v>HOVER!</v>
      </c>
      <c r="K41">
        <f t="shared" si="0"/>
        <v>0.5</v>
      </c>
    </row>
    <row r="42" spans="1:11" x14ac:dyDescent="0.3">
      <c r="A42">
        <f>LOOKUP(9E+307,--MID(D42,1,{1,2,3,4,5}))</f>
        <v>5</v>
      </c>
      <c r="B42">
        <f>VLOOKUP(MID(D42,LOOKUP(2,1/ISNUMBER(-MID(D42,1,{1,2,3,4,5})),{1,2,3,4,5})+1,9),'Hue codes'!$A$1:$B$10,2,FALSE)</f>
        <v>70</v>
      </c>
      <c r="C42">
        <f t="shared" si="1"/>
        <v>75</v>
      </c>
      <c r="D42" s="162" t="s">
        <v>50</v>
      </c>
      <c r="E42" s="162">
        <v>1</v>
      </c>
      <c r="F42" s="162">
        <v>2</v>
      </c>
      <c r="G42" s="164">
        <v>8.4400000000000003E-2</v>
      </c>
      <c r="H42" s="164">
        <v>0.11260000000000001</v>
      </c>
      <c r="I42" s="164">
        <v>0.16839999999999999</v>
      </c>
      <c r="J42" s="280" t="str">
        <f>HYPERLINK(SetRGB(J42,G42*255,H42*255,I42*255),"HOVER!")</f>
        <v>HOVER!</v>
      </c>
      <c r="K42">
        <f t="shared" si="0"/>
        <v>0.5</v>
      </c>
    </row>
    <row r="43" spans="1:11" x14ac:dyDescent="0.3">
      <c r="A43">
        <f>LOOKUP(9E+307,--MID(D43,1,{1,2,3,4,5}))</f>
        <v>5</v>
      </c>
      <c r="B43">
        <f>VLOOKUP(MID(D43,LOOKUP(2,1/ISNUMBER(-MID(D43,1,{1,2,3,4,5})),{1,2,3,4,5})+1,9),'Hue codes'!$A$1:$B$10,2,FALSE)</f>
        <v>70</v>
      </c>
      <c r="C43">
        <f t="shared" si="1"/>
        <v>75</v>
      </c>
      <c r="D43" s="162" t="s">
        <v>50</v>
      </c>
      <c r="E43" s="162">
        <v>1</v>
      </c>
      <c r="F43" s="162">
        <v>4</v>
      </c>
      <c r="G43" s="164">
        <v>4.3700000000000003E-2</v>
      </c>
      <c r="H43" s="164">
        <v>0.112</v>
      </c>
      <c r="I43" s="164">
        <v>0.2117</v>
      </c>
      <c r="J43" s="281" t="str">
        <f>HYPERLINK(SetRGB(J43,G43*255,H43*255,I43*255),"HOVER!")</f>
        <v>HOVER!</v>
      </c>
      <c r="K43">
        <f t="shared" si="0"/>
        <v>0.25</v>
      </c>
    </row>
    <row r="44" spans="1:11" x14ac:dyDescent="0.3">
      <c r="A44">
        <f>LOOKUP(9E+307,--MID(D44,1,{1,2,3,4,5}))</f>
        <v>7.5</v>
      </c>
      <c r="B44">
        <f>VLOOKUP(MID(D44,LOOKUP(2,1/ISNUMBER(-MID(D44,1,{1,2,3,4,5})),{1,2,3,4,5})+1,9),'Hue codes'!$A$1:$B$10,2,FALSE)</f>
        <v>70</v>
      </c>
      <c r="C44">
        <f t="shared" si="1"/>
        <v>77.5</v>
      </c>
      <c r="D44" s="162" t="s">
        <v>51</v>
      </c>
      <c r="E44" s="162">
        <v>1</v>
      </c>
      <c r="F44" s="162">
        <v>2</v>
      </c>
      <c r="G44" s="164">
        <v>0.104</v>
      </c>
      <c r="H44" s="164">
        <v>0.1072</v>
      </c>
      <c r="I44" s="164">
        <v>0.1699</v>
      </c>
      <c r="J44" s="135" t="str">
        <f>HYPERLINK(SetRGB(J44,G44*255,H44*255,I44*255),"HOVER!")</f>
        <v>HOVER!</v>
      </c>
      <c r="K44">
        <f t="shared" si="0"/>
        <v>0.5</v>
      </c>
    </row>
    <row r="45" spans="1:11" x14ac:dyDescent="0.3">
      <c r="A45">
        <f>LOOKUP(9E+307,--MID(D45,1,{1,2,3,4,5}))</f>
        <v>7.5</v>
      </c>
      <c r="B45">
        <f>VLOOKUP(MID(D45,LOOKUP(2,1/ISNUMBER(-MID(D45,1,{1,2,3,4,5})),{1,2,3,4,5})+1,9),'Hue codes'!$A$1:$B$10,2,FALSE)</f>
        <v>70</v>
      </c>
      <c r="C45">
        <f t="shared" si="1"/>
        <v>77.5</v>
      </c>
      <c r="D45" s="162" t="s">
        <v>51</v>
      </c>
      <c r="E45" s="162">
        <v>1</v>
      </c>
      <c r="F45" s="162">
        <v>4</v>
      </c>
      <c r="G45" s="164">
        <v>9.5200000000000007E-2</v>
      </c>
      <c r="H45" s="164">
        <v>0.1013</v>
      </c>
      <c r="I45" s="164">
        <v>0.21160000000000001</v>
      </c>
      <c r="J45" s="133" t="str">
        <f>HYPERLINK(SetRGB(J45,G45*255,H45*255,I45*255),"HOVER!")</f>
        <v>HOVER!</v>
      </c>
      <c r="K45">
        <f t="shared" si="0"/>
        <v>0.25</v>
      </c>
    </row>
    <row r="46" spans="1:11" x14ac:dyDescent="0.3">
      <c r="A46">
        <f>LOOKUP(9E+307,--MID(D46,1,{1,2,3,4,5}))</f>
        <v>7.5</v>
      </c>
      <c r="B46">
        <f>VLOOKUP(MID(D46,LOOKUP(2,1/ISNUMBER(-MID(D46,1,{1,2,3,4,5})),{1,2,3,4,5})+1,9),'Hue codes'!$A$1:$B$10,2,FALSE)</f>
        <v>70</v>
      </c>
      <c r="C46">
        <f t="shared" si="1"/>
        <v>77.5</v>
      </c>
      <c r="D46" s="162" t="s">
        <v>51</v>
      </c>
      <c r="E46" s="162">
        <v>1</v>
      </c>
      <c r="F46" s="162">
        <v>6</v>
      </c>
      <c r="G46" s="164">
        <v>8.8099999999999998E-2</v>
      </c>
      <c r="H46" s="164">
        <v>9.1499999999999998E-2</v>
      </c>
      <c r="I46" s="164">
        <v>0.25519999999999998</v>
      </c>
      <c r="J46" s="136" t="str">
        <f>HYPERLINK(SetRGB(J46,G46*255,H46*255,I46*255),"HOVER!")</f>
        <v>HOVER!</v>
      </c>
      <c r="K46">
        <f t="shared" si="0"/>
        <v>0.16666666666666666</v>
      </c>
    </row>
    <row r="47" spans="1:11" x14ac:dyDescent="0.3">
      <c r="A47">
        <f>LOOKUP(9E+307,--MID(D47,1,{1,2,3,4,5}))</f>
        <v>7.5</v>
      </c>
      <c r="B47">
        <f>VLOOKUP(MID(D47,LOOKUP(2,1/ISNUMBER(-MID(D47,1,{1,2,3,4,5})),{1,2,3,4,5})+1,9),'Hue codes'!$A$1:$B$10,2,FALSE)</f>
        <v>70</v>
      </c>
      <c r="C47">
        <f t="shared" si="1"/>
        <v>77.5</v>
      </c>
      <c r="D47" s="162" t="s">
        <v>51</v>
      </c>
      <c r="E47" s="162">
        <v>1</v>
      </c>
      <c r="F47" s="162">
        <v>8</v>
      </c>
      <c r="G47" s="164">
        <v>0.09</v>
      </c>
      <c r="H47" s="164">
        <v>7.6200000000000004E-2</v>
      </c>
      <c r="I47" s="164">
        <v>0.29509999999999997</v>
      </c>
      <c r="J47" s="137" t="str">
        <f>HYPERLINK(SetRGB(J47,G47*255,H47*255,I47*255),"HOVER!")</f>
        <v>HOVER!</v>
      </c>
      <c r="K47">
        <f t="shared" si="0"/>
        <v>0.125</v>
      </c>
    </row>
    <row r="48" spans="1:11" x14ac:dyDescent="0.3">
      <c r="A48">
        <f>LOOKUP(9E+307,--MID(D48,1,{1,2,3,4,5}))</f>
        <v>7.5</v>
      </c>
      <c r="B48">
        <f>VLOOKUP(MID(D48,LOOKUP(2,1/ISNUMBER(-MID(D48,1,{1,2,3,4,5})),{1,2,3,4,5})+1,9),'Hue codes'!$A$1:$B$10,2,FALSE)</f>
        <v>70</v>
      </c>
      <c r="C48">
        <f t="shared" si="1"/>
        <v>77.5</v>
      </c>
      <c r="D48" s="162" t="s">
        <v>51</v>
      </c>
      <c r="E48" s="162">
        <v>1</v>
      </c>
      <c r="F48" s="162">
        <v>10</v>
      </c>
      <c r="G48" s="164">
        <v>9.8000000000000004E-2</v>
      </c>
      <c r="H48" s="164">
        <v>5.4899999999999997E-2</v>
      </c>
      <c r="I48" s="164">
        <v>0.32950000000000002</v>
      </c>
      <c r="J48" s="138" t="str">
        <f>HYPERLINK(SetRGB(J48,G48*255,H48*255,I48*255),"HOVER!")</f>
        <v>HOVER!</v>
      </c>
      <c r="K48">
        <f t="shared" si="0"/>
        <v>0.1</v>
      </c>
    </row>
    <row r="49" spans="1:11" x14ac:dyDescent="0.3">
      <c r="A49">
        <f>LOOKUP(9E+307,--MID(D49,1,{1,2,3,4,5}))</f>
        <v>7.5</v>
      </c>
      <c r="B49">
        <f>VLOOKUP(MID(D49,LOOKUP(2,1/ISNUMBER(-MID(D49,1,{1,2,3,4,5})),{1,2,3,4,5})+1,9),'Hue codes'!$A$1:$B$10,2,FALSE)</f>
        <v>70</v>
      </c>
      <c r="C49">
        <f t="shared" si="1"/>
        <v>77.5</v>
      </c>
      <c r="D49" s="162" t="s">
        <v>51</v>
      </c>
      <c r="E49" s="162">
        <v>1</v>
      </c>
      <c r="F49" s="162">
        <v>12</v>
      </c>
      <c r="G49" s="164">
        <v>0.10970000000000001</v>
      </c>
      <c r="H49" s="164">
        <v>1.9E-2</v>
      </c>
      <c r="I49" s="164">
        <v>0.3624</v>
      </c>
      <c r="J49" s="180" t="str">
        <f>HYPERLINK(SetRGB(J49,G49*255,H49*255,I49*255),"HOVER!")</f>
        <v>HOVER!</v>
      </c>
      <c r="K49">
        <f t="shared" si="0"/>
        <v>8.3333333333333329E-2</v>
      </c>
    </row>
    <row r="50" spans="1:11" x14ac:dyDescent="0.3">
      <c r="A50">
        <f>LOOKUP(9E+307,--MID(D50,1,{1,2,3,4,5}))</f>
        <v>10</v>
      </c>
      <c r="B50">
        <f>VLOOKUP(MID(D50,LOOKUP(2,1/ISNUMBER(-MID(D50,1,{1,2,3,4,5})),{1,2,3,4,5})+1,9),'Hue codes'!$A$1:$B$10,2,FALSE)</f>
        <v>70</v>
      </c>
      <c r="C50">
        <f t="shared" si="1"/>
        <v>80</v>
      </c>
      <c r="D50" s="162" t="s">
        <v>52</v>
      </c>
      <c r="E50" s="162">
        <v>1</v>
      </c>
      <c r="F50" s="162">
        <v>2</v>
      </c>
      <c r="G50" s="164">
        <v>0.1208</v>
      </c>
      <c r="H50" s="164">
        <v>0.1018</v>
      </c>
      <c r="I50" s="164">
        <v>0.1694</v>
      </c>
      <c r="J50" s="241" t="str">
        <f>HYPERLINK(SetRGB(J50,G50*255,H50*255,I50*255),"HOVER!")</f>
        <v>HOVER!</v>
      </c>
      <c r="K50">
        <f t="shared" si="0"/>
        <v>0.5</v>
      </c>
    </row>
    <row r="51" spans="1:11" x14ac:dyDescent="0.3">
      <c r="A51">
        <f>LOOKUP(9E+307,--MID(D51,1,{1,2,3,4,5}))</f>
        <v>10</v>
      </c>
      <c r="B51">
        <f>VLOOKUP(MID(D51,LOOKUP(2,1/ISNUMBER(-MID(D51,1,{1,2,3,4,5})),{1,2,3,4,5})+1,9),'Hue codes'!$A$1:$B$10,2,FALSE)</f>
        <v>70</v>
      </c>
      <c r="C51">
        <f t="shared" si="1"/>
        <v>80</v>
      </c>
      <c r="D51" s="162" t="s">
        <v>52</v>
      </c>
      <c r="E51" s="162">
        <v>1</v>
      </c>
      <c r="F51" s="162">
        <v>4</v>
      </c>
      <c r="G51" s="164">
        <v>0.1275</v>
      </c>
      <c r="H51" s="164">
        <v>9.1300000000000006E-2</v>
      </c>
      <c r="I51" s="164">
        <v>0.20680000000000001</v>
      </c>
      <c r="J51" s="219" t="str">
        <f>HYPERLINK(SetRGB(J51,G51*255,H51*255,I51*255),"HOVER!")</f>
        <v>HOVER!</v>
      </c>
      <c r="K51">
        <f t="shared" si="0"/>
        <v>0.25</v>
      </c>
    </row>
    <row r="52" spans="1:11" x14ac:dyDescent="0.3">
      <c r="A52">
        <f>LOOKUP(9E+307,--MID(D52,1,{1,2,3,4,5}))</f>
        <v>10</v>
      </c>
      <c r="B52">
        <f>VLOOKUP(MID(D52,LOOKUP(2,1/ISNUMBER(-MID(D52,1,{1,2,3,4,5})),{1,2,3,4,5})+1,9),'Hue codes'!$A$1:$B$10,2,FALSE)</f>
        <v>70</v>
      </c>
      <c r="C52">
        <f t="shared" si="1"/>
        <v>80</v>
      </c>
      <c r="D52" s="162" t="s">
        <v>52</v>
      </c>
      <c r="E52" s="162">
        <v>1</v>
      </c>
      <c r="F52" s="162">
        <v>6</v>
      </c>
      <c r="G52" s="164">
        <v>0.1358</v>
      </c>
      <c r="H52" s="164">
        <v>7.6499999999999999E-2</v>
      </c>
      <c r="I52" s="164">
        <v>0.24429999999999999</v>
      </c>
      <c r="J52" s="263" t="str">
        <f>HYPERLINK(SetRGB(J52,G52*255,H52*255,I52*255),"HOVER!")</f>
        <v>HOVER!</v>
      </c>
      <c r="K52">
        <f t="shared" si="0"/>
        <v>0.16666666666666666</v>
      </c>
    </row>
    <row r="53" spans="1:11" x14ac:dyDescent="0.3">
      <c r="A53">
        <f>LOOKUP(9E+307,--MID(D53,1,{1,2,3,4,5}))</f>
        <v>10</v>
      </c>
      <c r="B53">
        <f>VLOOKUP(MID(D53,LOOKUP(2,1/ISNUMBER(-MID(D53,1,{1,2,3,4,5})),{1,2,3,4,5})+1,9),'Hue codes'!$A$1:$B$10,2,FALSE)</f>
        <v>70</v>
      </c>
      <c r="C53">
        <f t="shared" si="1"/>
        <v>80</v>
      </c>
      <c r="D53" s="162" t="s">
        <v>52</v>
      </c>
      <c r="E53" s="162">
        <v>1</v>
      </c>
      <c r="F53" s="162">
        <v>8</v>
      </c>
      <c r="G53" s="164">
        <v>0.14599999999999999</v>
      </c>
      <c r="H53" s="164">
        <v>5.74E-2</v>
      </c>
      <c r="I53" s="164">
        <v>0.27600000000000002</v>
      </c>
      <c r="J53" s="234" t="str">
        <f>HYPERLINK(SetRGB(J53,G53*255,H53*255,I53*255),"HOVER!")</f>
        <v>HOVER!</v>
      </c>
      <c r="K53">
        <f t="shared" si="0"/>
        <v>0.125</v>
      </c>
    </row>
    <row r="54" spans="1:11" x14ac:dyDescent="0.3">
      <c r="A54">
        <f>LOOKUP(9E+307,--MID(D54,1,{1,2,3,4,5}))</f>
        <v>10</v>
      </c>
      <c r="B54">
        <f>VLOOKUP(MID(D54,LOOKUP(2,1/ISNUMBER(-MID(D54,1,{1,2,3,4,5})),{1,2,3,4,5})+1,9),'Hue codes'!$A$1:$B$10,2,FALSE)</f>
        <v>70</v>
      </c>
      <c r="C54">
        <f t="shared" si="1"/>
        <v>80</v>
      </c>
      <c r="D54" s="162" t="s">
        <v>52</v>
      </c>
      <c r="E54" s="162">
        <v>1</v>
      </c>
      <c r="F54" s="162">
        <v>10</v>
      </c>
      <c r="G54" s="164">
        <v>0.15939999999999999</v>
      </c>
      <c r="H54" s="164">
        <v>2.3900000000000001E-2</v>
      </c>
      <c r="I54" s="164">
        <v>0.30830000000000002</v>
      </c>
      <c r="J54" s="24" t="str">
        <f>HYPERLINK(SetRGB(J54,G54*255,H54*255,I54*255),"HOVER!")</f>
        <v>HOVER!</v>
      </c>
      <c r="K54">
        <f t="shared" si="0"/>
        <v>0.1</v>
      </c>
    </row>
    <row r="55" spans="1:11" x14ac:dyDescent="0.3">
      <c r="A55">
        <f>LOOKUP(9E+307,--MID(D55,1,{1,2,3,4,5}))</f>
        <v>2.5</v>
      </c>
      <c r="B55">
        <f>VLOOKUP(MID(D55,LOOKUP(2,1/ISNUMBER(-MID(D55,1,{1,2,3,4,5})),{1,2,3,4,5})+1,9),'Hue codes'!$A$1:$B$10,2,FALSE)</f>
        <v>80</v>
      </c>
      <c r="C55">
        <f t="shared" si="1"/>
        <v>82.5</v>
      </c>
      <c r="D55" s="162" t="s">
        <v>53</v>
      </c>
      <c r="E55" s="162">
        <v>1</v>
      </c>
      <c r="F55" s="162">
        <v>2</v>
      </c>
      <c r="G55" s="164">
        <v>0.1331</v>
      </c>
      <c r="H55" s="164">
        <v>9.7799999999999998E-2</v>
      </c>
      <c r="I55" s="164">
        <v>0.16589999999999999</v>
      </c>
      <c r="J55" s="25" t="str">
        <f>HYPERLINK(SetRGB(J55,G55*255,H55*255,I55*255),"HOVER!")</f>
        <v>HOVER!</v>
      </c>
      <c r="K55">
        <f t="shared" ref="K55:K118" si="2">E55/F55</f>
        <v>0.5</v>
      </c>
    </row>
    <row r="56" spans="1:11" x14ac:dyDescent="0.3">
      <c r="A56">
        <f>LOOKUP(9E+307,--MID(D56,1,{1,2,3,4,5}))</f>
        <v>2.5</v>
      </c>
      <c r="B56">
        <f>VLOOKUP(MID(D56,LOOKUP(2,1/ISNUMBER(-MID(D56,1,{1,2,3,4,5})),{1,2,3,4,5})+1,9),'Hue codes'!$A$1:$B$10,2,FALSE)</f>
        <v>80</v>
      </c>
      <c r="C56">
        <f t="shared" si="1"/>
        <v>82.5</v>
      </c>
      <c r="D56" s="162" t="s">
        <v>53</v>
      </c>
      <c r="E56" s="162">
        <v>1</v>
      </c>
      <c r="F56" s="162">
        <v>4</v>
      </c>
      <c r="G56" s="164">
        <v>0.14810000000000001</v>
      </c>
      <c r="H56" s="164">
        <v>8.3799999999999999E-2</v>
      </c>
      <c r="I56" s="164">
        <v>0.19900000000000001</v>
      </c>
      <c r="J56" s="26" t="str">
        <f>HYPERLINK(SetRGB(J56,G56*255,H56*255,I56*255),"HOVER!")</f>
        <v>HOVER!</v>
      </c>
      <c r="K56">
        <f t="shared" si="2"/>
        <v>0.25</v>
      </c>
    </row>
    <row r="57" spans="1:11" x14ac:dyDescent="0.3">
      <c r="A57">
        <f>LOOKUP(9E+307,--MID(D57,1,{1,2,3,4,5}))</f>
        <v>2.5</v>
      </c>
      <c r="B57">
        <f>VLOOKUP(MID(D57,LOOKUP(2,1/ISNUMBER(-MID(D57,1,{1,2,3,4,5})),{1,2,3,4,5})+1,9),'Hue codes'!$A$1:$B$10,2,FALSE)</f>
        <v>80</v>
      </c>
      <c r="C57">
        <f t="shared" si="1"/>
        <v>82.5</v>
      </c>
      <c r="D57" s="162" t="s">
        <v>53</v>
      </c>
      <c r="E57" s="162">
        <v>1</v>
      </c>
      <c r="F57" s="162">
        <v>6</v>
      </c>
      <c r="G57" s="164">
        <v>0.1638</v>
      </c>
      <c r="H57" s="164">
        <v>6.5199999999999994E-2</v>
      </c>
      <c r="I57" s="164">
        <v>0.22939999999999999</v>
      </c>
      <c r="J57" s="1" t="str">
        <f>HYPERLINK(SetRGB(J57,G57*255,H57*255,I57*255),"HOVER!")</f>
        <v>HOVER!</v>
      </c>
      <c r="K57">
        <f t="shared" si="2"/>
        <v>0.16666666666666666</v>
      </c>
    </row>
    <row r="58" spans="1:11" x14ac:dyDescent="0.3">
      <c r="A58">
        <f>LOOKUP(9E+307,--MID(D58,1,{1,2,3,4,5}))</f>
        <v>2.5</v>
      </c>
      <c r="B58">
        <f>VLOOKUP(MID(D58,LOOKUP(2,1/ISNUMBER(-MID(D58,1,{1,2,3,4,5})),{1,2,3,4,5})+1,9),'Hue codes'!$A$1:$B$10,2,FALSE)</f>
        <v>80</v>
      </c>
      <c r="C58">
        <f t="shared" si="1"/>
        <v>82.5</v>
      </c>
      <c r="D58" s="162" t="s">
        <v>53</v>
      </c>
      <c r="E58" s="162">
        <v>1</v>
      </c>
      <c r="F58" s="162">
        <v>8</v>
      </c>
      <c r="G58" s="164">
        <v>0.18099999999999999</v>
      </c>
      <c r="H58" s="164">
        <v>3.5499999999999997E-2</v>
      </c>
      <c r="I58" s="164">
        <v>0.25990000000000002</v>
      </c>
      <c r="J58" s="1" t="str">
        <f>HYPERLINK(SetRGB(J58,G58*255,H58*255,I58*255),"HOVER!")</f>
        <v>HOVER!</v>
      </c>
      <c r="K58">
        <f t="shared" si="2"/>
        <v>0.125</v>
      </c>
    </row>
    <row r="59" spans="1:11" x14ac:dyDescent="0.3">
      <c r="A59">
        <f>LOOKUP(9E+307,--MID(D59,1,{1,2,3,4,5}))</f>
        <v>5</v>
      </c>
      <c r="B59">
        <f>VLOOKUP(MID(D59,LOOKUP(2,1/ISNUMBER(-MID(D59,1,{1,2,3,4,5})),{1,2,3,4,5})+1,9),'Hue codes'!$A$1:$B$10,2,FALSE)</f>
        <v>80</v>
      </c>
      <c r="C59">
        <f t="shared" si="1"/>
        <v>85</v>
      </c>
      <c r="D59" s="162" t="s">
        <v>54</v>
      </c>
      <c r="E59" s="162">
        <v>1</v>
      </c>
      <c r="F59" s="162">
        <v>2</v>
      </c>
      <c r="G59" s="164">
        <v>0.1429</v>
      </c>
      <c r="H59" s="164">
        <v>9.4600000000000004E-2</v>
      </c>
      <c r="I59" s="164">
        <v>0.1613</v>
      </c>
      <c r="J59" s="1" t="str">
        <f>HYPERLINK(SetRGB(J59,G59*255,H59*255,I59*255),"HOVER!")</f>
        <v>HOVER!</v>
      </c>
      <c r="K59">
        <f t="shared" si="2"/>
        <v>0.5</v>
      </c>
    </row>
    <row r="60" spans="1:11" x14ac:dyDescent="0.3">
      <c r="A60">
        <f>LOOKUP(9E+307,--MID(D60,1,{1,2,3,4,5}))</f>
        <v>5</v>
      </c>
      <c r="B60">
        <f>VLOOKUP(MID(D60,LOOKUP(2,1/ISNUMBER(-MID(D60,1,{1,2,3,4,5})),{1,2,3,4,5})+1,9),'Hue codes'!$A$1:$B$10,2,FALSE)</f>
        <v>80</v>
      </c>
      <c r="C60">
        <f t="shared" si="1"/>
        <v>85</v>
      </c>
      <c r="D60" s="162" t="s">
        <v>54</v>
      </c>
      <c r="E60" s="162">
        <v>1</v>
      </c>
      <c r="F60" s="162">
        <v>4</v>
      </c>
      <c r="G60" s="164">
        <v>0.16270000000000001</v>
      </c>
      <c r="H60" s="164">
        <v>7.7700000000000005E-2</v>
      </c>
      <c r="I60" s="164">
        <v>0.19120000000000001</v>
      </c>
      <c r="J60" s="1" t="str">
        <f>HYPERLINK(SetRGB(J60,G60*255,H60*255,I60*255),"HOVER!")</f>
        <v>HOVER!</v>
      </c>
      <c r="K60">
        <f t="shared" si="2"/>
        <v>0.25</v>
      </c>
    </row>
    <row r="61" spans="1:11" x14ac:dyDescent="0.3">
      <c r="A61">
        <f>LOOKUP(9E+307,--MID(D61,1,{1,2,3,4,5}))</f>
        <v>5</v>
      </c>
      <c r="B61">
        <f>VLOOKUP(MID(D61,LOOKUP(2,1/ISNUMBER(-MID(D61,1,{1,2,3,4,5})),{1,2,3,4,5})+1,9),'Hue codes'!$A$1:$B$10,2,FALSE)</f>
        <v>80</v>
      </c>
      <c r="C61">
        <f t="shared" si="1"/>
        <v>85</v>
      </c>
      <c r="D61" s="162" t="s">
        <v>54</v>
      </c>
      <c r="E61" s="162">
        <v>1</v>
      </c>
      <c r="F61" s="162">
        <v>6</v>
      </c>
      <c r="G61" s="164">
        <v>0.18140000000000001</v>
      </c>
      <c r="H61" s="164">
        <v>5.5599999999999997E-2</v>
      </c>
      <c r="I61" s="164">
        <v>0.21820000000000001</v>
      </c>
      <c r="J61" s="1" t="str">
        <f>HYPERLINK(SetRGB(J61,G61*255,H61*255,I61*255),"HOVER!")</f>
        <v>HOVER!</v>
      </c>
      <c r="K61">
        <f t="shared" si="2"/>
        <v>0.16666666666666666</v>
      </c>
    </row>
    <row r="62" spans="1:11" x14ac:dyDescent="0.3">
      <c r="A62">
        <f>LOOKUP(9E+307,--MID(D62,1,{1,2,3,4,5}))</f>
        <v>5</v>
      </c>
      <c r="B62">
        <f>VLOOKUP(MID(D62,LOOKUP(2,1/ISNUMBER(-MID(D62,1,{1,2,3,4,5})),{1,2,3,4,5})+1,9),'Hue codes'!$A$1:$B$10,2,FALSE)</f>
        <v>80</v>
      </c>
      <c r="C62">
        <f t="shared" si="1"/>
        <v>85</v>
      </c>
      <c r="D62" s="162" t="s">
        <v>54</v>
      </c>
      <c r="E62" s="162">
        <v>1</v>
      </c>
      <c r="F62" s="162">
        <v>8</v>
      </c>
      <c r="G62" s="164">
        <v>0.2011</v>
      </c>
      <c r="H62" s="164">
        <v>1.6799999999999999E-2</v>
      </c>
      <c r="I62" s="164">
        <v>0.246</v>
      </c>
      <c r="J62" s="1" t="str">
        <f>HYPERLINK(SetRGB(J62,G62*255,H62*255,I62*255),"HOVER!")</f>
        <v>HOVER!</v>
      </c>
      <c r="K62">
        <f t="shared" si="2"/>
        <v>0.125</v>
      </c>
    </row>
    <row r="63" spans="1:11" x14ac:dyDescent="0.3">
      <c r="A63">
        <f>LOOKUP(9E+307,--MID(D63,1,{1,2,3,4,5}))</f>
        <v>7.5</v>
      </c>
      <c r="B63">
        <f>VLOOKUP(MID(D63,LOOKUP(2,1/ISNUMBER(-MID(D63,1,{1,2,3,4,5})),{1,2,3,4,5})+1,9),'Hue codes'!$A$1:$B$10,2,FALSE)</f>
        <v>80</v>
      </c>
      <c r="C63">
        <f t="shared" si="1"/>
        <v>87.5</v>
      </c>
      <c r="D63" s="162" t="s">
        <v>55</v>
      </c>
      <c r="E63" s="162">
        <v>1</v>
      </c>
      <c r="F63" s="162">
        <v>2</v>
      </c>
      <c r="G63" s="164">
        <v>0.14910000000000001</v>
      </c>
      <c r="H63" s="164">
        <v>9.2399999999999996E-2</v>
      </c>
      <c r="I63" s="164">
        <v>0.1575</v>
      </c>
      <c r="J63" s="103" t="str">
        <f>HYPERLINK(SetRGB(J63,G63*255,H63*255,I63*255),"HOVER!")</f>
        <v>HOVER!</v>
      </c>
      <c r="K63">
        <f t="shared" si="2"/>
        <v>0.5</v>
      </c>
    </row>
    <row r="64" spans="1:11" x14ac:dyDescent="0.3">
      <c r="A64">
        <f>LOOKUP(9E+307,--MID(D64,1,{1,2,3,4,5}))</f>
        <v>7.5</v>
      </c>
      <c r="B64">
        <f>VLOOKUP(MID(D64,LOOKUP(2,1/ISNUMBER(-MID(D64,1,{1,2,3,4,5})),{1,2,3,4,5})+1,9),'Hue codes'!$A$1:$B$10,2,FALSE)</f>
        <v>80</v>
      </c>
      <c r="C64">
        <f t="shared" si="1"/>
        <v>87.5</v>
      </c>
      <c r="D64" s="162" t="s">
        <v>55</v>
      </c>
      <c r="E64" s="162">
        <v>1</v>
      </c>
      <c r="F64" s="162">
        <v>4</v>
      </c>
      <c r="G64" s="164">
        <v>0.1716</v>
      </c>
      <c r="H64" s="164">
        <v>7.3700000000000002E-2</v>
      </c>
      <c r="I64" s="164">
        <v>0.18490000000000001</v>
      </c>
      <c r="J64" s="104" t="str">
        <f>HYPERLINK(SetRGB(J64,G64*255,H64*255,I64*255),"HOVER!")</f>
        <v>HOVER!</v>
      </c>
      <c r="K64">
        <f t="shared" si="2"/>
        <v>0.25</v>
      </c>
    </row>
    <row r="65" spans="1:11" x14ac:dyDescent="0.3">
      <c r="A65">
        <f>LOOKUP(9E+307,--MID(D65,1,{1,2,3,4,5}))</f>
        <v>7.5</v>
      </c>
      <c r="B65">
        <f>VLOOKUP(MID(D65,LOOKUP(2,1/ISNUMBER(-MID(D65,1,{1,2,3,4,5})),{1,2,3,4,5})+1,9),'Hue codes'!$A$1:$B$10,2,FALSE)</f>
        <v>80</v>
      </c>
      <c r="C65">
        <f t="shared" si="1"/>
        <v>87.5</v>
      </c>
      <c r="D65" s="162" t="s">
        <v>55</v>
      </c>
      <c r="E65" s="162">
        <v>1</v>
      </c>
      <c r="F65" s="162">
        <v>6</v>
      </c>
      <c r="G65" s="164">
        <v>0.1923</v>
      </c>
      <c r="H65" s="164">
        <v>4.87E-2</v>
      </c>
      <c r="I65" s="164">
        <v>0.20979999999999999</v>
      </c>
      <c r="J65" s="1" t="str">
        <f>HYPERLINK(SetRGB(J65,G65*255,H65*255,I65*255),"HOVER!")</f>
        <v>HOVER!</v>
      </c>
      <c r="K65">
        <f t="shared" si="2"/>
        <v>0.16666666666666666</v>
      </c>
    </row>
    <row r="66" spans="1:11" x14ac:dyDescent="0.3">
      <c r="A66">
        <f>LOOKUP(9E+307,--MID(D66,1,{1,2,3,4,5}))</f>
        <v>10</v>
      </c>
      <c r="B66">
        <f>VLOOKUP(MID(D66,LOOKUP(2,1/ISNUMBER(-MID(D66,1,{1,2,3,4,5})),{1,2,3,4,5})+1,9),'Hue codes'!$A$1:$B$10,2,FALSE)</f>
        <v>80</v>
      </c>
      <c r="C66">
        <f t="shared" si="1"/>
        <v>90</v>
      </c>
      <c r="D66" s="162" t="s">
        <v>56</v>
      </c>
      <c r="E66" s="162">
        <v>1</v>
      </c>
      <c r="F66" s="162">
        <v>2</v>
      </c>
      <c r="G66" s="164">
        <v>0.15479999999999999</v>
      </c>
      <c r="H66" s="164">
        <v>9.0399999999999994E-2</v>
      </c>
      <c r="I66" s="164">
        <v>0.15290000000000001</v>
      </c>
      <c r="J66" s="1" t="str">
        <f>HYPERLINK(SetRGB(J66,G66*255,H66*255,I66*255),"HOVER!")</f>
        <v>HOVER!</v>
      </c>
      <c r="K66">
        <f t="shared" si="2"/>
        <v>0.5</v>
      </c>
    </row>
    <row r="67" spans="1:11" x14ac:dyDescent="0.3">
      <c r="A67">
        <f>LOOKUP(9E+307,--MID(D67,1,{1,2,3,4,5}))</f>
        <v>10</v>
      </c>
      <c r="B67">
        <f>VLOOKUP(MID(D67,LOOKUP(2,1/ISNUMBER(-MID(D67,1,{1,2,3,4,5})),{1,2,3,4,5})+1,9),'Hue codes'!$A$1:$B$10,2,FALSE)</f>
        <v>80</v>
      </c>
      <c r="C67">
        <f t="shared" ref="C67:C130" si="3">IF(A67+B67=100,0,A67+B67)</f>
        <v>90</v>
      </c>
      <c r="D67" s="162" t="s">
        <v>56</v>
      </c>
      <c r="E67" s="162">
        <v>1</v>
      </c>
      <c r="F67" s="162">
        <v>4</v>
      </c>
      <c r="G67" s="164">
        <v>0.1792</v>
      </c>
      <c r="H67" s="164">
        <v>7.0400000000000004E-2</v>
      </c>
      <c r="I67" s="164">
        <v>0.17780000000000001</v>
      </c>
      <c r="J67" s="1" t="str">
        <f>HYPERLINK(SetRGB(J67,G67*255,H67*255,I67*255),"HOVER!")</f>
        <v>HOVER!</v>
      </c>
      <c r="K67">
        <f t="shared" si="2"/>
        <v>0.25</v>
      </c>
    </row>
    <row r="68" spans="1:11" x14ac:dyDescent="0.3">
      <c r="A68">
        <f>LOOKUP(9E+307,--MID(D68,1,{1,2,3,4,5}))</f>
        <v>10</v>
      </c>
      <c r="B68">
        <f>VLOOKUP(MID(D68,LOOKUP(2,1/ISNUMBER(-MID(D68,1,{1,2,3,4,5})),{1,2,3,4,5})+1,9),'Hue codes'!$A$1:$B$10,2,FALSE)</f>
        <v>80</v>
      </c>
      <c r="C68">
        <f t="shared" si="3"/>
        <v>90</v>
      </c>
      <c r="D68" s="162" t="s">
        <v>56</v>
      </c>
      <c r="E68" s="162">
        <v>1</v>
      </c>
      <c r="F68" s="162">
        <v>6</v>
      </c>
      <c r="G68" s="164">
        <v>0.2019</v>
      </c>
      <c r="H68" s="164">
        <v>4.1799999999999997E-2</v>
      </c>
      <c r="I68" s="164">
        <v>0.2016</v>
      </c>
      <c r="J68" s="1" t="str">
        <f>HYPERLINK(SetRGB(J68,G68*255,H68*255,I68*255),"HOVER!")</f>
        <v>HOVER!</v>
      </c>
      <c r="K68">
        <f t="shared" si="2"/>
        <v>0.16666666666666666</v>
      </c>
    </row>
    <row r="69" spans="1:11" x14ac:dyDescent="0.3">
      <c r="A69">
        <f>LOOKUP(9E+307,--MID(D69,1,{1,2,3,4,5}))</f>
        <v>2.5</v>
      </c>
      <c r="B69">
        <f>VLOOKUP(MID(D69,LOOKUP(2,1/ISNUMBER(-MID(D69,1,{1,2,3,4,5})),{1,2,3,4,5})+1,9),'Hue codes'!$A$1:$B$10,2,FALSE)</f>
        <v>90</v>
      </c>
      <c r="C69">
        <f t="shared" si="3"/>
        <v>92.5</v>
      </c>
      <c r="D69" s="162" t="s">
        <v>57</v>
      </c>
      <c r="E69" s="162">
        <v>1</v>
      </c>
      <c r="F69" s="162">
        <v>2</v>
      </c>
      <c r="G69" s="164">
        <v>0.15989999999999999</v>
      </c>
      <c r="H69" s="164">
        <v>8.8800000000000004E-2</v>
      </c>
      <c r="I69" s="164">
        <v>0.1474</v>
      </c>
      <c r="J69" s="1" t="str">
        <f>HYPERLINK(SetRGB(J69,G69*255,H69*255,I69*255),"HOVER!")</f>
        <v>HOVER!</v>
      </c>
      <c r="K69">
        <f t="shared" si="2"/>
        <v>0.5</v>
      </c>
    </row>
    <row r="70" spans="1:11" x14ac:dyDescent="0.3">
      <c r="A70">
        <f>LOOKUP(9E+307,--MID(D70,1,{1,2,3,4,5}))</f>
        <v>2.5</v>
      </c>
      <c r="B70">
        <f>VLOOKUP(MID(D70,LOOKUP(2,1/ISNUMBER(-MID(D70,1,{1,2,3,4,5})),{1,2,3,4,5})+1,9),'Hue codes'!$A$1:$B$10,2,FALSE)</f>
        <v>90</v>
      </c>
      <c r="C70">
        <f t="shared" si="3"/>
        <v>92.5</v>
      </c>
      <c r="D70" s="162" t="s">
        <v>57</v>
      </c>
      <c r="E70" s="162">
        <v>1</v>
      </c>
      <c r="F70" s="162">
        <v>4</v>
      </c>
      <c r="G70" s="164">
        <v>0.187</v>
      </c>
      <c r="H70" s="164">
        <v>6.6500000000000004E-2</v>
      </c>
      <c r="I70" s="164">
        <v>0.1701</v>
      </c>
      <c r="J70" s="1" t="str">
        <f>HYPERLINK(SetRGB(J70,G70*255,H70*255,I70*255),"HOVER!")</f>
        <v>HOVER!</v>
      </c>
      <c r="K70">
        <f t="shared" si="2"/>
        <v>0.25</v>
      </c>
    </row>
    <row r="71" spans="1:11" x14ac:dyDescent="0.3">
      <c r="A71">
        <f>LOOKUP(9E+307,--MID(D71,1,{1,2,3,4,5}))</f>
        <v>2.5</v>
      </c>
      <c r="B71">
        <f>VLOOKUP(MID(D71,LOOKUP(2,1/ISNUMBER(-MID(D71,1,{1,2,3,4,5})),{1,2,3,4,5})+1,9),'Hue codes'!$A$1:$B$10,2,FALSE)</f>
        <v>90</v>
      </c>
      <c r="C71">
        <f t="shared" si="3"/>
        <v>92.5</v>
      </c>
      <c r="D71" s="162" t="s">
        <v>57</v>
      </c>
      <c r="E71" s="162">
        <v>1</v>
      </c>
      <c r="F71" s="162">
        <v>6</v>
      </c>
      <c r="G71" s="164">
        <v>0.21099999999999999</v>
      </c>
      <c r="H71" s="164">
        <v>3.4599999999999999E-2</v>
      </c>
      <c r="I71" s="164">
        <v>0.19120000000000001</v>
      </c>
      <c r="J71" s="1" t="str">
        <f>HYPERLINK(SetRGB(J71,G71*255,H71*255,I71*255),"HOVER!")</f>
        <v>HOVER!</v>
      </c>
      <c r="K71">
        <f t="shared" si="2"/>
        <v>0.16666666666666666</v>
      </c>
    </row>
    <row r="72" spans="1:11" x14ac:dyDescent="0.3">
      <c r="A72">
        <f>LOOKUP(9E+307,--MID(D72,1,{1,2,3,4,5}))</f>
        <v>5</v>
      </c>
      <c r="B72">
        <f>VLOOKUP(MID(D72,LOOKUP(2,1/ISNUMBER(-MID(D72,1,{1,2,3,4,5})),{1,2,3,4,5})+1,9),'Hue codes'!$A$1:$B$10,2,FALSE)</f>
        <v>90</v>
      </c>
      <c r="C72">
        <f t="shared" si="3"/>
        <v>95</v>
      </c>
      <c r="D72" s="162" t="s">
        <v>58</v>
      </c>
      <c r="E72" s="162">
        <v>1</v>
      </c>
      <c r="F72" s="162">
        <v>2</v>
      </c>
      <c r="G72" s="164">
        <v>0.1651</v>
      </c>
      <c r="H72" s="164">
        <v>8.7300000000000003E-2</v>
      </c>
      <c r="I72" s="164">
        <v>0.13969999999999999</v>
      </c>
      <c r="J72" s="1" t="str">
        <f>HYPERLINK(SetRGB(J72,G72*255,H72*255,I72*255),"HOVER!")</f>
        <v>HOVER!</v>
      </c>
      <c r="K72">
        <f t="shared" si="2"/>
        <v>0.5</v>
      </c>
    </row>
    <row r="73" spans="1:11" x14ac:dyDescent="0.3">
      <c r="A73">
        <f>LOOKUP(9E+307,--MID(D73,1,{1,2,3,4,5}))</f>
        <v>5</v>
      </c>
      <c r="B73">
        <f>VLOOKUP(MID(D73,LOOKUP(2,1/ISNUMBER(-MID(D73,1,{1,2,3,4,5})),{1,2,3,4,5})+1,9),'Hue codes'!$A$1:$B$10,2,FALSE)</f>
        <v>90</v>
      </c>
      <c r="C73">
        <f t="shared" si="3"/>
        <v>95</v>
      </c>
      <c r="D73" s="162" t="s">
        <v>58</v>
      </c>
      <c r="E73" s="162">
        <v>1</v>
      </c>
      <c r="F73" s="162">
        <v>4</v>
      </c>
      <c r="G73" s="164">
        <v>0.19520000000000001</v>
      </c>
      <c r="H73" s="164">
        <v>6.2600000000000003E-2</v>
      </c>
      <c r="I73" s="164">
        <v>0.15870000000000001</v>
      </c>
      <c r="J73" s="1" t="str">
        <f>HYPERLINK(SetRGB(J73,G73*255,H73*255,I73*255),"HOVER!")</f>
        <v>HOVER!</v>
      </c>
      <c r="K73">
        <f t="shared" si="2"/>
        <v>0.25</v>
      </c>
    </row>
    <row r="74" spans="1:11" x14ac:dyDescent="0.3">
      <c r="A74">
        <f>LOOKUP(9E+307,--MID(D74,1,{1,2,3,4,5}))</f>
        <v>5</v>
      </c>
      <c r="B74">
        <f>VLOOKUP(MID(D74,LOOKUP(2,1/ISNUMBER(-MID(D74,1,{1,2,3,4,5})),{1,2,3,4,5})+1,9),'Hue codes'!$A$1:$B$10,2,FALSE)</f>
        <v>90</v>
      </c>
      <c r="C74">
        <f t="shared" si="3"/>
        <v>95</v>
      </c>
      <c r="D74" s="162" t="s">
        <v>58</v>
      </c>
      <c r="E74" s="162">
        <v>1</v>
      </c>
      <c r="F74" s="162">
        <v>6</v>
      </c>
      <c r="G74" s="164">
        <v>0.22120000000000001</v>
      </c>
      <c r="H74" s="164">
        <v>2.58E-2</v>
      </c>
      <c r="I74" s="164">
        <v>0.1769</v>
      </c>
      <c r="J74" s="1" t="str">
        <f>HYPERLINK(SetRGB(J74,G74*255,H74*255,I74*255),"HOVER!")</f>
        <v>HOVER!</v>
      </c>
      <c r="K74">
        <f t="shared" si="2"/>
        <v>0.16666666666666666</v>
      </c>
    </row>
    <row r="75" spans="1:11" x14ac:dyDescent="0.3">
      <c r="A75">
        <f>LOOKUP(9E+307,--MID(D75,1,{1,2,3,4,5}))</f>
        <v>7.5</v>
      </c>
      <c r="B75">
        <f>VLOOKUP(MID(D75,LOOKUP(2,1/ISNUMBER(-MID(D75,1,{1,2,3,4,5})),{1,2,3,4,5})+1,9),'Hue codes'!$A$1:$B$10,2,FALSE)</f>
        <v>90</v>
      </c>
      <c r="C75">
        <f t="shared" si="3"/>
        <v>97.5</v>
      </c>
      <c r="D75" s="162" t="s">
        <v>59</v>
      </c>
      <c r="E75" s="162">
        <v>1</v>
      </c>
      <c r="F75" s="162">
        <v>2</v>
      </c>
      <c r="G75" s="164">
        <v>0.1691</v>
      </c>
      <c r="H75" s="164">
        <v>8.6199999999999999E-2</v>
      </c>
      <c r="I75" s="164">
        <v>0.13289999999999999</v>
      </c>
      <c r="J75" s="100" t="str">
        <f>HYPERLINK(SetRGB(J75,G75*255,H75*255,I75*255),"HOVER!")</f>
        <v>HOVER!</v>
      </c>
      <c r="K75">
        <f t="shared" si="2"/>
        <v>0.5</v>
      </c>
    </row>
    <row r="76" spans="1:11" x14ac:dyDescent="0.3">
      <c r="A76">
        <f>LOOKUP(9E+307,--MID(D76,1,{1,2,3,4,5}))</f>
        <v>7.5</v>
      </c>
      <c r="B76">
        <f>VLOOKUP(MID(D76,LOOKUP(2,1/ISNUMBER(-MID(D76,1,{1,2,3,4,5})),{1,2,3,4,5})+1,9),'Hue codes'!$A$1:$B$10,2,FALSE)</f>
        <v>90</v>
      </c>
      <c r="C76">
        <f t="shared" si="3"/>
        <v>97.5</v>
      </c>
      <c r="D76" s="162" t="s">
        <v>59</v>
      </c>
      <c r="E76" s="162">
        <v>1</v>
      </c>
      <c r="F76" s="162">
        <v>4</v>
      </c>
      <c r="G76" s="164">
        <v>0.20150000000000001</v>
      </c>
      <c r="H76" s="164">
        <v>5.9799999999999999E-2</v>
      </c>
      <c r="I76" s="164">
        <v>0.14760000000000001</v>
      </c>
      <c r="J76" s="1" t="str">
        <f>HYPERLINK(SetRGB(J76,G76*255,H76*255,I76*255),"HOVER!")</f>
        <v>HOVER!</v>
      </c>
      <c r="K76">
        <f t="shared" si="2"/>
        <v>0.25</v>
      </c>
    </row>
    <row r="77" spans="1:11" x14ac:dyDescent="0.3">
      <c r="A77">
        <f>LOOKUP(9E+307,--MID(D77,1,{1,2,3,4,5}))</f>
        <v>7.5</v>
      </c>
      <c r="B77">
        <f>VLOOKUP(MID(D77,LOOKUP(2,1/ISNUMBER(-MID(D77,1,{1,2,3,4,5})),{1,2,3,4,5})+1,9),'Hue codes'!$A$1:$B$10,2,FALSE)</f>
        <v>90</v>
      </c>
      <c r="C77">
        <f t="shared" si="3"/>
        <v>97.5</v>
      </c>
      <c r="D77" s="162" t="s">
        <v>59</v>
      </c>
      <c r="E77" s="162">
        <v>1</v>
      </c>
      <c r="F77" s="162">
        <v>6</v>
      </c>
      <c r="G77" s="164">
        <v>0.22989999999999999</v>
      </c>
      <c r="H77" s="164">
        <v>1.6899999999999998E-2</v>
      </c>
      <c r="I77" s="164">
        <v>0.16220000000000001</v>
      </c>
      <c r="J77" s="1" t="str">
        <f>HYPERLINK(SetRGB(J77,G77*255,H77*255,I77*255),"HOVER!")</f>
        <v>HOVER!</v>
      </c>
      <c r="K77">
        <f t="shared" si="2"/>
        <v>0.16666666666666666</v>
      </c>
    </row>
    <row r="78" spans="1:11" x14ac:dyDescent="0.3">
      <c r="A78">
        <f>LOOKUP(9E+307,--MID(D78,1,{1,2,3,4,5}))</f>
        <v>10</v>
      </c>
      <c r="B78">
        <f>VLOOKUP(MID(D78,LOOKUP(2,1/ISNUMBER(-MID(D78,1,{1,2,3,4,5})),{1,2,3,4,5})+1,9),'Hue codes'!$A$1:$B$10,2,FALSE)</f>
        <v>90</v>
      </c>
      <c r="C78">
        <f t="shared" si="3"/>
        <v>0</v>
      </c>
      <c r="D78" s="162" t="s">
        <v>20</v>
      </c>
      <c r="E78" s="162">
        <v>2</v>
      </c>
      <c r="F78" s="162">
        <v>2</v>
      </c>
      <c r="G78" s="164">
        <v>0.255</v>
      </c>
      <c r="H78" s="164">
        <v>0.17069999999999999</v>
      </c>
      <c r="I78" s="164">
        <v>0.19570000000000001</v>
      </c>
      <c r="J78" s="1" t="str">
        <f>HYPERLINK(SetRGB(J78,G78*255,H78*255,I78*255),"HOVER!")</f>
        <v>HOVER!</v>
      </c>
      <c r="K78">
        <f t="shared" si="2"/>
        <v>1</v>
      </c>
    </row>
    <row r="79" spans="1:11" x14ac:dyDescent="0.3">
      <c r="A79">
        <f>LOOKUP(9E+307,--MID(D79,1,{1,2,3,4,5}))</f>
        <v>10</v>
      </c>
      <c r="B79">
        <f>VLOOKUP(MID(D79,LOOKUP(2,1/ISNUMBER(-MID(D79,1,{1,2,3,4,5})),{1,2,3,4,5})+1,9),'Hue codes'!$A$1:$B$10,2,FALSE)</f>
        <v>90</v>
      </c>
      <c r="C79">
        <f t="shared" si="3"/>
        <v>0</v>
      </c>
      <c r="D79" s="162" t="s">
        <v>20</v>
      </c>
      <c r="E79" s="162">
        <v>2</v>
      </c>
      <c r="F79" s="162">
        <v>4</v>
      </c>
      <c r="G79" s="164">
        <v>0.29730000000000001</v>
      </c>
      <c r="H79" s="164">
        <v>0.14660000000000001</v>
      </c>
      <c r="I79" s="164">
        <v>0.19939999999999999</v>
      </c>
      <c r="J79" s="105" t="str">
        <f>HYPERLINK(SetRGB(J79,G79*255,H79*255,I79*255),"HOVER!")</f>
        <v>HOVER!</v>
      </c>
      <c r="K79">
        <f t="shared" si="2"/>
        <v>0.5</v>
      </c>
    </row>
    <row r="80" spans="1:11" x14ac:dyDescent="0.3">
      <c r="A80">
        <f>LOOKUP(9E+307,--MID(D80,1,{1,2,3,4,5}))</f>
        <v>10</v>
      </c>
      <c r="B80">
        <f>VLOOKUP(MID(D80,LOOKUP(2,1/ISNUMBER(-MID(D80,1,{1,2,3,4,5})),{1,2,3,4,5})+1,9),'Hue codes'!$A$1:$B$10,2,FALSE)</f>
        <v>90</v>
      </c>
      <c r="C80">
        <f t="shared" si="3"/>
        <v>0</v>
      </c>
      <c r="D80" s="162" t="s">
        <v>20</v>
      </c>
      <c r="E80" s="162">
        <v>2</v>
      </c>
      <c r="F80" s="162">
        <v>6</v>
      </c>
      <c r="G80" s="164">
        <v>0.33510000000000001</v>
      </c>
      <c r="H80" s="164">
        <v>0.11600000000000001</v>
      </c>
      <c r="I80" s="164">
        <v>0.20380000000000001</v>
      </c>
      <c r="J80" s="106" t="str">
        <f>HYPERLINK(SetRGB(J80,G80*255,H80*255,I80*255),"HOVER!")</f>
        <v>HOVER!</v>
      </c>
      <c r="K80">
        <f t="shared" si="2"/>
        <v>0.33333333333333331</v>
      </c>
    </row>
    <row r="81" spans="1:11" x14ac:dyDescent="0.3">
      <c r="A81">
        <f>LOOKUP(9E+307,--MID(D81,1,{1,2,3,4,5}))</f>
        <v>10</v>
      </c>
      <c r="B81">
        <f>VLOOKUP(MID(D81,LOOKUP(2,1/ISNUMBER(-MID(D81,1,{1,2,3,4,5})),{1,2,3,4,5})+1,9),'Hue codes'!$A$1:$B$10,2,FALSE)</f>
        <v>90</v>
      </c>
      <c r="C81">
        <f t="shared" si="3"/>
        <v>0</v>
      </c>
      <c r="D81" s="162" t="s">
        <v>20</v>
      </c>
      <c r="E81" s="162">
        <v>2</v>
      </c>
      <c r="F81" s="162">
        <v>8</v>
      </c>
      <c r="G81" s="164">
        <v>0.3745</v>
      </c>
      <c r="H81" s="164">
        <v>6.3500000000000001E-2</v>
      </c>
      <c r="I81" s="164">
        <v>0.21049999999999999</v>
      </c>
      <c r="J81" s="1" t="str">
        <f>HYPERLINK(SetRGB(J81,G81*255,H81*255,I81*255),"HOVER!")</f>
        <v>HOVER!</v>
      </c>
      <c r="K81">
        <f t="shared" si="2"/>
        <v>0.25</v>
      </c>
    </row>
    <row r="82" spans="1:11" x14ac:dyDescent="0.3">
      <c r="A82">
        <f>LOOKUP(9E+307,--MID(D82,1,{1,2,3,4,5}))</f>
        <v>2.5</v>
      </c>
      <c r="B82">
        <f>VLOOKUP(MID(D82,LOOKUP(2,1/ISNUMBER(-MID(D82,1,{1,2,3,4,5})),{1,2,3,4,5})+1,9),'Hue codes'!$A$1:$B$10,2,FALSE)</f>
        <v>0</v>
      </c>
      <c r="C82">
        <f t="shared" si="3"/>
        <v>2.5</v>
      </c>
      <c r="D82" s="162" t="s">
        <v>21</v>
      </c>
      <c r="E82" s="162">
        <v>2</v>
      </c>
      <c r="F82" s="162">
        <v>2</v>
      </c>
      <c r="G82" s="164">
        <v>0.25729999999999997</v>
      </c>
      <c r="H82" s="164">
        <v>0.1706</v>
      </c>
      <c r="I82" s="164">
        <v>0.18729999999999999</v>
      </c>
      <c r="J82" s="1" t="str">
        <f>HYPERLINK(SetRGB(J82,G82*255,H82*255,I82*255),"HOVER!")</f>
        <v>HOVER!</v>
      </c>
      <c r="K82">
        <f t="shared" si="2"/>
        <v>1</v>
      </c>
    </row>
    <row r="83" spans="1:11" x14ac:dyDescent="0.3">
      <c r="A83">
        <f>LOOKUP(9E+307,--MID(D83,1,{1,2,3,4,5}))</f>
        <v>2.5</v>
      </c>
      <c r="B83">
        <f>VLOOKUP(MID(D83,LOOKUP(2,1/ISNUMBER(-MID(D83,1,{1,2,3,4,5})),{1,2,3,4,5})+1,9),'Hue codes'!$A$1:$B$10,2,FALSE)</f>
        <v>0</v>
      </c>
      <c r="C83">
        <f t="shared" si="3"/>
        <v>2.5</v>
      </c>
      <c r="D83" s="162" t="s">
        <v>21</v>
      </c>
      <c r="E83" s="162">
        <v>2</v>
      </c>
      <c r="F83" s="162">
        <v>4</v>
      </c>
      <c r="G83" s="164">
        <v>0.30220000000000002</v>
      </c>
      <c r="H83" s="164">
        <v>0.14560000000000001</v>
      </c>
      <c r="I83" s="164">
        <v>0.18390000000000001</v>
      </c>
      <c r="J83" s="1" t="str">
        <f>HYPERLINK(SetRGB(J83,G83*255,H83*255,I83*255),"HOVER!")</f>
        <v>HOVER!</v>
      </c>
      <c r="K83">
        <f t="shared" si="2"/>
        <v>0.5</v>
      </c>
    </row>
    <row r="84" spans="1:11" x14ac:dyDescent="0.3">
      <c r="A84">
        <f>LOOKUP(9E+307,--MID(D84,1,{1,2,3,4,5}))</f>
        <v>2.5</v>
      </c>
      <c r="B84">
        <f>VLOOKUP(MID(D84,LOOKUP(2,1/ISNUMBER(-MID(D84,1,{1,2,3,4,5})),{1,2,3,4,5})+1,9),'Hue codes'!$A$1:$B$10,2,FALSE)</f>
        <v>0</v>
      </c>
      <c r="C84">
        <f t="shared" si="3"/>
        <v>2.5</v>
      </c>
      <c r="D84" s="162" t="s">
        <v>21</v>
      </c>
      <c r="E84" s="162">
        <v>2</v>
      </c>
      <c r="F84" s="162">
        <v>6</v>
      </c>
      <c r="G84" s="164">
        <v>0.34150000000000003</v>
      </c>
      <c r="H84" s="164">
        <v>0.1138</v>
      </c>
      <c r="I84" s="164">
        <v>0.182</v>
      </c>
      <c r="J84" s="1" t="str">
        <f>HYPERLINK(SetRGB(J84,G84*255,H84*255,I84*255),"HOVER!")</f>
        <v>HOVER!</v>
      </c>
      <c r="K84">
        <f t="shared" si="2"/>
        <v>0.33333333333333331</v>
      </c>
    </row>
    <row r="85" spans="1:11" x14ac:dyDescent="0.3">
      <c r="A85">
        <f>LOOKUP(9E+307,--MID(D85,1,{1,2,3,4,5}))</f>
        <v>2.5</v>
      </c>
      <c r="B85">
        <f>VLOOKUP(MID(D85,LOOKUP(2,1/ISNUMBER(-MID(D85,1,{1,2,3,4,5})),{1,2,3,4,5})+1,9),'Hue codes'!$A$1:$B$10,2,FALSE)</f>
        <v>0</v>
      </c>
      <c r="C85">
        <f t="shared" si="3"/>
        <v>2.5</v>
      </c>
      <c r="D85" s="162" t="s">
        <v>21</v>
      </c>
      <c r="E85" s="162">
        <v>2</v>
      </c>
      <c r="F85" s="162">
        <v>8</v>
      </c>
      <c r="G85" s="164">
        <v>0.3831</v>
      </c>
      <c r="H85" s="164">
        <v>5.6500000000000002E-2</v>
      </c>
      <c r="I85" s="164">
        <v>0.1817</v>
      </c>
      <c r="J85" s="1" t="str">
        <f>HYPERLINK(SetRGB(J85,G85*255,H85*255,I85*255),"HOVER!")</f>
        <v>HOVER!</v>
      </c>
      <c r="K85">
        <f t="shared" si="2"/>
        <v>0.25</v>
      </c>
    </row>
    <row r="86" spans="1:11" x14ac:dyDescent="0.3">
      <c r="A86">
        <f>LOOKUP(9E+307,--MID(D86,1,{1,2,3,4,5}))</f>
        <v>5</v>
      </c>
      <c r="B86">
        <f>VLOOKUP(MID(D86,LOOKUP(2,1/ISNUMBER(-MID(D86,1,{1,2,3,4,5})),{1,2,3,4,5})+1,9),'Hue codes'!$A$1:$B$10,2,FALSE)</f>
        <v>0</v>
      </c>
      <c r="C86">
        <f t="shared" si="3"/>
        <v>5</v>
      </c>
      <c r="D86" s="162" t="s">
        <v>22</v>
      </c>
      <c r="E86" s="162">
        <v>2</v>
      </c>
      <c r="F86" s="162">
        <v>2</v>
      </c>
      <c r="G86" s="164">
        <v>0.25900000000000001</v>
      </c>
      <c r="H86" s="164">
        <v>0.17080000000000001</v>
      </c>
      <c r="I86" s="164">
        <v>0.1789</v>
      </c>
      <c r="J86" s="1" t="str">
        <f>HYPERLINK(SetRGB(J86,G86*255,H86*255,I86*255),"HOVER!")</f>
        <v>HOVER!</v>
      </c>
      <c r="K86">
        <f t="shared" si="2"/>
        <v>1</v>
      </c>
    </row>
    <row r="87" spans="1:11" x14ac:dyDescent="0.3">
      <c r="A87">
        <f>LOOKUP(9E+307,--MID(D87,1,{1,2,3,4,5}))</f>
        <v>5</v>
      </c>
      <c r="B87">
        <f>VLOOKUP(MID(D87,LOOKUP(2,1/ISNUMBER(-MID(D87,1,{1,2,3,4,5})),{1,2,3,4,5})+1,9),'Hue codes'!$A$1:$B$10,2,FALSE)</f>
        <v>0</v>
      </c>
      <c r="C87">
        <f t="shared" si="3"/>
        <v>5</v>
      </c>
      <c r="D87" s="162" t="s">
        <v>22</v>
      </c>
      <c r="E87" s="162">
        <v>2</v>
      </c>
      <c r="F87" s="162">
        <v>4</v>
      </c>
      <c r="G87" s="164">
        <v>0.30530000000000002</v>
      </c>
      <c r="H87" s="164">
        <v>0.1457</v>
      </c>
      <c r="I87" s="164">
        <v>0.16769999999999999</v>
      </c>
      <c r="J87" s="1" t="str">
        <f>HYPERLINK(SetRGB(J87,G87*255,H87*255,I87*255),"HOVER!")</f>
        <v>HOVER!</v>
      </c>
      <c r="K87">
        <f t="shared" si="2"/>
        <v>0.5</v>
      </c>
    </row>
    <row r="88" spans="1:11" x14ac:dyDescent="0.3">
      <c r="A88">
        <f>LOOKUP(9E+307,--MID(D88,1,{1,2,3,4,5}))</f>
        <v>5</v>
      </c>
      <c r="B88">
        <f>VLOOKUP(MID(D88,LOOKUP(2,1/ISNUMBER(-MID(D88,1,{1,2,3,4,5})),{1,2,3,4,5})+1,9),'Hue codes'!$A$1:$B$10,2,FALSE)</f>
        <v>0</v>
      </c>
      <c r="C88">
        <f t="shared" si="3"/>
        <v>5</v>
      </c>
      <c r="D88" s="162" t="s">
        <v>22</v>
      </c>
      <c r="E88" s="162">
        <v>2</v>
      </c>
      <c r="F88" s="162">
        <v>6</v>
      </c>
      <c r="G88" s="164">
        <v>0.34549999999999997</v>
      </c>
      <c r="H88" s="164">
        <v>0.1138</v>
      </c>
      <c r="I88" s="164">
        <v>0.15790000000000001</v>
      </c>
      <c r="J88" s="1" t="str">
        <f>HYPERLINK(SetRGB(J88,G88*255,H88*255,I88*255),"HOVER!")</f>
        <v>HOVER!</v>
      </c>
      <c r="K88">
        <f t="shared" si="2"/>
        <v>0.33333333333333331</v>
      </c>
    </row>
    <row r="89" spans="1:11" x14ac:dyDescent="0.3">
      <c r="A89">
        <f>LOOKUP(9E+307,--MID(D89,1,{1,2,3,4,5}))</f>
        <v>5</v>
      </c>
      <c r="B89">
        <f>VLOOKUP(MID(D89,LOOKUP(2,1/ISNUMBER(-MID(D89,1,{1,2,3,4,5})),{1,2,3,4,5})+1,9),'Hue codes'!$A$1:$B$10,2,FALSE)</f>
        <v>0</v>
      </c>
      <c r="C89">
        <f t="shared" si="3"/>
        <v>5</v>
      </c>
      <c r="D89" s="162" t="s">
        <v>22</v>
      </c>
      <c r="E89" s="162">
        <v>2</v>
      </c>
      <c r="F89" s="162">
        <v>8</v>
      </c>
      <c r="G89" s="164">
        <v>0.38869999999999999</v>
      </c>
      <c r="H89" s="164">
        <v>5.4300000000000001E-2</v>
      </c>
      <c r="I89" s="164">
        <v>0.1479</v>
      </c>
      <c r="J89" s="1" t="str">
        <f>HYPERLINK(SetRGB(J89,G89*255,H89*255,I89*255),"HOVER!")</f>
        <v>HOVER!</v>
      </c>
      <c r="K89">
        <f t="shared" si="2"/>
        <v>0.25</v>
      </c>
    </row>
    <row r="90" spans="1:11" x14ac:dyDescent="0.3">
      <c r="A90">
        <f>LOOKUP(9E+307,--MID(D90,1,{1,2,3,4,5}))</f>
        <v>7.5</v>
      </c>
      <c r="B90">
        <f>VLOOKUP(MID(D90,LOOKUP(2,1/ISNUMBER(-MID(D90,1,{1,2,3,4,5})),{1,2,3,4,5})+1,9),'Hue codes'!$A$1:$B$10,2,FALSE)</f>
        <v>0</v>
      </c>
      <c r="C90">
        <f t="shared" si="3"/>
        <v>7.5</v>
      </c>
      <c r="D90" s="162" t="s">
        <v>23</v>
      </c>
      <c r="E90" s="162">
        <v>2</v>
      </c>
      <c r="F90" s="162">
        <v>2</v>
      </c>
      <c r="G90" s="164">
        <v>0.25950000000000001</v>
      </c>
      <c r="H90" s="164">
        <v>0.1714</v>
      </c>
      <c r="I90" s="164">
        <v>0.17169999999999999</v>
      </c>
      <c r="J90" s="1" t="str">
        <f>HYPERLINK(SetRGB(J90,G90*255,H90*255,I90*255),"HOVER!")</f>
        <v>HOVER!</v>
      </c>
      <c r="K90">
        <f t="shared" si="2"/>
        <v>1</v>
      </c>
    </row>
    <row r="91" spans="1:11" x14ac:dyDescent="0.3">
      <c r="A91">
        <f>LOOKUP(9E+307,--MID(D91,1,{1,2,3,4,5}))</f>
        <v>7.5</v>
      </c>
      <c r="B91">
        <f>VLOOKUP(MID(D91,LOOKUP(2,1/ISNUMBER(-MID(D91,1,{1,2,3,4,5})),{1,2,3,4,5})+1,9),'Hue codes'!$A$1:$B$10,2,FALSE)</f>
        <v>0</v>
      </c>
      <c r="C91">
        <f t="shared" si="3"/>
        <v>7.5</v>
      </c>
      <c r="D91" s="162" t="s">
        <v>23</v>
      </c>
      <c r="E91" s="162">
        <v>2</v>
      </c>
      <c r="F91" s="162">
        <v>4</v>
      </c>
      <c r="G91" s="164">
        <v>0.30690000000000001</v>
      </c>
      <c r="H91" s="164">
        <v>0.14660000000000001</v>
      </c>
      <c r="I91" s="164">
        <v>0.15129999999999999</v>
      </c>
      <c r="J91" s="1" t="str">
        <f>HYPERLINK(SetRGB(J91,G91*255,H91*255,I91*255),"HOVER!")</f>
        <v>HOVER!</v>
      </c>
      <c r="K91">
        <f t="shared" si="2"/>
        <v>0.5</v>
      </c>
    </row>
    <row r="92" spans="1:11" x14ac:dyDescent="0.3">
      <c r="A92">
        <f>LOOKUP(9E+307,--MID(D92,1,{1,2,3,4,5}))</f>
        <v>7.5</v>
      </c>
      <c r="B92">
        <f>VLOOKUP(MID(D92,LOOKUP(2,1/ISNUMBER(-MID(D92,1,{1,2,3,4,5})),{1,2,3,4,5})+1,9),'Hue codes'!$A$1:$B$10,2,FALSE)</f>
        <v>0</v>
      </c>
      <c r="C92">
        <f t="shared" si="3"/>
        <v>7.5</v>
      </c>
      <c r="D92" s="162" t="s">
        <v>23</v>
      </c>
      <c r="E92" s="162">
        <v>2</v>
      </c>
      <c r="F92" s="162">
        <v>6</v>
      </c>
      <c r="G92" s="164">
        <v>0.34670000000000001</v>
      </c>
      <c r="H92" s="164">
        <v>0.11609999999999999</v>
      </c>
      <c r="I92" s="164">
        <v>0.1323</v>
      </c>
      <c r="J92" s="267" t="str">
        <f>HYPERLINK(SetRGB(J92,G92*255,H92*255,I92*255),"HOVER!")</f>
        <v>HOVER!</v>
      </c>
      <c r="K92">
        <f t="shared" si="2"/>
        <v>0.33333333333333331</v>
      </c>
    </row>
    <row r="93" spans="1:11" x14ac:dyDescent="0.3">
      <c r="A93">
        <f>LOOKUP(9E+307,--MID(D93,1,{1,2,3,4,5}))</f>
        <v>7.5</v>
      </c>
      <c r="B93">
        <f>VLOOKUP(MID(D93,LOOKUP(2,1/ISNUMBER(-MID(D93,1,{1,2,3,4,5})),{1,2,3,4,5})+1,9),'Hue codes'!$A$1:$B$10,2,FALSE)</f>
        <v>0</v>
      </c>
      <c r="C93">
        <f t="shared" si="3"/>
        <v>7.5</v>
      </c>
      <c r="D93" s="162" t="s">
        <v>23</v>
      </c>
      <c r="E93" s="162">
        <v>2</v>
      </c>
      <c r="F93" s="162">
        <v>8</v>
      </c>
      <c r="G93" s="164">
        <v>0.3876</v>
      </c>
      <c r="H93" s="164">
        <v>6.4199999999999993E-2</v>
      </c>
      <c r="I93" s="164">
        <v>0.11310000000000001</v>
      </c>
      <c r="J93" s="225" t="str">
        <f>HYPERLINK(SetRGB(J93,G93*255,H93*255,I93*255),"HOVER!")</f>
        <v>HOVER!</v>
      </c>
      <c r="K93">
        <f t="shared" si="2"/>
        <v>0.25</v>
      </c>
    </row>
    <row r="94" spans="1:11" x14ac:dyDescent="0.3">
      <c r="A94">
        <f>LOOKUP(9E+307,--MID(D94,1,{1,2,3,4,5}))</f>
        <v>10</v>
      </c>
      <c r="B94">
        <f>VLOOKUP(MID(D94,LOOKUP(2,1/ISNUMBER(-MID(D94,1,{1,2,3,4,5})),{1,2,3,4,5})+1,9),'Hue codes'!$A$1:$B$10,2,FALSE)</f>
        <v>0</v>
      </c>
      <c r="C94">
        <f t="shared" si="3"/>
        <v>10</v>
      </c>
      <c r="D94" s="162" t="s">
        <v>24</v>
      </c>
      <c r="E94" s="162">
        <v>2</v>
      </c>
      <c r="F94" s="162">
        <v>2</v>
      </c>
      <c r="G94" s="164">
        <v>0.2586</v>
      </c>
      <c r="H94" s="164">
        <v>0.17280000000000001</v>
      </c>
      <c r="I94" s="164">
        <v>0.1628</v>
      </c>
      <c r="J94" s="1" t="str">
        <f>HYPERLINK(SetRGB(J94,G94*255,H94*255,I94*255),"HOVER!")</f>
        <v>HOVER!</v>
      </c>
      <c r="K94">
        <f t="shared" si="2"/>
        <v>1</v>
      </c>
    </row>
    <row r="95" spans="1:11" x14ac:dyDescent="0.3">
      <c r="A95">
        <f>LOOKUP(9E+307,--MID(D95,1,{1,2,3,4,5}))</f>
        <v>10</v>
      </c>
      <c r="B95">
        <f>VLOOKUP(MID(D95,LOOKUP(2,1/ISNUMBER(-MID(D95,1,{1,2,3,4,5})),{1,2,3,4,5})+1,9),'Hue codes'!$A$1:$B$10,2,FALSE)</f>
        <v>0</v>
      </c>
      <c r="C95">
        <f t="shared" si="3"/>
        <v>10</v>
      </c>
      <c r="D95" s="162" t="s">
        <v>24</v>
      </c>
      <c r="E95" s="162">
        <v>2</v>
      </c>
      <c r="F95" s="162">
        <v>4</v>
      </c>
      <c r="G95" s="164">
        <v>0.30640000000000001</v>
      </c>
      <c r="H95" s="164">
        <v>0.1489</v>
      </c>
      <c r="I95" s="164">
        <v>0.13289999999999999</v>
      </c>
      <c r="J95" s="1" t="str">
        <f>HYPERLINK(SetRGB(J95,G95*255,H95*255,I95*255),"HOVER!")</f>
        <v>HOVER!</v>
      </c>
      <c r="K95">
        <f t="shared" si="2"/>
        <v>0.5</v>
      </c>
    </row>
    <row r="96" spans="1:11" x14ac:dyDescent="0.3">
      <c r="A96">
        <f>LOOKUP(9E+307,--MID(D96,1,{1,2,3,4,5}))</f>
        <v>10</v>
      </c>
      <c r="B96">
        <f>VLOOKUP(MID(D96,LOOKUP(2,1/ISNUMBER(-MID(D96,1,{1,2,3,4,5})),{1,2,3,4,5})+1,9),'Hue codes'!$A$1:$B$10,2,FALSE)</f>
        <v>0</v>
      </c>
      <c r="C96">
        <f t="shared" si="3"/>
        <v>10</v>
      </c>
      <c r="D96" s="162" t="s">
        <v>24</v>
      </c>
      <c r="E96" s="162">
        <v>2</v>
      </c>
      <c r="F96" s="162">
        <v>6</v>
      </c>
      <c r="G96" s="164">
        <v>0.34570000000000001</v>
      </c>
      <c r="H96" s="164">
        <v>0.1202</v>
      </c>
      <c r="I96" s="164">
        <v>0.1037</v>
      </c>
      <c r="J96" s="1" t="str">
        <f>HYPERLINK(SetRGB(J96,G96*255,H96*255,I96*255),"HOVER!")</f>
        <v>HOVER!</v>
      </c>
      <c r="K96">
        <f t="shared" si="2"/>
        <v>0.33333333333333331</v>
      </c>
    </row>
    <row r="97" spans="1:11" x14ac:dyDescent="0.3">
      <c r="A97">
        <f>LOOKUP(9E+307,--MID(D97,1,{1,2,3,4,5}))</f>
        <v>10</v>
      </c>
      <c r="B97">
        <f>VLOOKUP(MID(D97,LOOKUP(2,1/ISNUMBER(-MID(D97,1,{1,2,3,4,5})),{1,2,3,4,5})+1,9),'Hue codes'!$A$1:$B$10,2,FALSE)</f>
        <v>0</v>
      </c>
      <c r="C97">
        <f t="shared" si="3"/>
        <v>10</v>
      </c>
      <c r="D97" s="162" t="s">
        <v>24</v>
      </c>
      <c r="E97" s="162">
        <v>2</v>
      </c>
      <c r="F97" s="162">
        <v>8</v>
      </c>
      <c r="G97" s="164">
        <v>0.38569999999999999</v>
      </c>
      <c r="H97" s="164">
        <v>7.3400000000000007E-2</v>
      </c>
      <c r="I97" s="164">
        <v>7.1999999999999995E-2</v>
      </c>
      <c r="J97" s="1" t="str">
        <f>HYPERLINK(SetRGB(J97,G97*255,H97*255,I97*255),"HOVER!")</f>
        <v>HOVER!</v>
      </c>
      <c r="K97">
        <f t="shared" si="2"/>
        <v>0.25</v>
      </c>
    </row>
    <row r="98" spans="1:11" x14ac:dyDescent="0.3">
      <c r="A98">
        <f>LOOKUP(9E+307,--MID(D98,1,{1,2,3,4,5}))</f>
        <v>2.5</v>
      </c>
      <c r="B98">
        <f>VLOOKUP(MID(D98,LOOKUP(2,1/ISNUMBER(-MID(D98,1,{1,2,3,4,5})),{1,2,3,4,5})+1,9),'Hue codes'!$A$1:$B$10,2,FALSE)</f>
        <v>10</v>
      </c>
      <c r="C98">
        <f t="shared" si="3"/>
        <v>12.5</v>
      </c>
      <c r="D98" s="162" t="s">
        <v>25</v>
      </c>
      <c r="E98" s="162">
        <v>2</v>
      </c>
      <c r="F98" s="162">
        <v>2</v>
      </c>
      <c r="G98" s="164">
        <v>0.25619999999999998</v>
      </c>
      <c r="H98" s="164">
        <v>0.17469999999999999</v>
      </c>
      <c r="I98" s="164">
        <v>0.1547</v>
      </c>
      <c r="J98" s="1" t="str">
        <f>HYPERLINK(SetRGB(J98,G98*255,H98*255,I98*255),"HOVER!")</f>
        <v>HOVER!</v>
      </c>
      <c r="K98">
        <f t="shared" si="2"/>
        <v>1</v>
      </c>
    </row>
    <row r="99" spans="1:11" x14ac:dyDescent="0.3">
      <c r="A99">
        <f>LOOKUP(9E+307,--MID(D99,1,{1,2,3,4,5}))</f>
        <v>2.5</v>
      </c>
      <c r="B99">
        <f>VLOOKUP(MID(D99,LOOKUP(2,1/ISNUMBER(-MID(D99,1,{1,2,3,4,5})),{1,2,3,4,5})+1,9),'Hue codes'!$A$1:$B$10,2,FALSE)</f>
        <v>10</v>
      </c>
      <c r="C99">
        <f t="shared" si="3"/>
        <v>12.5</v>
      </c>
      <c r="D99" s="162" t="s">
        <v>25</v>
      </c>
      <c r="E99" s="162">
        <v>2</v>
      </c>
      <c r="F99" s="162">
        <v>4</v>
      </c>
      <c r="G99" s="164">
        <v>0.3029</v>
      </c>
      <c r="H99" s="164">
        <v>0.15290000000000001</v>
      </c>
      <c r="I99" s="164">
        <v>0.11360000000000001</v>
      </c>
      <c r="J99" s="1" t="str">
        <f>HYPERLINK(SetRGB(J99,G99*255,H99*255,I99*255),"HOVER!")</f>
        <v>HOVER!</v>
      </c>
      <c r="K99">
        <f t="shared" si="2"/>
        <v>0.5</v>
      </c>
    </row>
    <row r="100" spans="1:11" x14ac:dyDescent="0.3">
      <c r="A100">
        <f>LOOKUP(9E+307,--MID(D100,1,{1,2,3,4,5}))</f>
        <v>2.5</v>
      </c>
      <c r="B100">
        <f>VLOOKUP(MID(D100,LOOKUP(2,1/ISNUMBER(-MID(D100,1,{1,2,3,4,5})),{1,2,3,4,5})+1,9),'Hue codes'!$A$1:$B$10,2,FALSE)</f>
        <v>10</v>
      </c>
      <c r="C100">
        <f t="shared" si="3"/>
        <v>12.5</v>
      </c>
      <c r="D100" s="162" t="s">
        <v>25</v>
      </c>
      <c r="E100" s="162">
        <v>2</v>
      </c>
      <c r="F100" s="162">
        <v>6</v>
      </c>
      <c r="G100" s="164">
        <v>0.3402</v>
      </c>
      <c r="H100" s="164">
        <v>0.12809999999999999</v>
      </c>
      <c r="I100" s="164">
        <v>6.8400000000000002E-2</v>
      </c>
      <c r="J100" s="244" t="str">
        <f>HYPERLINK(SetRGB(J100,G100*255,H100*255,I100*255),"HOVER!")</f>
        <v>HOVER!</v>
      </c>
      <c r="K100">
        <f t="shared" si="2"/>
        <v>0.33333333333333331</v>
      </c>
    </row>
    <row r="101" spans="1:11" x14ac:dyDescent="0.3">
      <c r="A101">
        <f>LOOKUP(9E+307,--MID(D101,1,{1,2,3,4,5}))</f>
        <v>5</v>
      </c>
      <c r="B101">
        <f>VLOOKUP(MID(D101,LOOKUP(2,1/ISNUMBER(-MID(D101,1,{1,2,3,4,5})),{1,2,3,4,5})+1,9),'Hue codes'!$A$1:$B$10,2,FALSE)</f>
        <v>10</v>
      </c>
      <c r="C101">
        <f t="shared" si="3"/>
        <v>15</v>
      </c>
      <c r="D101" s="162" t="s">
        <v>26</v>
      </c>
      <c r="E101" s="162">
        <v>2</v>
      </c>
      <c r="F101" s="162">
        <v>2</v>
      </c>
      <c r="G101" s="164">
        <v>0.25159999999999999</v>
      </c>
      <c r="H101" s="164">
        <v>0.17760000000000001</v>
      </c>
      <c r="I101" s="164">
        <v>0.1457</v>
      </c>
      <c r="J101" s="1" t="str">
        <f>HYPERLINK(SetRGB(J101,G101*255,H101*255,I101*255),"HOVER!")</f>
        <v>HOVER!</v>
      </c>
      <c r="K101">
        <f t="shared" si="2"/>
        <v>1</v>
      </c>
    </row>
    <row r="102" spans="1:11" x14ac:dyDescent="0.3">
      <c r="A102">
        <f>LOOKUP(9E+307,--MID(D102,1,{1,2,3,4,5}))</f>
        <v>5</v>
      </c>
      <c r="B102">
        <f>VLOOKUP(MID(D102,LOOKUP(2,1/ISNUMBER(-MID(D102,1,{1,2,3,4,5})),{1,2,3,4,5})+1,9),'Hue codes'!$A$1:$B$10,2,FALSE)</f>
        <v>10</v>
      </c>
      <c r="C102">
        <f t="shared" si="3"/>
        <v>15</v>
      </c>
      <c r="D102" s="162" t="s">
        <v>26</v>
      </c>
      <c r="E102" s="162">
        <v>2</v>
      </c>
      <c r="F102" s="162">
        <v>4</v>
      </c>
      <c r="G102" s="164">
        <v>0.29409999999999997</v>
      </c>
      <c r="H102" s="164">
        <v>0.16</v>
      </c>
      <c r="I102" s="164">
        <v>9.0800000000000006E-2</v>
      </c>
      <c r="J102" s="1" t="str">
        <f>HYPERLINK(SetRGB(J102,G102*255,H102*255,I102*255),"HOVER!")</f>
        <v>HOVER!</v>
      </c>
      <c r="K102">
        <f t="shared" si="2"/>
        <v>0.5</v>
      </c>
    </row>
    <row r="103" spans="1:11" x14ac:dyDescent="0.3">
      <c r="A103">
        <f>LOOKUP(9E+307,--MID(D103,1,{1,2,3,4,5}))</f>
        <v>5</v>
      </c>
      <c r="B103">
        <f>VLOOKUP(MID(D103,LOOKUP(2,1/ISNUMBER(-MID(D103,1,{1,2,3,4,5})),{1,2,3,4,5})+1,9),'Hue codes'!$A$1:$B$10,2,FALSE)</f>
        <v>10</v>
      </c>
      <c r="C103">
        <f t="shared" si="3"/>
        <v>15</v>
      </c>
      <c r="D103" s="162" t="s">
        <v>26</v>
      </c>
      <c r="E103" s="162">
        <v>2</v>
      </c>
      <c r="F103" s="162">
        <v>6</v>
      </c>
      <c r="G103" s="164">
        <v>0.32779999999999998</v>
      </c>
      <c r="H103" s="164">
        <v>0.1409</v>
      </c>
      <c r="I103" s="164">
        <v>3.8E-3</v>
      </c>
      <c r="J103" s="192" t="str">
        <f>HYPERLINK(SetRGB(J103,G103*255,H103*255,I103*255),"HOVER!")</f>
        <v>HOVER!</v>
      </c>
      <c r="K103">
        <f t="shared" si="2"/>
        <v>0.33333333333333331</v>
      </c>
    </row>
    <row r="104" spans="1:11" x14ac:dyDescent="0.3">
      <c r="A104">
        <f>LOOKUP(9E+307,--MID(D104,1,{1,2,3,4,5}))</f>
        <v>7.5</v>
      </c>
      <c r="B104">
        <f>VLOOKUP(MID(D104,LOOKUP(2,1/ISNUMBER(-MID(D104,1,{1,2,3,4,5})),{1,2,3,4,5})+1,9),'Hue codes'!$A$1:$B$10,2,FALSE)</f>
        <v>10</v>
      </c>
      <c r="C104">
        <f t="shared" si="3"/>
        <v>17.5</v>
      </c>
      <c r="D104" s="162" t="s">
        <v>27</v>
      </c>
      <c r="E104" s="162">
        <v>2</v>
      </c>
      <c r="F104" s="162">
        <v>2</v>
      </c>
      <c r="G104" s="164">
        <v>0.2455</v>
      </c>
      <c r="H104" s="164">
        <v>0.18099999999999999</v>
      </c>
      <c r="I104" s="164">
        <v>0.13719999999999999</v>
      </c>
      <c r="J104" s="1" t="str">
        <f>HYPERLINK(SetRGB(J104,G104*255,H104*255,I104*255),"HOVER!")</f>
        <v>HOVER!</v>
      </c>
      <c r="K104">
        <f t="shared" si="2"/>
        <v>1</v>
      </c>
    </row>
    <row r="105" spans="1:11" x14ac:dyDescent="0.3">
      <c r="A105">
        <f>LOOKUP(9E+307,--MID(D105,1,{1,2,3,4,5}))</f>
        <v>7.5</v>
      </c>
      <c r="B105">
        <f>VLOOKUP(MID(D105,LOOKUP(2,1/ISNUMBER(-MID(D105,1,{1,2,3,4,5})),{1,2,3,4,5})+1,9),'Hue codes'!$A$1:$B$10,2,FALSE)</f>
        <v>10</v>
      </c>
      <c r="C105">
        <f t="shared" si="3"/>
        <v>17.5</v>
      </c>
      <c r="D105" s="162" t="s">
        <v>27</v>
      </c>
      <c r="E105" s="162">
        <v>2</v>
      </c>
      <c r="F105" s="162">
        <v>4</v>
      </c>
      <c r="G105" s="164">
        <v>0.28239999999999998</v>
      </c>
      <c r="H105" s="164">
        <v>0.1678</v>
      </c>
      <c r="I105" s="164">
        <v>6.9500000000000006E-2</v>
      </c>
      <c r="J105" s="221" t="str">
        <f>HYPERLINK(SetRGB(J105,G105*255,H105*255,I105*255),"HOVER!")</f>
        <v>HOVER!</v>
      </c>
      <c r="K105">
        <f t="shared" si="2"/>
        <v>0.5</v>
      </c>
    </row>
    <row r="106" spans="1:11" x14ac:dyDescent="0.3">
      <c r="A106">
        <f>LOOKUP(9E+307,--MID(D106,1,{1,2,3,4,5}))</f>
        <v>10</v>
      </c>
      <c r="B106">
        <f>VLOOKUP(MID(D106,LOOKUP(2,1/ISNUMBER(-MID(D106,1,{1,2,3,4,5})),{1,2,3,4,5})+1,9),'Hue codes'!$A$1:$B$10,2,FALSE)</f>
        <v>10</v>
      </c>
      <c r="C106">
        <f t="shared" si="3"/>
        <v>20</v>
      </c>
      <c r="D106" s="162" t="s">
        <v>28</v>
      </c>
      <c r="E106" s="162">
        <v>2</v>
      </c>
      <c r="F106" s="162">
        <v>2</v>
      </c>
      <c r="G106" s="164">
        <v>0.23830000000000001</v>
      </c>
      <c r="H106" s="164">
        <v>0.18440000000000001</v>
      </c>
      <c r="I106" s="164">
        <v>0.13089999999999999</v>
      </c>
      <c r="J106" s="27" t="str">
        <f>HYPERLINK(SetRGB(J106,G106*255,H106*255,I106*255),"HOVER!")</f>
        <v>HOVER!</v>
      </c>
      <c r="K106">
        <f t="shared" si="2"/>
        <v>1</v>
      </c>
    </row>
    <row r="107" spans="1:11" x14ac:dyDescent="0.3">
      <c r="A107">
        <f>LOOKUP(9E+307,--MID(D107,1,{1,2,3,4,5}))</f>
        <v>10</v>
      </c>
      <c r="B107">
        <f>VLOOKUP(MID(D107,LOOKUP(2,1/ISNUMBER(-MID(D107,1,{1,2,3,4,5})),{1,2,3,4,5})+1,9),'Hue codes'!$A$1:$B$10,2,FALSE)</f>
        <v>10</v>
      </c>
      <c r="C107">
        <f t="shared" si="3"/>
        <v>20</v>
      </c>
      <c r="D107" s="162" t="s">
        <v>28</v>
      </c>
      <c r="E107" s="162">
        <v>2</v>
      </c>
      <c r="F107" s="162">
        <v>4</v>
      </c>
      <c r="G107" s="164">
        <v>0.2707</v>
      </c>
      <c r="H107" s="164">
        <v>0.17460000000000001</v>
      </c>
      <c r="I107" s="164">
        <v>4.99E-2</v>
      </c>
      <c r="J107" s="28" t="str">
        <f>HYPERLINK(SetRGB(J107,G107*255,H107*255,I107*255),"HOVER!")</f>
        <v>HOVER!</v>
      </c>
      <c r="K107">
        <f t="shared" si="2"/>
        <v>0.5</v>
      </c>
    </row>
    <row r="108" spans="1:11" x14ac:dyDescent="0.3">
      <c r="A108">
        <f>LOOKUP(9E+307,--MID(D108,1,{1,2,3,4,5}))</f>
        <v>2.5</v>
      </c>
      <c r="B108">
        <f>VLOOKUP(MID(D108,LOOKUP(2,1/ISNUMBER(-MID(D108,1,{1,2,3,4,5})),{1,2,3,4,5})+1,9),'Hue codes'!$A$1:$B$10,2,FALSE)</f>
        <v>20</v>
      </c>
      <c r="C108">
        <f t="shared" si="3"/>
        <v>22.5</v>
      </c>
      <c r="D108" s="162" t="s">
        <v>29</v>
      </c>
      <c r="E108" s="162">
        <v>2</v>
      </c>
      <c r="F108" s="162">
        <v>2</v>
      </c>
      <c r="G108" s="164">
        <v>0.2288</v>
      </c>
      <c r="H108" s="164">
        <v>0.1885</v>
      </c>
      <c r="I108" s="164">
        <v>0.1258</v>
      </c>
      <c r="J108" s="90" t="str">
        <f>HYPERLINK(SetRGB(J108,G108*255,H108*255,I108*255),"HOVER!")</f>
        <v>HOVER!</v>
      </c>
      <c r="K108">
        <f t="shared" si="2"/>
        <v>1</v>
      </c>
    </row>
    <row r="109" spans="1:11" x14ac:dyDescent="0.3">
      <c r="A109">
        <f>LOOKUP(9E+307,--MID(D109,1,{1,2,3,4,5}))</f>
        <v>2.5</v>
      </c>
      <c r="B109">
        <f>VLOOKUP(MID(D109,LOOKUP(2,1/ISNUMBER(-MID(D109,1,{1,2,3,4,5})),{1,2,3,4,5})+1,9),'Hue codes'!$A$1:$B$10,2,FALSE)</f>
        <v>20</v>
      </c>
      <c r="C109">
        <f t="shared" si="3"/>
        <v>22.5</v>
      </c>
      <c r="D109" s="162" t="s">
        <v>29</v>
      </c>
      <c r="E109" s="162">
        <v>2</v>
      </c>
      <c r="F109" s="162">
        <v>4</v>
      </c>
      <c r="G109" s="164">
        <v>0.25629999999999997</v>
      </c>
      <c r="H109" s="164">
        <v>0.182</v>
      </c>
      <c r="I109" s="164">
        <v>2.6700000000000002E-2</v>
      </c>
      <c r="J109" s="110" t="str">
        <f>HYPERLINK(SetRGB(J109,G109*255,H109*255,I109*255),"HOVER!")</f>
        <v>HOVER!</v>
      </c>
      <c r="K109">
        <f t="shared" si="2"/>
        <v>0.5</v>
      </c>
    </row>
    <row r="110" spans="1:11" x14ac:dyDescent="0.3">
      <c r="A110">
        <f>LOOKUP(9E+307,--MID(D110,1,{1,2,3,4,5}))</f>
        <v>5</v>
      </c>
      <c r="B110">
        <f>VLOOKUP(MID(D110,LOOKUP(2,1/ISNUMBER(-MID(D110,1,{1,2,3,4,5})),{1,2,3,4,5})+1,9),'Hue codes'!$A$1:$B$10,2,FALSE)</f>
        <v>20</v>
      </c>
      <c r="C110">
        <f t="shared" si="3"/>
        <v>25</v>
      </c>
      <c r="D110" s="162" t="s">
        <v>30</v>
      </c>
      <c r="E110" s="162">
        <v>2</v>
      </c>
      <c r="F110" s="162">
        <v>2</v>
      </c>
      <c r="G110" s="164">
        <v>0.21990000000000001</v>
      </c>
      <c r="H110" s="164">
        <v>0.1918</v>
      </c>
      <c r="I110" s="164">
        <v>0.12470000000000001</v>
      </c>
      <c r="J110" s="109" t="str">
        <f>HYPERLINK(SetRGB(J110,G110*255,H110*255,I110*255),"HOVER!")</f>
        <v>HOVER!</v>
      </c>
      <c r="K110">
        <f t="shared" si="2"/>
        <v>1</v>
      </c>
    </row>
    <row r="111" spans="1:11" x14ac:dyDescent="0.3">
      <c r="A111">
        <f>LOOKUP(9E+307,--MID(D111,1,{1,2,3,4,5}))</f>
        <v>5</v>
      </c>
      <c r="B111">
        <f>VLOOKUP(MID(D111,LOOKUP(2,1/ISNUMBER(-MID(D111,1,{1,2,3,4,5})),{1,2,3,4,5})+1,9),'Hue codes'!$A$1:$B$10,2,FALSE)</f>
        <v>20</v>
      </c>
      <c r="C111">
        <f t="shared" si="3"/>
        <v>25</v>
      </c>
      <c r="D111" s="162" t="s">
        <v>30</v>
      </c>
      <c r="E111" s="162">
        <v>2</v>
      </c>
      <c r="F111" s="162">
        <v>4</v>
      </c>
      <c r="G111" s="164">
        <v>0.2422</v>
      </c>
      <c r="H111" s="164">
        <v>0.1883</v>
      </c>
      <c r="I111" s="164">
        <v>7.4999999999999997E-3</v>
      </c>
      <c r="J111" s="108" t="str">
        <f>HYPERLINK(SetRGB(J111,G111*255,H111*255,I111*255),"HOVER!")</f>
        <v>HOVER!</v>
      </c>
      <c r="K111">
        <f t="shared" si="2"/>
        <v>0.5</v>
      </c>
    </row>
    <row r="112" spans="1:11" x14ac:dyDescent="0.3">
      <c r="A112">
        <f>LOOKUP(9E+307,--MID(D112,1,{1,2,3,4,5}))</f>
        <v>7.5</v>
      </c>
      <c r="B112">
        <f>VLOOKUP(MID(D112,LOOKUP(2,1/ISNUMBER(-MID(D112,1,{1,2,3,4,5})),{1,2,3,4,5})+1,9),'Hue codes'!$A$1:$B$10,2,FALSE)</f>
        <v>20</v>
      </c>
      <c r="C112">
        <f t="shared" si="3"/>
        <v>27.5</v>
      </c>
      <c r="D112" s="162" t="s">
        <v>31</v>
      </c>
      <c r="E112" s="162">
        <v>2</v>
      </c>
      <c r="F112" s="162">
        <v>2</v>
      </c>
      <c r="G112" s="164">
        <v>0.21010000000000001</v>
      </c>
      <c r="H112" s="164">
        <v>0.19489999999999999</v>
      </c>
      <c r="I112" s="164">
        <v>0.12709999999999999</v>
      </c>
      <c r="J112" s="107" t="str">
        <f>HYPERLINK(SetRGB(J112,G112*255,H112*255,I112*255),"HOVER!")</f>
        <v>HOVER!</v>
      </c>
      <c r="K112">
        <f t="shared" si="2"/>
        <v>1</v>
      </c>
    </row>
    <row r="113" spans="1:11" x14ac:dyDescent="0.3">
      <c r="A113">
        <f>LOOKUP(9E+307,--MID(D113,1,{1,2,3,4,5}))</f>
        <v>7.5</v>
      </c>
      <c r="B113">
        <f>VLOOKUP(MID(D113,LOOKUP(2,1/ISNUMBER(-MID(D113,1,{1,2,3,4,5})),{1,2,3,4,5})+1,9),'Hue codes'!$A$1:$B$10,2,FALSE)</f>
        <v>20</v>
      </c>
      <c r="C113">
        <f t="shared" si="3"/>
        <v>27.5</v>
      </c>
      <c r="D113" s="162" t="s">
        <v>31</v>
      </c>
      <c r="E113" s="162">
        <v>2</v>
      </c>
      <c r="F113" s="162">
        <v>4</v>
      </c>
      <c r="G113" s="164">
        <v>0.22570000000000001</v>
      </c>
      <c r="H113" s="164">
        <v>0.19470000000000001</v>
      </c>
      <c r="I113" s="164">
        <v>-1.4E-3</v>
      </c>
      <c r="J113" s="1" t="str">
        <f>HYPERLINK(SetRGB(J113,G113*255,H113*255,I113*255),"HOVER!")</f>
        <v>HOVER!</v>
      </c>
      <c r="K113">
        <f t="shared" si="2"/>
        <v>0.5</v>
      </c>
    </row>
    <row r="114" spans="1:11" x14ac:dyDescent="0.3">
      <c r="A114">
        <f>LOOKUP(9E+307,--MID(D114,1,{1,2,3,4,5}))</f>
        <v>10</v>
      </c>
      <c r="B114">
        <f>VLOOKUP(MID(D114,LOOKUP(2,1/ISNUMBER(-MID(D114,1,{1,2,3,4,5})),{1,2,3,4,5})+1,9),'Hue codes'!$A$1:$B$10,2,FALSE)</f>
        <v>20</v>
      </c>
      <c r="C114">
        <f t="shared" si="3"/>
        <v>30</v>
      </c>
      <c r="D114" s="162" t="s">
        <v>32</v>
      </c>
      <c r="E114" s="162">
        <v>2</v>
      </c>
      <c r="F114" s="162">
        <v>2</v>
      </c>
      <c r="G114" s="164">
        <v>0.20080000000000001</v>
      </c>
      <c r="H114" s="164">
        <v>0.19750000000000001</v>
      </c>
      <c r="I114" s="164">
        <v>0.13170000000000001</v>
      </c>
      <c r="J114" s="1" t="str">
        <f>HYPERLINK(SetRGB(J114,G114*255,H114*255,I114*255),"HOVER!")</f>
        <v>HOVER!</v>
      </c>
      <c r="K114">
        <f t="shared" si="2"/>
        <v>1</v>
      </c>
    </row>
    <row r="115" spans="1:11" x14ac:dyDescent="0.3">
      <c r="A115">
        <f>LOOKUP(9E+307,--MID(D115,1,{1,2,3,4,5}))</f>
        <v>10</v>
      </c>
      <c r="B115">
        <f>VLOOKUP(MID(D115,LOOKUP(2,1/ISNUMBER(-MID(D115,1,{1,2,3,4,5})),{1,2,3,4,5})+1,9),'Hue codes'!$A$1:$B$10,2,FALSE)</f>
        <v>20</v>
      </c>
      <c r="C115">
        <f t="shared" si="3"/>
        <v>30</v>
      </c>
      <c r="D115" s="162" t="s">
        <v>32</v>
      </c>
      <c r="E115" s="162">
        <v>2</v>
      </c>
      <c r="F115" s="162">
        <v>4</v>
      </c>
      <c r="G115" s="164">
        <v>0.20730000000000001</v>
      </c>
      <c r="H115" s="164">
        <v>0.2006</v>
      </c>
      <c r="I115" s="164">
        <v>1.6E-2</v>
      </c>
      <c r="J115" s="1" t="str">
        <f>HYPERLINK(SetRGB(J115,G115*255,H115*255,I115*255),"HOVER!")</f>
        <v>HOVER!</v>
      </c>
      <c r="K115">
        <f t="shared" si="2"/>
        <v>0.5</v>
      </c>
    </row>
    <row r="116" spans="1:11" x14ac:dyDescent="0.3">
      <c r="A116">
        <f>LOOKUP(9E+307,--MID(D116,1,{1,2,3,4,5}))</f>
        <v>2.5</v>
      </c>
      <c r="B116">
        <f>VLOOKUP(MID(D116,LOOKUP(2,1/ISNUMBER(-MID(D116,1,{1,2,3,4,5})),{1,2,3,4,5})+1,9),'Hue codes'!$A$1:$B$10,2,FALSE)</f>
        <v>30</v>
      </c>
      <c r="C116">
        <f t="shared" si="3"/>
        <v>32.5</v>
      </c>
      <c r="D116" s="162" t="s">
        <v>33</v>
      </c>
      <c r="E116" s="162">
        <v>2</v>
      </c>
      <c r="F116" s="162">
        <v>2</v>
      </c>
      <c r="G116" s="164">
        <v>0.18970000000000001</v>
      </c>
      <c r="H116" s="164">
        <v>0.20019999999999999</v>
      </c>
      <c r="I116" s="164">
        <v>0.1396</v>
      </c>
      <c r="J116" s="1" t="str">
        <f>HYPERLINK(SetRGB(J116,G116*255,H116*255,I116*255),"HOVER!")</f>
        <v>HOVER!</v>
      </c>
      <c r="K116">
        <f t="shared" si="2"/>
        <v>1</v>
      </c>
    </row>
    <row r="117" spans="1:11" x14ac:dyDescent="0.3">
      <c r="A117">
        <f>LOOKUP(9E+307,--MID(D117,1,{1,2,3,4,5}))</f>
        <v>2.5</v>
      </c>
      <c r="B117">
        <f>VLOOKUP(MID(D117,LOOKUP(2,1/ISNUMBER(-MID(D117,1,{1,2,3,4,5})),{1,2,3,4,5})+1,9),'Hue codes'!$A$1:$B$10,2,FALSE)</f>
        <v>30</v>
      </c>
      <c r="C117">
        <f t="shared" si="3"/>
        <v>32.5</v>
      </c>
      <c r="D117" s="162" t="s">
        <v>33</v>
      </c>
      <c r="E117" s="162">
        <v>2</v>
      </c>
      <c r="F117" s="162">
        <v>4</v>
      </c>
      <c r="G117" s="164">
        <v>0.18429999999999999</v>
      </c>
      <c r="H117" s="164">
        <v>0.20649999999999999</v>
      </c>
      <c r="I117" s="164">
        <v>4.7199999999999999E-2</v>
      </c>
      <c r="J117" s="89" t="str">
        <f>HYPERLINK(SetRGB(J117,G117*255,H117*255,I117*255),"HOVER!")</f>
        <v>HOVER!</v>
      </c>
      <c r="K117">
        <f t="shared" si="2"/>
        <v>0.5</v>
      </c>
    </row>
    <row r="118" spans="1:11" x14ac:dyDescent="0.3">
      <c r="A118">
        <f>LOOKUP(9E+307,--MID(D118,1,{1,2,3,4,5}))</f>
        <v>5</v>
      </c>
      <c r="B118">
        <f>VLOOKUP(MID(D118,LOOKUP(2,1/ISNUMBER(-MID(D118,1,{1,2,3,4,5})),{1,2,3,4,5})+1,9),'Hue codes'!$A$1:$B$10,2,FALSE)</f>
        <v>30</v>
      </c>
      <c r="C118">
        <f t="shared" si="3"/>
        <v>35</v>
      </c>
      <c r="D118" s="162" t="s">
        <v>34</v>
      </c>
      <c r="E118" s="162">
        <v>2</v>
      </c>
      <c r="F118" s="162">
        <v>2</v>
      </c>
      <c r="G118" s="164">
        <v>0.1812</v>
      </c>
      <c r="H118" s="164">
        <v>0.20200000000000001</v>
      </c>
      <c r="I118" s="164">
        <v>0.14749999999999999</v>
      </c>
      <c r="J118" s="1" t="str">
        <f>HYPERLINK(SetRGB(J118,G118*255,H118*255,I118*255),"HOVER!")</f>
        <v>HOVER!</v>
      </c>
      <c r="K118">
        <f t="shared" si="2"/>
        <v>1</v>
      </c>
    </row>
    <row r="119" spans="1:11" x14ac:dyDescent="0.3">
      <c r="A119">
        <f>LOOKUP(9E+307,--MID(D119,1,{1,2,3,4,5}))</f>
        <v>5</v>
      </c>
      <c r="B119">
        <f>VLOOKUP(MID(D119,LOOKUP(2,1/ISNUMBER(-MID(D119,1,{1,2,3,4,5})),{1,2,3,4,5})+1,9),'Hue codes'!$A$1:$B$10,2,FALSE)</f>
        <v>30</v>
      </c>
      <c r="C119">
        <f t="shared" si="3"/>
        <v>35</v>
      </c>
      <c r="D119" s="162" t="s">
        <v>34</v>
      </c>
      <c r="E119" s="162">
        <v>2</v>
      </c>
      <c r="F119" s="162">
        <v>4</v>
      </c>
      <c r="G119" s="164">
        <v>0.16120000000000001</v>
      </c>
      <c r="H119" s="164">
        <v>0.2112</v>
      </c>
      <c r="I119" s="164">
        <v>7.3800000000000004E-2</v>
      </c>
      <c r="J119" s="1" t="str">
        <f>HYPERLINK(SetRGB(J119,G119*255,H119*255,I119*255),"HOVER!")</f>
        <v>HOVER!</v>
      </c>
      <c r="K119">
        <f t="shared" ref="K119:K182" si="4">E119/F119</f>
        <v>0.5</v>
      </c>
    </row>
    <row r="120" spans="1:11" x14ac:dyDescent="0.3">
      <c r="A120">
        <f>LOOKUP(9E+307,--MID(D120,1,{1,2,3,4,5}))</f>
        <v>7.5</v>
      </c>
      <c r="B120">
        <f>VLOOKUP(MID(D120,LOOKUP(2,1/ISNUMBER(-MID(D120,1,{1,2,3,4,5})),{1,2,3,4,5})+1,9),'Hue codes'!$A$1:$B$10,2,FALSE)</f>
        <v>30</v>
      </c>
      <c r="C120">
        <f t="shared" si="3"/>
        <v>37.5</v>
      </c>
      <c r="D120" s="162" t="s">
        <v>35</v>
      </c>
      <c r="E120" s="162">
        <v>2</v>
      </c>
      <c r="F120" s="162">
        <v>2</v>
      </c>
      <c r="G120" s="164">
        <v>0.17</v>
      </c>
      <c r="H120" s="164">
        <v>0.20399999999999999</v>
      </c>
      <c r="I120" s="164">
        <v>0.15840000000000001</v>
      </c>
      <c r="J120" s="88" t="str">
        <f>HYPERLINK(SetRGB(J120,G120*255,H120*255,I120*255),"HOVER!")</f>
        <v>HOVER!</v>
      </c>
      <c r="K120">
        <f t="shared" si="4"/>
        <v>1</v>
      </c>
    </row>
    <row r="121" spans="1:11" x14ac:dyDescent="0.3">
      <c r="A121">
        <f>LOOKUP(9E+307,--MID(D121,1,{1,2,3,4,5}))</f>
        <v>7.5</v>
      </c>
      <c r="B121">
        <f>VLOOKUP(MID(D121,LOOKUP(2,1/ISNUMBER(-MID(D121,1,{1,2,3,4,5})),{1,2,3,4,5})+1,9),'Hue codes'!$A$1:$B$10,2,FALSE)</f>
        <v>30</v>
      </c>
      <c r="C121">
        <f t="shared" si="3"/>
        <v>37.5</v>
      </c>
      <c r="D121" s="162" t="s">
        <v>35</v>
      </c>
      <c r="E121" s="162">
        <v>2</v>
      </c>
      <c r="F121" s="162">
        <v>4</v>
      </c>
      <c r="G121" s="164">
        <v>0.13320000000000001</v>
      </c>
      <c r="H121" s="164">
        <v>0.2155</v>
      </c>
      <c r="I121" s="164">
        <v>0.1028</v>
      </c>
      <c r="J121" s="1" t="str">
        <f>HYPERLINK(SetRGB(J121,G121*255,H121*255,I121*255),"HOVER!")</f>
        <v>HOVER!</v>
      </c>
      <c r="K121">
        <f t="shared" si="4"/>
        <v>0.5</v>
      </c>
    </row>
    <row r="122" spans="1:11" x14ac:dyDescent="0.3">
      <c r="A122">
        <f>LOOKUP(9E+307,--MID(D122,1,{1,2,3,4,5}))</f>
        <v>7.5</v>
      </c>
      <c r="B122">
        <f>VLOOKUP(MID(D122,LOOKUP(2,1/ISNUMBER(-MID(D122,1,{1,2,3,4,5})),{1,2,3,4,5})+1,9),'Hue codes'!$A$1:$B$10,2,FALSE)</f>
        <v>30</v>
      </c>
      <c r="C122">
        <f t="shared" si="3"/>
        <v>37.5</v>
      </c>
      <c r="D122" s="162" t="s">
        <v>35</v>
      </c>
      <c r="E122" s="162">
        <v>2</v>
      </c>
      <c r="F122" s="162">
        <v>6</v>
      </c>
      <c r="G122" s="164">
        <v>8.2699999999999996E-2</v>
      </c>
      <c r="H122" s="164">
        <v>0.22539999999999999</v>
      </c>
      <c r="I122" s="164">
        <v>2.8299999999999999E-2</v>
      </c>
      <c r="J122" s="1" t="str">
        <f>HYPERLINK(SetRGB(J122,G122*255,H122*255,I122*255),"HOVER!")</f>
        <v>HOVER!</v>
      </c>
      <c r="K122">
        <f t="shared" si="4"/>
        <v>0.33333333333333331</v>
      </c>
    </row>
    <row r="123" spans="1:11" x14ac:dyDescent="0.3">
      <c r="A123">
        <f>LOOKUP(9E+307,--MID(D123,1,{1,2,3,4,5}))</f>
        <v>10</v>
      </c>
      <c r="B123">
        <f>VLOOKUP(MID(D123,LOOKUP(2,1/ISNUMBER(-MID(D123,1,{1,2,3,4,5})),{1,2,3,4,5})+1,9),'Hue codes'!$A$1:$B$10,2,FALSE)</f>
        <v>30</v>
      </c>
      <c r="C123">
        <f t="shared" si="3"/>
        <v>40</v>
      </c>
      <c r="D123" s="162" t="s">
        <v>36</v>
      </c>
      <c r="E123" s="162">
        <v>2</v>
      </c>
      <c r="F123" s="162">
        <v>2</v>
      </c>
      <c r="G123" s="164">
        <v>0.16220000000000001</v>
      </c>
      <c r="H123" s="164">
        <v>0.20519999999999999</v>
      </c>
      <c r="I123" s="164">
        <v>0.1661</v>
      </c>
      <c r="J123" s="111" t="str">
        <f>HYPERLINK(SetRGB(J123,G123*255,H123*255,I123*255),"HOVER!")</f>
        <v>HOVER!</v>
      </c>
      <c r="K123">
        <f t="shared" si="4"/>
        <v>1</v>
      </c>
    </row>
    <row r="124" spans="1:11" x14ac:dyDescent="0.3">
      <c r="A124">
        <f>LOOKUP(9E+307,--MID(D124,1,{1,2,3,4,5}))</f>
        <v>10</v>
      </c>
      <c r="B124">
        <f>VLOOKUP(MID(D124,LOOKUP(2,1/ISNUMBER(-MID(D124,1,{1,2,3,4,5})),{1,2,3,4,5})+1,9),'Hue codes'!$A$1:$B$10,2,FALSE)</f>
        <v>30</v>
      </c>
      <c r="C124">
        <f t="shared" si="3"/>
        <v>40</v>
      </c>
      <c r="D124" s="162" t="s">
        <v>36</v>
      </c>
      <c r="E124" s="162">
        <v>2</v>
      </c>
      <c r="F124" s="162">
        <v>4</v>
      </c>
      <c r="G124" s="164">
        <v>0.1081</v>
      </c>
      <c r="H124" s="164">
        <v>0.21829999999999999</v>
      </c>
      <c r="I124" s="164">
        <v>0.12659999999999999</v>
      </c>
      <c r="J124" s="112" t="str">
        <f>HYPERLINK(SetRGB(J124,G124*255,H124*255,I124*255),"HOVER!")</f>
        <v>HOVER!</v>
      </c>
      <c r="K124">
        <f t="shared" si="4"/>
        <v>0.5</v>
      </c>
    </row>
    <row r="125" spans="1:11" x14ac:dyDescent="0.3">
      <c r="A125">
        <f>LOOKUP(9E+307,--MID(D125,1,{1,2,3,4,5}))</f>
        <v>10</v>
      </c>
      <c r="B125">
        <f>VLOOKUP(MID(D125,LOOKUP(2,1/ISNUMBER(-MID(D125,1,{1,2,3,4,5})),{1,2,3,4,5})+1,9),'Hue codes'!$A$1:$B$10,2,FALSE)</f>
        <v>30</v>
      </c>
      <c r="C125">
        <f t="shared" si="3"/>
        <v>40</v>
      </c>
      <c r="D125" s="162" t="s">
        <v>36</v>
      </c>
      <c r="E125" s="162">
        <v>2</v>
      </c>
      <c r="F125" s="162">
        <v>6</v>
      </c>
      <c r="G125" s="164">
        <v>1.34E-2</v>
      </c>
      <c r="H125" s="164">
        <v>0.22889999999999999</v>
      </c>
      <c r="I125" s="164">
        <v>8.48E-2</v>
      </c>
      <c r="J125" s="1" t="str">
        <f>HYPERLINK(SetRGB(J125,G125*255,H125*255,I125*255),"HOVER!")</f>
        <v>HOVER!</v>
      </c>
      <c r="K125">
        <f t="shared" si="4"/>
        <v>0.33333333333333331</v>
      </c>
    </row>
    <row r="126" spans="1:11" x14ac:dyDescent="0.3">
      <c r="A126">
        <f>LOOKUP(9E+307,--MID(D126,1,{1,2,3,4,5}))</f>
        <v>2.5</v>
      </c>
      <c r="B126">
        <f>VLOOKUP(MID(D126,LOOKUP(2,1/ISNUMBER(-MID(D126,1,{1,2,3,4,5})),{1,2,3,4,5})+1,9),'Hue codes'!$A$1:$B$10,2,FALSE)</f>
        <v>40</v>
      </c>
      <c r="C126">
        <f t="shared" si="3"/>
        <v>42.5</v>
      </c>
      <c r="D126" s="162" t="s">
        <v>37</v>
      </c>
      <c r="E126" s="162">
        <v>2</v>
      </c>
      <c r="F126" s="162">
        <v>2</v>
      </c>
      <c r="G126" s="164">
        <v>0.15459999999999999</v>
      </c>
      <c r="H126" s="164">
        <v>0.20619999999999999</v>
      </c>
      <c r="I126" s="164">
        <v>0.17380000000000001</v>
      </c>
      <c r="J126" s="91" t="str">
        <f>HYPERLINK(SetRGB(J126,G126*255,H126*255,I126*255),"HOVER!")</f>
        <v>HOVER!</v>
      </c>
      <c r="K126">
        <f t="shared" si="4"/>
        <v>1</v>
      </c>
    </row>
    <row r="127" spans="1:11" x14ac:dyDescent="0.3">
      <c r="A127">
        <f>LOOKUP(9E+307,--MID(D127,1,{1,2,3,4,5}))</f>
        <v>2.5</v>
      </c>
      <c r="B127">
        <f>VLOOKUP(MID(D127,LOOKUP(2,1/ISNUMBER(-MID(D127,1,{1,2,3,4,5})),{1,2,3,4,5})+1,9),'Hue codes'!$A$1:$B$10,2,FALSE)</f>
        <v>40</v>
      </c>
      <c r="C127">
        <f t="shared" si="3"/>
        <v>42.5</v>
      </c>
      <c r="D127" s="162" t="s">
        <v>37</v>
      </c>
      <c r="E127" s="162">
        <v>2</v>
      </c>
      <c r="F127" s="162">
        <v>4</v>
      </c>
      <c r="G127" s="164">
        <v>8.3099999999999993E-2</v>
      </c>
      <c r="H127" s="164">
        <v>0.22</v>
      </c>
      <c r="I127" s="164">
        <v>0.14899999999999999</v>
      </c>
      <c r="J127" s="1" t="str">
        <f>HYPERLINK(SetRGB(J127,G127*255,H127*255,I127*255),"HOVER!")</f>
        <v>HOVER!</v>
      </c>
      <c r="K127">
        <f t="shared" si="4"/>
        <v>0.5</v>
      </c>
    </row>
    <row r="128" spans="1:11" x14ac:dyDescent="0.3">
      <c r="A128">
        <f>LOOKUP(9E+307,--MID(D128,1,{1,2,3,4,5}))</f>
        <v>5</v>
      </c>
      <c r="B128">
        <f>VLOOKUP(MID(D128,LOOKUP(2,1/ISNUMBER(-MID(D128,1,{1,2,3,4,5})),{1,2,3,4,5})+1,9),'Hue codes'!$A$1:$B$10,2,FALSE)</f>
        <v>40</v>
      </c>
      <c r="C128">
        <f t="shared" si="3"/>
        <v>45</v>
      </c>
      <c r="D128" s="162" t="s">
        <v>38</v>
      </c>
      <c r="E128" s="162">
        <v>2</v>
      </c>
      <c r="F128" s="162">
        <v>2</v>
      </c>
      <c r="G128" s="164">
        <v>0.14979999999999999</v>
      </c>
      <c r="H128" s="164">
        <v>0.20669999999999999</v>
      </c>
      <c r="I128" s="164">
        <v>0.1794</v>
      </c>
      <c r="J128" s="113" t="str">
        <f>HYPERLINK(SetRGB(J128,G128*255,H128*255,I128*255),"HOVER!")</f>
        <v>HOVER!</v>
      </c>
      <c r="K128">
        <f t="shared" si="4"/>
        <v>1</v>
      </c>
    </row>
    <row r="129" spans="1:11" x14ac:dyDescent="0.3">
      <c r="A129">
        <f>LOOKUP(9E+307,--MID(D129,1,{1,2,3,4,5}))</f>
        <v>5</v>
      </c>
      <c r="B129">
        <f>VLOOKUP(MID(D129,LOOKUP(2,1/ISNUMBER(-MID(D129,1,{1,2,3,4,5})),{1,2,3,4,5})+1,9),'Hue codes'!$A$1:$B$10,2,FALSE)</f>
        <v>40</v>
      </c>
      <c r="C129">
        <f t="shared" si="3"/>
        <v>45</v>
      </c>
      <c r="D129" s="162" t="s">
        <v>38</v>
      </c>
      <c r="E129" s="162">
        <v>2</v>
      </c>
      <c r="F129" s="162">
        <v>4</v>
      </c>
      <c r="G129" s="164">
        <v>6.6000000000000003E-2</v>
      </c>
      <c r="H129" s="164">
        <v>0.2208</v>
      </c>
      <c r="I129" s="164">
        <v>0.1623</v>
      </c>
      <c r="J129" s="87" t="str">
        <f>HYPERLINK(SetRGB(J129,G129*255,H129*255,I129*255),"HOVER!")</f>
        <v>HOVER!</v>
      </c>
      <c r="K129">
        <f t="shared" si="4"/>
        <v>0.5</v>
      </c>
    </row>
    <row r="130" spans="1:11" x14ac:dyDescent="0.3">
      <c r="A130">
        <f>LOOKUP(9E+307,--MID(D130,1,{1,2,3,4,5}))</f>
        <v>7.5</v>
      </c>
      <c r="B130">
        <f>VLOOKUP(MID(D130,LOOKUP(2,1/ISNUMBER(-MID(D130,1,{1,2,3,4,5})),{1,2,3,4,5})+1,9),'Hue codes'!$A$1:$B$10,2,FALSE)</f>
        <v>40</v>
      </c>
      <c r="C130">
        <f t="shared" si="3"/>
        <v>47.5</v>
      </c>
      <c r="D130" s="162" t="s">
        <v>39</v>
      </c>
      <c r="E130" s="162">
        <v>2</v>
      </c>
      <c r="F130" s="162">
        <v>2</v>
      </c>
      <c r="G130" s="164">
        <v>0.1459</v>
      </c>
      <c r="H130" s="164">
        <v>0.20710000000000001</v>
      </c>
      <c r="I130" s="164">
        <v>0.1842</v>
      </c>
      <c r="J130" s="114" t="str">
        <f>HYPERLINK(SetRGB(J130,G130*255,H130*255,I130*255),"HOVER!")</f>
        <v>HOVER!</v>
      </c>
      <c r="K130">
        <f t="shared" si="4"/>
        <v>1</v>
      </c>
    </row>
    <row r="131" spans="1:11" x14ac:dyDescent="0.3">
      <c r="A131">
        <f>LOOKUP(9E+307,--MID(D131,1,{1,2,3,4,5}))</f>
        <v>7.5</v>
      </c>
      <c r="B131">
        <f>VLOOKUP(MID(D131,LOOKUP(2,1/ISNUMBER(-MID(D131,1,{1,2,3,4,5})),{1,2,3,4,5})+1,9),'Hue codes'!$A$1:$B$10,2,FALSE)</f>
        <v>40</v>
      </c>
      <c r="C131">
        <f t="shared" ref="C131:C194" si="5">IF(A131+B131=100,0,A131+B131)</f>
        <v>47.5</v>
      </c>
      <c r="D131" s="162" t="s">
        <v>39</v>
      </c>
      <c r="E131" s="162">
        <v>2</v>
      </c>
      <c r="F131" s="162">
        <v>4</v>
      </c>
      <c r="G131" s="164">
        <v>4.9500000000000002E-2</v>
      </c>
      <c r="H131" s="164">
        <v>0.2213</v>
      </c>
      <c r="I131" s="164">
        <v>0.17399999999999999</v>
      </c>
      <c r="J131" s="115" t="str">
        <f>HYPERLINK(SetRGB(J131,G131*255,H131*255,I131*255),"HOVER!")</f>
        <v>HOVER!</v>
      </c>
      <c r="K131">
        <f t="shared" si="4"/>
        <v>0.5</v>
      </c>
    </row>
    <row r="132" spans="1:11" x14ac:dyDescent="0.3">
      <c r="A132">
        <f>LOOKUP(9E+307,--MID(D132,1,{1,2,3,4,5}))</f>
        <v>10</v>
      </c>
      <c r="B132">
        <f>VLOOKUP(MID(D132,LOOKUP(2,1/ISNUMBER(-MID(D132,1,{1,2,3,4,5})),{1,2,3,4,5})+1,9),'Hue codes'!$A$1:$B$10,2,FALSE)</f>
        <v>40</v>
      </c>
      <c r="C132">
        <f t="shared" si="5"/>
        <v>50</v>
      </c>
      <c r="D132" s="162" t="s">
        <v>40</v>
      </c>
      <c r="E132" s="162">
        <v>2</v>
      </c>
      <c r="F132" s="162">
        <v>2</v>
      </c>
      <c r="G132" s="164">
        <v>0.1424</v>
      </c>
      <c r="H132" s="164">
        <v>0.20730000000000001</v>
      </c>
      <c r="I132" s="164">
        <v>0.18970000000000001</v>
      </c>
      <c r="J132" s="86" t="str">
        <f>HYPERLINK(SetRGB(J132,G132*255,H132*255,I132*255),"HOVER!")</f>
        <v>HOVER!</v>
      </c>
      <c r="K132">
        <f t="shared" si="4"/>
        <v>1</v>
      </c>
    </row>
    <row r="133" spans="1:11" x14ac:dyDescent="0.3">
      <c r="A133">
        <f>LOOKUP(9E+307,--MID(D133,1,{1,2,3,4,5}))</f>
        <v>10</v>
      </c>
      <c r="B133">
        <f>VLOOKUP(MID(D133,LOOKUP(2,1/ISNUMBER(-MID(D133,1,{1,2,3,4,5})),{1,2,3,4,5})+1,9),'Hue codes'!$A$1:$B$10,2,FALSE)</f>
        <v>40</v>
      </c>
      <c r="C133">
        <f t="shared" si="5"/>
        <v>50</v>
      </c>
      <c r="D133" s="162" t="s">
        <v>40</v>
      </c>
      <c r="E133" s="162">
        <v>2</v>
      </c>
      <c r="F133" s="162">
        <v>4</v>
      </c>
      <c r="G133" s="164">
        <v>2.8199999999999999E-2</v>
      </c>
      <c r="H133" s="164">
        <v>0.22159999999999999</v>
      </c>
      <c r="I133" s="164">
        <v>0.18609999999999999</v>
      </c>
      <c r="J133" s="183" t="str">
        <f>HYPERLINK(SetRGB(J133,G133*255,H133*255,I133*255),"HOVER!")</f>
        <v>HOVER!</v>
      </c>
      <c r="K133">
        <f t="shared" si="4"/>
        <v>0.5</v>
      </c>
    </row>
    <row r="134" spans="1:11" x14ac:dyDescent="0.3">
      <c r="A134">
        <f>LOOKUP(9E+307,--MID(D134,1,{1,2,3,4,5}))</f>
        <v>2.5</v>
      </c>
      <c r="B134">
        <f>VLOOKUP(MID(D134,LOOKUP(2,1/ISNUMBER(-MID(D134,1,{1,2,3,4,5})),{1,2,3,4,5})+1,9),'Hue codes'!$A$1:$B$10,2,FALSE)</f>
        <v>50</v>
      </c>
      <c r="C134">
        <f t="shared" si="5"/>
        <v>52.5</v>
      </c>
      <c r="D134" s="162" t="s">
        <v>41</v>
      </c>
      <c r="E134" s="162">
        <v>2</v>
      </c>
      <c r="F134" s="162">
        <v>2</v>
      </c>
      <c r="G134" s="164">
        <v>0.1384</v>
      </c>
      <c r="H134" s="164">
        <v>0.2074</v>
      </c>
      <c r="I134" s="164">
        <v>0.1961</v>
      </c>
      <c r="J134" s="204" t="str">
        <f>HYPERLINK(SetRGB(J134,G134*255,H134*255,I134*255),"HOVER!")</f>
        <v>HOVER!</v>
      </c>
      <c r="K134">
        <f t="shared" si="4"/>
        <v>1</v>
      </c>
    </row>
    <row r="135" spans="1:11" x14ac:dyDescent="0.3">
      <c r="A135">
        <f>LOOKUP(9E+307,--MID(D135,1,{1,2,3,4,5}))</f>
        <v>2.5</v>
      </c>
      <c r="B135">
        <f>VLOOKUP(MID(D135,LOOKUP(2,1/ISNUMBER(-MID(D135,1,{1,2,3,4,5})),{1,2,3,4,5})+1,9),'Hue codes'!$A$1:$B$10,2,FALSE)</f>
        <v>50</v>
      </c>
      <c r="C135">
        <f t="shared" si="5"/>
        <v>52.5</v>
      </c>
      <c r="D135" s="162" t="s">
        <v>41</v>
      </c>
      <c r="E135" s="162">
        <v>2</v>
      </c>
      <c r="F135" s="162">
        <v>4</v>
      </c>
      <c r="G135" s="164">
        <v>-8.9999999999999998E-4</v>
      </c>
      <c r="H135" s="164">
        <v>0.2215</v>
      </c>
      <c r="I135" s="164">
        <v>0.2006</v>
      </c>
      <c r="J135" s="209" t="str">
        <f>HYPERLINK(SetRGB(J135,G135*255,H135*255,I135*255),"HOVER!")</f>
        <v>HOVER!</v>
      </c>
      <c r="K135">
        <f t="shared" si="4"/>
        <v>0.5</v>
      </c>
    </row>
    <row r="136" spans="1:11" x14ac:dyDescent="0.3">
      <c r="A136">
        <f>LOOKUP(9E+307,--MID(D136,1,{1,2,3,4,5}))</f>
        <v>5</v>
      </c>
      <c r="B136">
        <f>VLOOKUP(MID(D136,LOOKUP(2,1/ISNUMBER(-MID(D136,1,{1,2,3,4,5})),{1,2,3,4,5})+1,9),'Hue codes'!$A$1:$B$10,2,FALSE)</f>
        <v>50</v>
      </c>
      <c r="C136">
        <f t="shared" si="5"/>
        <v>55</v>
      </c>
      <c r="D136" s="162" t="s">
        <v>42</v>
      </c>
      <c r="E136" s="162">
        <v>2</v>
      </c>
      <c r="F136" s="162">
        <v>2</v>
      </c>
      <c r="G136" s="164">
        <v>0.13389999999999999</v>
      </c>
      <c r="H136" s="164">
        <v>0.2074</v>
      </c>
      <c r="I136" s="164">
        <v>0.20469999999999999</v>
      </c>
      <c r="J136" s="1" t="str">
        <f>HYPERLINK(SetRGB(J136,G136*255,H136*255,I136*255),"HOVER!")</f>
        <v>HOVER!</v>
      </c>
      <c r="K136">
        <f t="shared" si="4"/>
        <v>1</v>
      </c>
    </row>
    <row r="137" spans="1:11" x14ac:dyDescent="0.3">
      <c r="A137">
        <f>LOOKUP(9E+307,--MID(D137,1,{1,2,3,4,5}))</f>
        <v>7.5</v>
      </c>
      <c r="B137">
        <f>VLOOKUP(MID(D137,LOOKUP(2,1/ISNUMBER(-MID(D137,1,{1,2,3,4,5})),{1,2,3,4,5})+1,9),'Hue codes'!$A$1:$B$10,2,FALSE)</f>
        <v>50</v>
      </c>
      <c r="C137">
        <f t="shared" si="5"/>
        <v>57.5</v>
      </c>
      <c r="D137" s="162" t="s">
        <v>43</v>
      </c>
      <c r="E137" s="162">
        <v>2</v>
      </c>
      <c r="F137" s="162">
        <v>2</v>
      </c>
      <c r="G137" s="164">
        <v>0.13159999999999999</v>
      </c>
      <c r="H137" s="164">
        <v>0.20710000000000001</v>
      </c>
      <c r="I137" s="164">
        <v>0.21149999999999999</v>
      </c>
      <c r="J137" s="1" t="str">
        <f>HYPERLINK(SetRGB(J137,G137*255,H137*255,I137*255),"HOVER!")</f>
        <v>HOVER!</v>
      </c>
      <c r="K137">
        <f t="shared" si="4"/>
        <v>1</v>
      </c>
    </row>
    <row r="138" spans="1:11" x14ac:dyDescent="0.3">
      <c r="A138">
        <f>LOOKUP(9E+307,--MID(D138,1,{1,2,3,4,5}))</f>
        <v>10</v>
      </c>
      <c r="B138">
        <f>VLOOKUP(MID(D138,LOOKUP(2,1/ISNUMBER(-MID(D138,1,{1,2,3,4,5})),{1,2,3,4,5})+1,9),'Hue codes'!$A$1:$B$10,2,FALSE)</f>
        <v>50</v>
      </c>
      <c r="C138">
        <f t="shared" si="5"/>
        <v>60</v>
      </c>
      <c r="D138" s="162" t="s">
        <v>44</v>
      </c>
      <c r="E138" s="162">
        <v>2</v>
      </c>
      <c r="F138" s="162">
        <v>2</v>
      </c>
      <c r="G138" s="164">
        <v>0.13020000000000001</v>
      </c>
      <c r="H138" s="164">
        <v>0.20649999999999999</v>
      </c>
      <c r="I138" s="164">
        <v>0.21909999999999999</v>
      </c>
      <c r="J138" s="248" t="str">
        <f>HYPERLINK(SetRGB(J138,G138*255,H138*255,I138*255),"HOVER!")</f>
        <v>HOVER!</v>
      </c>
      <c r="K138">
        <f t="shared" si="4"/>
        <v>1</v>
      </c>
    </row>
    <row r="139" spans="1:11" x14ac:dyDescent="0.3">
      <c r="A139">
        <f>LOOKUP(9E+307,--MID(D139,1,{1,2,3,4,5}))</f>
        <v>2.5</v>
      </c>
      <c r="B139">
        <f>VLOOKUP(MID(D139,LOOKUP(2,1/ISNUMBER(-MID(D139,1,{1,2,3,4,5})),{1,2,3,4,5})+1,9),'Hue codes'!$A$1:$B$10,2,FALSE)</f>
        <v>60</v>
      </c>
      <c r="C139">
        <f t="shared" si="5"/>
        <v>62.5</v>
      </c>
      <c r="D139" s="162" t="s">
        <v>45</v>
      </c>
      <c r="E139" s="162">
        <v>2</v>
      </c>
      <c r="F139" s="162">
        <v>2</v>
      </c>
      <c r="G139" s="164">
        <v>0.13059999999999999</v>
      </c>
      <c r="H139" s="164">
        <v>0.20569999999999999</v>
      </c>
      <c r="I139" s="164">
        <v>0.22509999999999999</v>
      </c>
      <c r="J139" s="1" t="str">
        <f>HYPERLINK(SetRGB(J139,G139*255,H139*255,I139*255),"HOVER!")</f>
        <v>HOVER!</v>
      </c>
      <c r="K139">
        <f t="shared" si="4"/>
        <v>1</v>
      </c>
    </row>
    <row r="140" spans="1:11" x14ac:dyDescent="0.3">
      <c r="A140">
        <f>LOOKUP(9E+307,--MID(D140,1,{1,2,3,4,5}))</f>
        <v>5</v>
      </c>
      <c r="B140">
        <f>VLOOKUP(MID(D140,LOOKUP(2,1/ISNUMBER(-MID(D140,1,{1,2,3,4,5})),{1,2,3,4,5})+1,9),'Hue codes'!$A$1:$B$10,2,FALSE)</f>
        <v>60</v>
      </c>
      <c r="C140">
        <f t="shared" si="5"/>
        <v>65</v>
      </c>
      <c r="D140" s="162" t="s">
        <v>46</v>
      </c>
      <c r="E140" s="162">
        <v>2</v>
      </c>
      <c r="F140" s="162">
        <v>2</v>
      </c>
      <c r="G140" s="164">
        <v>0.13239999999999999</v>
      </c>
      <c r="H140" s="164">
        <v>0.2046</v>
      </c>
      <c r="I140" s="164">
        <v>0.23069999999999999</v>
      </c>
      <c r="J140" s="1" t="str">
        <f>HYPERLINK(SetRGB(J140,G140*255,H140*255,I140*255),"HOVER!")</f>
        <v>HOVER!</v>
      </c>
      <c r="K140">
        <f t="shared" si="4"/>
        <v>1</v>
      </c>
    </row>
    <row r="141" spans="1:11" x14ac:dyDescent="0.3">
      <c r="A141">
        <f>LOOKUP(9E+307,--MID(D141,1,{1,2,3,4,5}))</f>
        <v>7.5</v>
      </c>
      <c r="B141">
        <f>VLOOKUP(MID(D141,LOOKUP(2,1/ISNUMBER(-MID(D141,1,{1,2,3,4,5})),{1,2,3,4,5})+1,9),'Hue codes'!$A$1:$B$10,2,FALSE)</f>
        <v>60</v>
      </c>
      <c r="C141">
        <f t="shared" si="5"/>
        <v>67.5</v>
      </c>
      <c r="D141" s="162" t="s">
        <v>47</v>
      </c>
      <c r="E141" s="162">
        <v>2</v>
      </c>
      <c r="F141" s="162">
        <v>2</v>
      </c>
      <c r="G141" s="164">
        <v>0.13619999999999999</v>
      </c>
      <c r="H141" s="164">
        <v>0.2031</v>
      </c>
      <c r="I141" s="164">
        <v>0.2369</v>
      </c>
      <c r="J141" s="1" t="str">
        <f>HYPERLINK(SetRGB(J141,G141*255,H141*255,I141*255),"HOVER!")</f>
        <v>HOVER!</v>
      </c>
      <c r="K141">
        <f t="shared" si="4"/>
        <v>1</v>
      </c>
    </row>
    <row r="142" spans="1:11" x14ac:dyDescent="0.3">
      <c r="A142">
        <f>LOOKUP(9E+307,--MID(D142,1,{1,2,3,4,5}))</f>
        <v>7.5</v>
      </c>
      <c r="B142">
        <f>VLOOKUP(MID(D142,LOOKUP(2,1/ISNUMBER(-MID(D142,1,{1,2,3,4,5})),{1,2,3,4,5})+1,9),'Hue codes'!$A$1:$B$10,2,FALSE)</f>
        <v>60</v>
      </c>
      <c r="C142">
        <f t="shared" si="5"/>
        <v>67.5</v>
      </c>
      <c r="D142" s="162" t="s">
        <v>47</v>
      </c>
      <c r="E142" s="162">
        <v>2</v>
      </c>
      <c r="F142" s="162">
        <v>4</v>
      </c>
      <c r="G142" s="164">
        <v>1.7299999999999999E-2</v>
      </c>
      <c r="H142" s="164">
        <v>0.2104</v>
      </c>
      <c r="I142" s="164">
        <v>0.28339999999999999</v>
      </c>
      <c r="J142" s="1" t="str">
        <f>HYPERLINK(SetRGB(J142,G142*255,H142*255,I142*255),"HOVER!")</f>
        <v>HOVER!</v>
      </c>
      <c r="K142">
        <f t="shared" si="4"/>
        <v>0.5</v>
      </c>
    </row>
    <row r="143" spans="1:11" x14ac:dyDescent="0.3">
      <c r="A143">
        <f>LOOKUP(9E+307,--MID(D143,1,{1,2,3,4,5}))</f>
        <v>10</v>
      </c>
      <c r="B143">
        <f>VLOOKUP(MID(D143,LOOKUP(2,1/ISNUMBER(-MID(D143,1,{1,2,3,4,5})),{1,2,3,4,5})+1,9),'Hue codes'!$A$1:$B$10,2,FALSE)</f>
        <v>60</v>
      </c>
      <c r="C143">
        <f t="shared" si="5"/>
        <v>70</v>
      </c>
      <c r="D143" s="162" t="s">
        <v>48</v>
      </c>
      <c r="E143" s="162">
        <v>2</v>
      </c>
      <c r="F143" s="162">
        <v>2</v>
      </c>
      <c r="G143" s="164">
        <v>0.1452</v>
      </c>
      <c r="H143" s="164">
        <v>0.20050000000000001</v>
      </c>
      <c r="I143" s="164">
        <v>0.2424</v>
      </c>
      <c r="J143" s="1" t="str">
        <f>HYPERLINK(SetRGB(J143,G143*255,H143*255,I143*255),"HOVER!")</f>
        <v>HOVER!</v>
      </c>
      <c r="K143">
        <f t="shared" si="4"/>
        <v>1</v>
      </c>
    </row>
    <row r="144" spans="1:11" x14ac:dyDescent="0.3">
      <c r="A144">
        <f>LOOKUP(9E+307,--MID(D144,1,{1,2,3,4,5}))</f>
        <v>10</v>
      </c>
      <c r="B144">
        <f>VLOOKUP(MID(D144,LOOKUP(2,1/ISNUMBER(-MID(D144,1,{1,2,3,4,5})),{1,2,3,4,5})+1,9),'Hue codes'!$A$1:$B$10,2,FALSE)</f>
        <v>60</v>
      </c>
      <c r="C144">
        <f t="shared" si="5"/>
        <v>70</v>
      </c>
      <c r="D144" s="162" t="s">
        <v>48</v>
      </c>
      <c r="E144" s="162">
        <v>2</v>
      </c>
      <c r="F144" s="162">
        <v>4</v>
      </c>
      <c r="G144" s="164">
        <v>6.0499999999999998E-2</v>
      </c>
      <c r="H144" s="164">
        <v>0.20619999999999999</v>
      </c>
      <c r="I144" s="164">
        <v>0.29060000000000002</v>
      </c>
      <c r="J144" s="1" t="str">
        <f>HYPERLINK(SetRGB(J144,G144*255,H144*255,I144*255),"HOVER!")</f>
        <v>HOVER!</v>
      </c>
      <c r="K144">
        <f t="shared" si="4"/>
        <v>0.5</v>
      </c>
    </row>
    <row r="145" spans="1:11" x14ac:dyDescent="0.3">
      <c r="A145">
        <f>LOOKUP(9E+307,--MID(D145,1,{1,2,3,4,5}))</f>
        <v>2.5</v>
      </c>
      <c r="B145">
        <f>VLOOKUP(MID(D145,LOOKUP(2,1/ISNUMBER(-MID(D145,1,{1,2,3,4,5})),{1,2,3,4,5})+1,9),'Hue codes'!$A$1:$B$10,2,FALSE)</f>
        <v>70</v>
      </c>
      <c r="C145">
        <f t="shared" si="5"/>
        <v>72.5</v>
      </c>
      <c r="D145" s="162" t="s">
        <v>49</v>
      </c>
      <c r="E145" s="162">
        <v>2</v>
      </c>
      <c r="F145" s="162">
        <v>2</v>
      </c>
      <c r="G145" s="164">
        <v>0.156</v>
      </c>
      <c r="H145" s="164">
        <v>0.19769999999999999</v>
      </c>
      <c r="I145" s="164">
        <v>0.2455</v>
      </c>
      <c r="J145" s="1" t="str">
        <f>HYPERLINK(SetRGB(J145,G145*255,H145*255,I145*255),"HOVER!")</f>
        <v>HOVER!</v>
      </c>
      <c r="K145">
        <f t="shared" si="4"/>
        <v>1</v>
      </c>
    </row>
    <row r="146" spans="1:11" x14ac:dyDescent="0.3">
      <c r="A146">
        <f>LOOKUP(9E+307,--MID(D146,1,{1,2,3,4,5}))</f>
        <v>2.5</v>
      </c>
      <c r="B146">
        <f>VLOOKUP(MID(D146,LOOKUP(2,1/ISNUMBER(-MID(D146,1,{1,2,3,4,5})),{1,2,3,4,5})+1,9),'Hue codes'!$A$1:$B$10,2,FALSE)</f>
        <v>70</v>
      </c>
      <c r="C146">
        <f t="shared" si="5"/>
        <v>72.5</v>
      </c>
      <c r="D146" s="162" t="s">
        <v>49</v>
      </c>
      <c r="E146" s="162">
        <v>2</v>
      </c>
      <c r="F146" s="162">
        <v>4</v>
      </c>
      <c r="G146" s="164">
        <v>9.9500000000000005E-2</v>
      </c>
      <c r="H146" s="164">
        <v>0.20069999999999999</v>
      </c>
      <c r="I146" s="164">
        <v>0.29530000000000001</v>
      </c>
      <c r="J146" s="1" t="str">
        <f>HYPERLINK(SetRGB(J146,G146*255,H146*255,I146*255),"HOVER!")</f>
        <v>HOVER!</v>
      </c>
      <c r="K146">
        <f t="shared" si="4"/>
        <v>0.5</v>
      </c>
    </row>
    <row r="147" spans="1:11" x14ac:dyDescent="0.3">
      <c r="A147">
        <f>LOOKUP(9E+307,--MID(D147,1,{1,2,3,4,5}))</f>
        <v>5</v>
      </c>
      <c r="B147">
        <f>VLOOKUP(MID(D147,LOOKUP(2,1/ISNUMBER(-MID(D147,1,{1,2,3,4,5})),{1,2,3,4,5})+1,9),'Hue codes'!$A$1:$B$10,2,FALSE)</f>
        <v>70</v>
      </c>
      <c r="C147">
        <f t="shared" si="5"/>
        <v>75</v>
      </c>
      <c r="D147" s="162" t="s">
        <v>50</v>
      </c>
      <c r="E147" s="162">
        <v>2</v>
      </c>
      <c r="F147" s="162">
        <v>2</v>
      </c>
      <c r="G147" s="164">
        <v>0.1686</v>
      </c>
      <c r="H147" s="164">
        <v>0.19409999999999999</v>
      </c>
      <c r="I147" s="164">
        <v>0.2485</v>
      </c>
      <c r="J147" s="1" t="str">
        <f>HYPERLINK(SetRGB(J147,G147*255,H147*255,I147*255),"HOVER!")</f>
        <v>HOVER!</v>
      </c>
      <c r="K147">
        <f t="shared" si="4"/>
        <v>1</v>
      </c>
    </row>
    <row r="148" spans="1:11" x14ac:dyDescent="0.3">
      <c r="A148">
        <f>LOOKUP(9E+307,--MID(D148,1,{1,2,3,4,5}))</f>
        <v>5</v>
      </c>
      <c r="B148">
        <f>VLOOKUP(MID(D148,LOOKUP(2,1/ISNUMBER(-MID(D148,1,{1,2,3,4,5})),{1,2,3,4,5})+1,9),'Hue codes'!$A$1:$B$10,2,FALSE)</f>
        <v>70</v>
      </c>
      <c r="C148">
        <f t="shared" si="5"/>
        <v>75</v>
      </c>
      <c r="D148" s="162" t="s">
        <v>50</v>
      </c>
      <c r="E148" s="162">
        <v>2</v>
      </c>
      <c r="F148" s="162">
        <v>4</v>
      </c>
      <c r="G148" s="164">
        <v>0.13200000000000001</v>
      </c>
      <c r="H148" s="164">
        <v>0.19450000000000001</v>
      </c>
      <c r="I148" s="164">
        <v>0.29830000000000001</v>
      </c>
      <c r="J148" s="1" t="str">
        <f>HYPERLINK(SetRGB(J148,G148*255,H148*255,I148*255),"HOVER!")</f>
        <v>HOVER!</v>
      </c>
      <c r="K148">
        <f t="shared" si="4"/>
        <v>0.5</v>
      </c>
    </row>
    <row r="149" spans="1:11" x14ac:dyDescent="0.3">
      <c r="A149">
        <f>LOOKUP(9E+307,--MID(D149,1,{1,2,3,4,5}))</f>
        <v>5</v>
      </c>
      <c r="B149">
        <f>VLOOKUP(MID(D149,LOOKUP(2,1/ISNUMBER(-MID(D149,1,{1,2,3,4,5})),{1,2,3,4,5})+1,9),'Hue codes'!$A$1:$B$10,2,FALSE)</f>
        <v>70</v>
      </c>
      <c r="C149">
        <f t="shared" si="5"/>
        <v>75</v>
      </c>
      <c r="D149" s="162" t="s">
        <v>50</v>
      </c>
      <c r="E149" s="162">
        <v>2</v>
      </c>
      <c r="F149" s="162">
        <v>6</v>
      </c>
      <c r="G149" s="164">
        <v>6.6500000000000004E-2</v>
      </c>
      <c r="H149" s="164">
        <v>0.19439999999999999</v>
      </c>
      <c r="I149" s="164">
        <v>0.35</v>
      </c>
      <c r="J149" s="1" t="str">
        <f>HYPERLINK(SetRGB(J149,G149*255,H149*255,I149*255),"HOVER!")</f>
        <v>HOVER!</v>
      </c>
      <c r="K149">
        <f t="shared" si="4"/>
        <v>0.33333333333333331</v>
      </c>
    </row>
    <row r="150" spans="1:11" x14ac:dyDescent="0.3">
      <c r="A150">
        <f>LOOKUP(9E+307,--MID(D150,1,{1,2,3,4,5}))</f>
        <v>7.5</v>
      </c>
      <c r="B150">
        <f>VLOOKUP(MID(D150,LOOKUP(2,1/ISNUMBER(-MID(D150,1,{1,2,3,4,5})),{1,2,3,4,5})+1,9),'Hue codes'!$A$1:$B$10,2,FALSE)</f>
        <v>70</v>
      </c>
      <c r="C150">
        <f t="shared" si="5"/>
        <v>77.5</v>
      </c>
      <c r="D150" s="162" t="s">
        <v>51</v>
      </c>
      <c r="E150" s="162">
        <v>2</v>
      </c>
      <c r="F150" s="162">
        <v>2</v>
      </c>
      <c r="G150" s="164">
        <v>0.18440000000000001</v>
      </c>
      <c r="H150" s="164">
        <v>0.18959999999999999</v>
      </c>
      <c r="I150" s="164">
        <v>0.25</v>
      </c>
      <c r="J150" s="261" t="str">
        <f>HYPERLINK(SetRGB(J150,G150*255,H150*255,I150*255),"HOVER!")</f>
        <v>HOVER!</v>
      </c>
      <c r="K150">
        <f t="shared" si="4"/>
        <v>1</v>
      </c>
    </row>
    <row r="151" spans="1:11" x14ac:dyDescent="0.3">
      <c r="A151">
        <f>LOOKUP(9E+307,--MID(D151,1,{1,2,3,4,5}))</f>
        <v>7.5</v>
      </c>
      <c r="B151">
        <f>VLOOKUP(MID(D151,LOOKUP(2,1/ISNUMBER(-MID(D151,1,{1,2,3,4,5})),{1,2,3,4,5})+1,9),'Hue codes'!$A$1:$B$10,2,FALSE)</f>
        <v>70</v>
      </c>
      <c r="C151">
        <f t="shared" si="5"/>
        <v>77.5</v>
      </c>
      <c r="D151" s="162" t="s">
        <v>51</v>
      </c>
      <c r="E151" s="162">
        <v>2</v>
      </c>
      <c r="F151" s="162">
        <v>4</v>
      </c>
      <c r="G151" s="164">
        <v>0.17299999999999999</v>
      </c>
      <c r="H151" s="164">
        <v>0.18459999999999999</v>
      </c>
      <c r="I151" s="164">
        <v>0.29859999999999998</v>
      </c>
      <c r="J151" s="1" t="str">
        <f>HYPERLINK(SetRGB(J151,G151*255,H151*255,I151*255),"HOVER!")</f>
        <v>HOVER!</v>
      </c>
      <c r="K151">
        <f t="shared" si="4"/>
        <v>0.5</v>
      </c>
    </row>
    <row r="152" spans="1:11" x14ac:dyDescent="0.3">
      <c r="A152">
        <f>LOOKUP(9E+307,--MID(D152,1,{1,2,3,4,5}))</f>
        <v>7.5</v>
      </c>
      <c r="B152">
        <f>VLOOKUP(MID(D152,LOOKUP(2,1/ISNUMBER(-MID(D152,1,{1,2,3,4,5})),{1,2,3,4,5})+1,9),'Hue codes'!$A$1:$B$10,2,FALSE)</f>
        <v>70</v>
      </c>
      <c r="C152">
        <f t="shared" si="5"/>
        <v>77.5</v>
      </c>
      <c r="D152" s="162" t="s">
        <v>51</v>
      </c>
      <c r="E152" s="162">
        <v>2</v>
      </c>
      <c r="F152" s="162">
        <v>6</v>
      </c>
      <c r="G152" s="164">
        <v>0.16089999999999999</v>
      </c>
      <c r="H152" s="164">
        <v>0.1779</v>
      </c>
      <c r="I152" s="164">
        <v>0.34599999999999997</v>
      </c>
      <c r="J152" s="189" t="str">
        <f>HYPERLINK(SetRGB(J152,G152*255,H152*255,I152*255),"HOVER!")</f>
        <v>HOVER!</v>
      </c>
      <c r="K152">
        <f t="shared" si="4"/>
        <v>0.33333333333333331</v>
      </c>
    </row>
    <row r="153" spans="1:11" x14ac:dyDescent="0.3">
      <c r="A153">
        <f>LOOKUP(9E+307,--MID(D153,1,{1,2,3,4,5}))</f>
        <v>7.5</v>
      </c>
      <c r="B153">
        <f>VLOOKUP(MID(D153,LOOKUP(2,1/ISNUMBER(-MID(D153,1,{1,2,3,4,5})),{1,2,3,4,5})+1,9),'Hue codes'!$A$1:$B$10,2,FALSE)</f>
        <v>70</v>
      </c>
      <c r="C153">
        <f t="shared" si="5"/>
        <v>77.5</v>
      </c>
      <c r="D153" s="162" t="s">
        <v>51</v>
      </c>
      <c r="E153" s="162">
        <v>2</v>
      </c>
      <c r="F153" s="162">
        <v>8</v>
      </c>
      <c r="G153" s="164">
        <v>0.14749999999999999</v>
      </c>
      <c r="H153" s="164">
        <v>0.16900000000000001</v>
      </c>
      <c r="I153" s="164">
        <v>0.39350000000000002</v>
      </c>
      <c r="J153" s="258" t="str">
        <f>HYPERLINK(SetRGB(J153,G153*255,H153*255,I153*255),"HOVER!")</f>
        <v>HOVER!</v>
      </c>
      <c r="K153">
        <f t="shared" si="4"/>
        <v>0.25</v>
      </c>
    </row>
    <row r="154" spans="1:11" x14ac:dyDescent="0.3">
      <c r="A154">
        <f>LOOKUP(9E+307,--MID(D154,1,{1,2,3,4,5}))</f>
        <v>7.5</v>
      </c>
      <c r="B154">
        <f>VLOOKUP(MID(D154,LOOKUP(2,1/ISNUMBER(-MID(D154,1,{1,2,3,4,5})),{1,2,3,4,5})+1,9),'Hue codes'!$A$1:$B$10,2,FALSE)</f>
        <v>70</v>
      </c>
      <c r="C154">
        <f t="shared" si="5"/>
        <v>77.5</v>
      </c>
      <c r="D154" s="162" t="s">
        <v>51</v>
      </c>
      <c r="E154" s="162">
        <v>2</v>
      </c>
      <c r="F154" s="162">
        <v>10</v>
      </c>
      <c r="G154" s="164">
        <v>0.14149999999999999</v>
      </c>
      <c r="H154" s="164">
        <v>0.15559999999999999</v>
      </c>
      <c r="I154" s="164">
        <v>0.4395</v>
      </c>
      <c r="J154" s="177" t="str">
        <f>HYPERLINK(SetRGB(J154,G154*255,H154*255,I154*255),"HOVER!")</f>
        <v>HOVER!</v>
      </c>
      <c r="K154">
        <f t="shared" si="4"/>
        <v>0.2</v>
      </c>
    </row>
    <row r="155" spans="1:11" x14ac:dyDescent="0.3">
      <c r="A155">
        <f>LOOKUP(9E+307,--MID(D155,1,{1,2,3,4,5}))</f>
        <v>7.5</v>
      </c>
      <c r="B155">
        <f>VLOOKUP(MID(D155,LOOKUP(2,1/ISNUMBER(-MID(D155,1,{1,2,3,4,5})),{1,2,3,4,5})+1,9),'Hue codes'!$A$1:$B$10,2,FALSE)</f>
        <v>70</v>
      </c>
      <c r="C155">
        <f t="shared" si="5"/>
        <v>77.5</v>
      </c>
      <c r="D155" s="162" t="s">
        <v>51</v>
      </c>
      <c r="E155" s="162">
        <v>2</v>
      </c>
      <c r="F155" s="162">
        <v>12</v>
      </c>
      <c r="G155" s="164">
        <v>0.14360000000000001</v>
      </c>
      <c r="H155" s="164">
        <v>0.1396</v>
      </c>
      <c r="I155" s="164">
        <v>0.47770000000000001</v>
      </c>
      <c r="J155" s="169" t="str">
        <f>HYPERLINK(SetRGB(J155,G155*255,H155*255,I155*255),"HOVER!")</f>
        <v>HOVER!</v>
      </c>
      <c r="K155">
        <f t="shared" si="4"/>
        <v>0.16666666666666666</v>
      </c>
    </row>
    <row r="156" spans="1:11" x14ac:dyDescent="0.3">
      <c r="A156">
        <f>LOOKUP(9E+307,--MID(D156,1,{1,2,3,4,5}))</f>
        <v>7.5</v>
      </c>
      <c r="B156">
        <f>VLOOKUP(MID(D156,LOOKUP(2,1/ISNUMBER(-MID(D156,1,{1,2,3,4,5})),{1,2,3,4,5})+1,9),'Hue codes'!$A$1:$B$10,2,FALSE)</f>
        <v>70</v>
      </c>
      <c r="C156">
        <f t="shared" si="5"/>
        <v>77.5</v>
      </c>
      <c r="D156" s="162" t="s">
        <v>51</v>
      </c>
      <c r="E156" s="162">
        <v>2</v>
      </c>
      <c r="F156" s="162">
        <v>14</v>
      </c>
      <c r="G156" s="164">
        <v>0.15010000000000001</v>
      </c>
      <c r="H156" s="164">
        <v>0.1177</v>
      </c>
      <c r="I156" s="164">
        <v>0.51600000000000001</v>
      </c>
      <c r="J156" s="167" t="str">
        <f>HYPERLINK(SetRGB(J156,G156*255,H156*255,I156*255),"HOVER!")</f>
        <v>HOVER!</v>
      </c>
      <c r="K156">
        <f t="shared" si="4"/>
        <v>0.14285714285714285</v>
      </c>
    </row>
    <row r="157" spans="1:11" x14ac:dyDescent="0.3">
      <c r="A157">
        <f>LOOKUP(9E+307,--MID(D157,1,{1,2,3,4,5}))</f>
        <v>7.5</v>
      </c>
      <c r="B157">
        <f>VLOOKUP(MID(D157,LOOKUP(2,1/ISNUMBER(-MID(D157,1,{1,2,3,4,5})),{1,2,3,4,5})+1,9),'Hue codes'!$A$1:$B$10,2,FALSE)</f>
        <v>70</v>
      </c>
      <c r="C157">
        <f t="shared" si="5"/>
        <v>77.5</v>
      </c>
      <c r="D157" s="162" t="s">
        <v>51</v>
      </c>
      <c r="E157" s="162">
        <v>2</v>
      </c>
      <c r="F157" s="162">
        <v>16</v>
      </c>
      <c r="G157" s="164">
        <v>0.16170000000000001</v>
      </c>
      <c r="H157" s="164">
        <v>8.5999999999999993E-2</v>
      </c>
      <c r="I157" s="164">
        <v>0.55359999999999998</v>
      </c>
      <c r="J157" s="29" t="str">
        <f>HYPERLINK(SetRGB(J157,G157*255,H157*255,I157*255),"HOVER!")</f>
        <v>HOVER!</v>
      </c>
      <c r="K157">
        <f t="shared" si="4"/>
        <v>0.125</v>
      </c>
    </row>
    <row r="158" spans="1:11" x14ac:dyDescent="0.3">
      <c r="A158">
        <f>LOOKUP(9E+307,--MID(D158,1,{1,2,3,4,5}))</f>
        <v>7.5</v>
      </c>
      <c r="B158">
        <f>VLOOKUP(MID(D158,LOOKUP(2,1/ISNUMBER(-MID(D158,1,{1,2,3,4,5})),{1,2,3,4,5})+1,9),'Hue codes'!$A$1:$B$10,2,FALSE)</f>
        <v>70</v>
      </c>
      <c r="C158">
        <f t="shared" si="5"/>
        <v>77.5</v>
      </c>
      <c r="D158" s="162" t="s">
        <v>51</v>
      </c>
      <c r="E158" s="162">
        <v>2</v>
      </c>
      <c r="F158" s="162">
        <v>18</v>
      </c>
      <c r="G158" s="164">
        <v>0.1741</v>
      </c>
      <c r="H158" s="164">
        <v>3.2500000000000001E-2</v>
      </c>
      <c r="I158" s="164">
        <v>0.5907</v>
      </c>
      <c r="J158" s="30" t="str">
        <f>HYPERLINK(SetRGB(J158,G158*255,H158*255,I158*255),"HOVER!")</f>
        <v>HOVER!</v>
      </c>
      <c r="K158">
        <f t="shared" si="4"/>
        <v>0.1111111111111111</v>
      </c>
    </row>
    <row r="159" spans="1:11" x14ac:dyDescent="0.3">
      <c r="A159">
        <f>LOOKUP(9E+307,--MID(D159,1,{1,2,3,4,5}))</f>
        <v>10</v>
      </c>
      <c r="B159">
        <f>VLOOKUP(MID(D159,LOOKUP(2,1/ISNUMBER(-MID(D159,1,{1,2,3,4,5})),{1,2,3,4,5})+1,9),'Hue codes'!$A$1:$B$10,2,FALSE)</f>
        <v>70</v>
      </c>
      <c r="C159">
        <f t="shared" si="5"/>
        <v>80</v>
      </c>
      <c r="D159" s="162" t="s">
        <v>52</v>
      </c>
      <c r="E159" s="162">
        <v>2</v>
      </c>
      <c r="F159" s="162">
        <v>2</v>
      </c>
      <c r="G159" s="164">
        <v>0.1996</v>
      </c>
      <c r="H159" s="164">
        <v>0.18509999999999999</v>
      </c>
      <c r="I159" s="164">
        <v>0.2487</v>
      </c>
      <c r="J159" s="85" t="str">
        <f>HYPERLINK(SetRGB(J159,G159*255,H159*255,I159*255),"HOVER!")</f>
        <v>HOVER!</v>
      </c>
      <c r="K159">
        <f t="shared" si="4"/>
        <v>1</v>
      </c>
    </row>
    <row r="160" spans="1:11" x14ac:dyDescent="0.3">
      <c r="A160">
        <f>LOOKUP(9E+307,--MID(D160,1,{1,2,3,4,5}))</f>
        <v>10</v>
      </c>
      <c r="B160">
        <f>VLOOKUP(MID(D160,LOOKUP(2,1/ISNUMBER(-MID(D160,1,{1,2,3,4,5})),{1,2,3,4,5})+1,9),'Hue codes'!$A$1:$B$10,2,FALSE)</f>
        <v>70</v>
      </c>
      <c r="C160">
        <f t="shared" si="5"/>
        <v>80</v>
      </c>
      <c r="D160" s="162" t="s">
        <v>52</v>
      </c>
      <c r="E160" s="162">
        <v>2</v>
      </c>
      <c r="F160" s="162">
        <v>4</v>
      </c>
      <c r="G160" s="164">
        <v>0.2049</v>
      </c>
      <c r="H160" s="164">
        <v>0.1757</v>
      </c>
      <c r="I160" s="164">
        <v>0.29220000000000002</v>
      </c>
      <c r="J160" s="151" t="str">
        <f>HYPERLINK(SetRGB(J160,G160*255,H160*255,I160*255),"HOVER!")</f>
        <v>HOVER!</v>
      </c>
      <c r="K160">
        <f t="shared" si="4"/>
        <v>0.5</v>
      </c>
    </row>
    <row r="161" spans="1:11" x14ac:dyDescent="0.3">
      <c r="A161">
        <f>LOOKUP(9E+307,--MID(D161,1,{1,2,3,4,5}))</f>
        <v>10</v>
      </c>
      <c r="B161">
        <f>VLOOKUP(MID(D161,LOOKUP(2,1/ISNUMBER(-MID(D161,1,{1,2,3,4,5})),{1,2,3,4,5})+1,9),'Hue codes'!$A$1:$B$10,2,FALSE)</f>
        <v>70</v>
      </c>
      <c r="C161">
        <f t="shared" si="5"/>
        <v>80</v>
      </c>
      <c r="D161" s="162" t="s">
        <v>52</v>
      </c>
      <c r="E161" s="162">
        <v>2</v>
      </c>
      <c r="F161" s="162">
        <v>6</v>
      </c>
      <c r="G161" s="164">
        <v>0.2109</v>
      </c>
      <c r="H161" s="164">
        <v>0.1646</v>
      </c>
      <c r="I161" s="164">
        <v>0.33279999999999998</v>
      </c>
      <c r="J161" s="152" t="str">
        <f>HYPERLINK(SetRGB(J161,G161*255,H161*255,I161*255),"HOVER!")</f>
        <v>HOVER!</v>
      </c>
      <c r="K161">
        <f t="shared" si="4"/>
        <v>0.33333333333333331</v>
      </c>
    </row>
    <row r="162" spans="1:11" x14ac:dyDescent="0.3">
      <c r="A162">
        <f>LOOKUP(9E+307,--MID(D162,1,{1,2,3,4,5}))</f>
        <v>10</v>
      </c>
      <c r="B162">
        <f>VLOOKUP(MID(D162,LOOKUP(2,1/ISNUMBER(-MID(D162,1,{1,2,3,4,5})),{1,2,3,4,5})+1,9),'Hue codes'!$A$1:$B$10,2,FALSE)</f>
        <v>70</v>
      </c>
      <c r="C162">
        <f t="shared" si="5"/>
        <v>80</v>
      </c>
      <c r="D162" s="162" t="s">
        <v>52</v>
      </c>
      <c r="E162" s="162">
        <v>2</v>
      </c>
      <c r="F162" s="162">
        <v>8</v>
      </c>
      <c r="G162" s="164">
        <v>0.2177</v>
      </c>
      <c r="H162" s="164">
        <v>0.1497</v>
      </c>
      <c r="I162" s="164">
        <v>0.3765</v>
      </c>
      <c r="J162" s="153" t="str">
        <f>HYPERLINK(SetRGB(J162,G162*255,H162*255,I162*255),"HOVER!")</f>
        <v>HOVER!</v>
      </c>
      <c r="K162">
        <f t="shared" si="4"/>
        <v>0.25</v>
      </c>
    </row>
    <row r="163" spans="1:11" x14ac:dyDescent="0.3">
      <c r="A163">
        <f>LOOKUP(9E+307,--MID(D163,1,{1,2,3,4,5}))</f>
        <v>10</v>
      </c>
      <c r="B163">
        <f>VLOOKUP(MID(D163,LOOKUP(2,1/ISNUMBER(-MID(D163,1,{1,2,3,4,5})),{1,2,3,4,5})+1,9),'Hue codes'!$A$1:$B$10,2,FALSE)</f>
        <v>70</v>
      </c>
      <c r="C163">
        <f t="shared" si="5"/>
        <v>80</v>
      </c>
      <c r="D163" s="162" t="s">
        <v>52</v>
      </c>
      <c r="E163" s="162">
        <v>2</v>
      </c>
      <c r="F163" s="162">
        <v>10</v>
      </c>
      <c r="G163" s="164">
        <v>0.22889999999999999</v>
      </c>
      <c r="H163" s="164">
        <v>0.12989999999999999</v>
      </c>
      <c r="I163" s="164">
        <v>0.41639999999999999</v>
      </c>
      <c r="J163" s="154" t="str">
        <f>HYPERLINK(SetRGB(J163,G163*255,H163*255,I163*255),"HOVER!")</f>
        <v>HOVER!</v>
      </c>
      <c r="K163">
        <f t="shared" si="4"/>
        <v>0.2</v>
      </c>
    </row>
    <row r="164" spans="1:11" x14ac:dyDescent="0.3">
      <c r="A164">
        <f>LOOKUP(9E+307,--MID(D164,1,{1,2,3,4,5}))</f>
        <v>10</v>
      </c>
      <c r="B164">
        <f>VLOOKUP(MID(D164,LOOKUP(2,1/ISNUMBER(-MID(D164,1,{1,2,3,4,5})),{1,2,3,4,5})+1,9),'Hue codes'!$A$1:$B$10,2,FALSE)</f>
        <v>70</v>
      </c>
      <c r="C164">
        <f t="shared" si="5"/>
        <v>80</v>
      </c>
      <c r="D164" s="162" t="s">
        <v>52</v>
      </c>
      <c r="E164" s="162">
        <v>2</v>
      </c>
      <c r="F164" s="162">
        <v>12</v>
      </c>
      <c r="G164" s="164">
        <v>0.24099999999999999</v>
      </c>
      <c r="H164" s="164">
        <v>0.10639999999999999</v>
      </c>
      <c r="I164" s="164">
        <v>0.45040000000000002</v>
      </c>
      <c r="J164" s="155" t="str">
        <f>HYPERLINK(SetRGB(J164,G164*255,H164*255,I164*255),"HOVER!")</f>
        <v>HOVER!</v>
      </c>
      <c r="K164">
        <f t="shared" si="4"/>
        <v>0.16666666666666666</v>
      </c>
    </row>
    <row r="165" spans="1:11" x14ac:dyDescent="0.3">
      <c r="A165">
        <f>LOOKUP(9E+307,--MID(D165,1,{1,2,3,4,5}))</f>
        <v>10</v>
      </c>
      <c r="B165">
        <f>VLOOKUP(MID(D165,LOOKUP(2,1/ISNUMBER(-MID(D165,1,{1,2,3,4,5})),{1,2,3,4,5})+1,9),'Hue codes'!$A$1:$B$10,2,FALSE)</f>
        <v>70</v>
      </c>
      <c r="C165">
        <f t="shared" si="5"/>
        <v>80</v>
      </c>
      <c r="D165" s="162" t="s">
        <v>52</v>
      </c>
      <c r="E165" s="162">
        <v>2</v>
      </c>
      <c r="F165" s="162">
        <v>14</v>
      </c>
      <c r="G165" s="164">
        <v>0.25509999999999999</v>
      </c>
      <c r="H165" s="164">
        <v>7.0199999999999999E-2</v>
      </c>
      <c r="I165" s="164">
        <v>0.48630000000000001</v>
      </c>
      <c r="J165" s="156" t="str">
        <f>HYPERLINK(SetRGB(J165,G165*255,H165*255,I165*255),"HOVER!")</f>
        <v>HOVER!</v>
      </c>
      <c r="K165">
        <f t="shared" si="4"/>
        <v>0.14285714285714285</v>
      </c>
    </row>
    <row r="166" spans="1:11" x14ac:dyDescent="0.3">
      <c r="A166">
        <f>LOOKUP(9E+307,--MID(D166,1,{1,2,3,4,5}))</f>
        <v>2.5</v>
      </c>
      <c r="B166">
        <f>VLOOKUP(MID(D166,LOOKUP(2,1/ISNUMBER(-MID(D166,1,{1,2,3,4,5})),{1,2,3,4,5})+1,9),'Hue codes'!$A$1:$B$10,2,FALSE)</f>
        <v>80</v>
      </c>
      <c r="C166">
        <f t="shared" si="5"/>
        <v>82.5</v>
      </c>
      <c r="D166" s="162" t="s">
        <v>53</v>
      </c>
      <c r="E166" s="162">
        <v>2</v>
      </c>
      <c r="F166" s="162">
        <v>2</v>
      </c>
      <c r="G166" s="164">
        <v>0.21079999999999999</v>
      </c>
      <c r="H166" s="164">
        <v>0.18179999999999999</v>
      </c>
      <c r="I166" s="164">
        <v>0.24490000000000001</v>
      </c>
      <c r="J166" s="157" t="str">
        <f>HYPERLINK(SetRGB(J166,G166*255,H166*255,I166*255),"HOVER!")</f>
        <v>HOVER!</v>
      </c>
      <c r="K166">
        <f t="shared" si="4"/>
        <v>1</v>
      </c>
    </row>
    <row r="167" spans="1:11" x14ac:dyDescent="0.3">
      <c r="A167">
        <f>LOOKUP(9E+307,--MID(D167,1,{1,2,3,4,5}))</f>
        <v>2.5</v>
      </c>
      <c r="B167">
        <f>VLOOKUP(MID(D167,LOOKUP(2,1/ISNUMBER(-MID(D167,1,{1,2,3,4,5})),{1,2,3,4,5})+1,9),'Hue codes'!$A$1:$B$10,2,FALSE)</f>
        <v>80</v>
      </c>
      <c r="C167">
        <f t="shared" si="5"/>
        <v>82.5</v>
      </c>
      <c r="D167" s="162" t="s">
        <v>53</v>
      </c>
      <c r="E167" s="162">
        <v>2</v>
      </c>
      <c r="F167" s="162">
        <v>4</v>
      </c>
      <c r="G167" s="164">
        <v>0.22539999999999999</v>
      </c>
      <c r="H167" s="164">
        <v>0.1696</v>
      </c>
      <c r="I167" s="164">
        <v>0.28310000000000002</v>
      </c>
      <c r="J167" s="158" t="str">
        <f>HYPERLINK(SetRGB(J167,G167*255,H167*255,I167*255),"HOVER!")</f>
        <v>HOVER!</v>
      </c>
      <c r="K167">
        <f t="shared" si="4"/>
        <v>0.5</v>
      </c>
    </row>
    <row r="168" spans="1:11" x14ac:dyDescent="0.3">
      <c r="A168">
        <f>LOOKUP(9E+307,--MID(D168,1,{1,2,3,4,5}))</f>
        <v>2.5</v>
      </c>
      <c r="B168">
        <f>VLOOKUP(MID(D168,LOOKUP(2,1/ISNUMBER(-MID(D168,1,{1,2,3,4,5})),{1,2,3,4,5})+1,9),'Hue codes'!$A$1:$B$10,2,FALSE)</f>
        <v>80</v>
      </c>
      <c r="C168">
        <f t="shared" si="5"/>
        <v>82.5</v>
      </c>
      <c r="D168" s="162" t="s">
        <v>53</v>
      </c>
      <c r="E168" s="162">
        <v>2</v>
      </c>
      <c r="F168" s="162">
        <v>6</v>
      </c>
      <c r="G168" s="164">
        <v>0.24030000000000001</v>
      </c>
      <c r="H168" s="164">
        <v>0.15570000000000001</v>
      </c>
      <c r="I168" s="164">
        <v>0.31690000000000002</v>
      </c>
      <c r="J168" s="159" t="str">
        <f>HYPERLINK(SetRGB(J168,G168*255,H168*255,I168*255),"HOVER!")</f>
        <v>HOVER!</v>
      </c>
      <c r="K168">
        <f t="shared" si="4"/>
        <v>0.33333333333333331</v>
      </c>
    </row>
    <row r="169" spans="1:11" x14ac:dyDescent="0.3">
      <c r="A169">
        <f>LOOKUP(9E+307,--MID(D169,1,{1,2,3,4,5}))</f>
        <v>2.5</v>
      </c>
      <c r="B169">
        <f>VLOOKUP(MID(D169,LOOKUP(2,1/ISNUMBER(-MID(D169,1,{1,2,3,4,5})),{1,2,3,4,5})+1,9),'Hue codes'!$A$1:$B$10,2,FALSE)</f>
        <v>80</v>
      </c>
      <c r="C169">
        <f t="shared" si="5"/>
        <v>82.5</v>
      </c>
      <c r="D169" s="162" t="s">
        <v>53</v>
      </c>
      <c r="E169" s="162">
        <v>2</v>
      </c>
      <c r="F169" s="162">
        <v>8</v>
      </c>
      <c r="G169" s="164">
        <v>0.25969999999999999</v>
      </c>
      <c r="H169" s="164">
        <v>0.13400000000000001</v>
      </c>
      <c r="I169" s="164">
        <v>0.35630000000000001</v>
      </c>
      <c r="J169" s="160" t="str">
        <f>HYPERLINK(SetRGB(J169,G169*255,H169*255,I169*255),"HOVER!")</f>
        <v>HOVER!</v>
      </c>
      <c r="K169">
        <f t="shared" si="4"/>
        <v>0.25</v>
      </c>
    </row>
    <row r="170" spans="1:11" x14ac:dyDescent="0.3">
      <c r="A170">
        <f>LOOKUP(9E+307,--MID(D170,1,{1,2,3,4,5}))</f>
        <v>2.5</v>
      </c>
      <c r="B170">
        <f>VLOOKUP(MID(D170,LOOKUP(2,1/ISNUMBER(-MID(D170,1,{1,2,3,4,5})),{1,2,3,4,5})+1,9),'Hue codes'!$A$1:$B$10,2,FALSE)</f>
        <v>80</v>
      </c>
      <c r="C170">
        <f t="shared" si="5"/>
        <v>82.5</v>
      </c>
      <c r="D170" s="162" t="s">
        <v>53</v>
      </c>
      <c r="E170" s="162">
        <v>2</v>
      </c>
      <c r="F170" s="162">
        <v>10</v>
      </c>
      <c r="G170" s="164">
        <v>0.27750000000000002</v>
      </c>
      <c r="H170" s="164">
        <v>0.108</v>
      </c>
      <c r="I170" s="164">
        <v>0.39119999999999999</v>
      </c>
      <c r="J170" s="161" t="str">
        <f>HYPERLINK(SetRGB(J170,G170*255,H170*255,I170*255),"HOVER!")</f>
        <v>HOVER!</v>
      </c>
      <c r="K170">
        <f t="shared" si="4"/>
        <v>0.2</v>
      </c>
    </row>
    <row r="171" spans="1:11" x14ac:dyDescent="0.3">
      <c r="A171">
        <f>LOOKUP(9E+307,--MID(D171,1,{1,2,3,4,5}))</f>
        <v>2.5</v>
      </c>
      <c r="B171">
        <f>VLOOKUP(MID(D171,LOOKUP(2,1/ISNUMBER(-MID(D171,1,{1,2,3,4,5})),{1,2,3,4,5})+1,9),'Hue codes'!$A$1:$B$10,2,FALSE)</f>
        <v>80</v>
      </c>
      <c r="C171">
        <f t="shared" si="5"/>
        <v>82.5</v>
      </c>
      <c r="D171" s="162" t="s">
        <v>53</v>
      </c>
      <c r="E171" s="162">
        <v>2</v>
      </c>
      <c r="F171" s="162">
        <v>12</v>
      </c>
      <c r="G171" s="164">
        <v>0.29649999999999999</v>
      </c>
      <c r="H171" s="164">
        <v>6.9599999999999995E-2</v>
      </c>
      <c r="I171" s="164">
        <v>0.42530000000000001</v>
      </c>
      <c r="J171" s="92" t="str">
        <f>HYPERLINK(SetRGB(J171,G171*255,H171*255,I171*255),"HOVER!")</f>
        <v>HOVER!</v>
      </c>
      <c r="K171">
        <f t="shared" si="4"/>
        <v>0.16666666666666666</v>
      </c>
    </row>
    <row r="172" spans="1:11" x14ac:dyDescent="0.3">
      <c r="A172">
        <f>LOOKUP(9E+307,--MID(D172,1,{1,2,3,4,5}))</f>
        <v>5</v>
      </c>
      <c r="B172">
        <f>VLOOKUP(MID(D172,LOOKUP(2,1/ISNUMBER(-MID(D172,1,{1,2,3,4,5})),{1,2,3,4,5})+1,9),'Hue codes'!$A$1:$B$10,2,FALSE)</f>
        <v>80</v>
      </c>
      <c r="C172">
        <f t="shared" si="5"/>
        <v>85</v>
      </c>
      <c r="D172" s="162" t="s">
        <v>54</v>
      </c>
      <c r="E172" s="162">
        <v>2</v>
      </c>
      <c r="F172" s="162">
        <v>2</v>
      </c>
      <c r="G172" s="164">
        <v>0.22070000000000001</v>
      </c>
      <c r="H172" s="164">
        <v>0.17899999999999999</v>
      </c>
      <c r="I172" s="164">
        <v>0.23980000000000001</v>
      </c>
      <c r="J172" s="1" t="str">
        <f>HYPERLINK(SetRGB(J172,G172*255,H172*255,I172*255),"HOVER!")</f>
        <v>HOVER!</v>
      </c>
      <c r="K172">
        <f t="shared" si="4"/>
        <v>1</v>
      </c>
    </row>
    <row r="173" spans="1:11" x14ac:dyDescent="0.3">
      <c r="A173">
        <f>LOOKUP(9E+307,--MID(D173,1,{1,2,3,4,5}))</f>
        <v>5</v>
      </c>
      <c r="B173">
        <f>VLOOKUP(MID(D173,LOOKUP(2,1/ISNUMBER(-MID(D173,1,{1,2,3,4,5})),{1,2,3,4,5})+1,9),'Hue codes'!$A$1:$B$10,2,FALSE)</f>
        <v>80</v>
      </c>
      <c r="C173">
        <f t="shared" si="5"/>
        <v>85</v>
      </c>
      <c r="D173" s="162" t="s">
        <v>54</v>
      </c>
      <c r="E173" s="162">
        <v>2</v>
      </c>
      <c r="F173" s="162">
        <v>4</v>
      </c>
      <c r="G173" s="164">
        <v>0.24160000000000001</v>
      </c>
      <c r="H173" s="164">
        <v>0.16450000000000001</v>
      </c>
      <c r="I173" s="164">
        <v>0.27360000000000001</v>
      </c>
      <c r="J173" s="1" t="str">
        <f>HYPERLINK(SetRGB(J173,G173*255,H173*255,I173*255),"HOVER!")</f>
        <v>HOVER!</v>
      </c>
      <c r="K173">
        <f t="shared" si="4"/>
        <v>0.5</v>
      </c>
    </row>
    <row r="174" spans="1:11" x14ac:dyDescent="0.3">
      <c r="A174">
        <f>LOOKUP(9E+307,--MID(D174,1,{1,2,3,4,5}))</f>
        <v>5</v>
      </c>
      <c r="B174">
        <f>VLOOKUP(MID(D174,LOOKUP(2,1/ISNUMBER(-MID(D174,1,{1,2,3,4,5})),{1,2,3,4,5})+1,9),'Hue codes'!$A$1:$B$10,2,FALSE)</f>
        <v>80</v>
      </c>
      <c r="C174">
        <f t="shared" si="5"/>
        <v>85</v>
      </c>
      <c r="D174" s="162" t="s">
        <v>54</v>
      </c>
      <c r="E174" s="162">
        <v>2</v>
      </c>
      <c r="F174" s="162">
        <v>6</v>
      </c>
      <c r="G174" s="164">
        <v>0.26069999999999999</v>
      </c>
      <c r="H174" s="164">
        <v>0.1484</v>
      </c>
      <c r="I174" s="164">
        <v>0.3034</v>
      </c>
      <c r="J174" s="84" t="str">
        <f>HYPERLINK(SetRGB(J174,G174*255,H174*255,I174*255),"HOVER!")</f>
        <v>HOVER!</v>
      </c>
      <c r="K174">
        <f t="shared" si="4"/>
        <v>0.33333333333333331</v>
      </c>
    </row>
    <row r="175" spans="1:11" x14ac:dyDescent="0.3">
      <c r="A175">
        <f>LOOKUP(9E+307,--MID(D175,1,{1,2,3,4,5}))</f>
        <v>5</v>
      </c>
      <c r="B175">
        <f>VLOOKUP(MID(D175,LOOKUP(2,1/ISNUMBER(-MID(D175,1,{1,2,3,4,5})),{1,2,3,4,5})+1,9),'Hue codes'!$A$1:$B$10,2,FALSE)</f>
        <v>80</v>
      </c>
      <c r="C175">
        <f t="shared" si="5"/>
        <v>85</v>
      </c>
      <c r="D175" s="162" t="s">
        <v>54</v>
      </c>
      <c r="E175" s="162">
        <v>2</v>
      </c>
      <c r="F175" s="162">
        <v>8</v>
      </c>
      <c r="G175" s="164">
        <v>0.28539999999999999</v>
      </c>
      <c r="H175" s="164">
        <v>0.12189999999999999</v>
      </c>
      <c r="I175" s="164">
        <v>0.33989999999999998</v>
      </c>
      <c r="J175" s="1" t="str">
        <f>HYPERLINK(SetRGB(J175,G175*255,H175*255,I175*255),"HOVER!")</f>
        <v>HOVER!</v>
      </c>
      <c r="K175">
        <f t="shared" si="4"/>
        <v>0.25</v>
      </c>
    </row>
    <row r="176" spans="1:11" x14ac:dyDescent="0.3">
      <c r="A176">
        <f>LOOKUP(9E+307,--MID(D176,1,{1,2,3,4,5}))</f>
        <v>5</v>
      </c>
      <c r="B176">
        <f>VLOOKUP(MID(D176,LOOKUP(2,1/ISNUMBER(-MID(D176,1,{1,2,3,4,5})),{1,2,3,4,5})+1,9),'Hue codes'!$A$1:$B$10,2,FALSE)</f>
        <v>80</v>
      </c>
      <c r="C176">
        <f t="shared" si="5"/>
        <v>85</v>
      </c>
      <c r="D176" s="162" t="s">
        <v>54</v>
      </c>
      <c r="E176" s="162">
        <v>2</v>
      </c>
      <c r="F176" s="162">
        <v>10</v>
      </c>
      <c r="G176" s="164">
        <v>0.30709999999999998</v>
      </c>
      <c r="H176" s="164">
        <v>8.9700000000000002E-2</v>
      </c>
      <c r="I176" s="164">
        <v>0.37119999999999997</v>
      </c>
      <c r="J176" s="1" t="str">
        <f>HYPERLINK(SetRGB(J176,G176*255,H176*255,I176*255),"HOVER!")</f>
        <v>HOVER!</v>
      </c>
      <c r="K176">
        <f t="shared" si="4"/>
        <v>0.2</v>
      </c>
    </row>
    <row r="177" spans="1:11" x14ac:dyDescent="0.3">
      <c r="A177">
        <f>LOOKUP(9E+307,--MID(D177,1,{1,2,3,4,5}))</f>
        <v>5</v>
      </c>
      <c r="B177">
        <f>VLOOKUP(MID(D177,LOOKUP(2,1/ISNUMBER(-MID(D177,1,{1,2,3,4,5})),{1,2,3,4,5})+1,9),'Hue codes'!$A$1:$B$10,2,FALSE)</f>
        <v>80</v>
      </c>
      <c r="C177">
        <f t="shared" si="5"/>
        <v>85</v>
      </c>
      <c r="D177" s="162" t="s">
        <v>54</v>
      </c>
      <c r="E177" s="162">
        <v>2</v>
      </c>
      <c r="F177" s="162">
        <v>12</v>
      </c>
      <c r="G177" s="164">
        <v>0.32919999999999999</v>
      </c>
      <c r="H177" s="164">
        <v>3.3399999999999999E-2</v>
      </c>
      <c r="I177" s="164">
        <v>0.40300000000000002</v>
      </c>
      <c r="J177" s="1" t="str">
        <f>HYPERLINK(SetRGB(J177,G177*255,H177*255,I177*255),"HOVER!")</f>
        <v>HOVER!</v>
      </c>
      <c r="K177">
        <f t="shared" si="4"/>
        <v>0.16666666666666666</v>
      </c>
    </row>
    <row r="178" spans="1:11" x14ac:dyDescent="0.3">
      <c r="A178">
        <f>LOOKUP(9E+307,--MID(D178,1,{1,2,3,4,5}))</f>
        <v>7.5</v>
      </c>
      <c r="B178">
        <f>VLOOKUP(MID(D178,LOOKUP(2,1/ISNUMBER(-MID(D178,1,{1,2,3,4,5})),{1,2,3,4,5})+1,9),'Hue codes'!$A$1:$B$10,2,FALSE)</f>
        <v>80</v>
      </c>
      <c r="C178">
        <f t="shared" si="5"/>
        <v>87.5</v>
      </c>
      <c r="D178" s="162" t="s">
        <v>55</v>
      </c>
      <c r="E178" s="162">
        <v>2</v>
      </c>
      <c r="F178" s="162">
        <v>2</v>
      </c>
      <c r="G178" s="164">
        <v>0.22869999999999999</v>
      </c>
      <c r="H178" s="164">
        <v>0.1767</v>
      </c>
      <c r="I178" s="164">
        <v>0.23430000000000001</v>
      </c>
      <c r="J178" s="1" t="str">
        <f>HYPERLINK(SetRGB(J178,G178*255,H178*255,I178*255),"HOVER!")</f>
        <v>HOVER!</v>
      </c>
      <c r="K178">
        <f t="shared" si="4"/>
        <v>1</v>
      </c>
    </row>
    <row r="179" spans="1:11" x14ac:dyDescent="0.3">
      <c r="A179">
        <f>LOOKUP(9E+307,--MID(D179,1,{1,2,3,4,5}))</f>
        <v>7.5</v>
      </c>
      <c r="B179">
        <f>VLOOKUP(MID(D179,LOOKUP(2,1/ISNUMBER(-MID(D179,1,{1,2,3,4,5})),{1,2,3,4,5})+1,9),'Hue codes'!$A$1:$B$10,2,FALSE)</f>
        <v>80</v>
      </c>
      <c r="C179">
        <f t="shared" si="5"/>
        <v>87.5</v>
      </c>
      <c r="D179" s="162" t="s">
        <v>55</v>
      </c>
      <c r="E179" s="162">
        <v>2</v>
      </c>
      <c r="F179" s="162">
        <v>4</v>
      </c>
      <c r="G179" s="164">
        <v>0.254</v>
      </c>
      <c r="H179" s="164">
        <v>0.16039999999999999</v>
      </c>
      <c r="I179" s="164">
        <v>0.26390000000000002</v>
      </c>
      <c r="J179" s="1" t="str">
        <f>HYPERLINK(SetRGB(J179,G179*255,H179*255,I179*255),"HOVER!")</f>
        <v>HOVER!</v>
      </c>
      <c r="K179">
        <f t="shared" si="4"/>
        <v>0.5</v>
      </c>
    </row>
    <row r="180" spans="1:11" x14ac:dyDescent="0.3">
      <c r="A180">
        <f>LOOKUP(9E+307,--MID(D180,1,{1,2,3,4,5}))</f>
        <v>7.5</v>
      </c>
      <c r="B180">
        <f>VLOOKUP(MID(D180,LOOKUP(2,1/ISNUMBER(-MID(D180,1,{1,2,3,4,5})),{1,2,3,4,5})+1,9),'Hue codes'!$A$1:$B$10,2,FALSE)</f>
        <v>80</v>
      </c>
      <c r="C180">
        <f t="shared" si="5"/>
        <v>87.5</v>
      </c>
      <c r="D180" s="162" t="s">
        <v>55</v>
      </c>
      <c r="E180" s="162">
        <v>2</v>
      </c>
      <c r="F180" s="162">
        <v>6</v>
      </c>
      <c r="G180" s="164">
        <v>0.27689999999999998</v>
      </c>
      <c r="H180" s="164">
        <v>0.14180000000000001</v>
      </c>
      <c r="I180" s="164">
        <v>0.29110000000000003</v>
      </c>
      <c r="J180" s="1" t="str">
        <f>HYPERLINK(SetRGB(J180,G180*255,H180*255,I180*255),"HOVER!")</f>
        <v>HOVER!</v>
      </c>
      <c r="K180">
        <f t="shared" si="4"/>
        <v>0.33333333333333331</v>
      </c>
    </row>
    <row r="181" spans="1:11" x14ac:dyDescent="0.3">
      <c r="A181">
        <f>LOOKUP(9E+307,--MID(D181,1,{1,2,3,4,5}))</f>
        <v>7.5</v>
      </c>
      <c r="B181">
        <f>VLOOKUP(MID(D181,LOOKUP(2,1/ISNUMBER(-MID(D181,1,{1,2,3,4,5})),{1,2,3,4,5})+1,9),'Hue codes'!$A$1:$B$10,2,FALSE)</f>
        <v>80</v>
      </c>
      <c r="C181">
        <f t="shared" si="5"/>
        <v>87.5</v>
      </c>
      <c r="D181" s="162" t="s">
        <v>55</v>
      </c>
      <c r="E181" s="162">
        <v>2</v>
      </c>
      <c r="F181" s="162">
        <v>8</v>
      </c>
      <c r="G181" s="164">
        <v>0.30499999999999999</v>
      </c>
      <c r="H181" s="164">
        <v>0.1113</v>
      </c>
      <c r="I181" s="164">
        <v>0.3241</v>
      </c>
      <c r="J181" s="1" t="str">
        <f>HYPERLINK(SetRGB(J181,G181*255,H181*255,I181*255),"HOVER!")</f>
        <v>HOVER!</v>
      </c>
      <c r="K181">
        <f t="shared" si="4"/>
        <v>0.25</v>
      </c>
    </row>
    <row r="182" spans="1:11" x14ac:dyDescent="0.3">
      <c r="A182">
        <f>LOOKUP(9E+307,--MID(D182,1,{1,2,3,4,5}))</f>
        <v>7.5</v>
      </c>
      <c r="B182">
        <f>VLOOKUP(MID(D182,LOOKUP(2,1/ISNUMBER(-MID(D182,1,{1,2,3,4,5})),{1,2,3,4,5})+1,9),'Hue codes'!$A$1:$B$10,2,FALSE)</f>
        <v>80</v>
      </c>
      <c r="C182">
        <f t="shared" si="5"/>
        <v>87.5</v>
      </c>
      <c r="D182" s="162" t="s">
        <v>55</v>
      </c>
      <c r="E182" s="162">
        <v>2</v>
      </c>
      <c r="F182" s="162">
        <v>10</v>
      </c>
      <c r="G182" s="164">
        <v>0.33019999999999999</v>
      </c>
      <c r="H182" s="164">
        <v>7.0000000000000007E-2</v>
      </c>
      <c r="I182" s="164">
        <v>0.35370000000000001</v>
      </c>
      <c r="J182" s="1" t="str">
        <f>HYPERLINK(SetRGB(J182,G182*255,H182*255,I182*255),"HOVER!")</f>
        <v>HOVER!</v>
      </c>
      <c r="K182">
        <f t="shared" si="4"/>
        <v>0.2</v>
      </c>
    </row>
    <row r="183" spans="1:11" x14ac:dyDescent="0.3">
      <c r="A183">
        <f>LOOKUP(9E+307,--MID(D183,1,{1,2,3,4,5}))</f>
        <v>10</v>
      </c>
      <c r="B183">
        <f>VLOOKUP(MID(D183,LOOKUP(2,1/ISNUMBER(-MID(D183,1,{1,2,3,4,5})),{1,2,3,4,5})+1,9),'Hue codes'!$A$1:$B$10,2,FALSE)</f>
        <v>80</v>
      </c>
      <c r="C183">
        <f t="shared" si="5"/>
        <v>90</v>
      </c>
      <c r="D183" s="162" t="s">
        <v>56</v>
      </c>
      <c r="E183" s="162">
        <v>2</v>
      </c>
      <c r="F183" s="162">
        <v>2</v>
      </c>
      <c r="G183" s="164">
        <v>0.2359</v>
      </c>
      <c r="H183" s="164">
        <v>0.17469999999999999</v>
      </c>
      <c r="I183" s="164">
        <v>0.2281</v>
      </c>
      <c r="J183" s="1" t="str">
        <f>HYPERLINK(SetRGB(J183,G183*255,H183*255,I183*255),"HOVER!")</f>
        <v>HOVER!</v>
      </c>
      <c r="K183">
        <f t="shared" ref="K183:K246" si="6">E183/F183</f>
        <v>1</v>
      </c>
    </row>
    <row r="184" spans="1:11" x14ac:dyDescent="0.3">
      <c r="A184">
        <f>LOOKUP(9E+307,--MID(D184,1,{1,2,3,4,5}))</f>
        <v>10</v>
      </c>
      <c r="B184">
        <f>VLOOKUP(MID(D184,LOOKUP(2,1/ISNUMBER(-MID(D184,1,{1,2,3,4,5})),{1,2,3,4,5})+1,9),'Hue codes'!$A$1:$B$10,2,FALSE)</f>
        <v>80</v>
      </c>
      <c r="C184">
        <f t="shared" si="5"/>
        <v>90</v>
      </c>
      <c r="D184" s="162" t="s">
        <v>56</v>
      </c>
      <c r="E184" s="162">
        <v>2</v>
      </c>
      <c r="F184" s="162">
        <v>4</v>
      </c>
      <c r="G184" s="164">
        <v>0.26450000000000001</v>
      </c>
      <c r="H184" s="164">
        <v>0.157</v>
      </c>
      <c r="I184" s="164">
        <v>0.25330000000000003</v>
      </c>
      <c r="J184" s="1" t="str">
        <f>HYPERLINK(SetRGB(J184,G184*255,H184*255,I184*255),"HOVER!")</f>
        <v>HOVER!</v>
      </c>
      <c r="K184">
        <f t="shared" si="6"/>
        <v>0.5</v>
      </c>
    </row>
    <row r="185" spans="1:11" x14ac:dyDescent="0.3">
      <c r="A185">
        <f>LOOKUP(9E+307,--MID(D185,1,{1,2,3,4,5}))</f>
        <v>10</v>
      </c>
      <c r="B185">
        <f>VLOOKUP(MID(D185,LOOKUP(2,1/ISNUMBER(-MID(D185,1,{1,2,3,4,5})),{1,2,3,4,5})+1,9),'Hue codes'!$A$1:$B$10,2,FALSE)</f>
        <v>80</v>
      </c>
      <c r="C185">
        <f t="shared" si="5"/>
        <v>90</v>
      </c>
      <c r="D185" s="162" t="s">
        <v>56</v>
      </c>
      <c r="E185" s="162">
        <v>2</v>
      </c>
      <c r="F185" s="162">
        <v>6</v>
      </c>
      <c r="G185" s="164">
        <v>0.29120000000000001</v>
      </c>
      <c r="H185" s="164">
        <v>0.13550000000000001</v>
      </c>
      <c r="I185" s="164">
        <v>0.27789999999999998</v>
      </c>
      <c r="J185" s="1" t="str">
        <f>HYPERLINK(SetRGB(J185,G185*255,H185*255,I185*255),"HOVER!")</f>
        <v>HOVER!</v>
      </c>
      <c r="K185">
        <f t="shared" si="6"/>
        <v>0.33333333333333331</v>
      </c>
    </row>
    <row r="186" spans="1:11" x14ac:dyDescent="0.3">
      <c r="A186">
        <f>LOOKUP(9E+307,--MID(D186,1,{1,2,3,4,5}))</f>
        <v>10</v>
      </c>
      <c r="B186">
        <f>VLOOKUP(MID(D186,LOOKUP(2,1/ISNUMBER(-MID(D186,1,{1,2,3,4,5})),{1,2,3,4,5})+1,9),'Hue codes'!$A$1:$B$10,2,FALSE)</f>
        <v>80</v>
      </c>
      <c r="C186">
        <f t="shared" si="5"/>
        <v>90</v>
      </c>
      <c r="D186" s="162" t="s">
        <v>56</v>
      </c>
      <c r="E186" s="162">
        <v>2</v>
      </c>
      <c r="F186" s="162">
        <v>8</v>
      </c>
      <c r="G186" s="164">
        <v>0.32219999999999999</v>
      </c>
      <c r="H186" s="164">
        <v>0.1007</v>
      </c>
      <c r="I186" s="164">
        <v>0.30759999999999998</v>
      </c>
      <c r="J186" s="1" t="str">
        <f>HYPERLINK(SetRGB(J186,G186*255,H186*255,I186*255),"HOVER!")</f>
        <v>HOVER!</v>
      </c>
      <c r="K186">
        <f t="shared" si="6"/>
        <v>0.25</v>
      </c>
    </row>
    <row r="187" spans="1:11" x14ac:dyDescent="0.3">
      <c r="A187">
        <f>LOOKUP(9E+307,--MID(D187,1,{1,2,3,4,5}))</f>
        <v>10</v>
      </c>
      <c r="B187">
        <f>VLOOKUP(MID(D187,LOOKUP(2,1/ISNUMBER(-MID(D187,1,{1,2,3,4,5})),{1,2,3,4,5})+1,9),'Hue codes'!$A$1:$B$10,2,FALSE)</f>
        <v>80</v>
      </c>
      <c r="C187">
        <f t="shared" si="5"/>
        <v>90</v>
      </c>
      <c r="D187" s="162" t="s">
        <v>56</v>
      </c>
      <c r="E187" s="162">
        <v>2</v>
      </c>
      <c r="F187" s="162">
        <v>10</v>
      </c>
      <c r="G187" s="164">
        <v>0.34939999999999999</v>
      </c>
      <c r="H187" s="164">
        <v>5.0500000000000003E-2</v>
      </c>
      <c r="I187" s="164">
        <v>0.33329999999999999</v>
      </c>
      <c r="J187" s="1" t="str">
        <f>HYPERLINK(SetRGB(J187,G187*255,H187*255,I187*255),"HOVER!")</f>
        <v>HOVER!</v>
      </c>
      <c r="K187">
        <f t="shared" si="6"/>
        <v>0.2</v>
      </c>
    </row>
    <row r="188" spans="1:11" x14ac:dyDescent="0.3">
      <c r="A188">
        <f>LOOKUP(9E+307,--MID(D188,1,{1,2,3,4,5}))</f>
        <v>2.5</v>
      </c>
      <c r="B188">
        <f>VLOOKUP(MID(D188,LOOKUP(2,1/ISNUMBER(-MID(D188,1,{1,2,3,4,5})),{1,2,3,4,5})+1,9),'Hue codes'!$A$1:$B$10,2,FALSE)</f>
        <v>90</v>
      </c>
      <c r="C188">
        <f t="shared" si="5"/>
        <v>92.5</v>
      </c>
      <c r="D188" s="162" t="s">
        <v>57</v>
      </c>
      <c r="E188" s="162">
        <v>2</v>
      </c>
      <c r="F188" s="162">
        <v>2</v>
      </c>
      <c r="G188" s="164">
        <v>0.2442</v>
      </c>
      <c r="H188" s="164">
        <v>0.1724</v>
      </c>
      <c r="I188" s="164">
        <v>0.21940000000000001</v>
      </c>
      <c r="J188" s="1" t="str">
        <f>HYPERLINK(SetRGB(J188,G188*255,H188*255,I188*255),"HOVER!")</f>
        <v>HOVER!</v>
      </c>
      <c r="K188">
        <f t="shared" si="6"/>
        <v>1</v>
      </c>
    </row>
    <row r="189" spans="1:11" x14ac:dyDescent="0.3">
      <c r="A189">
        <f>LOOKUP(9E+307,--MID(D189,1,{1,2,3,4,5}))</f>
        <v>2.5</v>
      </c>
      <c r="B189">
        <f>VLOOKUP(MID(D189,LOOKUP(2,1/ISNUMBER(-MID(D189,1,{1,2,3,4,5})),{1,2,3,4,5})+1,9),'Hue codes'!$A$1:$B$10,2,FALSE)</f>
        <v>90</v>
      </c>
      <c r="C189">
        <f t="shared" si="5"/>
        <v>92.5</v>
      </c>
      <c r="D189" s="162" t="s">
        <v>57</v>
      </c>
      <c r="E189" s="162">
        <v>2</v>
      </c>
      <c r="F189" s="162">
        <v>4</v>
      </c>
      <c r="G189" s="164">
        <v>0.27629999999999999</v>
      </c>
      <c r="H189" s="164">
        <v>0.1532</v>
      </c>
      <c r="I189" s="164">
        <v>0.23799999999999999</v>
      </c>
      <c r="J189" s="1" t="str">
        <f>HYPERLINK(SetRGB(J189,G189*255,H189*255,I189*255),"HOVER!")</f>
        <v>HOVER!</v>
      </c>
      <c r="K189">
        <f t="shared" si="6"/>
        <v>0.5</v>
      </c>
    </row>
    <row r="190" spans="1:11" x14ac:dyDescent="0.3">
      <c r="A190">
        <f>LOOKUP(9E+307,--MID(D190,1,{1,2,3,4,5}))</f>
        <v>2.5</v>
      </c>
      <c r="B190">
        <f>VLOOKUP(MID(D190,LOOKUP(2,1/ISNUMBER(-MID(D190,1,{1,2,3,4,5})),{1,2,3,4,5})+1,9),'Hue codes'!$A$1:$B$10,2,FALSE)</f>
        <v>90</v>
      </c>
      <c r="C190">
        <f t="shared" si="5"/>
        <v>92.5</v>
      </c>
      <c r="D190" s="162" t="s">
        <v>57</v>
      </c>
      <c r="E190" s="162">
        <v>2</v>
      </c>
      <c r="F190" s="162">
        <v>6</v>
      </c>
      <c r="G190" s="164">
        <v>0.307</v>
      </c>
      <c r="H190" s="164">
        <v>0.1288</v>
      </c>
      <c r="I190" s="164">
        <v>0.25719999999999998</v>
      </c>
      <c r="J190" s="1" t="str">
        <f>HYPERLINK(SetRGB(J190,G190*255,H190*255,I190*255),"HOVER!")</f>
        <v>HOVER!</v>
      </c>
      <c r="K190">
        <f t="shared" si="6"/>
        <v>0.33333333333333331</v>
      </c>
    </row>
    <row r="191" spans="1:11" x14ac:dyDescent="0.3">
      <c r="A191">
        <f>LOOKUP(9E+307,--MID(D191,1,{1,2,3,4,5}))</f>
        <v>2.5</v>
      </c>
      <c r="B191">
        <f>VLOOKUP(MID(D191,LOOKUP(2,1/ISNUMBER(-MID(D191,1,{1,2,3,4,5})),{1,2,3,4,5})+1,9),'Hue codes'!$A$1:$B$10,2,FALSE)</f>
        <v>90</v>
      </c>
      <c r="C191">
        <f t="shared" si="5"/>
        <v>92.5</v>
      </c>
      <c r="D191" s="162" t="s">
        <v>57</v>
      </c>
      <c r="E191" s="162">
        <v>2</v>
      </c>
      <c r="F191" s="162">
        <v>8</v>
      </c>
      <c r="G191" s="164">
        <v>0.34229999999999999</v>
      </c>
      <c r="H191" s="164">
        <v>8.7300000000000003E-2</v>
      </c>
      <c r="I191" s="164">
        <v>0.28110000000000002</v>
      </c>
      <c r="J191" s="1" t="str">
        <f>HYPERLINK(SetRGB(J191,G191*255,H191*255,I191*255),"HOVER!")</f>
        <v>HOVER!</v>
      </c>
      <c r="K191">
        <f t="shared" si="6"/>
        <v>0.25</v>
      </c>
    </row>
    <row r="192" spans="1:11" x14ac:dyDescent="0.3">
      <c r="A192">
        <f>LOOKUP(9E+307,--MID(D192,1,{1,2,3,4,5}))</f>
        <v>2.5</v>
      </c>
      <c r="B192">
        <f>VLOOKUP(MID(D192,LOOKUP(2,1/ISNUMBER(-MID(D192,1,{1,2,3,4,5})),{1,2,3,4,5})+1,9),'Hue codes'!$A$1:$B$10,2,FALSE)</f>
        <v>90</v>
      </c>
      <c r="C192">
        <f t="shared" si="5"/>
        <v>92.5</v>
      </c>
      <c r="D192" s="162" t="s">
        <v>57</v>
      </c>
      <c r="E192" s="162">
        <v>2</v>
      </c>
      <c r="F192" s="162">
        <v>10</v>
      </c>
      <c r="G192" s="164">
        <v>0.373</v>
      </c>
      <c r="H192" s="164">
        <v>1.26E-2</v>
      </c>
      <c r="I192" s="164">
        <v>0.30280000000000001</v>
      </c>
      <c r="J192" s="83" t="str">
        <f>HYPERLINK(SetRGB(J192,G192*255,H192*255,I192*255),"HOVER!")</f>
        <v>HOVER!</v>
      </c>
      <c r="K192">
        <f t="shared" si="6"/>
        <v>0.2</v>
      </c>
    </row>
    <row r="193" spans="1:11" x14ac:dyDescent="0.3">
      <c r="A193">
        <f>LOOKUP(9E+307,--MID(D193,1,{1,2,3,4,5}))</f>
        <v>5</v>
      </c>
      <c r="B193">
        <f>VLOOKUP(MID(D193,LOOKUP(2,1/ISNUMBER(-MID(D193,1,{1,2,3,4,5})),{1,2,3,4,5})+1,9),'Hue codes'!$A$1:$B$10,2,FALSE)</f>
        <v>90</v>
      </c>
      <c r="C193">
        <f t="shared" si="5"/>
        <v>95</v>
      </c>
      <c r="D193" s="162" t="s">
        <v>58</v>
      </c>
      <c r="E193" s="162">
        <v>2</v>
      </c>
      <c r="F193" s="162">
        <v>2</v>
      </c>
      <c r="G193" s="164">
        <v>0.2495</v>
      </c>
      <c r="H193" s="164">
        <v>0.17130000000000001</v>
      </c>
      <c r="I193" s="164">
        <v>0.21029999999999999</v>
      </c>
      <c r="J193" s="1" t="str">
        <f>HYPERLINK(SetRGB(J193,G193*255,H193*255,I193*255),"HOVER!")</f>
        <v>HOVER!</v>
      </c>
      <c r="K193">
        <f t="shared" si="6"/>
        <v>1</v>
      </c>
    </row>
    <row r="194" spans="1:11" x14ac:dyDescent="0.3">
      <c r="A194">
        <f>LOOKUP(9E+307,--MID(D194,1,{1,2,3,4,5}))</f>
        <v>5</v>
      </c>
      <c r="B194">
        <f>VLOOKUP(MID(D194,LOOKUP(2,1/ISNUMBER(-MID(D194,1,{1,2,3,4,5})),{1,2,3,4,5})+1,9),'Hue codes'!$A$1:$B$10,2,FALSE)</f>
        <v>90</v>
      </c>
      <c r="C194">
        <f t="shared" si="5"/>
        <v>95</v>
      </c>
      <c r="D194" s="162" t="s">
        <v>58</v>
      </c>
      <c r="E194" s="162">
        <v>2</v>
      </c>
      <c r="F194" s="162">
        <v>4</v>
      </c>
      <c r="G194" s="164">
        <v>0.28539999999999999</v>
      </c>
      <c r="H194" s="164">
        <v>0.15029999999999999</v>
      </c>
      <c r="I194" s="164">
        <v>0.2238</v>
      </c>
      <c r="J194" s="1" t="str">
        <f>HYPERLINK(SetRGB(J194,G194*255,H194*255,I194*255),"HOVER!")</f>
        <v>HOVER!</v>
      </c>
      <c r="K194">
        <f t="shared" si="6"/>
        <v>0.5</v>
      </c>
    </row>
    <row r="195" spans="1:11" x14ac:dyDescent="0.3">
      <c r="A195">
        <f>LOOKUP(9E+307,--MID(D195,1,{1,2,3,4,5}))</f>
        <v>5</v>
      </c>
      <c r="B195">
        <f>VLOOKUP(MID(D195,LOOKUP(2,1/ISNUMBER(-MID(D195,1,{1,2,3,4,5})),{1,2,3,4,5})+1,9),'Hue codes'!$A$1:$B$10,2,FALSE)</f>
        <v>90</v>
      </c>
      <c r="C195">
        <f t="shared" ref="C195:C258" si="7">IF(A195+B195=100,0,A195+B195)</f>
        <v>95</v>
      </c>
      <c r="D195" s="162" t="s">
        <v>58</v>
      </c>
      <c r="E195" s="162">
        <v>2</v>
      </c>
      <c r="F195" s="162">
        <v>6</v>
      </c>
      <c r="G195" s="164">
        <v>0.31859999999999999</v>
      </c>
      <c r="H195" s="164">
        <v>0.1237</v>
      </c>
      <c r="I195" s="164">
        <v>0.23830000000000001</v>
      </c>
      <c r="J195" s="208" t="str">
        <f>HYPERLINK(SetRGB(J195,G195*255,H195*255,I195*255),"HOVER!")</f>
        <v>HOVER!</v>
      </c>
      <c r="K195">
        <f t="shared" si="6"/>
        <v>0.33333333333333331</v>
      </c>
    </row>
    <row r="196" spans="1:11" x14ac:dyDescent="0.3">
      <c r="A196">
        <f>LOOKUP(9E+307,--MID(D196,1,{1,2,3,4,5}))</f>
        <v>5</v>
      </c>
      <c r="B196">
        <f>VLOOKUP(MID(D196,LOOKUP(2,1/ISNUMBER(-MID(D196,1,{1,2,3,4,5})),{1,2,3,4,5})+1,9),'Hue codes'!$A$1:$B$10,2,FALSE)</f>
        <v>90</v>
      </c>
      <c r="C196">
        <f t="shared" si="7"/>
        <v>95</v>
      </c>
      <c r="D196" s="162" t="s">
        <v>58</v>
      </c>
      <c r="E196" s="162">
        <v>2</v>
      </c>
      <c r="F196" s="162">
        <v>8</v>
      </c>
      <c r="G196" s="164">
        <v>0.35610000000000003</v>
      </c>
      <c r="H196" s="164">
        <v>7.7299999999999994E-2</v>
      </c>
      <c r="I196" s="164">
        <v>0.25690000000000002</v>
      </c>
      <c r="J196" s="1" t="str">
        <f>HYPERLINK(SetRGB(J196,G196*255,H196*255,I196*255),"HOVER!")</f>
        <v>HOVER!</v>
      </c>
      <c r="K196">
        <f t="shared" si="6"/>
        <v>0.25</v>
      </c>
    </row>
    <row r="197" spans="1:11" x14ac:dyDescent="0.3">
      <c r="A197">
        <f>LOOKUP(9E+307,--MID(D197,1,{1,2,3,4,5}))</f>
        <v>7.5</v>
      </c>
      <c r="B197">
        <f>VLOOKUP(MID(D197,LOOKUP(2,1/ISNUMBER(-MID(D197,1,{1,2,3,4,5})),{1,2,3,4,5})+1,9),'Hue codes'!$A$1:$B$10,2,FALSE)</f>
        <v>90</v>
      </c>
      <c r="C197">
        <f t="shared" si="7"/>
        <v>97.5</v>
      </c>
      <c r="D197" s="162" t="s">
        <v>59</v>
      </c>
      <c r="E197" s="162">
        <v>2</v>
      </c>
      <c r="F197" s="162">
        <v>2</v>
      </c>
      <c r="G197" s="164">
        <v>0.25259999999999999</v>
      </c>
      <c r="H197" s="164">
        <v>0.17080000000000001</v>
      </c>
      <c r="I197" s="164">
        <v>0.20300000000000001</v>
      </c>
      <c r="J197" s="1" t="str">
        <f>HYPERLINK(SetRGB(J197,G197*255,H197*255,I197*255),"HOVER!")</f>
        <v>HOVER!</v>
      </c>
      <c r="K197">
        <f t="shared" si="6"/>
        <v>1</v>
      </c>
    </row>
    <row r="198" spans="1:11" x14ac:dyDescent="0.3">
      <c r="A198">
        <f>LOOKUP(9E+307,--MID(D198,1,{1,2,3,4,5}))</f>
        <v>7.5</v>
      </c>
      <c r="B198">
        <f>VLOOKUP(MID(D198,LOOKUP(2,1/ISNUMBER(-MID(D198,1,{1,2,3,4,5})),{1,2,3,4,5})+1,9),'Hue codes'!$A$1:$B$10,2,FALSE)</f>
        <v>90</v>
      </c>
      <c r="C198">
        <f t="shared" si="7"/>
        <v>97.5</v>
      </c>
      <c r="D198" s="162" t="s">
        <v>59</v>
      </c>
      <c r="E198" s="162">
        <v>2</v>
      </c>
      <c r="F198" s="162">
        <v>4</v>
      </c>
      <c r="G198" s="164">
        <v>0.2918</v>
      </c>
      <c r="H198" s="164">
        <v>0.1482</v>
      </c>
      <c r="I198" s="164">
        <v>0.21210000000000001</v>
      </c>
      <c r="J198" s="206" t="str">
        <f>HYPERLINK(SetRGB(J198,G198*255,H198*255,I198*255),"HOVER!")</f>
        <v>HOVER!</v>
      </c>
      <c r="K198">
        <f t="shared" si="6"/>
        <v>0.5</v>
      </c>
    </row>
    <row r="199" spans="1:11" x14ac:dyDescent="0.3">
      <c r="A199">
        <f>LOOKUP(9E+307,--MID(D199,1,{1,2,3,4,5}))</f>
        <v>7.5</v>
      </c>
      <c r="B199">
        <f>VLOOKUP(MID(D199,LOOKUP(2,1/ISNUMBER(-MID(D199,1,{1,2,3,4,5})),{1,2,3,4,5})+1,9),'Hue codes'!$A$1:$B$10,2,FALSE)</f>
        <v>90</v>
      </c>
      <c r="C199">
        <f t="shared" si="7"/>
        <v>97.5</v>
      </c>
      <c r="D199" s="162" t="s">
        <v>59</v>
      </c>
      <c r="E199" s="162">
        <v>2</v>
      </c>
      <c r="F199" s="162">
        <v>6</v>
      </c>
      <c r="G199" s="164">
        <v>0.32719999999999999</v>
      </c>
      <c r="H199" s="164">
        <v>0.1197</v>
      </c>
      <c r="I199" s="164">
        <v>0.22159999999999999</v>
      </c>
      <c r="J199" s="1" t="str">
        <f>HYPERLINK(SetRGB(J199,G199*255,H199*255,I199*255),"HOVER!")</f>
        <v>HOVER!</v>
      </c>
      <c r="K199">
        <f t="shared" si="6"/>
        <v>0.33333333333333331</v>
      </c>
    </row>
    <row r="200" spans="1:11" x14ac:dyDescent="0.3">
      <c r="A200">
        <f>LOOKUP(9E+307,--MID(D200,1,{1,2,3,4,5}))</f>
        <v>7.5</v>
      </c>
      <c r="B200">
        <f>VLOOKUP(MID(D200,LOOKUP(2,1/ISNUMBER(-MID(D200,1,{1,2,3,4,5})),{1,2,3,4,5})+1,9),'Hue codes'!$A$1:$B$10,2,FALSE)</f>
        <v>90</v>
      </c>
      <c r="C200">
        <f t="shared" si="7"/>
        <v>97.5</v>
      </c>
      <c r="D200" s="162" t="s">
        <v>59</v>
      </c>
      <c r="E200" s="162">
        <v>2</v>
      </c>
      <c r="F200" s="162">
        <v>8</v>
      </c>
      <c r="G200" s="164">
        <v>0.3659</v>
      </c>
      <c r="H200" s="164">
        <v>7.0300000000000001E-2</v>
      </c>
      <c r="I200" s="164">
        <v>0.2341</v>
      </c>
      <c r="J200" s="1" t="str">
        <f>HYPERLINK(SetRGB(J200,G200*255,H200*255,I200*255),"HOVER!")</f>
        <v>HOVER!</v>
      </c>
      <c r="K200">
        <f t="shared" si="6"/>
        <v>0.25</v>
      </c>
    </row>
    <row r="201" spans="1:11" x14ac:dyDescent="0.3">
      <c r="A201">
        <f>LOOKUP(9E+307,--MID(D201,1,{1,2,3,4,5}))</f>
        <v>10</v>
      </c>
      <c r="B201">
        <f>VLOOKUP(MID(D201,LOOKUP(2,1/ISNUMBER(-MID(D201,1,{1,2,3,4,5})),{1,2,3,4,5})+1,9),'Hue codes'!$A$1:$B$10,2,FALSE)</f>
        <v>90</v>
      </c>
      <c r="C201">
        <f t="shared" si="7"/>
        <v>0</v>
      </c>
      <c r="D201" s="162" t="s">
        <v>20</v>
      </c>
      <c r="E201" s="162">
        <v>3</v>
      </c>
      <c r="F201" s="162">
        <v>2</v>
      </c>
      <c r="G201" s="164">
        <v>0.35549999999999998</v>
      </c>
      <c r="H201" s="164">
        <v>0.25879999999999997</v>
      </c>
      <c r="I201" s="164">
        <v>0.2752</v>
      </c>
      <c r="J201" s="1" t="str">
        <f>HYPERLINK(SetRGB(J201,G201*255,H201*255,I201*255),"HOVER!")</f>
        <v>HOVER!</v>
      </c>
      <c r="K201">
        <f t="shared" si="6"/>
        <v>1.5</v>
      </c>
    </row>
    <row r="202" spans="1:11" x14ac:dyDescent="0.3">
      <c r="A202">
        <f>LOOKUP(9E+307,--MID(D202,1,{1,2,3,4,5}))</f>
        <v>10</v>
      </c>
      <c r="B202">
        <f>VLOOKUP(MID(D202,LOOKUP(2,1/ISNUMBER(-MID(D202,1,{1,2,3,4,5})),{1,2,3,4,5})+1,9),'Hue codes'!$A$1:$B$10,2,FALSE)</f>
        <v>90</v>
      </c>
      <c r="C202">
        <f t="shared" si="7"/>
        <v>0</v>
      </c>
      <c r="D202" s="162" t="s">
        <v>20</v>
      </c>
      <c r="E202" s="162">
        <v>3</v>
      </c>
      <c r="F202" s="162">
        <v>4</v>
      </c>
      <c r="G202" s="164">
        <v>0.40960000000000002</v>
      </c>
      <c r="H202" s="164">
        <v>0.23200000000000001</v>
      </c>
      <c r="I202" s="164">
        <v>0.26900000000000002</v>
      </c>
      <c r="J202" s="1" t="str">
        <f>HYPERLINK(SetRGB(J202,G202*255,H202*255,I202*255),"HOVER!")</f>
        <v>HOVER!</v>
      </c>
      <c r="K202">
        <f t="shared" si="6"/>
        <v>0.75</v>
      </c>
    </row>
    <row r="203" spans="1:11" x14ac:dyDescent="0.3">
      <c r="A203">
        <f>LOOKUP(9E+307,--MID(D203,1,{1,2,3,4,5}))</f>
        <v>10</v>
      </c>
      <c r="B203">
        <f>VLOOKUP(MID(D203,LOOKUP(2,1/ISNUMBER(-MID(D203,1,{1,2,3,4,5})),{1,2,3,4,5})+1,9),'Hue codes'!$A$1:$B$10,2,FALSE)</f>
        <v>90</v>
      </c>
      <c r="C203">
        <f t="shared" si="7"/>
        <v>0</v>
      </c>
      <c r="D203" s="162" t="s">
        <v>20</v>
      </c>
      <c r="E203" s="162">
        <v>3</v>
      </c>
      <c r="F203" s="162">
        <v>6</v>
      </c>
      <c r="G203" s="164">
        <v>0.45610000000000001</v>
      </c>
      <c r="H203" s="164">
        <v>0.20080000000000001</v>
      </c>
      <c r="I203" s="164">
        <v>0.2646</v>
      </c>
      <c r="J203" s="1" t="str">
        <f>HYPERLINK(SetRGB(J203,G203*255,H203*255,I203*255),"HOVER!")</f>
        <v>HOVER!</v>
      </c>
      <c r="K203">
        <f t="shared" si="6"/>
        <v>0.5</v>
      </c>
    </row>
    <row r="204" spans="1:11" x14ac:dyDescent="0.3">
      <c r="A204">
        <f>LOOKUP(9E+307,--MID(D204,1,{1,2,3,4,5}))</f>
        <v>10</v>
      </c>
      <c r="B204">
        <f>VLOOKUP(MID(D204,LOOKUP(2,1/ISNUMBER(-MID(D204,1,{1,2,3,4,5})),{1,2,3,4,5})+1,9),'Hue codes'!$A$1:$B$10,2,FALSE)</f>
        <v>90</v>
      </c>
      <c r="C204">
        <f t="shared" si="7"/>
        <v>0</v>
      </c>
      <c r="D204" s="162" t="s">
        <v>20</v>
      </c>
      <c r="E204" s="162">
        <v>3</v>
      </c>
      <c r="F204" s="162">
        <v>8</v>
      </c>
      <c r="G204" s="164">
        <v>0.50280000000000002</v>
      </c>
      <c r="H204" s="164">
        <v>0.1565</v>
      </c>
      <c r="I204" s="164">
        <v>0.2616</v>
      </c>
      <c r="J204" s="1" t="str">
        <f>HYPERLINK(SetRGB(J204,G204*255,H204*255,I204*255),"HOVER!")</f>
        <v>HOVER!</v>
      </c>
      <c r="K204">
        <f t="shared" si="6"/>
        <v>0.375</v>
      </c>
    </row>
    <row r="205" spans="1:11" x14ac:dyDescent="0.3">
      <c r="A205">
        <f>LOOKUP(9E+307,--MID(D205,1,{1,2,3,4,5}))</f>
        <v>10</v>
      </c>
      <c r="B205">
        <f>VLOOKUP(MID(D205,LOOKUP(2,1/ISNUMBER(-MID(D205,1,{1,2,3,4,5})),{1,2,3,4,5})+1,9),'Hue codes'!$A$1:$B$10,2,FALSE)</f>
        <v>90</v>
      </c>
      <c r="C205">
        <f t="shared" si="7"/>
        <v>0</v>
      </c>
      <c r="D205" s="162" t="s">
        <v>20</v>
      </c>
      <c r="E205" s="162">
        <v>3</v>
      </c>
      <c r="F205" s="162">
        <v>10</v>
      </c>
      <c r="G205" s="164">
        <v>0.54520000000000002</v>
      </c>
      <c r="H205" s="164">
        <v>9.0999999999999998E-2</v>
      </c>
      <c r="I205" s="164">
        <v>0.2601</v>
      </c>
      <c r="J205" s="1" t="str">
        <f>HYPERLINK(SetRGB(J205,G205*255,H205*255,I205*255),"HOVER!")</f>
        <v>HOVER!</v>
      </c>
      <c r="K205">
        <f t="shared" si="6"/>
        <v>0.3</v>
      </c>
    </row>
    <row r="206" spans="1:11" x14ac:dyDescent="0.3">
      <c r="A206">
        <f>LOOKUP(9E+307,--MID(D206,1,{1,2,3,4,5}))</f>
        <v>2.5</v>
      </c>
      <c r="B206">
        <f>VLOOKUP(MID(D206,LOOKUP(2,1/ISNUMBER(-MID(D206,1,{1,2,3,4,5})),{1,2,3,4,5})+1,9),'Hue codes'!$A$1:$B$10,2,FALSE)</f>
        <v>0</v>
      </c>
      <c r="C206">
        <f t="shared" si="7"/>
        <v>2.5</v>
      </c>
      <c r="D206" s="162" t="s">
        <v>21</v>
      </c>
      <c r="E206" s="162">
        <v>3</v>
      </c>
      <c r="F206" s="162">
        <v>2</v>
      </c>
      <c r="G206" s="164">
        <v>0.35809999999999997</v>
      </c>
      <c r="H206" s="164">
        <v>0.25869999999999999</v>
      </c>
      <c r="I206" s="164">
        <v>0.26600000000000001</v>
      </c>
      <c r="J206" s="1" t="str">
        <f>HYPERLINK(SetRGB(J206,G206*255,H206*255,I206*255),"HOVER!")</f>
        <v>HOVER!</v>
      </c>
      <c r="K206">
        <f t="shared" si="6"/>
        <v>1.5</v>
      </c>
    </row>
    <row r="207" spans="1:11" x14ac:dyDescent="0.3">
      <c r="A207">
        <f>LOOKUP(9E+307,--MID(D207,1,{1,2,3,4,5}))</f>
        <v>2.5</v>
      </c>
      <c r="B207">
        <f>VLOOKUP(MID(D207,LOOKUP(2,1/ISNUMBER(-MID(D207,1,{1,2,3,4,5})),{1,2,3,4,5})+1,9),'Hue codes'!$A$1:$B$10,2,FALSE)</f>
        <v>0</v>
      </c>
      <c r="C207">
        <f t="shared" si="7"/>
        <v>2.5</v>
      </c>
      <c r="D207" s="162" t="s">
        <v>21</v>
      </c>
      <c r="E207" s="162">
        <v>3</v>
      </c>
      <c r="F207" s="162">
        <v>4</v>
      </c>
      <c r="G207" s="164">
        <v>0.41389999999999999</v>
      </c>
      <c r="H207" s="164">
        <v>0.2316</v>
      </c>
      <c r="I207" s="164">
        <v>0.2515</v>
      </c>
      <c r="J207" s="1" t="str">
        <f>HYPERLINK(SetRGB(J207,G207*255,H207*255,I207*255),"HOVER!")</f>
        <v>HOVER!</v>
      </c>
      <c r="K207">
        <f t="shared" si="6"/>
        <v>0.75</v>
      </c>
    </row>
    <row r="208" spans="1:11" x14ac:dyDescent="0.3">
      <c r="A208">
        <f>LOOKUP(9E+307,--MID(D208,1,{1,2,3,4,5}))</f>
        <v>2.5</v>
      </c>
      <c r="B208">
        <f>VLOOKUP(MID(D208,LOOKUP(2,1/ISNUMBER(-MID(D208,1,{1,2,3,4,5})),{1,2,3,4,5})+1,9),'Hue codes'!$A$1:$B$10,2,FALSE)</f>
        <v>0</v>
      </c>
      <c r="C208">
        <f t="shared" si="7"/>
        <v>2.5</v>
      </c>
      <c r="D208" s="162" t="s">
        <v>21</v>
      </c>
      <c r="E208" s="162">
        <v>3</v>
      </c>
      <c r="F208" s="162">
        <v>6</v>
      </c>
      <c r="G208" s="164">
        <v>0.46039999999999998</v>
      </c>
      <c r="H208" s="164">
        <v>0.20100000000000001</v>
      </c>
      <c r="I208" s="164">
        <v>0.23910000000000001</v>
      </c>
      <c r="J208" s="1" t="str">
        <f>HYPERLINK(SetRGB(J208,G208*255,H208*255,I208*255),"HOVER!")</f>
        <v>HOVER!</v>
      </c>
      <c r="K208">
        <f t="shared" si="6"/>
        <v>0.5</v>
      </c>
    </row>
    <row r="209" spans="1:11" x14ac:dyDescent="0.3">
      <c r="A209">
        <f>LOOKUP(9E+307,--MID(D209,1,{1,2,3,4,5}))</f>
        <v>2.5</v>
      </c>
      <c r="B209">
        <f>VLOOKUP(MID(D209,LOOKUP(2,1/ISNUMBER(-MID(D209,1,{1,2,3,4,5})),{1,2,3,4,5})+1,9),'Hue codes'!$A$1:$B$10,2,FALSE)</f>
        <v>0</v>
      </c>
      <c r="C209">
        <f t="shared" si="7"/>
        <v>2.5</v>
      </c>
      <c r="D209" s="162" t="s">
        <v>21</v>
      </c>
      <c r="E209" s="162">
        <v>3</v>
      </c>
      <c r="F209" s="162">
        <v>8</v>
      </c>
      <c r="G209" s="164">
        <v>0.50819999999999999</v>
      </c>
      <c r="H209" s="164">
        <v>0.15640000000000001</v>
      </c>
      <c r="I209" s="164">
        <v>0.2266</v>
      </c>
      <c r="J209" s="31" t="str">
        <f>HYPERLINK(SetRGB(J209,G209*255,H209*255,I209*255),"HOVER!")</f>
        <v>HOVER!</v>
      </c>
      <c r="K209">
        <f t="shared" si="6"/>
        <v>0.375</v>
      </c>
    </row>
    <row r="210" spans="1:11" x14ac:dyDescent="0.3">
      <c r="A210">
        <f>LOOKUP(9E+307,--MID(D210,1,{1,2,3,4,5}))</f>
        <v>2.5</v>
      </c>
      <c r="B210">
        <f>VLOOKUP(MID(D210,LOOKUP(2,1/ISNUMBER(-MID(D210,1,{1,2,3,4,5})),{1,2,3,4,5})+1,9),'Hue codes'!$A$1:$B$10,2,FALSE)</f>
        <v>0</v>
      </c>
      <c r="C210">
        <f t="shared" si="7"/>
        <v>2.5</v>
      </c>
      <c r="D210" s="162" t="s">
        <v>21</v>
      </c>
      <c r="E210" s="162">
        <v>3</v>
      </c>
      <c r="F210" s="162">
        <v>10</v>
      </c>
      <c r="G210" s="164">
        <v>0.55189999999999995</v>
      </c>
      <c r="H210" s="164">
        <v>8.8900000000000007E-2</v>
      </c>
      <c r="I210" s="164">
        <v>0.217</v>
      </c>
      <c r="J210" s="32" t="str">
        <f>HYPERLINK(SetRGB(J210,G210*255,H210*255,I210*255),"HOVER!")</f>
        <v>HOVER!</v>
      </c>
      <c r="K210">
        <f t="shared" si="6"/>
        <v>0.3</v>
      </c>
    </row>
    <row r="211" spans="1:11" x14ac:dyDescent="0.3">
      <c r="A211">
        <f>LOOKUP(9E+307,--MID(D211,1,{1,2,3,4,5}))</f>
        <v>5</v>
      </c>
      <c r="B211">
        <f>VLOOKUP(MID(D211,LOOKUP(2,1/ISNUMBER(-MID(D211,1,{1,2,3,4,5})),{1,2,3,4,5})+1,9),'Hue codes'!$A$1:$B$10,2,FALSE)</f>
        <v>0</v>
      </c>
      <c r="C211">
        <f t="shared" si="7"/>
        <v>5</v>
      </c>
      <c r="D211" s="162" t="s">
        <v>22</v>
      </c>
      <c r="E211" s="162">
        <v>3</v>
      </c>
      <c r="F211" s="162">
        <v>2</v>
      </c>
      <c r="G211" s="164">
        <v>0.3594</v>
      </c>
      <c r="H211" s="164">
        <v>0.2591</v>
      </c>
      <c r="I211" s="164">
        <v>0.2576</v>
      </c>
      <c r="J211" s="1" t="str">
        <f>HYPERLINK(SetRGB(J211,G211*255,H211*255,I211*255),"HOVER!")</f>
        <v>HOVER!</v>
      </c>
      <c r="K211">
        <f t="shared" si="6"/>
        <v>1.5</v>
      </c>
    </row>
    <row r="212" spans="1:11" x14ac:dyDescent="0.3">
      <c r="A212">
        <f>LOOKUP(9E+307,--MID(D212,1,{1,2,3,4,5}))</f>
        <v>5</v>
      </c>
      <c r="B212">
        <f>VLOOKUP(MID(D212,LOOKUP(2,1/ISNUMBER(-MID(D212,1,{1,2,3,4,5})),{1,2,3,4,5})+1,9),'Hue codes'!$A$1:$B$10,2,FALSE)</f>
        <v>0</v>
      </c>
      <c r="C212">
        <f t="shared" si="7"/>
        <v>5</v>
      </c>
      <c r="D212" s="162" t="s">
        <v>22</v>
      </c>
      <c r="E212" s="162">
        <v>3</v>
      </c>
      <c r="F212" s="162">
        <v>4</v>
      </c>
      <c r="G212" s="164">
        <v>0.41670000000000001</v>
      </c>
      <c r="H212" s="164">
        <v>0.2321</v>
      </c>
      <c r="I212" s="164">
        <v>0.2334</v>
      </c>
      <c r="J212" s="1" t="str">
        <f>HYPERLINK(SetRGB(J212,G212*255,H212*255,I212*255),"HOVER!")</f>
        <v>HOVER!</v>
      </c>
      <c r="K212">
        <f t="shared" si="6"/>
        <v>0.75</v>
      </c>
    </row>
    <row r="213" spans="1:11" x14ac:dyDescent="0.3">
      <c r="A213">
        <f>LOOKUP(9E+307,--MID(D213,1,{1,2,3,4,5}))</f>
        <v>5</v>
      </c>
      <c r="B213">
        <f>VLOOKUP(MID(D213,LOOKUP(2,1/ISNUMBER(-MID(D213,1,{1,2,3,4,5})),{1,2,3,4,5})+1,9),'Hue codes'!$A$1:$B$10,2,FALSE)</f>
        <v>0</v>
      </c>
      <c r="C213">
        <f t="shared" si="7"/>
        <v>5</v>
      </c>
      <c r="D213" s="162" t="s">
        <v>22</v>
      </c>
      <c r="E213" s="162">
        <v>3</v>
      </c>
      <c r="F213" s="162">
        <v>6</v>
      </c>
      <c r="G213" s="164">
        <v>0.46229999999999999</v>
      </c>
      <c r="H213" s="164">
        <v>0.2029</v>
      </c>
      <c r="I213" s="164">
        <v>0.21179999999999999</v>
      </c>
      <c r="J213" s="1" t="str">
        <f>HYPERLINK(SetRGB(J213,G213*255,H213*255,I213*255),"HOVER!")</f>
        <v>HOVER!</v>
      </c>
      <c r="K213">
        <f t="shared" si="6"/>
        <v>0.5</v>
      </c>
    </row>
    <row r="214" spans="1:11" x14ac:dyDescent="0.3">
      <c r="A214">
        <f>LOOKUP(9E+307,--MID(D214,1,{1,2,3,4,5}))</f>
        <v>5</v>
      </c>
      <c r="B214">
        <f>VLOOKUP(MID(D214,LOOKUP(2,1/ISNUMBER(-MID(D214,1,{1,2,3,4,5})),{1,2,3,4,5})+1,9),'Hue codes'!$A$1:$B$10,2,FALSE)</f>
        <v>0</v>
      </c>
      <c r="C214">
        <f t="shared" si="7"/>
        <v>5</v>
      </c>
      <c r="D214" s="162" t="s">
        <v>22</v>
      </c>
      <c r="E214" s="162">
        <v>3</v>
      </c>
      <c r="F214" s="162">
        <v>8</v>
      </c>
      <c r="G214" s="164">
        <v>0.50890000000000002</v>
      </c>
      <c r="H214" s="164">
        <v>0.16120000000000001</v>
      </c>
      <c r="I214" s="164">
        <v>0.189</v>
      </c>
      <c r="J214" s="1" t="str">
        <f>HYPERLINK(SetRGB(J214,G214*255,H214*255,I214*255),"HOVER!")</f>
        <v>HOVER!</v>
      </c>
      <c r="K214">
        <f t="shared" si="6"/>
        <v>0.375</v>
      </c>
    </row>
    <row r="215" spans="1:11" x14ac:dyDescent="0.3">
      <c r="A215">
        <f>LOOKUP(9E+307,--MID(D215,1,{1,2,3,4,5}))</f>
        <v>5</v>
      </c>
      <c r="B215">
        <f>VLOOKUP(MID(D215,LOOKUP(2,1/ISNUMBER(-MID(D215,1,{1,2,3,4,5})),{1,2,3,4,5})+1,9),'Hue codes'!$A$1:$B$10,2,FALSE)</f>
        <v>0</v>
      </c>
      <c r="C215">
        <f t="shared" si="7"/>
        <v>5</v>
      </c>
      <c r="D215" s="162" t="s">
        <v>22</v>
      </c>
      <c r="E215" s="162">
        <v>3</v>
      </c>
      <c r="F215" s="162">
        <v>10</v>
      </c>
      <c r="G215" s="164">
        <v>0.55310000000000004</v>
      </c>
      <c r="H215" s="164">
        <v>9.7199999999999995E-2</v>
      </c>
      <c r="I215" s="164">
        <v>0.16919999999999999</v>
      </c>
      <c r="J215" s="1" t="str">
        <f>HYPERLINK(SetRGB(J215,G215*255,H215*255,I215*255),"HOVER!")</f>
        <v>HOVER!</v>
      </c>
      <c r="K215">
        <f t="shared" si="6"/>
        <v>0.3</v>
      </c>
    </row>
    <row r="216" spans="1:11" x14ac:dyDescent="0.3">
      <c r="A216">
        <f>LOOKUP(9E+307,--MID(D216,1,{1,2,3,4,5}))</f>
        <v>7.5</v>
      </c>
      <c r="B216">
        <f>VLOOKUP(MID(D216,LOOKUP(2,1/ISNUMBER(-MID(D216,1,{1,2,3,4,5})),{1,2,3,4,5})+1,9),'Hue codes'!$A$1:$B$10,2,FALSE)</f>
        <v>0</v>
      </c>
      <c r="C216">
        <f t="shared" si="7"/>
        <v>7.5</v>
      </c>
      <c r="D216" s="162" t="s">
        <v>23</v>
      </c>
      <c r="E216" s="162">
        <v>3</v>
      </c>
      <c r="F216" s="162">
        <v>2</v>
      </c>
      <c r="G216" s="164">
        <v>0.35980000000000001</v>
      </c>
      <c r="H216" s="164">
        <v>0.25979999999999998</v>
      </c>
      <c r="I216" s="164">
        <v>0.24979999999999999</v>
      </c>
      <c r="J216" s="82" t="str">
        <f>HYPERLINK(SetRGB(J216,G216*255,H216*255,I216*255),"HOVER!")</f>
        <v>HOVER!</v>
      </c>
      <c r="K216">
        <f t="shared" si="6"/>
        <v>1.5</v>
      </c>
    </row>
    <row r="217" spans="1:11" x14ac:dyDescent="0.3">
      <c r="A217">
        <f>LOOKUP(9E+307,--MID(D217,1,{1,2,3,4,5}))</f>
        <v>7.5</v>
      </c>
      <c r="B217">
        <f>VLOOKUP(MID(D217,LOOKUP(2,1/ISNUMBER(-MID(D217,1,{1,2,3,4,5})),{1,2,3,4,5})+1,9),'Hue codes'!$A$1:$B$10,2,FALSE)</f>
        <v>0</v>
      </c>
      <c r="C217">
        <f t="shared" si="7"/>
        <v>7.5</v>
      </c>
      <c r="D217" s="162" t="s">
        <v>23</v>
      </c>
      <c r="E217" s="162">
        <v>3</v>
      </c>
      <c r="F217" s="162">
        <v>4</v>
      </c>
      <c r="G217" s="164">
        <v>0.41599999999999998</v>
      </c>
      <c r="H217" s="164">
        <v>0.23419999999999999</v>
      </c>
      <c r="I217" s="164">
        <v>0.21709999999999999</v>
      </c>
      <c r="J217" s="1" t="str">
        <f>HYPERLINK(SetRGB(J217,G217*255,H217*255,I217*255),"HOVER!")</f>
        <v>HOVER!</v>
      </c>
      <c r="K217">
        <f t="shared" si="6"/>
        <v>0.75</v>
      </c>
    </row>
    <row r="218" spans="1:11" x14ac:dyDescent="0.3">
      <c r="A218">
        <f>LOOKUP(9E+307,--MID(D218,1,{1,2,3,4,5}))</f>
        <v>7.5</v>
      </c>
      <c r="B218">
        <f>VLOOKUP(MID(D218,LOOKUP(2,1/ISNUMBER(-MID(D218,1,{1,2,3,4,5})),{1,2,3,4,5})+1,9),'Hue codes'!$A$1:$B$10,2,FALSE)</f>
        <v>0</v>
      </c>
      <c r="C218">
        <f t="shared" si="7"/>
        <v>7.5</v>
      </c>
      <c r="D218" s="162" t="s">
        <v>23</v>
      </c>
      <c r="E218" s="162">
        <v>3</v>
      </c>
      <c r="F218" s="162">
        <v>6</v>
      </c>
      <c r="G218" s="164">
        <v>0.4617</v>
      </c>
      <c r="H218" s="164">
        <v>0.20599999999999999</v>
      </c>
      <c r="I218" s="164">
        <v>0.18690000000000001</v>
      </c>
      <c r="J218" s="1" t="str">
        <f>HYPERLINK(SetRGB(J218,G218*255,H218*255,I218*255),"HOVER!")</f>
        <v>HOVER!</v>
      </c>
      <c r="K218">
        <f t="shared" si="6"/>
        <v>0.5</v>
      </c>
    </row>
    <row r="219" spans="1:11" x14ac:dyDescent="0.3">
      <c r="A219">
        <f>LOOKUP(9E+307,--MID(D219,1,{1,2,3,4,5}))</f>
        <v>7.5</v>
      </c>
      <c r="B219">
        <f>VLOOKUP(MID(D219,LOOKUP(2,1/ISNUMBER(-MID(D219,1,{1,2,3,4,5})),{1,2,3,4,5})+1,9),'Hue codes'!$A$1:$B$10,2,FALSE)</f>
        <v>0</v>
      </c>
      <c r="C219">
        <f t="shared" si="7"/>
        <v>7.5</v>
      </c>
      <c r="D219" s="162" t="s">
        <v>23</v>
      </c>
      <c r="E219" s="162">
        <v>3</v>
      </c>
      <c r="F219" s="162">
        <v>8</v>
      </c>
      <c r="G219" s="164">
        <v>0.50629999999999997</v>
      </c>
      <c r="H219" s="164">
        <v>0.16819999999999999</v>
      </c>
      <c r="I219" s="164">
        <v>0.1535</v>
      </c>
      <c r="J219" s="1" t="str">
        <f>HYPERLINK(SetRGB(J219,G219*255,H219*255,I219*255),"HOVER!")</f>
        <v>HOVER!</v>
      </c>
      <c r="K219">
        <f t="shared" si="6"/>
        <v>0.375</v>
      </c>
    </row>
    <row r="220" spans="1:11" x14ac:dyDescent="0.3">
      <c r="A220">
        <f>LOOKUP(9E+307,--MID(D220,1,{1,2,3,4,5}))</f>
        <v>7.5</v>
      </c>
      <c r="B220">
        <f>VLOOKUP(MID(D220,LOOKUP(2,1/ISNUMBER(-MID(D220,1,{1,2,3,4,5})),{1,2,3,4,5})+1,9),'Hue codes'!$A$1:$B$10,2,FALSE)</f>
        <v>0</v>
      </c>
      <c r="C220">
        <f t="shared" si="7"/>
        <v>7.5</v>
      </c>
      <c r="D220" s="162" t="s">
        <v>23</v>
      </c>
      <c r="E220" s="162">
        <v>3</v>
      </c>
      <c r="F220" s="162">
        <v>10</v>
      </c>
      <c r="G220" s="164">
        <v>0.54810000000000003</v>
      </c>
      <c r="H220" s="164">
        <v>0.1142</v>
      </c>
      <c r="I220" s="164">
        <v>0.1191</v>
      </c>
      <c r="J220" s="1" t="str">
        <f>HYPERLINK(SetRGB(J220,G220*255,H220*255,I220*255),"HOVER!")</f>
        <v>HOVER!</v>
      </c>
      <c r="K220">
        <f t="shared" si="6"/>
        <v>0.3</v>
      </c>
    </row>
    <row r="221" spans="1:11" x14ac:dyDescent="0.3">
      <c r="A221">
        <f>LOOKUP(9E+307,--MID(D221,1,{1,2,3,4,5}))</f>
        <v>10</v>
      </c>
      <c r="B221">
        <f>VLOOKUP(MID(D221,LOOKUP(2,1/ISNUMBER(-MID(D221,1,{1,2,3,4,5})),{1,2,3,4,5})+1,9),'Hue codes'!$A$1:$B$10,2,FALSE)</f>
        <v>0</v>
      </c>
      <c r="C221">
        <f t="shared" si="7"/>
        <v>10</v>
      </c>
      <c r="D221" s="162" t="s">
        <v>24</v>
      </c>
      <c r="E221" s="162">
        <v>3</v>
      </c>
      <c r="F221" s="162">
        <v>2</v>
      </c>
      <c r="G221" s="164">
        <v>0.35849999999999999</v>
      </c>
      <c r="H221" s="164">
        <v>0.26119999999999999</v>
      </c>
      <c r="I221" s="164">
        <v>0.24149999999999999</v>
      </c>
      <c r="J221" s="1" t="str">
        <f>HYPERLINK(SetRGB(J221,G221*255,H221*255,I221*255),"HOVER!")</f>
        <v>HOVER!</v>
      </c>
      <c r="K221">
        <f t="shared" si="6"/>
        <v>1.5</v>
      </c>
    </row>
    <row r="222" spans="1:11" x14ac:dyDescent="0.3">
      <c r="A222">
        <f>LOOKUP(9E+307,--MID(D222,1,{1,2,3,4,5}))</f>
        <v>10</v>
      </c>
      <c r="B222">
        <f>VLOOKUP(MID(D222,LOOKUP(2,1/ISNUMBER(-MID(D222,1,{1,2,3,4,5})),{1,2,3,4,5})+1,9),'Hue codes'!$A$1:$B$10,2,FALSE)</f>
        <v>0</v>
      </c>
      <c r="C222">
        <f t="shared" si="7"/>
        <v>10</v>
      </c>
      <c r="D222" s="162" t="s">
        <v>24</v>
      </c>
      <c r="E222" s="162">
        <v>3</v>
      </c>
      <c r="F222" s="162">
        <v>4</v>
      </c>
      <c r="G222" s="164">
        <v>0.41310000000000002</v>
      </c>
      <c r="H222" s="164">
        <v>0.2374</v>
      </c>
      <c r="I222" s="164">
        <v>0.20200000000000001</v>
      </c>
      <c r="J222" s="93" t="str">
        <f>HYPERLINK(SetRGB(J222,G222*255,H222*255,I222*255),"HOVER!")</f>
        <v>HOVER!</v>
      </c>
      <c r="K222">
        <f t="shared" si="6"/>
        <v>0.75</v>
      </c>
    </row>
    <row r="223" spans="1:11" x14ac:dyDescent="0.3">
      <c r="A223">
        <f>LOOKUP(9E+307,--MID(D223,1,{1,2,3,4,5}))</f>
        <v>10</v>
      </c>
      <c r="B223">
        <f>VLOOKUP(MID(D223,LOOKUP(2,1/ISNUMBER(-MID(D223,1,{1,2,3,4,5})),{1,2,3,4,5})+1,9),'Hue codes'!$A$1:$B$10,2,FALSE)</f>
        <v>0</v>
      </c>
      <c r="C223">
        <f t="shared" si="7"/>
        <v>10</v>
      </c>
      <c r="D223" s="162" t="s">
        <v>24</v>
      </c>
      <c r="E223" s="162">
        <v>3</v>
      </c>
      <c r="F223" s="162">
        <v>6</v>
      </c>
      <c r="G223" s="164">
        <v>0.45829999999999999</v>
      </c>
      <c r="H223" s="164">
        <v>0.2109</v>
      </c>
      <c r="I223" s="164">
        <v>0.16209999999999999</v>
      </c>
      <c r="J223" s="1" t="str">
        <f>HYPERLINK(SetRGB(J223,G223*255,H223*255,I223*255),"HOVER!")</f>
        <v>HOVER!</v>
      </c>
      <c r="K223">
        <f t="shared" si="6"/>
        <v>0.5</v>
      </c>
    </row>
    <row r="224" spans="1:11" x14ac:dyDescent="0.3">
      <c r="A224">
        <f>LOOKUP(9E+307,--MID(D224,1,{1,2,3,4,5}))</f>
        <v>10</v>
      </c>
      <c r="B224">
        <f>VLOOKUP(MID(D224,LOOKUP(2,1/ISNUMBER(-MID(D224,1,{1,2,3,4,5})),{1,2,3,4,5})+1,9),'Hue codes'!$A$1:$B$10,2,FALSE)</f>
        <v>0</v>
      </c>
      <c r="C224">
        <f t="shared" si="7"/>
        <v>10</v>
      </c>
      <c r="D224" s="162" t="s">
        <v>24</v>
      </c>
      <c r="E224" s="162">
        <v>3</v>
      </c>
      <c r="F224" s="162">
        <v>8</v>
      </c>
      <c r="G224" s="164">
        <v>0.50080000000000002</v>
      </c>
      <c r="H224" s="164">
        <v>0.17710000000000001</v>
      </c>
      <c r="I224" s="164">
        <v>0.1171</v>
      </c>
      <c r="J224" s="1" t="str">
        <f>HYPERLINK(SetRGB(J224,G224*255,H224*255,I224*255),"HOVER!")</f>
        <v>HOVER!</v>
      </c>
      <c r="K224">
        <f t="shared" si="6"/>
        <v>0.375</v>
      </c>
    </row>
    <row r="225" spans="1:11" x14ac:dyDescent="0.3">
      <c r="A225">
        <f>LOOKUP(9E+307,--MID(D225,1,{1,2,3,4,5}))</f>
        <v>10</v>
      </c>
      <c r="B225">
        <f>VLOOKUP(MID(D225,LOOKUP(2,1/ISNUMBER(-MID(D225,1,{1,2,3,4,5})),{1,2,3,4,5})+1,9),'Hue codes'!$A$1:$B$10,2,FALSE)</f>
        <v>0</v>
      </c>
      <c r="C225">
        <f t="shared" si="7"/>
        <v>10</v>
      </c>
      <c r="D225" s="162" t="s">
        <v>24</v>
      </c>
      <c r="E225" s="162">
        <v>3</v>
      </c>
      <c r="F225" s="162">
        <v>10</v>
      </c>
      <c r="G225" s="164">
        <v>0.53900000000000003</v>
      </c>
      <c r="H225" s="164">
        <v>0.13350000000000001</v>
      </c>
      <c r="I225" s="164">
        <v>6.5799999999999997E-2</v>
      </c>
      <c r="J225" s="1" t="str">
        <f>HYPERLINK(SetRGB(J225,G225*255,H225*255,I225*255),"HOVER!")</f>
        <v>HOVER!</v>
      </c>
      <c r="K225">
        <f t="shared" si="6"/>
        <v>0.3</v>
      </c>
    </row>
    <row r="226" spans="1:11" x14ac:dyDescent="0.3">
      <c r="A226">
        <f>LOOKUP(9E+307,--MID(D226,1,{1,2,3,4,5}))</f>
        <v>2.5</v>
      </c>
      <c r="B226">
        <f>VLOOKUP(MID(D226,LOOKUP(2,1/ISNUMBER(-MID(D226,1,{1,2,3,4,5})),{1,2,3,4,5})+1,9),'Hue codes'!$A$1:$B$10,2,FALSE)</f>
        <v>10</v>
      </c>
      <c r="C226">
        <f t="shared" si="7"/>
        <v>12.5</v>
      </c>
      <c r="D226" s="162" t="s">
        <v>25</v>
      </c>
      <c r="E226" s="162">
        <v>3</v>
      </c>
      <c r="F226" s="162">
        <v>2</v>
      </c>
      <c r="G226" s="164">
        <v>0.3553</v>
      </c>
      <c r="H226" s="164">
        <v>0.26340000000000002</v>
      </c>
      <c r="I226" s="164">
        <v>0.2326</v>
      </c>
      <c r="J226" s="1" t="str">
        <f>HYPERLINK(SetRGB(J226,G226*255,H226*255,I226*255),"HOVER!")</f>
        <v>HOVER!</v>
      </c>
      <c r="K226">
        <f t="shared" si="6"/>
        <v>1.5</v>
      </c>
    </row>
    <row r="227" spans="1:11" x14ac:dyDescent="0.3">
      <c r="A227">
        <f>LOOKUP(9E+307,--MID(D227,1,{1,2,3,4,5}))</f>
        <v>2.5</v>
      </c>
      <c r="B227">
        <f>VLOOKUP(MID(D227,LOOKUP(2,1/ISNUMBER(-MID(D227,1,{1,2,3,4,5})),{1,2,3,4,5})+1,9),'Hue codes'!$A$1:$B$10,2,FALSE)</f>
        <v>10</v>
      </c>
      <c r="C227">
        <f t="shared" si="7"/>
        <v>12.5</v>
      </c>
      <c r="D227" s="162" t="s">
        <v>25</v>
      </c>
      <c r="E227" s="162">
        <v>3</v>
      </c>
      <c r="F227" s="162">
        <v>4</v>
      </c>
      <c r="G227" s="164">
        <v>0.40539999999999998</v>
      </c>
      <c r="H227" s="164">
        <v>0.24329999999999999</v>
      </c>
      <c r="I227" s="164">
        <v>0.18329999999999999</v>
      </c>
      <c r="J227" s="1" t="str">
        <f>HYPERLINK(SetRGB(J227,G227*255,H227*255,I227*255),"HOVER!")</f>
        <v>HOVER!</v>
      </c>
      <c r="K227">
        <f t="shared" si="6"/>
        <v>0.75</v>
      </c>
    </row>
    <row r="228" spans="1:11" x14ac:dyDescent="0.3">
      <c r="A228">
        <f>LOOKUP(9E+307,--MID(D228,1,{1,2,3,4,5}))</f>
        <v>2.5</v>
      </c>
      <c r="B228">
        <f>VLOOKUP(MID(D228,LOOKUP(2,1/ISNUMBER(-MID(D228,1,{1,2,3,4,5})),{1,2,3,4,5})+1,9),'Hue codes'!$A$1:$B$10,2,FALSE)</f>
        <v>10</v>
      </c>
      <c r="C228">
        <f t="shared" si="7"/>
        <v>12.5</v>
      </c>
      <c r="D228" s="162" t="s">
        <v>25</v>
      </c>
      <c r="E228" s="162">
        <v>3</v>
      </c>
      <c r="F228" s="162">
        <v>6</v>
      </c>
      <c r="G228" s="164">
        <v>0.44779999999999998</v>
      </c>
      <c r="H228" s="164">
        <v>0.221</v>
      </c>
      <c r="I228" s="164">
        <v>0.12720000000000001</v>
      </c>
      <c r="J228" s="1" t="str">
        <f>HYPERLINK(SetRGB(J228,G228*255,H228*255,I228*255),"HOVER!")</f>
        <v>HOVER!</v>
      </c>
      <c r="K228">
        <f t="shared" si="6"/>
        <v>0.5</v>
      </c>
    </row>
    <row r="229" spans="1:11" x14ac:dyDescent="0.3">
      <c r="A229">
        <f>LOOKUP(9E+307,--MID(D229,1,{1,2,3,4,5}))</f>
        <v>2.5</v>
      </c>
      <c r="B229">
        <f>VLOOKUP(MID(D229,LOOKUP(2,1/ISNUMBER(-MID(D229,1,{1,2,3,4,5})),{1,2,3,4,5})+1,9),'Hue codes'!$A$1:$B$10,2,FALSE)</f>
        <v>10</v>
      </c>
      <c r="C229">
        <f t="shared" si="7"/>
        <v>12.5</v>
      </c>
      <c r="D229" s="162" t="s">
        <v>25</v>
      </c>
      <c r="E229" s="162">
        <v>3</v>
      </c>
      <c r="F229" s="162">
        <v>8</v>
      </c>
      <c r="G229" s="164">
        <v>0.4819</v>
      </c>
      <c r="H229" s="164">
        <v>0.19800000000000001</v>
      </c>
      <c r="I229" s="164">
        <v>5.6300000000000003E-2</v>
      </c>
      <c r="J229" s="1" t="str">
        <f>HYPERLINK(SetRGB(J229,G229*255,H229*255,I229*255),"HOVER!")</f>
        <v>HOVER!</v>
      </c>
      <c r="K229">
        <f t="shared" si="6"/>
        <v>0.375</v>
      </c>
    </row>
    <row r="230" spans="1:11" x14ac:dyDescent="0.3">
      <c r="A230">
        <f>LOOKUP(9E+307,--MID(D230,1,{1,2,3,4,5}))</f>
        <v>5</v>
      </c>
      <c r="B230">
        <f>VLOOKUP(MID(D230,LOOKUP(2,1/ISNUMBER(-MID(D230,1,{1,2,3,4,5})),{1,2,3,4,5})+1,9),'Hue codes'!$A$1:$B$10,2,FALSE)</f>
        <v>10</v>
      </c>
      <c r="C230">
        <f t="shared" si="7"/>
        <v>15</v>
      </c>
      <c r="D230" s="162" t="s">
        <v>26</v>
      </c>
      <c r="E230" s="162">
        <v>3</v>
      </c>
      <c r="F230" s="162">
        <v>2</v>
      </c>
      <c r="G230" s="164">
        <v>0.3498</v>
      </c>
      <c r="H230" s="164">
        <v>0.2666</v>
      </c>
      <c r="I230" s="164">
        <v>0.22370000000000001</v>
      </c>
      <c r="J230" s="1" t="str">
        <f>HYPERLINK(SetRGB(J230,G230*255,H230*255,I230*255),"HOVER!")</f>
        <v>HOVER!</v>
      </c>
      <c r="K230">
        <f t="shared" si="6"/>
        <v>1.5</v>
      </c>
    </row>
    <row r="231" spans="1:11" x14ac:dyDescent="0.3">
      <c r="A231">
        <f>LOOKUP(9E+307,--MID(D231,1,{1,2,3,4,5}))</f>
        <v>5</v>
      </c>
      <c r="B231">
        <f>VLOOKUP(MID(D231,LOOKUP(2,1/ISNUMBER(-MID(D231,1,{1,2,3,4,5})),{1,2,3,4,5})+1,9),'Hue codes'!$A$1:$B$10,2,FALSE)</f>
        <v>10</v>
      </c>
      <c r="C231">
        <f t="shared" si="7"/>
        <v>15</v>
      </c>
      <c r="D231" s="162" t="s">
        <v>26</v>
      </c>
      <c r="E231" s="162">
        <v>3</v>
      </c>
      <c r="F231" s="162">
        <v>4</v>
      </c>
      <c r="G231" s="164">
        <v>0.3947</v>
      </c>
      <c r="H231" s="164">
        <v>0.25030000000000002</v>
      </c>
      <c r="I231" s="164">
        <v>0.1663</v>
      </c>
      <c r="J231" s="81" t="str">
        <f>HYPERLINK(SetRGB(J231,G231*255,H231*255,I231*255),"HOVER!")</f>
        <v>HOVER!</v>
      </c>
      <c r="K231">
        <f t="shared" si="6"/>
        <v>0.75</v>
      </c>
    </row>
    <row r="232" spans="1:11" x14ac:dyDescent="0.3">
      <c r="A232">
        <f>LOOKUP(9E+307,--MID(D232,1,{1,2,3,4,5}))</f>
        <v>5</v>
      </c>
      <c r="B232">
        <f>VLOOKUP(MID(D232,LOOKUP(2,1/ISNUMBER(-MID(D232,1,{1,2,3,4,5})),{1,2,3,4,5})+1,9),'Hue codes'!$A$1:$B$10,2,FALSE)</f>
        <v>10</v>
      </c>
      <c r="C232">
        <f t="shared" si="7"/>
        <v>15</v>
      </c>
      <c r="D232" s="162" t="s">
        <v>26</v>
      </c>
      <c r="E232" s="162">
        <v>3</v>
      </c>
      <c r="F232" s="162">
        <v>6</v>
      </c>
      <c r="G232" s="164">
        <v>0.43180000000000002</v>
      </c>
      <c r="H232" s="164">
        <v>0.23319999999999999</v>
      </c>
      <c r="I232" s="164">
        <v>9.64E-2</v>
      </c>
      <c r="J232" s="1" t="str">
        <f>HYPERLINK(SetRGB(J232,G232*255,H232*255,I232*255),"HOVER!")</f>
        <v>HOVER!</v>
      </c>
      <c r="K232">
        <f t="shared" si="6"/>
        <v>0.5</v>
      </c>
    </row>
    <row r="233" spans="1:11" x14ac:dyDescent="0.3">
      <c r="A233">
        <f>LOOKUP(9E+307,--MID(D233,1,{1,2,3,4,5}))</f>
        <v>7.5</v>
      </c>
      <c r="B233">
        <f>VLOOKUP(MID(D233,LOOKUP(2,1/ISNUMBER(-MID(D233,1,{1,2,3,4,5})),{1,2,3,4,5})+1,9),'Hue codes'!$A$1:$B$10,2,FALSE)</f>
        <v>10</v>
      </c>
      <c r="C233">
        <f t="shared" si="7"/>
        <v>17.5</v>
      </c>
      <c r="D233" s="162" t="s">
        <v>27</v>
      </c>
      <c r="E233" s="162">
        <v>3</v>
      </c>
      <c r="F233" s="162">
        <v>2</v>
      </c>
      <c r="G233" s="164">
        <v>0.34379999999999999</v>
      </c>
      <c r="H233" s="164">
        <v>0.2697</v>
      </c>
      <c r="I233" s="164">
        <v>0.21659999999999999</v>
      </c>
      <c r="J233" s="1" t="str">
        <f>HYPERLINK(SetRGB(J233,G233*255,H233*255,I233*255),"HOVER!")</f>
        <v>HOVER!</v>
      </c>
      <c r="K233">
        <f t="shared" si="6"/>
        <v>1.5</v>
      </c>
    </row>
    <row r="234" spans="1:11" x14ac:dyDescent="0.3">
      <c r="A234">
        <f>LOOKUP(9E+307,--MID(D234,1,{1,2,3,4,5}))</f>
        <v>7.5</v>
      </c>
      <c r="B234">
        <f>VLOOKUP(MID(D234,LOOKUP(2,1/ISNUMBER(-MID(D234,1,{1,2,3,4,5})),{1,2,3,4,5})+1,9),'Hue codes'!$A$1:$B$10,2,FALSE)</f>
        <v>10</v>
      </c>
      <c r="C234">
        <f t="shared" si="7"/>
        <v>17.5</v>
      </c>
      <c r="D234" s="162" t="s">
        <v>27</v>
      </c>
      <c r="E234" s="162">
        <v>3</v>
      </c>
      <c r="F234" s="162">
        <v>4</v>
      </c>
      <c r="G234" s="164">
        <v>0.38329999999999997</v>
      </c>
      <c r="H234" s="164">
        <v>0.2571</v>
      </c>
      <c r="I234" s="164">
        <v>0.14990000000000001</v>
      </c>
      <c r="J234" s="1" t="str">
        <f>HYPERLINK(SetRGB(J234,G234*255,H234*255,I234*255),"HOVER!")</f>
        <v>HOVER!</v>
      </c>
      <c r="K234">
        <f t="shared" si="6"/>
        <v>0.75</v>
      </c>
    </row>
    <row r="235" spans="1:11" x14ac:dyDescent="0.3">
      <c r="A235">
        <f>LOOKUP(9E+307,--MID(D235,1,{1,2,3,4,5}))</f>
        <v>7.5</v>
      </c>
      <c r="B235">
        <f>VLOOKUP(MID(D235,LOOKUP(2,1/ISNUMBER(-MID(D235,1,{1,2,3,4,5})),{1,2,3,4,5})+1,9),'Hue codes'!$A$1:$B$10,2,FALSE)</f>
        <v>10</v>
      </c>
      <c r="C235">
        <f t="shared" si="7"/>
        <v>17.5</v>
      </c>
      <c r="D235" s="162" t="s">
        <v>27</v>
      </c>
      <c r="E235" s="162">
        <v>3</v>
      </c>
      <c r="F235" s="162">
        <v>6</v>
      </c>
      <c r="G235" s="164">
        <v>0.41349999999999998</v>
      </c>
      <c r="H235" s="164">
        <v>0.2452</v>
      </c>
      <c r="I235" s="164">
        <v>6.6600000000000006E-2</v>
      </c>
      <c r="J235" s="1" t="str">
        <f>HYPERLINK(SetRGB(J235,G235*255,H235*255,I235*255),"HOVER!")</f>
        <v>HOVER!</v>
      </c>
      <c r="K235">
        <f t="shared" si="6"/>
        <v>0.5</v>
      </c>
    </row>
    <row r="236" spans="1:11" x14ac:dyDescent="0.3">
      <c r="A236">
        <f>LOOKUP(9E+307,--MID(D236,1,{1,2,3,4,5}))</f>
        <v>10</v>
      </c>
      <c r="B236">
        <f>VLOOKUP(MID(D236,LOOKUP(2,1/ISNUMBER(-MID(D236,1,{1,2,3,4,5})),{1,2,3,4,5})+1,9),'Hue codes'!$A$1:$B$10,2,FALSE)</f>
        <v>10</v>
      </c>
      <c r="C236">
        <f t="shared" si="7"/>
        <v>20</v>
      </c>
      <c r="D236" s="162" t="s">
        <v>28</v>
      </c>
      <c r="E236" s="162">
        <v>3</v>
      </c>
      <c r="F236" s="162">
        <v>2</v>
      </c>
      <c r="G236" s="164">
        <v>0.33429999999999999</v>
      </c>
      <c r="H236" s="164">
        <v>0.27389999999999998</v>
      </c>
      <c r="I236" s="164">
        <v>0.21010000000000001</v>
      </c>
      <c r="J236" s="1" t="str">
        <f>HYPERLINK(SetRGB(J236,G236*255,H236*255,I236*255),"HOVER!")</f>
        <v>HOVER!</v>
      </c>
      <c r="K236">
        <f t="shared" si="6"/>
        <v>1.5</v>
      </c>
    </row>
    <row r="237" spans="1:11" x14ac:dyDescent="0.3">
      <c r="A237">
        <f>LOOKUP(9E+307,--MID(D237,1,{1,2,3,4,5}))</f>
        <v>10</v>
      </c>
      <c r="B237">
        <f>VLOOKUP(MID(D237,LOOKUP(2,1/ISNUMBER(-MID(D237,1,{1,2,3,4,5})),{1,2,3,4,5})+1,9),'Hue codes'!$A$1:$B$10,2,FALSE)</f>
        <v>10</v>
      </c>
      <c r="C237">
        <f t="shared" si="7"/>
        <v>20</v>
      </c>
      <c r="D237" s="162" t="s">
        <v>28</v>
      </c>
      <c r="E237" s="162">
        <v>3</v>
      </c>
      <c r="F237" s="162">
        <v>4</v>
      </c>
      <c r="G237" s="164">
        <v>0.36840000000000001</v>
      </c>
      <c r="H237" s="164">
        <v>0.26479999999999998</v>
      </c>
      <c r="I237" s="164">
        <v>0.13550000000000001</v>
      </c>
      <c r="J237" s="1" t="str">
        <f>HYPERLINK(SetRGB(J237,G237*255,H237*255,I237*255),"HOVER!")</f>
        <v>HOVER!</v>
      </c>
      <c r="K237">
        <f t="shared" si="6"/>
        <v>0.75</v>
      </c>
    </row>
    <row r="238" spans="1:11" x14ac:dyDescent="0.3">
      <c r="A238">
        <f>LOOKUP(9E+307,--MID(D238,1,{1,2,3,4,5}))</f>
        <v>10</v>
      </c>
      <c r="B238">
        <f>VLOOKUP(MID(D238,LOOKUP(2,1/ISNUMBER(-MID(D238,1,{1,2,3,4,5})),{1,2,3,4,5})+1,9),'Hue codes'!$A$1:$B$10,2,FALSE)</f>
        <v>10</v>
      </c>
      <c r="C238">
        <f t="shared" si="7"/>
        <v>20</v>
      </c>
      <c r="D238" s="162" t="s">
        <v>28</v>
      </c>
      <c r="E238" s="162">
        <v>3</v>
      </c>
      <c r="F238" s="162">
        <v>6</v>
      </c>
      <c r="G238" s="164">
        <v>0.39410000000000001</v>
      </c>
      <c r="H238" s="164">
        <v>0.25640000000000002</v>
      </c>
      <c r="I238" s="164">
        <v>0.03</v>
      </c>
      <c r="J238" s="1" t="str">
        <f>HYPERLINK(SetRGB(J238,G238*255,H238*255,I238*255),"HOVER!")</f>
        <v>HOVER!</v>
      </c>
      <c r="K238">
        <f t="shared" si="6"/>
        <v>0.5</v>
      </c>
    </row>
    <row r="239" spans="1:11" x14ac:dyDescent="0.3">
      <c r="A239">
        <f>LOOKUP(9E+307,--MID(D239,1,{1,2,3,4,5}))</f>
        <v>2.5</v>
      </c>
      <c r="B239">
        <f>VLOOKUP(MID(D239,LOOKUP(2,1/ISNUMBER(-MID(D239,1,{1,2,3,4,5})),{1,2,3,4,5})+1,9),'Hue codes'!$A$1:$B$10,2,FALSE)</f>
        <v>20</v>
      </c>
      <c r="C239">
        <f t="shared" si="7"/>
        <v>22.5</v>
      </c>
      <c r="D239" s="162" t="s">
        <v>29</v>
      </c>
      <c r="E239" s="162">
        <v>3</v>
      </c>
      <c r="F239" s="162">
        <v>2</v>
      </c>
      <c r="G239" s="164">
        <v>0.32340000000000002</v>
      </c>
      <c r="H239" s="164">
        <v>0.27829999999999999</v>
      </c>
      <c r="I239" s="164">
        <v>0.20569999999999999</v>
      </c>
      <c r="J239" s="1" t="str">
        <f>HYPERLINK(SetRGB(J239,G239*255,H239*255,I239*255),"HOVER!")</f>
        <v>HOVER!</v>
      </c>
      <c r="K239">
        <f t="shared" si="6"/>
        <v>1.5</v>
      </c>
    </row>
    <row r="240" spans="1:11" x14ac:dyDescent="0.3">
      <c r="A240">
        <f>LOOKUP(9E+307,--MID(D240,1,{1,2,3,4,5}))</f>
        <v>2.5</v>
      </c>
      <c r="B240">
        <f>VLOOKUP(MID(D240,LOOKUP(2,1/ISNUMBER(-MID(D240,1,{1,2,3,4,5})),{1,2,3,4,5})+1,9),'Hue codes'!$A$1:$B$10,2,FALSE)</f>
        <v>20</v>
      </c>
      <c r="C240">
        <f t="shared" si="7"/>
        <v>22.5</v>
      </c>
      <c r="D240" s="162" t="s">
        <v>29</v>
      </c>
      <c r="E240" s="162">
        <v>3</v>
      </c>
      <c r="F240" s="162">
        <v>4</v>
      </c>
      <c r="G240" s="164">
        <v>0.35170000000000001</v>
      </c>
      <c r="H240" s="164">
        <v>0.27260000000000001</v>
      </c>
      <c r="I240" s="164">
        <v>0.12330000000000001</v>
      </c>
      <c r="J240" s="1" t="str">
        <f>HYPERLINK(SetRGB(J240,G240*255,H240*255,I240*255),"HOVER!")</f>
        <v>HOVER!</v>
      </c>
      <c r="K240">
        <f t="shared" si="6"/>
        <v>0.75</v>
      </c>
    </row>
    <row r="241" spans="1:11" x14ac:dyDescent="0.3">
      <c r="A241">
        <f>LOOKUP(9E+307,--MID(D241,1,{1,2,3,4,5}))</f>
        <v>5</v>
      </c>
      <c r="B241">
        <f>VLOOKUP(MID(D241,LOOKUP(2,1/ISNUMBER(-MID(D241,1,{1,2,3,4,5})),{1,2,3,4,5})+1,9),'Hue codes'!$A$1:$B$10,2,FALSE)</f>
        <v>20</v>
      </c>
      <c r="C241">
        <f t="shared" si="7"/>
        <v>25</v>
      </c>
      <c r="D241" s="162" t="s">
        <v>30</v>
      </c>
      <c r="E241" s="162">
        <v>3</v>
      </c>
      <c r="F241" s="162">
        <v>2</v>
      </c>
      <c r="G241" s="164">
        <v>0.31259999999999999</v>
      </c>
      <c r="H241" s="164">
        <v>0.28220000000000001</v>
      </c>
      <c r="I241" s="164">
        <v>0.20399999999999999</v>
      </c>
      <c r="J241" s="1" t="str">
        <f>HYPERLINK(SetRGB(J241,G241*255,H241*255,I241*255),"HOVER!")</f>
        <v>HOVER!</v>
      </c>
      <c r="K241">
        <f t="shared" si="6"/>
        <v>1.5</v>
      </c>
    </row>
    <row r="242" spans="1:11" x14ac:dyDescent="0.3">
      <c r="A242">
        <f>LOOKUP(9E+307,--MID(D242,1,{1,2,3,4,5}))</f>
        <v>5</v>
      </c>
      <c r="B242">
        <f>VLOOKUP(MID(D242,LOOKUP(2,1/ISNUMBER(-MID(D242,1,{1,2,3,4,5})),{1,2,3,4,5})+1,9),'Hue codes'!$A$1:$B$10,2,FALSE)</f>
        <v>20</v>
      </c>
      <c r="C242">
        <f t="shared" si="7"/>
        <v>25</v>
      </c>
      <c r="D242" s="162" t="s">
        <v>30</v>
      </c>
      <c r="E242" s="162">
        <v>3</v>
      </c>
      <c r="F242" s="162">
        <v>4</v>
      </c>
      <c r="G242" s="164">
        <v>0.33510000000000001</v>
      </c>
      <c r="H242" s="164">
        <v>0.27939999999999998</v>
      </c>
      <c r="I242" s="164">
        <v>0.1163</v>
      </c>
      <c r="J242" s="1" t="str">
        <f>HYPERLINK(SetRGB(J242,G242*255,H242*255,I242*255),"HOVER!")</f>
        <v>HOVER!</v>
      </c>
      <c r="K242">
        <f t="shared" si="6"/>
        <v>0.75</v>
      </c>
    </row>
    <row r="243" spans="1:11" x14ac:dyDescent="0.3">
      <c r="A243">
        <f>LOOKUP(9E+307,--MID(D243,1,{1,2,3,4,5}))</f>
        <v>7.5</v>
      </c>
      <c r="B243">
        <f>VLOOKUP(MID(D243,LOOKUP(2,1/ISNUMBER(-MID(D243,1,{1,2,3,4,5})),{1,2,3,4,5})+1,9),'Hue codes'!$A$1:$B$10,2,FALSE)</f>
        <v>20</v>
      </c>
      <c r="C243">
        <f t="shared" si="7"/>
        <v>27.5</v>
      </c>
      <c r="D243" s="162" t="s">
        <v>31</v>
      </c>
      <c r="E243" s="162">
        <v>3</v>
      </c>
      <c r="F243" s="162">
        <v>2</v>
      </c>
      <c r="G243" s="164">
        <v>0.30299999999999999</v>
      </c>
      <c r="H243" s="164">
        <v>0.28539999999999999</v>
      </c>
      <c r="I243" s="164">
        <v>0.2041</v>
      </c>
      <c r="J243" s="1" t="str">
        <f>HYPERLINK(SetRGB(J243,G243*255,H243*255,I243*255),"HOVER!")</f>
        <v>HOVER!</v>
      </c>
      <c r="K243">
        <f t="shared" si="6"/>
        <v>1.5</v>
      </c>
    </row>
    <row r="244" spans="1:11" x14ac:dyDescent="0.3">
      <c r="A244">
        <f>LOOKUP(9E+307,--MID(D244,1,{1,2,3,4,5}))</f>
        <v>7.5</v>
      </c>
      <c r="B244">
        <f>VLOOKUP(MID(D244,LOOKUP(2,1/ISNUMBER(-MID(D244,1,{1,2,3,4,5})),{1,2,3,4,5})+1,9),'Hue codes'!$A$1:$B$10,2,FALSE)</f>
        <v>20</v>
      </c>
      <c r="C244">
        <f t="shared" si="7"/>
        <v>27.5</v>
      </c>
      <c r="D244" s="162" t="s">
        <v>31</v>
      </c>
      <c r="E244" s="162">
        <v>3</v>
      </c>
      <c r="F244" s="162">
        <v>4</v>
      </c>
      <c r="G244" s="164">
        <v>0.31769999999999998</v>
      </c>
      <c r="H244" s="164">
        <v>0.28570000000000001</v>
      </c>
      <c r="I244" s="164">
        <v>0.1132</v>
      </c>
      <c r="J244" s="1" t="str">
        <f>HYPERLINK(SetRGB(J244,G244*255,H244*255,I244*255),"HOVER!")</f>
        <v>HOVER!</v>
      </c>
      <c r="K244">
        <f t="shared" si="6"/>
        <v>0.75</v>
      </c>
    </row>
    <row r="245" spans="1:11" x14ac:dyDescent="0.3">
      <c r="A245">
        <f>LOOKUP(9E+307,--MID(D245,1,{1,2,3,4,5}))</f>
        <v>10</v>
      </c>
      <c r="B245">
        <f>VLOOKUP(MID(D245,LOOKUP(2,1/ISNUMBER(-MID(D245,1,{1,2,3,4,5})),{1,2,3,4,5})+1,9),'Hue codes'!$A$1:$B$10,2,FALSE)</f>
        <v>20</v>
      </c>
      <c r="C245">
        <f t="shared" si="7"/>
        <v>30</v>
      </c>
      <c r="D245" s="162" t="s">
        <v>32</v>
      </c>
      <c r="E245" s="162">
        <v>3</v>
      </c>
      <c r="F245" s="162">
        <v>2</v>
      </c>
      <c r="G245" s="164">
        <v>0.29199999999999998</v>
      </c>
      <c r="H245" s="164">
        <v>0.28860000000000002</v>
      </c>
      <c r="I245" s="164">
        <v>0.20680000000000001</v>
      </c>
      <c r="J245" s="1" t="str">
        <f>HYPERLINK(SetRGB(J245,G245*255,H245*255,I245*255),"HOVER!")</f>
        <v>HOVER!</v>
      </c>
      <c r="K245">
        <f t="shared" si="6"/>
        <v>1.5</v>
      </c>
    </row>
    <row r="246" spans="1:11" x14ac:dyDescent="0.3">
      <c r="A246">
        <f>LOOKUP(9E+307,--MID(D246,1,{1,2,3,4,5}))</f>
        <v>10</v>
      </c>
      <c r="B246">
        <f>VLOOKUP(MID(D246,LOOKUP(2,1/ISNUMBER(-MID(D246,1,{1,2,3,4,5})),{1,2,3,4,5})+1,9),'Hue codes'!$A$1:$B$10,2,FALSE)</f>
        <v>20</v>
      </c>
      <c r="C246">
        <f t="shared" si="7"/>
        <v>30</v>
      </c>
      <c r="D246" s="162" t="s">
        <v>32</v>
      </c>
      <c r="E246" s="162">
        <v>3</v>
      </c>
      <c r="F246" s="162">
        <v>4</v>
      </c>
      <c r="G246" s="164">
        <v>0.29930000000000001</v>
      </c>
      <c r="H246" s="164">
        <v>0.29170000000000001</v>
      </c>
      <c r="I246" s="164">
        <v>0.1144</v>
      </c>
      <c r="J246" s="215" t="str">
        <f>HYPERLINK(SetRGB(J246,G246*255,H246*255,I246*255),"HOVER!")</f>
        <v>HOVER!</v>
      </c>
      <c r="K246">
        <f t="shared" si="6"/>
        <v>0.75</v>
      </c>
    </row>
    <row r="247" spans="1:11" x14ac:dyDescent="0.3">
      <c r="A247">
        <f>LOOKUP(9E+307,--MID(D247,1,{1,2,3,4,5}))</f>
        <v>2.5</v>
      </c>
      <c r="B247">
        <f>VLOOKUP(MID(D247,LOOKUP(2,1/ISNUMBER(-MID(D247,1,{1,2,3,4,5})),{1,2,3,4,5})+1,9),'Hue codes'!$A$1:$B$10,2,FALSE)</f>
        <v>30</v>
      </c>
      <c r="C247">
        <f t="shared" si="7"/>
        <v>32.5</v>
      </c>
      <c r="D247" s="162" t="s">
        <v>33</v>
      </c>
      <c r="E247" s="162">
        <v>3</v>
      </c>
      <c r="F247" s="162">
        <v>2</v>
      </c>
      <c r="G247" s="164">
        <v>0.2797</v>
      </c>
      <c r="H247" s="164">
        <v>0.2918</v>
      </c>
      <c r="I247" s="164">
        <v>0.21360000000000001</v>
      </c>
      <c r="J247" s="1" t="str">
        <f>HYPERLINK(SetRGB(J247,G247*255,H247*255,I247*255),"HOVER!")</f>
        <v>HOVER!</v>
      </c>
      <c r="K247">
        <f t="shared" ref="K247:K310" si="8">E247/F247</f>
        <v>1.5</v>
      </c>
    </row>
    <row r="248" spans="1:11" x14ac:dyDescent="0.3">
      <c r="A248">
        <f>LOOKUP(9E+307,--MID(D248,1,{1,2,3,4,5}))</f>
        <v>2.5</v>
      </c>
      <c r="B248">
        <f>VLOOKUP(MID(D248,LOOKUP(2,1/ISNUMBER(-MID(D248,1,{1,2,3,4,5})),{1,2,3,4,5})+1,9),'Hue codes'!$A$1:$B$10,2,FALSE)</f>
        <v>30</v>
      </c>
      <c r="C248">
        <f t="shared" si="7"/>
        <v>32.5</v>
      </c>
      <c r="D248" s="162" t="s">
        <v>33</v>
      </c>
      <c r="E248" s="162">
        <v>3</v>
      </c>
      <c r="F248" s="162">
        <v>4</v>
      </c>
      <c r="G248" s="164">
        <v>0.27510000000000001</v>
      </c>
      <c r="H248" s="164">
        <v>0.29830000000000001</v>
      </c>
      <c r="I248" s="164">
        <v>0.12479999999999999</v>
      </c>
      <c r="J248" s="1" t="str">
        <f>HYPERLINK(SetRGB(J248,G248*255,H248*255,I248*255),"HOVER!")</f>
        <v>HOVER!</v>
      </c>
      <c r="K248">
        <f t="shared" si="8"/>
        <v>0.75</v>
      </c>
    </row>
    <row r="249" spans="1:11" x14ac:dyDescent="0.3">
      <c r="A249">
        <f>LOOKUP(9E+307,--MID(D249,1,{1,2,3,4,5}))</f>
        <v>5</v>
      </c>
      <c r="B249">
        <f>VLOOKUP(MID(D249,LOOKUP(2,1/ISNUMBER(-MID(D249,1,{1,2,3,4,5})),{1,2,3,4,5})+1,9),'Hue codes'!$A$1:$B$10,2,FALSE)</f>
        <v>30</v>
      </c>
      <c r="C249">
        <f t="shared" si="7"/>
        <v>35</v>
      </c>
      <c r="D249" s="162" t="s">
        <v>34</v>
      </c>
      <c r="E249" s="162">
        <v>3</v>
      </c>
      <c r="F249" s="162">
        <v>2</v>
      </c>
      <c r="G249" s="164">
        <v>0.26919999999999999</v>
      </c>
      <c r="H249" s="164">
        <v>0.29409999999999997</v>
      </c>
      <c r="I249" s="164">
        <v>0.2215</v>
      </c>
      <c r="J249" s="257" t="str">
        <f>HYPERLINK(SetRGB(J249,G249*255,H249*255,I249*255),"HOVER!")</f>
        <v>HOVER!</v>
      </c>
      <c r="K249">
        <f t="shared" si="8"/>
        <v>1.5</v>
      </c>
    </row>
    <row r="250" spans="1:11" x14ac:dyDescent="0.3">
      <c r="A250">
        <f>LOOKUP(9E+307,--MID(D250,1,{1,2,3,4,5}))</f>
        <v>5</v>
      </c>
      <c r="B250">
        <f>VLOOKUP(MID(D250,LOOKUP(2,1/ISNUMBER(-MID(D250,1,{1,2,3,4,5})),{1,2,3,4,5})+1,9),'Hue codes'!$A$1:$B$10,2,FALSE)</f>
        <v>30</v>
      </c>
      <c r="C250">
        <f t="shared" si="7"/>
        <v>35</v>
      </c>
      <c r="D250" s="162" t="s">
        <v>34</v>
      </c>
      <c r="E250" s="162">
        <v>3</v>
      </c>
      <c r="F250" s="162">
        <v>4</v>
      </c>
      <c r="G250" s="164">
        <v>0.25059999999999999</v>
      </c>
      <c r="H250" s="164">
        <v>0.30370000000000003</v>
      </c>
      <c r="I250" s="164">
        <v>0.1447</v>
      </c>
      <c r="J250" s="1" t="str">
        <f>HYPERLINK(SetRGB(J250,G250*255,H250*255,I250*255),"HOVER!")</f>
        <v>HOVER!</v>
      </c>
      <c r="K250">
        <f t="shared" si="8"/>
        <v>0.75</v>
      </c>
    </row>
    <row r="251" spans="1:11" x14ac:dyDescent="0.3">
      <c r="A251">
        <f>LOOKUP(9E+307,--MID(D251,1,{1,2,3,4,5}))</f>
        <v>5</v>
      </c>
      <c r="B251">
        <f>VLOOKUP(MID(D251,LOOKUP(2,1/ISNUMBER(-MID(D251,1,{1,2,3,4,5})),{1,2,3,4,5})+1,9),'Hue codes'!$A$1:$B$10,2,FALSE)</f>
        <v>30</v>
      </c>
      <c r="C251">
        <f t="shared" si="7"/>
        <v>35</v>
      </c>
      <c r="D251" s="162" t="s">
        <v>34</v>
      </c>
      <c r="E251" s="162">
        <v>3</v>
      </c>
      <c r="F251" s="162">
        <v>6</v>
      </c>
      <c r="G251" s="164">
        <v>0.23219999999999999</v>
      </c>
      <c r="H251" s="164">
        <v>0.31109999999999999</v>
      </c>
      <c r="I251" s="164">
        <v>4.2799999999999998E-2</v>
      </c>
      <c r="J251" s="1" t="str">
        <f>HYPERLINK(SetRGB(J251,G251*255,H251*255,I251*255),"HOVER!")</f>
        <v>HOVER!</v>
      </c>
      <c r="K251">
        <f t="shared" si="8"/>
        <v>0.5</v>
      </c>
    </row>
    <row r="252" spans="1:11" x14ac:dyDescent="0.3">
      <c r="A252">
        <f>LOOKUP(9E+307,--MID(D252,1,{1,2,3,4,5}))</f>
        <v>7.5</v>
      </c>
      <c r="B252">
        <f>VLOOKUP(MID(D252,LOOKUP(2,1/ISNUMBER(-MID(D252,1,{1,2,3,4,5})),{1,2,3,4,5})+1,9),'Hue codes'!$A$1:$B$10,2,FALSE)</f>
        <v>30</v>
      </c>
      <c r="C252">
        <f t="shared" si="7"/>
        <v>37.5</v>
      </c>
      <c r="D252" s="162" t="s">
        <v>35</v>
      </c>
      <c r="E252" s="162">
        <v>3</v>
      </c>
      <c r="F252" s="162">
        <v>2</v>
      </c>
      <c r="G252" s="164">
        <v>0.25430000000000003</v>
      </c>
      <c r="H252" s="164">
        <v>0.29680000000000001</v>
      </c>
      <c r="I252" s="164">
        <v>0.23549999999999999</v>
      </c>
      <c r="J252" s="1" t="str">
        <f>HYPERLINK(SetRGB(J252,G252*255,H252*255,I252*255),"HOVER!")</f>
        <v>HOVER!</v>
      </c>
      <c r="K252">
        <f t="shared" si="8"/>
        <v>1.5</v>
      </c>
    </row>
    <row r="253" spans="1:11" x14ac:dyDescent="0.3">
      <c r="A253">
        <f>LOOKUP(9E+307,--MID(D253,1,{1,2,3,4,5}))</f>
        <v>7.5</v>
      </c>
      <c r="B253">
        <f>VLOOKUP(MID(D253,LOOKUP(2,1/ISNUMBER(-MID(D253,1,{1,2,3,4,5})),{1,2,3,4,5})+1,9),'Hue codes'!$A$1:$B$10,2,FALSE)</f>
        <v>30</v>
      </c>
      <c r="C253">
        <f t="shared" si="7"/>
        <v>37.5</v>
      </c>
      <c r="D253" s="162" t="s">
        <v>35</v>
      </c>
      <c r="E253" s="162">
        <v>3</v>
      </c>
      <c r="F253" s="162">
        <v>4</v>
      </c>
      <c r="G253" s="164">
        <v>0.21779999999999999</v>
      </c>
      <c r="H253" s="164">
        <v>0.30940000000000001</v>
      </c>
      <c r="I253" s="164">
        <v>0.1739</v>
      </c>
      <c r="J253" s="1" t="str">
        <f>HYPERLINK(SetRGB(J253,G253*255,H253*255,I253*255),"HOVER!")</f>
        <v>HOVER!</v>
      </c>
      <c r="K253">
        <f t="shared" si="8"/>
        <v>0.75</v>
      </c>
    </row>
    <row r="254" spans="1:11" x14ac:dyDescent="0.3">
      <c r="A254">
        <f>LOOKUP(9E+307,--MID(D254,1,{1,2,3,4,5}))</f>
        <v>7.5</v>
      </c>
      <c r="B254">
        <f>VLOOKUP(MID(D254,LOOKUP(2,1/ISNUMBER(-MID(D254,1,{1,2,3,4,5})),{1,2,3,4,5})+1,9),'Hue codes'!$A$1:$B$10,2,FALSE)</f>
        <v>30</v>
      </c>
      <c r="C254">
        <f t="shared" si="7"/>
        <v>37.5</v>
      </c>
      <c r="D254" s="162" t="s">
        <v>35</v>
      </c>
      <c r="E254" s="162">
        <v>3</v>
      </c>
      <c r="F254" s="162">
        <v>6</v>
      </c>
      <c r="G254" s="164">
        <v>0.1784</v>
      </c>
      <c r="H254" s="164">
        <v>0.31950000000000001</v>
      </c>
      <c r="I254" s="164">
        <v>0.1042</v>
      </c>
      <c r="J254" s="1" t="str">
        <f>HYPERLINK(SetRGB(J254,G254*255,H254*255,I254*255),"HOVER!")</f>
        <v>HOVER!</v>
      </c>
      <c r="K254">
        <f t="shared" si="8"/>
        <v>0.5</v>
      </c>
    </row>
    <row r="255" spans="1:11" x14ac:dyDescent="0.3">
      <c r="A255">
        <f>LOOKUP(9E+307,--MID(D255,1,{1,2,3,4,5}))</f>
        <v>10</v>
      </c>
      <c r="B255">
        <f>VLOOKUP(MID(D255,LOOKUP(2,1/ISNUMBER(-MID(D255,1,{1,2,3,4,5})),{1,2,3,4,5})+1,9),'Hue codes'!$A$1:$B$10,2,FALSE)</f>
        <v>30</v>
      </c>
      <c r="C255">
        <f t="shared" si="7"/>
        <v>40</v>
      </c>
      <c r="D255" s="162" t="s">
        <v>36</v>
      </c>
      <c r="E255" s="162">
        <v>3</v>
      </c>
      <c r="F255" s="162">
        <v>2</v>
      </c>
      <c r="G255" s="164">
        <v>0.2442</v>
      </c>
      <c r="H255" s="164">
        <v>0.2984</v>
      </c>
      <c r="I255" s="164">
        <v>0.24540000000000001</v>
      </c>
      <c r="J255" s="184" t="str">
        <f>HYPERLINK(SetRGB(J255,G255*255,H255*255,I255*255),"HOVER!")</f>
        <v>HOVER!</v>
      </c>
      <c r="K255">
        <f t="shared" si="8"/>
        <v>1.5</v>
      </c>
    </row>
    <row r="256" spans="1:11" x14ac:dyDescent="0.3">
      <c r="A256">
        <f>LOOKUP(9E+307,--MID(D256,1,{1,2,3,4,5}))</f>
        <v>10</v>
      </c>
      <c r="B256">
        <f>VLOOKUP(MID(D256,LOOKUP(2,1/ISNUMBER(-MID(D256,1,{1,2,3,4,5})),{1,2,3,4,5})+1,9),'Hue codes'!$A$1:$B$10,2,FALSE)</f>
        <v>30</v>
      </c>
      <c r="C256">
        <f t="shared" si="7"/>
        <v>40</v>
      </c>
      <c r="D256" s="162" t="s">
        <v>36</v>
      </c>
      <c r="E256" s="162">
        <v>3</v>
      </c>
      <c r="F256" s="162">
        <v>4</v>
      </c>
      <c r="G256" s="164">
        <v>0.19139999999999999</v>
      </c>
      <c r="H256" s="164">
        <v>0.31269999999999998</v>
      </c>
      <c r="I256" s="164">
        <v>0.1991</v>
      </c>
      <c r="J256" s="1" t="str">
        <f>HYPERLINK(SetRGB(J256,G256*255,H256*255,I256*255),"HOVER!")</f>
        <v>HOVER!</v>
      </c>
      <c r="K256">
        <f t="shared" si="8"/>
        <v>0.75</v>
      </c>
    </row>
    <row r="257" spans="1:11" x14ac:dyDescent="0.3">
      <c r="A257">
        <f>LOOKUP(9E+307,--MID(D257,1,{1,2,3,4,5}))</f>
        <v>10</v>
      </c>
      <c r="B257">
        <f>VLOOKUP(MID(D257,LOOKUP(2,1/ISNUMBER(-MID(D257,1,{1,2,3,4,5})),{1,2,3,4,5})+1,9),'Hue codes'!$A$1:$B$10,2,FALSE)</f>
        <v>30</v>
      </c>
      <c r="C257">
        <f t="shared" si="7"/>
        <v>40</v>
      </c>
      <c r="D257" s="162" t="s">
        <v>36</v>
      </c>
      <c r="E257" s="162">
        <v>3</v>
      </c>
      <c r="F257" s="162">
        <v>6</v>
      </c>
      <c r="G257" s="164">
        <v>0.12479999999999999</v>
      </c>
      <c r="H257" s="164">
        <v>0.3246</v>
      </c>
      <c r="I257" s="164">
        <v>0.15040000000000001</v>
      </c>
      <c r="J257" s="33" t="str">
        <f>HYPERLINK(SetRGB(J257,G257*255,H257*255,I257*255),"HOVER!")</f>
        <v>HOVER!</v>
      </c>
      <c r="K257">
        <f t="shared" si="8"/>
        <v>0.5</v>
      </c>
    </row>
    <row r="258" spans="1:11" x14ac:dyDescent="0.3">
      <c r="A258">
        <f>LOOKUP(9E+307,--MID(D258,1,{1,2,3,4,5}))</f>
        <v>2.5</v>
      </c>
      <c r="B258">
        <f>VLOOKUP(MID(D258,LOOKUP(2,1/ISNUMBER(-MID(D258,1,{1,2,3,4,5})),{1,2,3,4,5})+1,9),'Hue codes'!$A$1:$B$10,2,FALSE)</f>
        <v>40</v>
      </c>
      <c r="C258">
        <f t="shared" si="7"/>
        <v>42.5</v>
      </c>
      <c r="D258" s="162" t="s">
        <v>37</v>
      </c>
      <c r="E258" s="162">
        <v>3</v>
      </c>
      <c r="F258" s="162">
        <v>2</v>
      </c>
      <c r="G258" s="164">
        <v>0.23499999999999999</v>
      </c>
      <c r="H258" s="164">
        <v>0.29959999999999998</v>
      </c>
      <c r="I258" s="164">
        <v>0.25629999999999997</v>
      </c>
      <c r="J258" s="34" t="str">
        <f>HYPERLINK(SetRGB(J258,G258*255,H258*255,I258*255),"HOVER!")</f>
        <v>HOVER!</v>
      </c>
      <c r="K258">
        <f t="shared" si="8"/>
        <v>1.5</v>
      </c>
    </row>
    <row r="259" spans="1:11" x14ac:dyDescent="0.3">
      <c r="A259">
        <f>LOOKUP(9E+307,--MID(D259,1,{1,2,3,4,5}))</f>
        <v>2.5</v>
      </c>
      <c r="B259">
        <f>VLOOKUP(MID(D259,LOOKUP(2,1/ISNUMBER(-MID(D259,1,{1,2,3,4,5})),{1,2,3,4,5})+1,9),'Hue codes'!$A$1:$B$10,2,FALSE)</f>
        <v>40</v>
      </c>
      <c r="C259">
        <f t="shared" ref="C259:C322" si="9">IF(A259+B259=100,0,A259+B259)</f>
        <v>42.5</v>
      </c>
      <c r="D259" s="162" t="s">
        <v>37</v>
      </c>
      <c r="E259" s="162">
        <v>3</v>
      </c>
      <c r="F259" s="162">
        <v>4</v>
      </c>
      <c r="G259" s="164">
        <v>0.16159999999999999</v>
      </c>
      <c r="H259" s="164">
        <v>0.3155</v>
      </c>
      <c r="I259" s="164">
        <v>0.22670000000000001</v>
      </c>
      <c r="J259" s="35" t="str">
        <f>HYPERLINK(SetRGB(J259,G259*255,H259*255,I259*255),"HOVER!")</f>
        <v>HOVER!</v>
      </c>
      <c r="K259">
        <f t="shared" si="8"/>
        <v>0.75</v>
      </c>
    </row>
    <row r="260" spans="1:11" x14ac:dyDescent="0.3">
      <c r="A260">
        <f>LOOKUP(9E+307,--MID(D260,1,{1,2,3,4,5}))</f>
        <v>2.5</v>
      </c>
      <c r="B260">
        <f>VLOOKUP(MID(D260,LOOKUP(2,1/ISNUMBER(-MID(D260,1,{1,2,3,4,5})),{1,2,3,4,5})+1,9),'Hue codes'!$A$1:$B$10,2,FALSE)</f>
        <v>40</v>
      </c>
      <c r="C260">
        <f t="shared" si="9"/>
        <v>42.5</v>
      </c>
      <c r="D260" s="162" t="s">
        <v>37</v>
      </c>
      <c r="E260" s="162">
        <v>3</v>
      </c>
      <c r="F260" s="162">
        <v>6</v>
      </c>
      <c r="G260" s="164">
        <v>2.52E-2</v>
      </c>
      <c r="H260" s="164">
        <v>0.32869999999999999</v>
      </c>
      <c r="I260" s="164">
        <v>0.19950000000000001</v>
      </c>
      <c r="J260" s="1" t="str">
        <f>HYPERLINK(SetRGB(J260,G260*255,H260*255,I260*255),"HOVER!")</f>
        <v>HOVER!</v>
      </c>
      <c r="K260">
        <f t="shared" si="8"/>
        <v>0.5</v>
      </c>
    </row>
    <row r="261" spans="1:11" x14ac:dyDescent="0.3">
      <c r="A261">
        <f>LOOKUP(9E+307,--MID(D261,1,{1,2,3,4,5}))</f>
        <v>5</v>
      </c>
      <c r="B261">
        <f>VLOOKUP(MID(D261,LOOKUP(2,1/ISNUMBER(-MID(D261,1,{1,2,3,4,5})),{1,2,3,4,5})+1,9),'Hue codes'!$A$1:$B$10,2,FALSE)</f>
        <v>40</v>
      </c>
      <c r="C261">
        <f t="shared" si="9"/>
        <v>45</v>
      </c>
      <c r="D261" s="162" t="s">
        <v>38</v>
      </c>
      <c r="E261" s="162">
        <v>3</v>
      </c>
      <c r="F261" s="162">
        <v>2</v>
      </c>
      <c r="G261" s="164">
        <v>0.22819999999999999</v>
      </c>
      <c r="H261" s="164">
        <v>0.3004</v>
      </c>
      <c r="I261" s="164">
        <v>0.26450000000000001</v>
      </c>
      <c r="J261" s="1" t="str">
        <f>HYPERLINK(SetRGB(J261,G261*255,H261*255,I261*255),"HOVER!")</f>
        <v>HOVER!</v>
      </c>
      <c r="K261">
        <f t="shared" si="8"/>
        <v>1.5</v>
      </c>
    </row>
    <row r="262" spans="1:11" x14ac:dyDescent="0.3">
      <c r="A262">
        <f>LOOKUP(9E+307,--MID(D262,1,{1,2,3,4,5}))</f>
        <v>5</v>
      </c>
      <c r="B262">
        <f>VLOOKUP(MID(D262,LOOKUP(2,1/ISNUMBER(-MID(D262,1,{1,2,3,4,5})),{1,2,3,4,5})+1,9),'Hue codes'!$A$1:$B$10,2,FALSE)</f>
        <v>40</v>
      </c>
      <c r="C262">
        <f t="shared" si="9"/>
        <v>45</v>
      </c>
      <c r="D262" s="162" t="s">
        <v>38</v>
      </c>
      <c r="E262" s="162">
        <v>3</v>
      </c>
      <c r="F262" s="162">
        <v>4</v>
      </c>
      <c r="G262" s="164">
        <v>0.14119999999999999</v>
      </c>
      <c r="H262" s="164">
        <v>0.31690000000000002</v>
      </c>
      <c r="I262" s="164">
        <v>0.24340000000000001</v>
      </c>
      <c r="J262" s="1" t="str">
        <f>HYPERLINK(SetRGB(J262,G262*255,H262*255,I262*255),"HOVER!")</f>
        <v>HOVER!</v>
      </c>
      <c r="K262">
        <f t="shared" si="8"/>
        <v>0.75</v>
      </c>
    </row>
    <row r="263" spans="1:11" x14ac:dyDescent="0.3">
      <c r="A263">
        <f>LOOKUP(9E+307,--MID(D263,1,{1,2,3,4,5}))</f>
        <v>7.5</v>
      </c>
      <c r="B263">
        <f>VLOOKUP(MID(D263,LOOKUP(2,1/ISNUMBER(-MID(D263,1,{1,2,3,4,5})),{1,2,3,4,5})+1,9),'Hue codes'!$A$1:$B$10,2,FALSE)</f>
        <v>40</v>
      </c>
      <c r="C263">
        <f t="shared" si="9"/>
        <v>47.5</v>
      </c>
      <c r="D263" s="162" t="s">
        <v>39</v>
      </c>
      <c r="E263" s="162">
        <v>3</v>
      </c>
      <c r="F263" s="162">
        <v>2</v>
      </c>
      <c r="G263" s="164">
        <v>0.22370000000000001</v>
      </c>
      <c r="H263" s="164">
        <v>0.30070000000000002</v>
      </c>
      <c r="I263" s="164">
        <v>0.2707</v>
      </c>
      <c r="J263" s="1" t="str">
        <f>HYPERLINK(SetRGB(J263,G263*255,H263*255,I263*255),"HOVER!")</f>
        <v>HOVER!</v>
      </c>
      <c r="K263">
        <f t="shared" si="8"/>
        <v>1.5</v>
      </c>
    </row>
    <row r="264" spans="1:11" x14ac:dyDescent="0.3">
      <c r="A264">
        <f>LOOKUP(9E+307,--MID(D264,1,{1,2,3,4,5}))</f>
        <v>7.5</v>
      </c>
      <c r="B264">
        <f>VLOOKUP(MID(D264,LOOKUP(2,1/ISNUMBER(-MID(D264,1,{1,2,3,4,5})),{1,2,3,4,5})+1,9),'Hue codes'!$A$1:$B$10,2,FALSE)</f>
        <v>40</v>
      </c>
      <c r="C264">
        <f t="shared" si="9"/>
        <v>47.5</v>
      </c>
      <c r="D264" s="162" t="s">
        <v>39</v>
      </c>
      <c r="E264" s="162">
        <v>3</v>
      </c>
      <c r="F264" s="162">
        <v>4</v>
      </c>
      <c r="G264" s="164">
        <v>0.12429999999999999</v>
      </c>
      <c r="H264" s="164">
        <v>0.31769999999999998</v>
      </c>
      <c r="I264" s="164">
        <v>0.25690000000000002</v>
      </c>
      <c r="J264" s="80" t="str">
        <f>HYPERLINK(SetRGB(J264,G264*255,H264*255,I264*255),"HOVER!")</f>
        <v>HOVER!</v>
      </c>
      <c r="K264">
        <f t="shared" si="8"/>
        <v>0.75</v>
      </c>
    </row>
    <row r="265" spans="1:11" x14ac:dyDescent="0.3">
      <c r="A265">
        <f>LOOKUP(9E+307,--MID(D265,1,{1,2,3,4,5}))</f>
        <v>10</v>
      </c>
      <c r="B265">
        <f>VLOOKUP(MID(D265,LOOKUP(2,1/ISNUMBER(-MID(D265,1,{1,2,3,4,5})),{1,2,3,4,5})+1,9),'Hue codes'!$A$1:$B$10,2,FALSE)</f>
        <v>40</v>
      </c>
      <c r="C265">
        <f t="shared" si="9"/>
        <v>50</v>
      </c>
      <c r="D265" s="162" t="s">
        <v>40</v>
      </c>
      <c r="E265" s="162">
        <v>3</v>
      </c>
      <c r="F265" s="162">
        <v>2</v>
      </c>
      <c r="G265" s="164">
        <v>0.21929999999999999</v>
      </c>
      <c r="H265" s="164">
        <v>0.30099999999999999</v>
      </c>
      <c r="I265" s="164">
        <v>0.27750000000000002</v>
      </c>
      <c r="J265" s="1" t="str">
        <f>HYPERLINK(SetRGB(J265,G265*255,H265*255,I265*255),"HOVER!")</f>
        <v>HOVER!</v>
      </c>
      <c r="K265">
        <f t="shared" si="8"/>
        <v>1.5</v>
      </c>
    </row>
    <row r="266" spans="1:11" x14ac:dyDescent="0.3">
      <c r="A266">
        <f>LOOKUP(9E+307,--MID(D266,1,{1,2,3,4,5}))</f>
        <v>10</v>
      </c>
      <c r="B266">
        <f>VLOOKUP(MID(D266,LOOKUP(2,1/ISNUMBER(-MID(D266,1,{1,2,3,4,5})),{1,2,3,4,5})+1,9),'Hue codes'!$A$1:$B$10,2,FALSE)</f>
        <v>40</v>
      </c>
      <c r="C266">
        <f t="shared" si="9"/>
        <v>50</v>
      </c>
      <c r="D266" s="162" t="s">
        <v>40</v>
      </c>
      <c r="E266" s="162">
        <v>3</v>
      </c>
      <c r="F266" s="162">
        <v>4</v>
      </c>
      <c r="G266" s="164">
        <v>0.10589999999999999</v>
      </c>
      <c r="H266" s="164">
        <v>0.31819999999999998</v>
      </c>
      <c r="I266" s="164">
        <v>0.27189999999999998</v>
      </c>
      <c r="J266" s="1" t="str">
        <f>HYPERLINK(SetRGB(J266,G266*255,H266*255,I266*255),"HOVER!")</f>
        <v>HOVER!</v>
      </c>
      <c r="K266">
        <f t="shared" si="8"/>
        <v>0.75</v>
      </c>
    </row>
    <row r="267" spans="1:11" x14ac:dyDescent="0.3">
      <c r="A267">
        <f>LOOKUP(9E+307,--MID(D267,1,{1,2,3,4,5}))</f>
        <v>2.5</v>
      </c>
      <c r="B267">
        <f>VLOOKUP(MID(D267,LOOKUP(2,1/ISNUMBER(-MID(D267,1,{1,2,3,4,5})),{1,2,3,4,5})+1,9),'Hue codes'!$A$1:$B$10,2,FALSE)</f>
        <v>50</v>
      </c>
      <c r="C267">
        <f t="shared" si="9"/>
        <v>52.5</v>
      </c>
      <c r="D267" s="162" t="s">
        <v>41</v>
      </c>
      <c r="E267" s="162">
        <v>3</v>
      </c>
      <c r="F267" s="162">
        <v>2</v>
      </c>
      <c r="G267" s="164">
        <v>0.216</v>
      </c>
      <c r="H267" s="164">
        <v>0.3009</v>
      </c>
      <c r="I267" s="164">
        <v>0.28549999999999998</v>
      </c>
      <c r="J267" s="1" t="str">
        <f>HYPERLINK(SetRGB(J267,G267*255,H267*255,I267*255),"HOVER!")</f>
        <v>HOVER!</v>
      </c>
      <c r="K267">
        <f t="shared" si="8"/>
        <v>1.5</v>
      </c>
    </row>
    <row r="268" spans="1:11" x14ac:dyDescent="0.3">
      <c r="A268">
        <f>LOOKUP(9E+307,--MID(D268,1,{1,2,3,4,5}))</f>
        <v>2.5</v>
      </c>
      <c r="B268">
        <f>VLOOKUP(MID(D268,LOOKUP(2,1/ISNUMBER(-MID(D268,1,{1,2,3,4,5})),{1,2,3,4,5})+1,9),'Hue codes'!$A$1:$B$10,2,FALSE)</f>
        <v>50</v>
      </c>
      <c r="C268">
        <f t="shared" si="9"/>
        <v>52.5</v>
      </c>
      <c r="D268" s="162" t="s">
        <v>41</v>
      </c>
      <c r="E268" s="162">
        <v>3</v>
      </c>
      <c r="F268" s="162">
        <v>4</v>
      </c>
      <c r="G268" s="164">
        <v>8.8400000000000006E-2</v>
      </c>
      <c r="H268" s="164">
        <v>0.31809999999999999</v>
      </c>
      <c r="I268" s="164">
        <v>0.2888</v>
      </c>
      <c r="J268" s="1" t="str">
        <f>HYPERLINK(SetRGB(J268,G268*255,H268*255,I268*255),"HOVER!")</f>
        <v>HOVER!</v>
      </c>
      <c r="K268">
        <f t="shared" si="8"/>
        <v>0.75</v>
      </c>
    </row>
    <row r="269" spans="1:11" x14ac:dyDescent="0.3">
      <c r="A269">
        <f>LOOKUP(9E+307,--MID(D269,1,{1,2,3,4,5}))</f>
        <v>5</v>
      </c>
      <c r="B269">
        <f>VLOOKUP(MID(D269,LOOKUP(2,1/ISNUMBER(-MID(D269,1,{1,2,3,4,5})),{1,2,3,4,5})+1,9),'Hue codes'!$A$1:$B$10,2,FALSE)</f>
        <v>50</v>
      </c>
      <c r="C269">
        <f t="shared" si="9"/>
        <v>55</v>
      </c>
      <c r="D269" s="162" t="s">
        <v>42</v>
      </c>
      <c r="E269" s="162">
        <v>3</v>
      </c>
      <c r="F269" s="162">
        <v>2</v>
      </c>
      <c r="G269" s="164">
        <v>0.21110000000000001</v>
      </c>
      <c r="H269" s="164">
        <v>0.30080000000000001</v>
      </c>
      <c r="I269" s="164">
        <v>0.29520000000000002</v>
      </c>
      <c r="J269" s="1" t="str">
        <f>HYPERLINK(SetRGB(J269,G269*255,H269*255,I269*255),"HOVER!")</f>
        <v>HOVER!</v>
      </c>
      <c r="K269">
        <f t="shared" si="8"/>
        <v>1.5</v>
      </c>
    </row>
    <row r="270" spans="1:11" x14ac:dyDescent="0.3">
      <c r="A270">
        <f>LOOKUP(9E+307,--MID(D270,1,{1,2,3,4,5}))</f>
        <v>5</v>
      </c>
      <c r="B270">
        <f>VLOOKUP(MID(D270,LOOKUP(2,1/ISNUMBER(-MID(D270,1,{1,2,3,4,5})),{1,2,3,4,5})+1,9),'Hue codes'!$A$1:$B$10,2,FALSE)</f>
        <v>50</v>
      </c>
      <c r="C270">
        <f t="shared" si="9"/>
        <v>55</v>
      </c>
      <c r="D270" s="162" t="s">
        <v>42</v>
      </c>
      <c r="E270" s="162">
        <v>3</v>
      </c>
      <c r="F270" s="162">
        <v>4</v>
      </c>
      <c r="G270" s="164">
        <v>6.8599999999999994E-2</v>
      </c>
      <c r="H270" s="164">
        <v>0.31740000000000002</v>
      </c>
      <c r="I270" s="164">
        <v>0.3095</v>
      </c>
      <c r="J270" s="1" t="str">
        <f>HYPERLINK(SetRGB(J270,G270*255,H270*255,I270*255),"HOVER!")</f>
        <v>HOVER!</v>
      </c>
      <c r="K270">
        <f t="shared" si="8"/>
        <v>0.75</v>
      </c>
    </row>
    <row r="271" spans="1:11" x14ac:dyDescent="0.3">
      <c r="A271">
        <f>LOOKUP(9E+307,--MID(D271,1,{1,2,3,4,5}))</f>
        <v>7.5</v>
      </c>
      <c r="B271">
        <f>VLOOKUP(MID(D271,LOOKUP(2,1/ISNUMBER(-MID(D271,1,{1,2,3,4,5})),{1,2,3,4,5})+1,9),'Hue codes'!$A$1:$B$10,2,FALSE)</f>
        <v>50</v>
      </c>
      <c r="C271">
        <f t="shared" si="9"/>
        <v>57.5</v>
      </c>
      <c r="D271" s="162" t="s">
        <v>43</v>
      </c>
      <c r="E271" s="162">
        <v>3</v>
      </c>
      <c r="F271" s="162">
        <v>2</v>
      </c>
      <c r="G271" s="164">
        <v>0.20849999999999999</v>
      </c>
      <c r="H271" s="164">
        <v>0.3004</v>
      </c>
      <c r="I271" s="164">
        <v>0.30380000000000001</v>
      </c>
      <c r="J271" s="1" t="str">
        <f>HYPERLINK(SetRGB(J271,G271*255,H271*255,I271*255),"HOVER!")</f>
        <v>HOVER!</v>
      </c>
      <c r="K271">
        <f t="shared" si="8"/>
        <v>1.5</v>
      </c>
    </row>
    <row r="272" spans="1:11" x14ac:dyDescent="0.3">
      <c r="A272">
        <f>LOOKUP(9E+307,--MID(D272,1,{1,2,3,4,5}))</f>
        <v>7.5</v>
      </c>
      <c r="B272">
        <f>VLOOKUP(MID(D272,LOOKUP(2,1/ISNUMBER(-MID(D272,1,{1,2,3,4,5})),{1,2,3,4,5})+1,9),'Hue codes'!$A$1:$B$10,2,FALSE)</f>
        <v>50</v>
      </c>
      <c r="C272">
        <f t="shared" si="9"/>
        <v>57.5</v>
      </c>
      <c r="D272" s="162" t="s">
        <v>43</v>
      </c>
      <c r="E272" s="162">
        <v>3</v>
      </c>
      <c r="F272" s="162">
        <v>4</v>
      </c>
      <c r="G272" s="164">
        <v>5.28E-2</v>
      </c>
      <c r="H272" s="164">
        <v>0.31640000000000001</v>
      </c>
      <c r="I272" s="164">
        <v>0.32740000000000002</v>
      </c>
      <c r="J272" s="1" t="str">
        <f>HYPERLINK(SetRGB(J272,G272*255,H272*255,I272*255),"HOVER!")</f>
        <v>HOVER!</v>
      </c>
      <c r="K272">
        <f t="shared" si="8"/>
        <v>0.75</v>
      </c>
    </row>
    <row r="273" spans="1:11" x14ac:dyDescent="0.3">
      <c r="A273">
        <f>LOOKUP(9E+307,--MID(D273,1,{1,2,3,4,5}))</f>
        <v>10</v>
      </c>
      <c r="B273">
        <f>VLOOKUP(MID(D273,LOOKUP(2,1/ISNUMBER(-MID(D273,1,{1,2,3,4,5})),{1,2,3,4,5})+1,9),'Hue codes'!$A$1:$B$10,2,FALSE)</f>
        <v>50</v>
      </c>
      <c r="C273">
        <f t="shared" si="9"/>
        <v>60</v>
      </c>
      <c r="D273" s="162" t="s">
        <v>44</v>
      </c>
      <c r="E273" s="162">
        <v>3</v>
      </c>
      <c r="F273" s="162">
        <v>2</v>
      </c>
      <c r="G273" s="164">
        <v>0.20649999999999999</v>
      </c>
      <c r="H273" s="164">
        <v>0.2999</v>
      </c>
      <c r="I273" s="164">
        <v>0.31219999999999998</v>
      </c>
      <c r="J273" s="94" t="str">
        <f>HYPERLINK(SetRGB(J273,G273*255,H273*255,I273*255),"HOVER!")</f>
        <v>HOVER!</v>
      </c>
      <c r="K273">
        <f t="shared" si="8"/>
        <v>1.5</v>
      </c>
    </row>
    <row r="274" spans="1:11" x14ac:dyDescent="0.3">
      <c r="A274">
        <f>LOOKUP(9E+307,--MID(D274,1,{1,2,3,4,5}))</f>
        <v>10</v>
      </c>
      <c r="B274">
        <f>VLOOKUP(MID(D274,LOOKUP(2,1/ISNUMBER(-MID(D274,1,{1,2,3,4,5})),{1,2,3,4,5})+1,9),'Hue codes'!$A$1:$B$10,2,FALSE)</f>
        <v>50</v>
      </c>
      <c r="C274">
        <f t="shared" si="9"/>
        <v>60</v>
      </c>
      <c r="D274" s="162" t="s">
        <v>44</v>
      </c>
      <c r="E274" s="162">
        <v>3</v>
      </c>
      <c r="F274" s="162">
        <v>4</v>
      </c>
      <c r="G274" s="164">
        <v>5.0599999999999999E-2</v>
      </c>
      <c r="H274" s="164">
        <v>0.31440000000000001</v>
      </c>
      <c r="I274" s="164">
        <v>0.34489999999999998</v>
      </c>
      <c r="J274" s="1" t="str">
        <f>HYPERLINK(SetRGB(J274,G274*255,H274*255,I274*255),"HOVER!")</f>
        <v>HOVER!</v>
      </c>
      <c r="K274">
        <f t="shared" si="8"/>
        <v>0.75</v>
      </c>
    </row>
    <row r="275" spans="1:11" x14ac:dyDescent="0.3">
      <c r="A275">
        <f>LOOKUP(9E+307,--MID(D275,1,{1,2,3,4,5}))</f>
        <v>2.5</v>
      </c>
      <c r="B275">
        <f>VLOOKUP(MID(D275,LOOKUP(2,1/ISNUMBER(-MID(D275,1,{1,2,3,4,5})),{1,2,3,4,5})+1,9),'Hue codes'!$A$1:$B$10,2,FALSE)</f>
        <v>60</v>
      </c>
      <c r="C275">
        <f t="shared" si="9"/>
        <v>62.5</v>
      </c>
      <c r="D275" s="162" t="s">
        <v>45</v>
      </c>
      <c r="E275" s="162">
        <v>3</v>
      </c>
      <c r="F275" s="162">
        <v>2</v>
      </c>
      <c r="G275" s="164">
        <v>0.2079</v>
      </c>
      <c r="H275" s="164">
        <v>0.29870000000000002</v>
      </c>
      <c r="I275" s="164">
        <v>0.31979999999999997</v>
      </c>
      <c r="J275" s="1" t="str">
        <f>HYPERLINK(SetRGB(J275,G275*255,H275*255,I275*255),"HOVER!")</f>
        <v>HOVER!</v>
      </c>
      <c r="K275">
        <f t="shared" si="8"/>
        <v>1.5</v>
      </c>
    </row>
    <row r="276" spans="1:11" x14ac:dyDescent="0.3">
      <c r="A276">
        <f>LOOKUP(9E+307,--MID(D276,1,{1,2,3,4,5}))</f>
        <v>2.5</v>
      </c>
      <c r="B276">
        <f>VLOOKUP(MID(D276,LOOKUP(2,1/ISNUMBER(-MID(D276,1,{1,2,3,4,5})),{1,2,3,4,5})+1,9),'Hue codes'!$A$1:$B$10,2,FALSE)</f>
        <v>60</v>
      </c>
      <c r="C276">
        <f t="shared" si="9"/>
        <v>62.5</v>
      </c>
      <c r="D276" s="162" t="s">
        <v>45</v>
      </c>
      <c r="E276" s="162">
        <v>3</v>
      </c>
      <c r="F276" s="162">
        <v>4</v>
      </c>
      <c r="G276" s="164">
        <v>5.5500000000000001E-2</v>
      </c>
      <c r="H276" s="164">
        <v>0.31209999999999999</v>
      </c>
      <c r="I276" s="164">
        <v>0.3609</v>
      </c>
      <c r="J276" s="1" t="str">
        <f>HYPERLINK(SetRGB(J276,G276*255,H276*255,I276*255),"HOVER!")</f>
        <v>HOVER!</v>
      </c>
      <c r="K276">
        <f t="shared" si="8"/>
        <v>0.75</v>
      </c>
    </row>
    <row r="277" spans="1:11" x14ac:dyDescent="0.3">
      <c r="A277">
        <f>LOOKUP(9E+307,--MID(D277,1,{1,2,3,4,5}))</f>
        <v>5</v>
      </c>
      <c r="B277">
        <f>VLOOKUP(MID(D277,LOOKUP(2,1/ISNUMBER(-MID(D277,1,{1,2,3,4,5})),{1,2,3,4,5})+1,9),'Hue codes'!$A$1:$B$10,2,FALSE)</f>
        <v>60</v>
      </c>
      <c r="C277">
        <f t="shared" si="9"/>
        <v>65</v>
      </c>
      <c r="D277" s="162" t="s">
        <v>46</v>
      </c>
      <c r="E277" s="162">
        <v>3</v>
      </c>
      <c r="F277" s="162">
        <v>2</v>
      </c>
      <c r="G277" s="164">
        <v>0.21010000000000001</v>
      </c>
      <c r="H277" s="164">
        <v>0.2974</v>
      </c>
      <c r="I277" s="164">
        <v>0.32690000000000002</v>
      </c>
      <c r="J277" s="1" t="str">
        <f>HYPERLINK(SetRGB(J277,G277*255,H277*255,I277*255),"HOVER!")</f>
        <v>HOVER!</v>
      </c>
      <c r="K277">
        <f t="shared" si="8"/>
        <v>1.5</v>
      </c>
    </row>
    <row r="278" spans="1:11" x14ac:dyDescent="0.3">
      <c r="A278">
        <f>LOOKUP(9E+307,--MID(D278,1,{1,2,3,4,5}))</f>
        <v>5</v>
      </c>
      <c r="B278">
        <f>VLOOKUP(MID(D278,LOOKUP(2,1/ISNUMBER(-MID(D278,1,{1,2,3,4,5})),{1,2,3,4,5})+1,9),'Hue codes'!$A$1:$B$10,2,FALSE)</f>
        <v>60</v>
      </c>
      <c r="C278">
        <f t="shared" si="9"/>
        <v>65</v>
      </c>
      <c r="D278" s="162" t="s">
        <v>46</v>
      </c>
      <c r="E278" s="162">
        <v>3</v>
      </c>
      <c r="F278" s="162">
        <v>4</v>
      </c>
      <c r="G278" s="164">
        <v>0.08</v>
      </c>
      <c r="H278" s="164">
        <v>0.30869999999999997</v>
      </c>
      <c r="I278" s="164">
        <v>0.37409999999999999</v>
      </c>
      <c r="J278" s="1" t="str">
        <f>HYPERLINK(SetRGB(J278,G278*255,H278*255,I278*255),"HOVER!")</f>
        <v>HOVER!</v>
      </c>
      <c r="K278">
        <f t="shared" si="8"/>
        <v>0.75</v>
      </c>
    </row>
    <row r="279" spans="1:11" x14ac:dyDescent="0.3">
      <c r="A279">
        <f>LOOKUP(9E+307,--MID(D279,1,{1,2,3,4,5}))</f>
        <v>7.5</v>
      </c>
      <c r="B279">
        <f>VLOOKUP(MID(D279,LOOKUP(2,1/ISNUMBER(-MID(D279,1,{1,2,3,4,5})),{1,2,3,4,5})+1,9),'Hue codes'!$A$1:$B$10,2,FALSE)</f>
        <v>60</v>
      </c>
      <c r="C279">
        <f t="shared" si="9"/>
        <v>67.5</v>
      </c>
      <c r="D279" s="162" t="s">
        <v>47</v>
      </c>
      <c r="E279" s="162">
        <v>3</v>
      </c>
      <c r="F279" s="162">
        <v>2</v>
      </c>
      <c r="G279" s="164">
        <v>0.21709999999999999</v>
      </c>
      <c r="H279" s="164">
        <v>0.29509999999999997</v>
      </c>
      <c r="I279" s="164">
        <v>0.33350000000000002</v>
      </c>
      <c r="J279" s="186" t="str">
        <f>HYPERLINK(SetRGB(J279,G279*255,H279*255,I279*255),"HOVER!")</f>
        <v>HOVER!</v>
      </c>
      <c r="K279">
        <f t="shared" si="8"/>
        <v>1.5</v>
      </c>
    </row>
    <row r="280" spans="1:11" x14ac:dyDescent="0.3">
      <c r="A280">
        <f>LOOKUP(9E+307,--MID(D280,1,{1,2,3,4,5}))</f>
        <v>7.5</v>
      </c>
      <c r="B280">
        <f>VLOOKUP(MID(D280,LOOKUP(2,1/ISNUMBER(-MID(D280,1,{1,2,3,4,5})),{1,2,3,4,5})+1,9),'Hue codes'!$A$1:$B$10,2,FALSE)</f>
        <v>60</v>
      </c>
      <c r="C280">
        <f t="shared" si="9"/>
        <v>67.5</v>
      </c>
      <c r="D280" s="162" t="s">
        <v>47</v>
      </c>
      <c r="E280" s="162">
        <v>3</v>
      </c>
      <c r="F280" s="162">
        <v>4</v>
      </c>
      <c r="G280" s="164">
        <v>0.1152</v>
      </c>
      <c r="H280" s="164">
        <v>0.30409999999999998</v>
      </c>
      <c r="I280" s="164">
        <v>0.38429999999999997</v>
      </c>
      <c r="J280" s="1" t="str">
        <f>HYPERLINK(SetRGB(J280,G280*255,H280*255,I280*255),"HOVER!")</f>
        <v>HOVER!</v>
      </c>
      <c r="K280">
        <f t="shared" si="8"/>
        <v>0.75</v>
      </c>
    </row>
    <row r="281" spans="1:11" x14ac:dyDescent="0.3">
      <c r="A281">
        <f>LOOKUP(9E+307,--MID(D281,1,{1,2,3,4,5}))</f>
        <v>10</v>
      </c>
      <c r="B281">
        <f>VLOOKUP(MID(D281,LOOKUP(2,1/ISNUMBER(-MID(D281,1,{1,2,3,4,5})),{1,2,3,4,5})+1,9),'Hue codes'!$A$1:$B$10,2,FALSE)</f>
        <v>60</v>
      </c>
      <c r="C281">
        <f t="shared" si="9"/>
        <v>70</v>
      </c>
      <c r="D281" s="162" t="s">
        <v>48</v>
      </c>
      <c r="E281" s="162">
        <v>3</v>
      </c>
      <c r="F281" s="162">
        <v>2</v>
      </c>
      <c r="G281" s="164">
        <v>0.22720000000000001</v>
      </c>
      <c r="H281" s="164">
        <v>0.29220000000000002</v>
      </c>
      <c r="I281" s="164">
        <v>0.33889999999999998</v>
      </c>
      <c r="J281" s="1" t="str">
        <f>HYPERLINK(SetRGB(J281,G281*255,H281*255,I281*255),"HOVER!")</f>
        <v>HOVER!</v>
      </c>
      <c r="K281">
        <f t="shared" si="8"/>
        <v>1.5</v>
      </c>
    </row>
    <row r="282" spans="1:11" x14ac:dyDescent="0.3">
      <c r="A282">
        <f>LOOKUP(9E+307,--MID(D282,1,{1,2,3,4,5}))</f>
        <v>10</v>
      </c>
      <c r="B282">
        <f>VLOOKUP(MID(D282,LOOKUP(2,1/ISNUMBER(-MID(D282,1,{1,2,3,4,5})),{1,2,3,4,5})+1,9),'Hue codes'!$A$1:$B$10,2,FALSE)</f>
        <v>60</v>
      </c>
      <c r="C282">
        <f t="shared" si="9"/>
        <v>70</v>
      </c>
      <c r="D282" s="162" t="s">
        <v>48</v>
      </c>
      <c r="E282" s="162">
        <v>3</v>
      </c>
      <c r="F282" s="162">
        <v>4</v>
      </c>
      <c r="G282" s="164">
        <v>0.14949999999999999</v>
      </c>
      <c r="H282" s="164">
        <v>0.2989</v>
      </c>
      <c r="I282" s="164">
        <v>0.39100000000000001</v>
      </c>
      <c r="J282" s="268" t="str">
        <f>HYPERLINK(SetRGB(J282,G282*255,H282*255,I282*255),"HOVER!")</f>
        <v>HOVER!</v>
      </c>
      <c r="K282">
        <f t="shared" si="8"/>
        <v>0.75</v>
      </c>
    </row>
    <row r="283" spans="1:11" x14ac:dyDescent="0.3">
      <c r="A283">
        <f>LOOKUP(9E+307,--MID(D283,1,{1,2,3,4,5}))</f>
        <v>2.5</v>
      </c>
      <c r="B283">
        <f>VLOOKUP(MID(D283,LOOKUP(2,1/ISNUMBER(-MID(D283,1,{1,2,3,4,5})),{1,2,3,4,5})+1,9),'Hue codes'!$A$1:$B$10,2,FALSE)</f>
        <v>70</v>
      </c>
      <c r="C283">
        <f t="shared" si="9"/>
        <v>72.5</v>
      </c>
      <c r="D283" s="162" t="s">
        <v>49</v>
      </c>
      <c r="E283" s="162">
        <v>3</v>
      </c>
      <c r="F283" s="162">
        <v>2</v>
      </c>
      <c r="G283" s="164">
        <v>0.24</v>
      </c>
      <c r="H283" s="164">
        <v>0.28870000000000001</v>
      </c>
      <c r="I283" s="164">
        <v>0.34260000000000002</v>
      </c>
      <c r="J283" s="223" t="str">
        <f>HYPERLINK(SetRGB(J283,G283*255,H283*255,I283*255),"HOVER!")</f>
        <v>HOVER!</v>
      </c>
      <c r="K283">
        <f t="shared" si="8"/>
        <v>1.5</v>
      </c>
    </row>
    <row r="284" spans="1:11" x14ac:dyDescent="0.3">
      <c r="A284">
        <f>LOOKUP(9E+307,--MID(D284,1,{1,2,3,4,5}))</f>
        <v>2.5</v>
      </c>
      <c r="B284">
        <f>VLOOKUP(MID(D284,LOOKUP(2,1/ISNUMBER(-MID(D284,1,{1,2,3,4,5})),{1,2,3,4,5})+1,9),'Hue codes'!$A$1:$B$10,2,FALSE)</f>
        <v>70</v>
      </c>
      <c r="C284">
        <f t="shared" si="9"/>
        <v>72.5</v>
      </c>
      <c r="D284" s="162" t="s">
        <v>49</v>
      </c>
      <c r="E284" s="162">
        <v>3</v>
      </c>
      <c r="F284" s="162">
        <v>4</v>
      </c>
      <c r="G284" s="164">
        <v>0.185</v>
      </c>
      <c r="H284" s="164">
        <v>0.29239999999999999</v>
      </c>
      <c r="I284" s="164">
        <v>0.3962</v>
      </c>
      <c r="J284" s="170" t="str">
        <f>HYPERLINK(SetRGB(J284,G284*255,H284*255,I284*255),"HOVER!")</f>
        <v>HOVER!</v>
      </c>
      <c r="K284">
        <f t="shared" si="8"/>
        <v>0.75</v>
      </c>
    </row>
    <row r="285" spans="1:11" x14ac:dyDescent="0.3">
      <c r="A285">
        <f>LOOKUP(9E+307,--MID(D285,1,{1,2,3,4,5}))</f>
        <v>2.5</v>
      </c>
      <c r="B285">
        <f>VLOOKUP(MID(D285,LOOKUP(2,1/ISNUMBER(-MID(D285,1,{1,2,3,4,5})),{1,2,3,4,5})+1,9),'Hue codes'!$A$1:$B$10,2,FALSE)</f>
        <v>70</v>
      </c>
      <c r="C285">
        <f t="shared" si="9"/>
        <v>72.5</v>
      </c>
      <c r="D285" s="162" t="s">
        <v>49</v>
      </c>
      <c r="E285" s="162">
        <v>3</v>
      </c>
      <c r="F285" s="162">
        <v>6</v>
      </c>
      <c r="G285" s="164">
        <v>9.6000000000000002E-2</v>
      </c>
      <c r="H285" s="164">
        <v>0.29570000000000002</v>
      </c>
      <c r="I285" s="164">
        <v>0.44750000000000001</v>
      </c>
      <c r="J285" s="166" t="str">
        <f>HYPERLINK(SetRGB(J285,G285*255,H285*255,I285*255),"HOVER!")</f>
        <v>HOVER!</v>
      </c>
      <c r="K285">
        <f t="shared" si="8"/>
        <v>0.5</v>
      </c>
    </row>
    <row r="286" spans="1:11" x14ac:dyDescent="0.3">
      <c r="A286">
        <f>LOOKUP(9E+307,--MID(D286,1,{1,2,3,4,5}))</f>
        <v>5</v>
      </c>
      <c r="B286">
        <f>VLOOKUP(MID(D286,LOOKUP(2,1/ISNUMBER(-MID(D286,1,{1,2,3,4,5})),{1,2,3,4,5})+1,9),'Hue codes'!$A$1:$B$10,2,FALSE)</f>
        <v>70</v>
      </c>
      <c r="C286">
        <f t="shared" si="9"/>
        <v>75</v>
      </c>
      <c r="D286" s="162" t="s">
        <v>50</v>
      </c>
      <c r="E286" s="162">
        <v>3</v>
      </c>
      <c r="F286" s="162">
        <v>2</v>
      </c>
      <c r="G286" s="164">
        <v>0.25440000000000002</v>
      </c>
      <c r="H286" s="164">
        <v>0.2848</v>
      </c>
      <c r="I286" s="164">
        <v>0.34489999999999998</v>
      </c>
      <c r="J286" s="222" t="str">
        <f>HYPERLINK(SetRGB(J286,G286*255,H286*255,I286*255),"HOVER!")</f>
        <v>HOVER!</v>
      </c>
      <c r="K286">
        <f t="shared" si="8"/>
        <v>1.5</v>
      </c>
    </row>
    <row r="287" spans="1:11" x14ac:dyDescent="0.3">
      <c r="A287">
        <f>LOOKUP(9E+307,--MID(D287,1,{1,2,3,4,5}))</f>
        <v>5</v>
      </c>
      <c r="B287">
        <f>VLOOKUP(MID(D287,LOOKUP(2,1/ISNUMBER(-MID(D287,1,{1,2,3,4,5})),{1,2,3,4,5})+1,9),'Hue codes'!$A$1:$B$10,2,FALSE)</f>
        <v>70</v>
      </c>
      <c r="C287">
        <f t="shared" si="9"/>
        <v>75</v>
      </c>
      <c r="D287" s="162" t="s">
        <v>50</v>
      </c>
      <c r="E287" s="162">
        <v>3</v>
      </c>
      <c r="F287" s="162">
        <v>4</v>
      </c>
      <c r="G287" s="164">
        <v>0.21779999999999999</v>
      </c>
      <c r="H287" s="164">
        <v>0.28549999999999998</v>
      </c>
      <c r="I287" s="164">
        <v>0.39879999999999999</v>
      </c>
      <c r="J287" s="190" t="str">
        <f>HYPERLINK(SetRGB(J287,G287*255,H287*255,I287*255),"HOVER!")</f>
        <v>HOVER!</v>
      </c>
      <c r="K287">
        <f t="shared" si="8"/>
        <v>0.75</v>
      </c>
    </row>
    <row r="288" spans="1:11" x14ac:dyDescent="0.3">
      <c r="A288">
        <f>LOOKUP(9E+307,--MID(D288,1,{1,2,3,4,5}))</f>
        <v>5</v>
      </c>
      <c r="B288">
        <f>VLOOKUP(MID(D288,LOOKUP(2,1/ISNUMBER(-MID(D288,1,{1,2,3,4,5})),{1,2,3,4,5})+1,9),'Hue codes'!$A$1:$B$10,2,FALSE)</f>
        <v>70</v>
      </c>
      <c r="C288">
        <f t="shared" si="9"/>
        <v>75</v>
      </c>
      <c r="D288" s="162" t="s">
        <v>50</v>
      </c>
      <c r="E288" s="162">
        <v>3</v>
      </c>
      <c r="F288" s="162">
        <v>6</v>
      </c>
      <c r="G288" s="164">
        <v>0.16539999999999999</v>
      </c>
      <c r="H288" s="164">
        <v>0.28620000000000001</v>
      </c>
      <c r="I288" s="164">
        <v>0.4511</v>
      </c>
      <c r="J288" s="218" t="str">
        <f>HYPERLINK(SetRGB(J288,G288*255,H288*255,I288*255),"HOVER!")</f>
        <v>HOVER!</v>
      </c>
      <c r="K288">
        <f t="shared" si="8"/>
        <v>0.5</v>
      </c>
    </row>
    <row r="289" spans="1:11" x14ac:dyDescent="0.3">
      <c r="A289">
        <f>LOOKUP(9E+307,--MID(D289,1,{1,2,3,4,5}))</f>
        <v>5</v>
      </c>
      <c r="B289">
        <f>VLOOKUP(MID(D289,LOOKUP(2,1/ISNUMBER(-MID(D289,1,{1,2,3,4,5})),{1,2,3,4,5})+1,9),'Hue codes'!$A$1:$B$10,2,FALSE)</f>
        <v>70</v>
      </c>
      <c r="C289">
        <f t="shared" si="9"/>
        <v>75</v>
      </c>
      <c r="D289" s="162" t="s">
        <v>50</v>
      </c>
      <c r="E289" s="162">
        <v>3</v>
      </c>
      <c r="F289" s="162">
        <v>8</v>
      </c>
      <c r="G289" s="164">
        <v>8.3500000000000005E-2</v>
      </c>
      <c r="H289" s="164">
        <v>0.28639999999999999</v>
      </c>
      <c r="I289" s="164">
        <v>0.49969999999999998</v>
      </c>
      <c r="J289" s="256" t="str">
        <f>HYPERLINK(SetRGB(J289,G289*255,H289*255,I289*255),"HOVER!")</f>
        <v>HOVER!</v>
      </c>
      <c r="K289">
        <f t="shared" si="8"/>
        <v>0.375</v>
      </c>
    </row>
    <row r="290" spans="1:11" x14ac:dyDescent="0.3">
      <c r="A290">
        <f>LOOKUP(9E+307,--MID(D290,1,{1,2,3,4,5}))</f>
        <v>7.5</v>
      </c>
      <c r="B290">
        <f>VLOOKUP(MID(D290,LOOKUP(2,1/ISNUMBER(-MID(D290,1,{1,2,3,4,5})),{1,2,3,4,5})+1,9),'Hue codes'!$A$1:$B$10,2,FALSE)</f>
        <v>70</v>
      </c>
      <c r="C290">
        <f t="shared" si="9"/>
        <v>77.5</v>
      </c>
      <c r="D290" s="162" t="s">
        <v>51</v>
      </c>
      <c r="E290" s="162">
        <v>3</v>
      </c>
      <c r="F290" s="162">
        <v>2</v>
      </c>
      <c r="G290" s="164">
        <v>0.2727</v>
      </c>
      <c r="H290" s="164">
        <v>0.27960000000000002</v>
      </c>
      <c r="I290" s="164">
        <v>0.3458</v>
      </c>
      <c r="J290" s="194" t="str">
        <f>HYPERLINK(SetRGB(J290,G290*255,H290*255,I290*255),"HOVER!")</f>
        <v>HOVER!</v>
      </c>
      <c r="K290">
        <f t="shared" si="8"/>
        <v>1.5</v>
      </c>
    </row>
    <row r="291" spans="1:11" x14ac:dyDescent="0.3">
      <c r="A291">
        <f>LOOKUP(9E+307,--MID(D291,1,{1,2,3,4,5}))</f>
        <v>7.5</v>
      </c>
      <c r="B291">
        <f>VLOOKUP(MID(D291,LOOKUP(2,1/ISNUMBER(-MID(D291,1,{1,2,3,4,5})),{1,2,3,4,5})+1,9),'Hue codes'!$A$1:$B$10,2,FALSE)</f>
        <v>70</v>
      </c>
      <c r="C291">
        <f t="shared" si="9"/>
        <v>77.5</v>
      </c>
      <c r="D291" s="162" t="s">
        <v>51</v>
      </c>
      <c r="E291" s="162">
        <v>3</v>
      </c>
      <c r="F291" s="162">
        <v>4</v>
      </c>
      <c r="G291" s="164">
        <v>0.2586</v>
      </c>
      <c r="H291" s="164">
        <v>0.2752</v>
      </c>
      <c r="I291" s="164">
        <v>0.39950000000000002</v>
      </c>
      <c r="J291" s="174" t="str">
        <f>HYPERLINK(SetRGB(J291,G291*255,H291*255,I291*255),"HOVER!")</f>
        <v>HOVER!</v>
      </c>
      <c r="K291">
        <f t="shared" si="8"/>
        <v>0.75</v>
      </c>
    </row>
    <row r="292" spans="1:11" x14ac:dyDescent="0.3">
      <c r="A292">
        <f>LOOKUP(9E+307,--MID(D292,1,{1,2,3,4,5}))</f>
        <v>7.5</v>
      </c>
      <c r="B292">
        <f>VLOOKUP(MID(D292,LOOKUP(2,1/ISNUMBER(-MID(D292,1,{1,2,3,4,5})),{1,2,3,4,5})+1,9),'Hue codes'!$A$1:$B$10,2,FALSE)</f>
        <v>70</v>
      </c>
      <c r="C292">
        <f t="shared" si="9"/>
        <v>77.5</v>
      </c>
      <c r="D292" s="162" t="s">
        <v>51</v>
      </c>
      <c r="E292" s="162">
        <v>3</v>
      </c>
      <c r="F292" s="162">
        <v>6</v>
      </c>
      <c r="G292" s="164">
        <v>0.2437</v>
      </c>
      <c r="H292" s="164">
        <v>0.2697</v>
      </c>
      <c r="I292" s="164">
        <v>0.4506</v>
      </c>
      <c r="J292" s="211" t="str">
        <f>HYPERLINK(SetRGB(J292,G292*255,H292*255,I292*255),"HOVER!")</f>
        <v>HOVER!</v>
      </c>
      <c r="K292">
        <f t="shared" si="8"/>
        <v>0.5</v>
      </c>
    </row>
    <row r="293" spans="1:11" x14ac:dyDescent="0.3">
      <c r="A293">
        <f>LOOKUP(9E+307,--MID(D293,1,{1,2,3,4,5}))</f>
        <v>7.5</v>
      </c>
      <c r="B293">
        <f>VLOOKUP(MID(D293,LOOKUP(2,1/ISNUMBER(-MID(D293,1,{1,2,3,4,5})),{1,2,3,4,5})+1,9),'Hue codes'!$A$1:$B$10,2,FALSE)</f>
        <v>70</v>
      </c>
      <c r="C293">
        <f t="shared" si="9"/>
        <v>77.5</v>
      </c>
      <c r="D293" s="162" t="s">
        <v>51</v>
      </c>
      <c r="E293" s="162">
        <v>3</v>
      </c>
      <c r="F293" s="162">
        <v>8</v>
      </c>
      <c r="G293" s="164">
        <v>0.22919999999999999</v>
      </c>
      <c r="H293" s="164">
        <v>0.2631</v>
      </c>
      <c r="I293" s="164">
        <v>0.49759999999999999</v>
      </c>
      <c r="J293" s="185" t="str">
        <f>HYPERLINK(SetRGB(J293,G293*255,H293*255,I293*255),"HOVER!")</f>
        <v>HOVER!</v>
      </c>
      <c r="K293">
        <f t="shared" si="8"/>
        <v>0.375</v>
      </c>
    </row>
    <row r="294" spans="1:11" x14ac:dyDescent="0.3">
      <c r="A294">
        <f>LOOKUP(9E+307,--MID(D294,1,{1,2,3,4,5}))</f>
        <v>7.5</v>
      </c>
      <c r="B294">
        <f>VLOOKUP(MID(D294,LOOKUP(2,1/ISNUMBER(-MID(D294,1,{1,2,3,4,5})),{1,2,3,4,5})+1,9),'Hue codes'!$A$1:$B$10,2,FALSE)</f>
        <v>70</v>
      </c>
      <c r="C294">
        <f t="shared" si="9"/>
        <v>77.5</v>
      </c>
      <c r="D294" s="162" t="s">
        <v>51</v>
      </c>
      <c r="E294" s="162">
        <v>3</v>
      </c>
      <c r="F294" s="162">
        <v>10</v>
      </c>
      <c r="G294" s="164">
        <v>0.21179999999999999</v>
      </c>
      <c r="H294" s="164">
        <v>0.25480000000000003</v>
      </c>
      <c r="I294" s="164">
        <v>0.54669999999999996</v>
      </c>
      <c r="J294" s="175" t="str">
        <f>HYPERLINK(SetRGB(J294,G294*255,H294*255,I294*255),"HOVER!")</f>
        <v>HOVER!</v>
      </c>
      <c r="K294">
        <f t="shared" si="8"/>
        <v>0.3</v>
      </c>
    </row>
    <row r="295" spans="1:11" x14ac:dyDescent="0.3">
      <c r="A295">
        <f>LOOKUP(9E+307,--MID(D295,1,{1,2,3,4,5}))</f>
        <v>7.5</v>
      </c>
      <c r="B295">
        <f>VLOOKUP(MID(D295,LOOKUP(2,1/ISNUMBER(-MID(D295,1,{1,2,3,4,5})),{1,2,3,4,5})+1,9),'Hue codes'!$A$1:$B$10,2,FALSE)</f>
        <v>70</v>
      </c>
      <c r="C295">
        <f t="shared" si="9"/>
        <v>77.5</v>
      </c>
      <c r="D295" s="162" t="s">
        <v>51</v>
      </c>
      <c r="E295" s="162">
        <v>3</v>
      </c>
      <c r="F295" s="162">
        <v>12</v>
      </c>
      <c r="G295" s="164">
        <v>0.20039999999999999</v>
      </c>
      <c r="H295" s="164">
        <v>0.2437</v>
      </c>
      <c r="I295" s="164">
        <v>0.59260000000000002</v>
      </c>
      <c r="J295" s="179" t="str">
        <f>HYPERLINK(SetRGB(J295,G295*255,H295*255,I295*255),"HOVER!")</f>
        <v>HOVER!</v>
      </c>
      <c r="K295">
        <f t="shared" si="8"/>
        <v>0.25</v>
      </c>
    </row>
    <row r="296" spans="1:11" x14ac:dyDescent="0.3">
      <c r="A296">
        <f>LOOKUP(9E+307,--MID(D296,1,{1,2,3,4,5}))</f>
        <v>7.5</v>
      </c>
      <c r="B296">
        <f>VLOOKUP(MID(D296,LOOKUP(2,1/ISNUMBER(-MID(D296,1,{1,2,3,4,5})),{1,2,3,4,5})+1,9),'Hue codes'!$A$1:$B$10,2,FALSE)</f>
        <v>70</v>
      </c>
      <c r="C296">
        <f t="shared" si="9"/>
        <v>77.5</v>
      </c>
      <c r="D296" s="162" t="s">
        <v>51</v>
      </c>
      <c r="E296" s="162">
        <v>3</v>
      </c>
      <c r="F296" s="162">
        <v>14</v>
      </c>
      <c r="G296" s="164">
        <v>0.19520000000000001</v>
      </c>
      <c r="H296" s="164">
        <v>0.22800000000000001</v>
      </c>
      <c r="I296" s="164">
        <v>0.64049999999999996</v>
      </c>
      <c r="J296" s="198" t="str">
        <f>HYPERLINK(SetRGB(J296,G296*255,H296*255,I296*255),"HOVER!")</f>
        <v>HOVER!</v>
      </c>
      <c r="K296">
        <f t="shared" si="8"/>
        <v>0.21428571428571427</v>
      </c>
    </row>
    <row r="297" spans="1:11" x14ac:dyDescent="0.3">
      <c r="A297">
        <f>LOOKUP(9E+307,--MID(D297,1,{1,2,3,4,5}))</f>
        <v>7.5</v>
      </c>
      <c r="B297">
        <f>VLOOKUP(MID(D297,LOOKUP(2,1/ISNUMBER(-MID(D297,1,{1,2,3,4,5})),{1,2,3,4,5})+1,9),'Hue codes'!$A$1:$B$10,2,FALSE)</f>
        <v>70</v>
      </c>
      <c r="C297">
        <f t="shared" si="9"/>
        <v>77.5</v>
      </c>
      <c r="D297" s="162" t="s">
        <v>51</v>
      </c>
      <c r="E297" s="162">
        <v>3</v>
      </c>
      <c r="F297" s="162">
        <v>16</v>
      </c>
      <c r="G297" s="164">
        <v>0.1956</v>
      </c>
      <c r="H297" s="164">
        <v>0.2077</v>
      </c>
      <c r="I297" s="164">
        <v>0.68769999999999998</v>
      </c>
      <c r="J297" s="163" t="str">
        <f>HYPERLINK(SetRGB(J297,G297*255,H297*255,I297*255),"HOVER!")</f>
        <v>HOVER!</v>
      </c>
      <c r="K297">
        <f t="shared" si="8"/>
        <v>0.1875</v>
      </c>
    </row>
    <row r="298" spans="1:11" x14ac:dyDescent="0.3">
      <c r="A298">
        <f>LOOKUP(9E+307,--MID(D298,1,{1,2,3,4,5}))</f>
        <v>7.5</v>
      </c>
      <c r="B298">
        <f>VLOOKUP(MID(D298,LOOKUP(2,1/ISNUMBER(-MID(D298,1,{1,2,3,4,5})),{1,2,3,4,5})+1,9),'Hue codes'!$A$1:$B$10,2,FALSE)</f>
        <v>70</v>
      </c>
      <c r="C298">
        <f t="shared" si="9"/>
        <v>77.5</v>
      </c>
      <c r="D298" s="162" t="s">
        <v>51</v>
      </c>
      <c r="E298" s="162">
        <v>3</v>
      </c>
      <c r="F298" s="162">
        <v>18</v>
      </c>
      <c r="G298" s="164">
        <v>0.2019</v>
      </c>
      <c r="H298" s="164">
        <v>0.1857</v>
      </c>
      <c r="I298" s="164">
        <v>0.72640000000000005</v>
      </c>
      <c r="J298" s="165" t="str">
        <f>HYPERLINK(SetRGB(J298,G298*255,H298*255,I298*255),"HOVER!")</f>
        <v>HOVER!</v>
      </c>
      <c r="K298">
        <f t="shared" si="8"/>
        <v>0.16666666666666666</v>
      </c>
    </row>
    <row r="299" spans="1:11" x14ac:dyDescent="0.3">
      <c r="A299">
        <f>LOOKUP(9E+307,--MID(D299,1,{1,2,3,4,5}))</f>
        <v>7.5</v>
      </c>
      <c r="B299">
        <f>VLOOKUP(MID(D299,LOOKUP(2,1/ISNUMBER(-MID(D299,1,{1,2,3,4,5})),{1,2,3,4,5})+1,9),'Hue codes'!$A$1:$B$10,2,FALSE)</f>
        <v>70</v>
      </c>
      <c r="C299">
        <f t="shared" si="9"/>
        <v>77.5</v>
      </c>
      <c r="D299" s="162" t="s">
        <v>51</v>
      </c>
      <c r="E299" s="162">
        <v>3</v>
      </c>
      <c r="F299" s="162">
        <v>20</v>
      </c>
      <c r="G299" s="164">
        <v>0.2082</v>
      </c>
      <c r="H299" s="164">
        <v>0.16089999999999999</v>
      </c>
      <c r="I299" s="164">
        <v>0.76190000000000002</v>
      </c>
      <c r="J299" s="1" t="str">
        <f>HYPERLINK(SetRGB(J299,G299*255,H299*255,I299*255),"HOVER!")</f>
        <v>HOVER!</v>
      </c>
      <c r="K299">
        <f t="shared" si="8"/>
        <v>0.15</v>
      </c>
    </row>
    <row r="300" spans="1:11" x14ac:dyDescent="0.3">
      <c r="A300">
        <f>LOOKUP(9E+307,--MID(D300,1,{1,2,3,4,5}))</f>
        <v>7.5</v>
      </c>
      <c r="B300">
        <f>VLOOKUP(MID(D300,LOOKUP(2,1/ISNUMBER(-MID(D300,1,{1,2,3,4,5})),{1,2,3,4,5})+1,9),'Hue codes'!$A$1:$B$10,2,FALSE)</f>
        <v>70</v>
      </c>
      <c r="C300">
        <f t="shared" si="9"/>
        <v>77.5</v>
      </c>
      <c r="D300" s="162" t="s">
        <v>51</v>
      </c>
      <c r="E300" s="162">
        <v>3</v>
      </c>
      <c r="F300" s="162">
        <v>22</v>
      </c>
      <c r="G300" s="164">
        <v>0.22</v>
      </c>
      <c r="H300" s="164">
        <v>0.12</v>
      </c>
      <c r="I300" s="164">
        <v>0.80389999999999995</v>
      </c>
      <c r="J300" s="1" t="str">
        <f>HYPERLINK(SetRGB(J300,G300*255,H300*255,I300*255),"HOVER!")</f>
        <v>HOVER!</v>
      </c>
      <c r="K300">
        <f t="shared" si="8"/>
        <v>0.13636363636363635</v>
      </c>
    </row>
    <row r="301" spans="1:11" x14ac:dyDescent="0.3">
      <c r="A301">
        <f>LOOKUP(9E+307,--MID(D301,1,{1,2,3,4,5}))</f>
        <v>7.5</v>
      </c>
      <c r="B301">
        <f>VLOOKUP(MID(D301,LOOKUP(2,1/ISNUMBER(-MID(D301,1,{1,2,3,4,5})),{1,2,3,4,5})+1,9),'Hue codes'!$A$1:$B$10,2,FALSE)</f>
        <v>70</v>
      </c>
      <c r="C301">
        <f t="shared" si="9"/>
        <v>77.5</v>
      </c>
      <c r="D301" s="162" t="s">
        <v>51</v>
      </c>
      <c r="E301" s="162">
        <v>3</v>
      </c>
      <c r="F301" s="162">
        <v>24</v>
      </c>
      <c r="G301" s="164">
        <v>0.23300000000000001</v>
      </c>
      <c r="H301" s="164">
        <v>5.3600000000000002E-2</v>
      </c>
      <c r="I301" s="164">
        <v>0.84379999999999999</v>
      </c>
      <c r="J301" s="36" t="str">
        <f>HYPERLINK(SetRGB(J301,G301*255,H301*255,I301*255),"HOVER!")</f>
        <v>HOVER!</v>
      </c>
      <c r="K301">
        <f t="shared" si="8"/>
        <v>0.125</v>
      </c>
    </row>
    <row r="302" spans="1:11" x14ac:dyDescent="0.3">
      <c r="A302">
        <f>LOOKUP(9E+307,--MID(D302,1,{1,2,3,4,5}))</f>
        <v>10</v>
      </c>
      <c r="B302">
        <f>VLOOKUP(MID(D302,LOOKUP(2,1/ISNUMBER(-MID(D302,1,{1,2,3,4,5})),{1,2,3,4,5})+1,9),'Hue codes'!$A$1:$B$10,2,FALSE)</f>
        <v>70</v>
      </c>
      <c r="C302">
        <f t="shared" si="9"/>
        <v>80</v>
      </c>
      <c r="D302" s="162" t="s">
        <v>52</v>
      </c>
      <c r="E302" s="162">
        <v>3</v>
      </c>
      <c r="F302" s="162">
        <v>2</v>
      </c>
      <c r="G302" s="164">
        <v>0.28860000000000002</v>
      </c>
      <c r="H302" s="164">
        <v>0.27479999999999999</v>
      </c>
      <c r="I302" s="164">
        <v>0.34510000000000002</v>
      </c>
      <c r="J302" s="1" t="str">
        <f>HYPERLINK(SetRGB(J302,G302*255,H302*255,I302*255),"HOVER!")</f>
        <v>HOVER!</v>
      </c>
      <c r="K302">
        <f t="shared" si="8"/>
        <v>1.5</v>
      </c>
    </row>
    <row r="303" spans="1:11" x14ac:dyDescent="0.3">
      <c r="A303">
        <f>LOOKUP(9E+307,--MID(D303,1,{1,2,3,4,5}))</f>
        <v>10</v>
      </c>
      <c r="B303">
        <f>VLOOKUP(MID(D303,LOOKUP(2,1/ISNUMBER(-MID(D303,1,{1,2,3,4,5})),{1,2,3,4,5})+1,9),'Hue codes'!$A$1:$B$10,2,FALSE)</f>
        <v>70</v>
      </c>
      <c r="C303">
        <f t="shared" si="9"/>
        <v>80</v>
      </c>
      <c r="D303" s="162" t="s">
        <v>52</v>
      </c>
      <c r="E303" s="162">
        <v>3</v>
      </c>
      <c r="F303" s="162">
        <v>4</v>
      </c>
      <c r="G303" s="164">
        <v>0.29170000000000001</v>
      </c>
      <c r="H303" s="164">
        <v>0.26590000000000003</v>
      </c>
      <c r="I303" s="164">
        <v>0.39429999999999998</v>
      </c>
      <c r="J303" s="1" t="str">
        <f>HYPERLINK(SetRGB(J303,G303*255,H303*255,I303*255),"HOVER!")</f>
        <v>HOVER!</v>
      </c>
      <c r="K303">
        <f t="shared" si="8"/>
        <v>0.75</v>
      </c>
    </row>
    <row r="304" spans="1:11" x14ac:dyDescent="0.3">
      <c r="A304">
        <f>LOOKUP(9E+307,--MID(D304,1,{1,2,3,4,5}))</f>
        <v>10</v>
      </c>
      <c r="B304">
        <f>VLOOKUP(MID(D304,LOOKUP(2,1/ISNUMBER(-MID(D304,1,{1,2,3,4,5})),{1,2,3,4,5})+1,9),'Hue codes'!$A$1:$B$10,2,FALSE)</f>
        <v>70</v>
      </c>
      <c r="C304">
        <f t="shared" si="9"/>
        <v>80</v>
      </c>
      <c r="D304" s="162" t="s">
        <v>52</v>
      </c>
      <c r="E304" s="162">
        <v>3</v>
      </c>
      <c r="F304" s="162">
        <v>6</v>
      </c>
      <c r="G304" s="164">
        <v>0.29609999999999997</v>
      </c>
      <c r="H304" s="164">
        <v>0.25559999999999999</v>
      </c>
      <c r="I304" s="164">
        <v>0.44</v>
      </c>
      <c r="J304" s="1" t="str">
        <f>HYPERLINK(SetRGB(J304,G304*255,H304*255,I304*255),"HOVER!")</f>
        <v>HOVER!</v>
      </c>
      <c r="K304">
        <f t="shared" si="8"/>
        <v>0.5</v>
      </c>
    </row>
    <row r="305" spans="1:11" x14ac:dyDescent="0.3">
      <c r="A305">
        <f>LOOKUP(9E+307,--MID(D305,1,{1,2,3,4,5}))</f>
        <v>10</v>
      </c>
      <c r="B305">
        <f>VLOOKUP(MID(D305,LOOKUP(2,1/ISNUMBER(-MID(D305,1,{1,2,3,4,5})),{1,2,3,4,5})+1,9),'Hue codes'!$A$1:$B$10,2,FALSE)</f>
        <v>70</v>
      </c>
      <c r="C305">
        <f t="shared" si="9"/>
        <v>80</v>
      </c>
      <c r="D305" s="162" t="s">
        <v>52</v>
      </c>
      <c r="E305" s="162">
        <v>3</v>
      </c>
      <c r="F305" s="162">
        <v>8</v>
      </c>
      <c r="G305" s="164">
        <v>0.30159999999999998</v>
      </c>
      <c r="H305" s="164">
        <v>0.24329999999999999</v>
      </c>
      <c r="I305" s="164">
        <v>0.48420000000000002</v>
      </c>
      <c r="J305" s="1" t="str">
        <f>HYPERLINK(SetRGB(J305,G305*255,H305*255,I305*255),"HOVER!")</f>
        <v>HOVER!</v>
      </c>
      <c r="K305">
        <f t="shared" si="8"/>
        <v>0.375</v>
      </c>
    </row>
    <row r="306" spans="1:11" x14ac:dyDescent="0.3">
      <c r="A306">
        <f>LOOKUP(9E+307,--MID(D306,1,{1,2,3,4,5}))</f>
        <v>10</v>
      </c>
      <c r="B306">
        <f>VLOOKUP(MID(D306,LOOKUP(2,1/ISNUMBER(-MID(D306,1,{1,2,3,4,5})),{1,2,3,4,5})+1,9),'Hue codes'!$A$1:$B$10,2,FALSE)</f>
        <v>70</v>
      </c>
      <c r="C306">
        <f t="shared" si="9"/>
        <v>80</v>
      </c>
      <c r="D306" s="162" t="s">
        <v>52</v>
      </c>
      <c r="E306" s="162">
        <v>3</v>
      </c>
      <c r="F306" s="162">
        <v>10</v>
      </c>
      <c r="G306" s="164">
        <v>0.30880000000000002</v>
      </c>
      <c r="H306" s="164">
        <v>0.2276</v>
      </c>
      <c r="I306" s="164">
        <v>0.5302</v>
      </c>
      <c r="J306" s="282" t="str">
        <f>HYPERLINK(SetRGB(J306,G306*255,H306*255,I306*255),"HOVER!")</f>
        <v>HOVER!</v>
      </c>
      <c r="K306">
        <f t="shared" si="8"/>
        <v>0.3</v>
      </c>
    </row>
    <row r="307" spans="1:11" x14ac:dyDescent="0.3">
      <c r="A307">
        <f>LOOKUP(9E+307,--MID(D307,1,{1,2,3,4,5}))</f>
        <v>10</v>
      </c>
      <c r="B307">
        <f>VLOOKUP(MID(D307,LOOKUP(2,1/ISNUMBER(-MID(D307,1,{1,2,3,4,5})),{1,2,3,4,5})+1,9),'Hue codes'!$A$1:$B$10,2,FALSE)</f>
        <v>70</v>
      </c>
      <c r="C307">
        <f t="shared" si="9"/>
        <v>80</v>
      </c>
      <c r="D307" s="162" t="s">
        <v>52</v>
      </c>
      <c r="E307" s="162">
        <v>3</v>
      </c>
      <c r="F307" s="162">
        <v>12</v>
      </c>
      <c r="G307" s="164">
        <v>0.31709999999999999</v>
      </c>
      <c r="H307" s="164">
        <v>0.2114</v>
      </c>
      <c r="I307" s="164">
        <v>0.56769999999999998</v>
      </c>
      <c r="J307" s="150" t="str">
        <f>HYPERLINK(SetRGB(J307,G307*255,H307*255,I307*255),"HOVER!")</f>
        <v>HOVER!</v>
      </c>
      <c r="K307">
        <f t="shared" si="8"/>
        <v>0.25</v>
      </c>
    </row>
    <row r="308" spans="1:11" x14ac:dyDescent="0.3">
      <c r="A308">
        <f>LOOKUP(9E+307,--MID(D308,1,{1,2,3,4,5}))</f>
        <v>10</v>
      </c>
      <c r="B308">
        <f>VLOOKUP(MID(D308,LOOKUP(2,1/ISNUMBER(-MID(D308,1,{1,2,3,4,5})),{1,2,3,4,5})+1,9),'Hue codes'!$A$1:$B$10,2,FALSE)</f>
        <v>70</v>
      </c>
      <c r="C308">
        <f t="shared" si="9"/>
        <v>80</v>
      </c>
      <c r="D308" s="162" t="s">
        <v>52</v>
      </c>
      <c r="E308" s="162">
        <v>3</v>
      </c>
      <c r="F308" s="162">
        <v>14</v>
      </c>
      <c r="G308" s="164">
        <v>0.32979999999999998</v>
      </c>
      <c r="H308" s="164">
        <v>0.18770000000000001</v>
      </c>
      <c r="I308" s="164">
        <v>0.61009999999999998</v>
      </c>
      <c r="J308" s="1" t="str">
        <f>HYPERLINK(SetRGB(J308,G308*255,H308*255,I308*255),"HOVER!")</f>
        <v>HOVER!</v>
      </c>
      <c r="K308">
        <f t="shared" si="8"/>
        <v>0.21428571428571427</v>
      </c>
    </row>
    <row r="309" spans="1:11" x14ac:dyDescent="0.3">
      <c r="A309">
        <f>LOOKUP(9E+307,--MID(D309,1,{1,2,3,4,5}))</f>
        <v>10</v>
      </c>
      <c r="B309">
        <f>VLOOKUP(MID(D309,LOOKUP(2,1/ISNUMBER(-MID(D309,1,{1,2,3,4,5})),{1,2,3,4,5})+1,9),'Hue codes'!$A$1:$B$10,2,FALSE)</f>
        <v>70</v>
      </c>
      <c r="C309">
        <f t="shared" si="9"/>
        <v>80</v>
      </c>
      <c r="D309" s="162" t="s">
        <v>52</v>
      </c>
      <c r="E309" s="162">
        <v>3</v>
      </c>
      <c r="F309" s="162">
        <v>16</v>
      </c>
      <c r="G309" s="164">
        <v>0.34399999999999997</v>
      </c>
      <c r="H309" s="164">
        <v>0.15740000000000001</v>
      </c>
      <c r="I309" s="164">
        <v>0.65100000000000002</v>
      </c>
      <c r="J309" s="79" t="str">
        <f>HYPERLINK(SetRGB(J309,G309*255,H309*255,I309*255),"HOVER!")</f>
        <v>HOVER!</v>
      </c>
      <c r="K309">
        <f t="shared" si="8"/>
        <v>0.1875</v>
      </c>
    </row>
    <row r="310" spans="1:11" x14ac:dyDescent="0.3">
      <c r="A310">
        <f>LOOKUP(9E+307,--MID(D310,1,{1,2,3,4,5}))</f>
        <v>10</v>
      </c>
      <c r="B310">
        <f>VLOOKUP(MID(D310,LOOKUP(2,1/ISNUMBER(-MID(D310,1,{1,2,3,4,5})),{1,2,3,4,5})+1,9),'Hue codes'!$A$1:$B$10,2,FALSE)</f>
        <v>70</v>
      </c>
      <c r="C310">
        <f t="shared" si="9"/>
        <v>80</v>
      </c>
      <c r="D310" s="162" t="s">
        <v>52</v>
      </c>
      <c r="E310" s="162">
        <v>3</v>
      </c>
      <c r="F310" s="162">
        <v>18</v>
      </c>
      <c r="G310" s="164">
        <v>0.3584</v>
      </c>
      <c r="H310" s="164">
        <v>0.1216</v>
      </c>
      <c r="I310" s="164">
        <v>0.68530000000000002</v>
      </c>
      <c r="J310" s="1" t="str">
        <f>HYPERLINK(SetRGB(J310,G310*255,H310*255,I310*255),"HOVER!")</f>
        <v>HOVER!</v>
      </c>
      <c r="K310">
        <f t="shared" si="8"/>
        <v>0.16666666666666666</v>
      </c>
    </row>
    <row r="311" spans="1:11" x14ac:dyDescent="0.3">
      <c r="A311">
        <f>LOOKUP(9E+307,--MID(D311,1,{1,2,3,4,5}))</f>
        <v>10</v>
      </c>
      <c r="B311">
        <f>VLOOKUP(MID(D311,LOOKUP(2,1/ISNUMBER(-MID(D311,1,{1,2,3,4,5})),{1,2,3,4,5})+1,9),'Hue codes'!$A$1:$B$10,2,FALSE)</f>
        <v>70</v>
      </c>
      <c r="C311">
        <f t="shared" si="9"/>
        <v>80</v>
      </c>
      <c r="D311" s="162" t="s">
        <v>52</v>
      </c>
      <c r="E311" s="162">
        <v>3</v>
      </c>
      <c r="F311" s="162">
        <v>20</v>
      </c>
      <c r="G311" s="164">
        <v>0.37330000000000002</v>
      </c>
      <c r="H311" s="164">
        <v>6.4000000000000001E-2</v>
      </c>
      <c r="I311" s="164">
        <v>0.72070000000000001</v>
      </c>
      <c r="J311" s="1" t="str">
        <f>HYPERLINK(SetRGB(J311,G311*255,H311*255,I311*255),"HOVER!")</f>
        <v>HOVER!</v>
      </c>
      <c r="K311">
        <f t="shared" ref="K311:K374" si="10">E311/F311</f>
        <v>0.15</v>
      </c>
    </row>
    <row r="312" spans="1:11" x14ac:dyDescent="0.3">
      <c r="A312">
        <f>LOOKUP(9E+307,--MID(D312,1,{1,2,3,4,5}))</f>
        <v>2.5</v>
      </c>
      <c r="B312">
        <f>VLOOKUP(MID(D312,LOOKUP(2,1/ISNUMBER(-MID(D312,1,{1,2,3,4,5})),{1,2,3,4,5})+1,9),'Hue codes'!$A$1:$B$10,2,FALSE)</f>
        <v>80</v>
      </c>
      <c r="C312">
        <f t="shared" si="9"/>
        <v>82.5</v>
      </c>
      <c r="D312" s="162" t="s">
        <v>53</v>
      </c>
      <c r="E312" s="162">
        <v>3</v>
      </c>
      <c r="F312" s="162">
        <v>2</v>
      </c>
      <c r="G312" s="164">
        <v>0.30159999999999998</v>
      </c>
      <c r="H312" s="164">
        <v>0.27110000000000001</v>
      </c>
      <c r="I312" s="164">
        <v>0.34100000000000003</v>
      </c>
      <c r="J312" s="1" t="str">
        <f>HYPERLINK(SetRGB(J312,G312*255,H312*255,I312*255),"HOVER!")</f>
        <v>HOVER!</v>
      </c>
      <c r="K312">
        <f t="shared" si="10"/>
        <v>1.5</v>
      </c>
    </row>
    <row r="313" spans="1:11" x14ac:dyDescent="0.3">
      <c r="A313">
        <f>LOOKUP(9E+307,--MID(D313,1,{1,2,3,4,5}))</f>
        <v>2.5</v>
      </c>
      <c r="B313">
        <f>VLOOKUP(MID(D313,LOOKUP(2,1/ISNUMBER(-MID(D313,1,{1,2,3,4,5})),{1,2,3,4,5})+1,9),'Hue codes'!$A$1:$B$10,2,FALSE)</f>
        <v>80</v>
      </c>
      <c r="C313">
        <f t="shared" si="9"/>
        <v>82.5</v>
      </c>
      <c r="D313" s="162" t="s">
        <v>53</v>
      </c>
      <c r="E313" s="162">
        <v>3</v>
      </c>
      <c r="F313" s="162">
        <v>4</v>
      </c>
      <c r="G313" s="164">
        <v>0.31640000000000001</v>
      </c>
      <c r="H313" s="164">
        <v>0.25850000000000001</v>
      </c>
      <c r="I313" s="164">
        <v>0.38640000000000002</v>
      </c>
      <c r="J313" s="1" t="str">
        <f>HYPERLINK(SetRGB(J313,G313*255,H313*255,I313*255),"HOVER!")</f>
        <v>HOVER!</v>
      </c>
      <c r="K313">
        <f t="shared" si="10"/>
        <v>0.75</v>
      </c>
    </row>
    <row r="314" spans="1:11" x14ac:dyDescent="0.3">
      <c r="A314">
        <f>LOOKUP(9E+307,--MID(D314,1,{1,2,3,4,5}))</f>
        <v>2.5</v>
      </c>
      <c r="B314">
        <f>VLOOKUP(MID(D314,LOOKUP(2,1/ISNUMBER(-MID(D314,1,{1,2,3,4,5})),{1,2,3,4,5})+1,9),'Hue codes'!$A$1:$B$10,2,FALSE)</f>
        <v>80</v>
      </c>
      <c r="C314">
        <f t="shared" si="9"/>
        <v>82.5</v>
      </c>
      <c r="D314" s="162" t="s">
        <v>53</v>
      </c>
      <c r="E314" s="162">
        <v>3</v>
      </c>
      <c r="F314" s="162">
        <v>6</v>
      </c>
      <c r="G314" s="164">
        <v>0.33139999999999997</v>
      </c>
      <c r="H314" s="164">
        <v>0.24440000000000001</v>
      </c>
      <c r="I314" s="164">
        <v>0.42709999999999998</v>
      </c>
      <c r="J314" s="1" t="str">
        <f>HYPERLINK(SetRGB(J314,G314*255,H314*255,I314*255),"HOVER!")</f>
        <v>HOVER!</v>
      </c>
      <c r="K314">
        <f t="shared" si="10"/>
        <v>0.5</v>
      </c>
    </row>
    <row r="315" spans="1:11" x14ac:dyDescent="0.3">
      <c r="A315">
        <f>LOOKUP(9E+307,--MID(D315,1,{1,2,3,4,5}))</f>
        <v>2.5</v>
      </c>
      <c r="B315">
        <f>VLOOKUP(MID(D315,LOOKUP(2,1/ISNUMBER(-MID(D315,1,{1,2,3,4,5})),{1,2,3,4,5})+1,9),'Hue codes'!$A$1:$B$10,2,FALSE)</f>
        <v>80</v>
      </c>
      <c r="C315">
        <f t="shared" si="9"/>
        <v>82.5</v>
      </c>
      <c r="D315" s="162" t="s">
        <v>53</v>
      </c>
      <c r="E315" s="162">
        <v>3</v>
      </c>
      <c r="F315" s="162">
        <v>8</v>
      </c>
      <c r="G315" s="164">
        <v>0.34860000000000002</v>
      </c>
      <c r="H315" s="164">
        <v>0.22750000000000001</v>
      </c>
      <c r="I315" s="164">
        <v>0.46550000000000002</v>
      </c>
      <c r="J315" s="1" t="str">
        <f>HYPERLINK(SetRGB(J315,G315*255,H315*255,I315*255),"HOVER!")</f>
        <v>HOVER!</v>
      </c>
      <c r="K315">
        <f t="shared" si="10"/>
        <v>0.375</v>
      </c>
    </row>
    <row r="316" spans="1:11" x14ac:dyDescent="0.3">
      <c r="A316">
        <f>LOOKUP(9E+307,--MID(D316,1,{1,2,3,4,5}))</f>
        <v>2.5</v>
      </c>
      <c r="B316">
        <f>VLOOKUP(MID(D316,LOOKUP(2,1/ISNUMBER(-MID(D316,1,{1,2,3,4,5})),{1,2,3,4,5})+1,9),'Hue codes'!$A$1:$B$10,2,FALSE)</f>
        <v>80</v>
      </c>
      <c r="C316">
        <f t="shared" si="9"/>
        <v>82.5</v>
      </c>
      <c r="D316" s="162" t="s">
        <v>53</v>
      </c>
      <c r="E316" s="162">
        <v>3</v>
      </c>
      <c r="F316" s="162">
        <v>10</v>
      </c>
      <c r="G316" s="164">
        <v>0.36780000000000002</v>
      </c>
      <c r="H316" s="164">
        <v>0.2056</v>
      </c>
      <c r="I316" s="164">
        <v>0.50519999999999998</v>
      </c>
      <c r="J316" s="1" t="str">
        <f>HYPERLINK(SetRGB(J316,G316*255,H316*255,I316*255),"HOVER!")</f>
        <v>HOVER!</v>
      </c>
      <c r="K316">
        <f t="shared" si="10"/>
        <v>0.3</v>
      </c>
    </row>
    <row r="317" spans="1:11" x14ac:dyDescent="0.3">
      <c r="A317">
        <f>LOOKUP(9E+307,--MID(D317,1,{1,2,3,4,5}))</f>
        <v>2.5</v>
      </c>
      <c r="B317">
        <f>VLOOKUP(MID(D317,LOOKUP(2,1/ISNUMBER(-MID(D317,1,{1,2,3,4,5})),{1,2,3,4,5})+1,9),'Hue codes'!$A$1:$B$10,2,FALSE)</f>
        <v>80</v>
      </c>
      <c r="C317">
        <f t="shared" si="9"/>
        <v>82.5</v>
      </c>
      <c r="D317" s="162" t="s">
        <v>53</v>
      </c>
      <c r="E317" s="162">
        <v>3</v>
      </c>
      <c r="F317" s="162">
        <v>12</v>
      </c>
      <c r="G317" s="164">
        <v>0.38519999999999999</v>
      </c>
      <c r="H317" s="164">
        <v>0.18190000000000001</v>
      </c>
      <c r="I317" s="164">
        <v>0.53959999999999997</v>
      </c>
      <c r="J317" s="1" t="str">
        <f>HYPERLINK(SetRGB(J317,G317*255,H317*255,I317*255),"HOVER!")</f>
        <v>HOVER!</v>
      </c>
      <c r="K317">
        <f t="shared" si="10"/>
        <v>0.25</v>
      </c>
    </row>
    <row r="318" spans="1:11" x14ac:dyDescent="0.3">
      <c r="A318">
        <f>LOOKUP(9E+307,--MID(D318,1,{1,2,3,4,5}))</f>
        <v>2.5</v>
      </c>
      <c r="B318">
        <f>VLOOKUP(MID(D318,LOOKUP(2,1/ISNUMBER(-MID(D318,1,{1,2,3,4,5})),{1,2,3,4,5})+1,9),'Hue codes'!$A$1:$B$10,2,FALSE)</f>
        <v>80</v>
      </c>
      <c r="C318">
        <f t="shared" si="9"/>
        <v>82.5</v>
      </c>
      <c r="D318" s="162" t="s">
        <v>53</v>
      </c>
      <c r="E318" s="162">
        <v>3</v>
      </c>
      <c r="F318" s="162">
        <v>14</v>
      </c>
      <c r="G318" s="164">
        <v>0.4052</v>
      </c>
      <c r="H318" s="164">
        <v>0.14779999999999999</v>
      </c>
      <c r="I318" s="164">
        <v>0.57799999999999996</v>
      </c>
      <c r="J318" s="1" t="str">
        <f>HYPERLINK(SetRGB(J318,G318*255,H318*255,I318*255),"HOVER!")</f>
        <v>HOVER!</v>
      </c>
      <c r="K318">
        <f t="shared" si="10"/>
        <v>0.21428571428571427</v>
      </c>
    </row>
    <row r="319" spans="1:11" x14ac:dyDescent="0.3">
      <c r="A319">
        <f>LOOKUP(9E+307,--MID(D319,1,{1,2,3,4,5}))</f>
        <v>2.5</v>
      </c>
      <c r="B319">
        <f>VLOOKUP(MID(D319,LOOKUP(2,1/ISNUMBER(-MID(D319,1,{1,2,3,4,5})),{1,2,3,4,5})+1,9),'Hue codes'!$A$1:$B$10,2,FALSE)</f>
        <v>80</v>
      </c>
      <c r="C319">
        <f t="shared" si="9"/>
        <v>82.5</v>
      </c>
      <c r="D319" s="162" t="s">
        <v>53</v>
      </c>
      <c r="E319" s="162">
        <v>3</v>
      </c>
      <c r="F319" s="162">
        <v>16</v>
      </c>
      <c r="G319" s="164">
        <v>0.42459999999999998</v>
      </c>
      <c r="H319" s="164">
        <v>0.1017</v>
      </c>
      <c r="I319" s="164">
        <v>0.61360000000000003</v>
      </c>
      <c r="J319" s="1" t="str">
        <f>HYPERLINK(SetRGB(J319,G319*255,H319*255,I319*255),"HOVER!")</f>
        <v>HOVER!</v>
      </c>
      <c r="K319">
        <f t="shared" si="10"/>
        <v>0.1875</v>
      </c>
    </row>
    <row r="320" spans="1:11" x14ac:dyDescent="0.3">
      <c r="A320">
        <f>LOOKUP(9E+307,--MID(D320,1,{1,2,3,4,5}))</f>
        <v>2.5</v>
      </c>
      <c r="B320">
        <f>VLOOKUP(MID(D320,LOOKUP(2,1/ISNUMBER(-MID(D320,1,{1,2,3,4,5})),{1,2,3,4,5})+1,9),'Hue codes'!$A$1:$B$10,2,FALSE)</f>
        <v>80</v>
      </c>
      <c r="C320">
        <f t="shared" si="9"/>
        <v>82.5</v>
      </c>
      <c r="D320" s="162" t="s">
        <v>53</v>
      </c>
      <c r="E320" s="162">
        <v>3</v>
      </c>
      <c r="F320" s="162">
        <v>18</v>
      </c>
      <c r="G320" s="164">
        <v>0.44330000000000003</v>
      </c>
      <c r="H320" s="164">
        <v>1.38E-2</v>
      </c>
      <c r="I320" s="164">
        <v>0.64649999999999996</v>
      </c>
      <c r="J320" s="1" t="str">
        <f>HYPERLINK(SetRGB(J320,G320*255,H320*255,I320*255),"HOVER!")</f>
        <v>HOVER!</v>
      </c>
      <c r="K320">
        <f t="shared" si="10"/>
        <v>0.16666666666666666</v>
      </c>
    </row>
    <row r="321" spans="1:11" x14ac:dyDescent="0.3">
      <c r="A321">
        <f>LOOKUP(9E+307,--MID(D321,1,{1,2,3,4,5}))</f>
        <v>5</v>
      </c>
      <c r="B321">
        <f>VLOOKUP(MID(D321,LOOKUP(2,1/ISNUMBER(-MID(D321,1,{1,2,3,4,5})),{1,2,3,4,5})+1,9),'Hue codes'!$A$1:$B$10,2,FALSE)</f>
        <v>80</v>
      </c>
      <c r="C321">
        <f t="shared" si="9"/>
        <v>85</v>
      </c>
      <c r="D321" s="162" t="s">
        <v>54</v>
      </c>
      <c r="E321" s="162">
        <v>3</v>
      </c>
      <c r="F321" s="162">
        <v>2</v>
      </c>
      <c r="G321" s="164">
        <v>0.31290000000000001</v>
      </c>
      <c r="H321" s="164">
        <v>0.26790000000000003</v>
      </c>
      <c r="I321" s="164">
        <v>0.33589999999999998</v>
      </c>
      <c r="J321" s="1" t="str">
        <f>HYPERLINK(SetRGB(J321,G321*255,H321*255,I321*255),"HOVER!")</f>
        <v>HOVER!</v>
      </c>
      <c r="K321">
        <f t="shared" si="10"/>
        <v>1.5</v>
      </c>
    </row>
    <row r="322" spans="1:11" x14ac:dyDescent="0.3">
      <c r="A322">
        <f>LOOKUP(9E+307,--MID(D322,1,{1,2,3,4,5}))</f>
        <v>5</v>
      </c>
      <c r="B322">
        <f>VLOOKUP(MID(D322,LOOKUP(2,1/ISNUMBER(-MID(D322,1,{1,2,3,4,5})),{1,2,3,4,5})+1,9),'Hue codes'!$A$1:$B$10,2,FALSE)</f>
        <v>80</v>
      </c>
      <c r="C322">
        <f t="shared" si="9"/>
        <v>85</v>
      </c>
      <c r="D322" s="162" t="s">
        <v>54</v>
      </c>
      <c r="E322" s="162">
        <v>3</v>
      </c>
      <c r="F322" s="162">
        <v>4</v>
      </c>
      <c r="G322" s="164">
        <v>0.3367</v>
      </c>
      <c r="H322" s="164">
        <v>0.25219999999999998</v>
      </c>
      <c r="I322" s="164">
        <v>0.3755</v>
      </c>
      <c r="J322" s="1" t="str">
        <f>HYPERLINK(SetRGB(J322,G322*255,H322*255,I322*255),"HOVER!")</f>
        <v>HOVER!</v>
      </c>
      <c r="K322">
        <f t="shared" si="10"/>
        <v>0.75</v>
      </c>
    </row>
    <row r="323" spans="1:11" x14ac:dyDescent="0.3">
      <c r="A323">
        <f>LOOKUP(9E+307,--MID(D323,1,{1,2,3,4,5}))</f>
        <v>5</v>
      </c>
      <c r="B323">
        <f>VLOOKUP(MID(D323,LOOKUP(2,1/ISNUMBER(-MID(D323,1,{1,2,3,4,5})),{1,2,3,4,5})+1,9),'Hue codes'!$A$1:$B$10,2,FALSE)</f>
        <v>80</v>
      </c>
      <c r="C323">
        <f t="shared" ref="C323:C386" si="11">IF(A323+B323=100,0,A323+B323)</f>
        <v>85</v>
      </c>
      <c r="D323" s="162" t="s">
        <v>54</v>
      </c>
      <c r="E323" s="162">
        <v>3</v>
      </c>
      <c r="F323" s="162">
        <v>6</v>
      </c>
      <c r="G323" s="164">
        <v>0.3584</v>
      </c>
      <c r="H323" s="164">
        <v>0.2354</v>
      </c>
      <c r="I323" s="164">
        <v>0.41110000000000002</v>
      </c>
      <c r="J323" s="1" t="str">
        <f>HYPERLINK(SetRGB(J323,G323*255,H323*255,I323*255),"HOVER!")</f>
        <v>HOVER!</v>
      </c>
      <c r="K323">
        <f t="shared" si="10"/>
        <v>0.5</v>
      </c>
    </row>
    <row r="324" spans="1:11" x14ac:dyDescent="0.3">
      <c r="A324">
        <f>LOOKUP(9E+307,--MID(D324,1,{1,2,3,4,5}))</f>
        <v>5</v>
      </c>
      <c r="B324">
        <f>VLOOKUP(MID(D324,LOOKUP(2,1/ISNUMBER(-MID(D324,1,{1,2,3,4,5})),{1,2,3,4,5})+1,9),'Hue codes'!$A$1:$B$10,2,FALSE)</f>
        <v>80</v>
      </c>
      <c r="C324">
        <f t="shared" si="11"/>
        <v>85</v>
      </c>
      <c r="D324" s="162" t="s">
        <v>54</v>
      </c>
      <c r="E324" s="162">
        <v>3</v>
      </c>
      <c r="F324" s="162">
        <v>8</v>
      </c>
      <c r="G324" s="164">
        <v>0.38109999999999999</v>
      </c>
      <c r="H324" s="164">
        <v>0.2147</v>
      </c>
      <c r="I324" s="164">
        <v>0.44690000000000002</v>
      </c>
      <c r="J324" s="207" t="str">
        <f>HYPERLINK(SetRGB(J324,G324*255,H324*255,I324*255),"HOVER!")</f>
        <v>HOVER!</v>
      </c>
      <c r="K324">
        <f t="shared" si="10"/>
        <v>0.375</v>
      </c>
    </row>
    <row r="325" spans="1:11" x14ac:dyDescent="0.3">
      <c r="A325">
        <f>LOOKUP(9E+307,--MID(D325,1,{1,2,3,4,5}))</f>
        <v>5</v>
      </c>
      <c r="B325">
        <f>VLOOKUP(MID(D325,LOOKUP(2,1/ISNUMBER(-MID(D325,1,{1,2,3,4,5})),{1,2,3,4,5})+1,9),'Hue codes'!$A$1:$B$10,2,FALSE)</f>
        <v>80</v>
      </c>
      <c r="C325">
        <f t="shared" si="11"/>
        <v>85</v>
      </c>
      <c r="D325" s="162" t="s">
        <v>54</v>
      </c>
      <c r="E325" s="162">
        <v>3</v>
      </c>
      <c r="F325" s="162">
        <v>10</v>
      </c>
      <c r="G325" s="164">
        <v>0.40460000000000002</v>
      </c>
      <c r="H325" s="164">
        <v>0.18840000000000001</v>
      </c>
      <c r="I325" s="164">
        <v>0.4834</v>
      </c>
      <c r="J325" s="1" t="str">
        <f>HYPERLINK(SetRGB(J325,G325*255,H325*255,I325*255),"HOVER!")</f>
        <v>HOVER!</v>
      </c>
      <c r="K325">
        <f t="shared" si="10"/>
        <v>0.3</v>
      </c>
    </row>
    <row r="326" spans="1:11" x14ac:dyDescent="0.3">
      <c r="A326">
        <f>LOOKUP(9E+307,--MID(D326,1,{1,2,3,4,5}))</f>
        <v>5</v>
      </c>
      <c r="B326">
        <f>VLOOKUP(MID(D326,LOOKUP(2,1/ISNUMBER(-MID(D326,1,{1,2,3,4,5})),{1,2,3,4,5})+1,9),'Hue codes'!$A$1:$B$10,2,FALSE)</f>
        <v>80</v>
      </c>
      <c r="C326">
        <f t="shared" si="11"/>
        <v>85</v>
      </c>
      <c r="D326" s="162" t="s">
        <v>54</v>
      </c>
      <c r="E326" s="162">
        <v>3</v>
      </c>
      <c r="F326" s="162">
        <v>12</v>
      </c>
      <c r="G326" s="164">
        <v>0.4284</v>
      </c>
      <c r="H326" s="164">
        <v>0.15540000000000001</v>
      </c>
      <c r="I326" s="164">
        <v>0.51739999999999997</v>
      </c>
      <c r="J326" s="1" t="str">
        <f>HYPERLINK(SetRGB(J326,G326*255,H326*255,I326*255),"HOVER!")</f>
        <v>HOVER!</v>
      </c>
      <c r="K326">
        <f t="shared" si="10"/>
        <v>0.25</v>
      </c>
    </row>
    <row r="327" spans="1:11" x14ac:dyDescent="0.3">
      <c r="A327">
        <f>LOOKUP(9E+307,--MID(D327,1,{1,2,3,4,5}))</f>
        <v>5</v>
      </c>
      <c r="B327">
        <f>VLOOKUP(MID(D327,LOOKUP(2,1/ISNUMBER(-MID(D327,1,{1,2,3,4,5})),{1,2,3,4,5})+1,9),'Hue codes'!$A$1:$B$10,2,FALSE)</f>
        <v>80</v>
      </c>
      <c r="C327">
        <f t="shared" si="11"/>
        <v>85</v>
      </c>
      <c r="D327" s="162" t="s">
        <v>54</v>
      </c>
      <c r="E327" s="162">
        <v>3</v>
      </c>
      <c r="F327" s="162">
        <v>14</v>
      </c>
      <c r="G327" s="164">
        <v>0.45050000000000001</v>
      </c>
      <c r="H327" s="164">
        <v>0.1123</v>
      </c>
      <c r="I327" s="164">
        <v>0.54990000000000006</v>
      </c>
      <c r="J327" s="1" t="str">
        <f>HYPERLINK(SetRGB(J327,G327*255,H327*255,I327*255),"HOVER!")</f>
        <v>HOVER!</v>
      </c>
      <c r="K327">
        <f t="shared" si="10"/>
        <v>0.21428571428571427</v>
      </c>
    </row>
    <row r="328" spans="1:11" x14ac:dyDescent="0.3">
      <c r="A328">
        <f>LOOKUP(9E+307,--MID(D328,1,{1,2,3,4,5}))</f>
        <v>5</v>
      </c>
      <c r="B328">
        <f>VLOOKUP(MID(D328,LOOKUP(2,1/ISNUMBER(-MID(D328,1,{1,2,3,4,5})),{1,2,3,4,5})+1,9),'Hue codes'!$A$1:$B$10,2,FALSE)</f>
        <v>80</v>
      </c>
      <c r="C328">
        <f t="shared" si="11"/>
        <v>85</v>
      </c>
      <c r="D328" s="162" t="s">
        <v>54</v>
      </c>
      <c r="E328" s="162">
        <v>3</v>
      </c>
      <c r="F328" s="162">
        <v>16</v>
      </c>
      <c r="G328" s="164">
        <v>0.47289999999999999</v>
      </c>
      <c r="H328" s="164">
        <v>3.2899999999999999E-2</v>
      </c>
      <c r="I328" s="164">
        <v>0.58199999999999996</v>
      </c>
      <c r="J328" s="1" t="str">
        <f>HYPERLINK(SetRGB(J328,G328*255,H328*255,I328*255),"HOVER!")</f>
        <v>HOVER!</v>
      </c>
      <c r="K328">
        <f t="shared" si="10"/>
        <v>0.1875</v>
      </c>
    </row>
    <row r="329" spans="1:11" x14ac:dyDescent="0.3">
      <c r="A329">
        <f>LOOKUP(9E+307,--MID(D329,1,{1,2,3,4,5}))</f>
        <v>7.5</v>
      </c>
      <c r="B329">
        <f>VLOOKUP(MID(D329,LOOKUP(2,1/ISNUMBER(-MID(D329,1,{1,2,3,4,5})),{1,2,3,4,5})+1,9),'Hue codes'!$A$1:$B$10,2,FALSE)</f>
        <v>80</v>
      </c>
      <c r="C329">
        <f t="shared" si="11"/>
        <v>87.5</v>
      </c>
      <c r="D329" s="162" t="s">
        <v>55</v>
      </c>
      <c r="E329" s="162">
        <v>3</v>
      </c>
      <c r="F329" s="162">
        <v>2</v>
      </c>
      <c r="G329" s="164">
        <v>0.32400000000000001</v>
      </c>
      <c r="H329" s="164">
        <v>0.26490000000000002</v>
      </c>
      <c r="I329" s="164">
        <v>0.32790000000000002</v>
      </c>
      <c r="J329" s="1" t="str">
        <f>HYPERLINK(SetRGB(J329,G329*255,H329*255,I329*255),"HOVER!")</f>
        <v>HOVER!</v>
      </c>
      <c r="K329">
        <f t="shared" si="10"/>
        <v>1.5</v>
      </c>
    </row>
    <row r="330" spans="1:11" x14ac:dyDescent="0.3">
      <c r="A330">
        <f>LOOKUP(9E+307,--MID(D330,1,{1,2,3,4,5}))</f>
        <v>7.5</v>
      </c>
      <c r="B330">
        <f>VLOOKUP(MID(D330,LOOKUP(2,1/ISNUMBER(-MID(D330,1,{1,2,3,4,5})),{1,2,3,4,5})+1,9),'Hue codes'!$A$1:$B$10,2,FALSE)</f>
        <v>80</v>
      </c>
      <c r="C330">
        <f t="shared" si="11"/>
        <v>87.5</v>
      </c>
      <c r="D330" s="162" t="s">
        <v>55</v>
      </c>
      <c r="E330" s="162">
        <v>3</v>
      </c>
      <c r="F330" s="162">
        <v>4</v>
      </c>
      <c r="G330" s="164">
        <v>0.35420000000000001</v>
      </c>
      <c r="H330" s="164">
        <v>0.24679999999999999</v>
      </c>
      <c r="I330" s="164">
        <v>0.36220000000000002</v>
      </c>
      <c r="J330" s="1" t="str">
        <f>HYPERLINK(SetRGB(J330,G330*255,H330*255,I330*255),"HOVER!")</f>
        <v>HOVER!</v>
      </c>
      <c r="K330">
        <f t="shared" si="10"/>
        <v>0.75</v>
      </c>
    </row>
    <row r="331" spans="1:11" x14ac:dyDescent="0.3">
      <c r="A331">
        <f>LOOKUP(9E+307,--MID(D331,1,{1,2,3,4,5}))</f>
        <v>7.5</v>
      </c>
      <c r="B331">
        <f>VLOOKUP(MID(D331,LOOKUP(2,1/ISNUMBER(-MID(D331,1,{1,2,3,4,5})),{1,2,3,4,5})+1,9),'Hue codes'!$A$1:$B$10,2,FALSE)</f>
        <v>80</v>
      </c>
      <c r="C331">
        <f t="shared" si="11"/>
        <v>87.5</v>
      </c>
      <c r="D331" s="162" t="s">
        <v>55</v>
      </c>
      <c r="E331" s="162">
        <v>3</v>
      </c>
      <c r="F331" s="162">
        <v>6</v>
      </c>
      <c r="G331" s="164">
        <v>0.38169999999999998</v>
      </c>
      <c r="H331" s="164">
        <v>0.22689999999999999</v>
      </c>
      <c r="I331" s="164">
        <v>0.39369999999999999</v>
      </c>
      <c r="J331" s="1" t="str">
        <f>HYPERLINK(SetRGB(J331,G331*255,H331*255,I331*255),"HOVER!")</f>
        <v>HOVER!</v>
      </c>
      <c r="K331">
        <f t="shared" si="10"/>
        <v>0.5</v>
      </c>
    </row>
    <row r="332" spans="1:11" x14ac:dyDescent="0.3">
      <c r="A332">
        <f>LOOKUP(9E+307,--MID(D332,1,{1,2,3,4,5}))</f>
        <v>7.5</v>
      </c>
      <c r="B332">
        <f>VLOOKUP(MID(D332,LOOKUP(2,1/ISNUMBER(-MID(D332,1,{1,2,3,4,5})),{1,2,3,4,5})+1,9),'Hue codes'!$A$1:$B$10,2,FALSE)</f>
        <v>80</v>
      </c>
      <c r="C332">
        <f t="shared" si="11"/>
        <v>87.5</v>
      </c>
      <c r="D332" s="162" t="s">
        <v>55</v>
      </c>
      <c r="E332" s="162">
        <v>3</v>
      </c>
      <c r="F332" s="162">
        <v>8</v>
      </c>
      <c r="G332" s="164">
        <v>0.41010000000000002</v>
      </c>
      <c r="H332" s="164">
        <v>0.20130000000000001</v>
      </c>
      <c r="I332" s="164">
        <v>0.42720000000000002</v>
      </c>
      <c r="J332" s="1" t="str">
        <f>HYPERLINK(SetRGB(J332,G332*255,H332*255,I332*255),"HOVER!")</f>
        <v>HOVER!</v>
      </c>
      <c r="K332">
        <f t="shared" si="10"/>
        <v>0.375</v>
      </c>
    </row>
    <row r="333" spans="1:11" x14ac:dyDescent="0.3">
      <c r="A333">
        <f>LOOKUP(9E+307,--MID(D333,1,{1,2,3,4,5}))</f>
        <v>7.5</v>
      </c>
      <c r="B333">
        <f>VLOOKUP(MID(D333,LOOKUP(2,1/ISNUMBER(-MID(D333,1,{1,2,3,4,5})),{1,2,3,4,5})+1,9),'Hue codes'!$A$1:$B$10,2,FALSE)</f>
        <v>80</v>
      </c>
      <c r="C333">
        <f t="shared" si="11"/>
        <v>87.5</v>
      </c>
      <c r="D333" s="162" t="s">
        <v>55</v>
      </c>
      <c r="E333" s="162">
        <v>3</v>
      </c>
      <c r="F333" s="162">
        <v>10</v>
      </c>
      <c r="G333" s="164">
        <v>0.4365</v>
      </c>
      <c r="H333" s="164">
        <v>0.17119999999999999</v>
      </c>
      <c r="I333" s="164">
        <v>0.45810000000000001</v>
      </c>
      <c r="J333" s="171" t="str">
        <f>HYPERLINK(SetRGB(J333,G333*255,H333*255,I333*255),"HOVER!")</f>
        <v>HOVER!</v>
      </c>
      <c r="K333">
        <f t="shared" si="10"/>
        <v>0.3</v>
      </c>
    </row>
    <row r="334" spans="1:11" x14ac:dyDescent="0.3">
      <c r="A334">
        <f>LOOKUP(9E+307,--MID(D334,1,{1,2,3,4,5}))</f>
        <v>7.5</v>
      </c>
      <c r="B334">
        <f>VLOOKUP(MID(D334,LOOKUP(2,1/ISNUMBER(-MID(D334,1,{1,2,3,4,5})),{1,2,3,4,5})+1,9),'Hue codes'!$A$1:$B$10,2,FALSE)</f>
        <v>80</v>
      </c>
      <c r="C334">
        <f t="shared" si="11"/>
        <v>87.5</v>
      </c>
      <c r="D334" s="162" t="s">
        <v>55</v>
      </c>
      <c r="E334" s="162">
        <v>3</v>
      </c>
      <c r="F334" s="162">
        <v>12</v>
      </c>
      <c r="G334" s="164">
        <v>0.46450000000000002</v>
      </c>
      <c r="H334" s="164">
        <v>0.12770000000000001</v>
      </c>
      <c r="I334" s="164">
        <v>0.49080000000000001</v>
      </c>
      <c r="J334" s="1" t="str">
        <f>HYPERLINK(SetRGB(J334,G334*255,H334*255,I334*255),"HOVER!")</f>
        <v>HOVER!</v>
      </c>
      <c r="K334">
        <f t="shared" si="10"/>
        <v>0.25</v>
      </c>
    </row>
    <row r="335" spans="1:11" x14ac:dyDescent="0.3">
      <c r="A335">
        <f>LOOKUP(9E+307,--MID(D335,1,{1,2,3,4,5}))</f>
        <v>7.5</v>
      </c>
      <c r="B335">
        <f>VLOOKUP(MID(D335,LOOKUP(2,1/ISNUMBER(-MID(D335,1,{1,2,3,4,5})),{1,2,3,4,5})+1,9),'Hue codes'!$A$1:$B$10,2,FALSE)</f>
        <v>80</v>
      </c>
      <c r="C335">
        <f t="shared" si="11"/>
        <v>87.5</v>
      </c>
      <c r="D335" s="162" t="s">
        <v>55</v>
      </c>
      <c r="E335" s="162">
        <v>3</v>
      </c>
      <c r="F335" s="162">
        <v>14</v>
      </c>
      <c r="G335" s="164">
        <v>0.49080000000000001</v>
      </c>
      <c r="H335" s="164">
        <v>6.0100000000000001E-2</v>
      </c>
      <c r="I335" s="164">
        <v>0.52059999999999995</v>
      </c>
      <c r="J335" s="1" t="str">
        <f>HYPERLINK(SetRGB(J335,G335*255,H335*255,I335*255),"HOVER!")</f>
        <v>HOVER!</v>
      </c>
      <c r="K335">
        <f t="shared" si="10"/>
        <v>0.21428571428571427</v>
      </c>
    </row>
    <row r="336" spans="1:11" x14ac:dyDescent="0.3">
      <c r="A336">
        <f>LOOKUP(9E+307,--MID(D336,1,{1,2,3,4,5}))</f>
        <v>10</v>
      </c>
      <c r="B336">
        <f>VLOOKUP(MID(D336,LOOKUP(2,1/ISNUMBER(-MID(D336,1,{1,2,3,4,5})),{1,2,3,4,5})+1,9),'Hue codes'!$A$1:$B$10,2,FALSE)</f>
        <v>80</v>
      </c>
      <c r="C336">
        <f t="shared" si="11"/>
        <v>90</v>
      </c>
      <c r="D336" s="162" t="s">
        <v>56</v>
      </c>
      <c r="E336" s="162">
        <v>3</v>
      </c>
      <c r="F336" s="162">
        <v>2</v>
      </c>
      <c r="G336" s="164">
        <v>0.33200000000000002</v>
      </c>
      <c r="H336" s="164">
        <v>0.26300000000000001</v>
      </c>
      <c r="I336" s="164">
        <v>0.31909999999999999</v>
      </c>
      <c r="J336" s="178" t="str">
        <f>HYPERLINK(SetRGB(J336,G336*255,H336*255,I336*255),"HOVER!")</f>
        <v>HOVER!</v>
      </c>
      <c r="K336">
        <f t="shared" si="10"/>
        <v>1.5</v>
      </c>
    </row>
    <row r="337" spans="1:11" x14ac:dyDescent="0.3">
      <c r="A337">
        <f>LOOKUP(9E+307,--MID(D337,1,{1,2,3,4,5}))</f>
        <v>10</v>
      </c>
      <c r="B337">
        <f>VLOOKUP(MID(D337,LOOKUP(2,1/ISNUMBER(-MID(D337,1,{1,2,3,4,5})),{1,2,3,4,5})+1,9),'Hue codes'!$A$1:$B$10,2,FALSE)</f>
        <v>80</v>
      </c>
      <c r="C337">
        <f t="shared" si="11"/>
        <v>90</v>
      </c>
      <c r="D337" s="162" t="s">
        <v>56</v>
      </c>
      <c r="E337" s="162">
        <v>3</v>
      </c>
      <c r="F337" s="162">
        <v>4</v>
      </c>
      <c r="G337" s="164">
        <v>0.36880000000000002</v>
      </c>
      <c r="H337" s="164">
        <v>0.24229999999999999</v>
      </c>
      <c r="I337" s="164">
        <v>0.3483</v>
      </c>
      <c r="J337" s="1" t="str">
        <f>HYPERLINK(SetRGB(J337,G337*255,H337*255,I337*255),"HOVER!")</f>
        <v>HOVER!</v>
      </c>
      <c r="K337">
        <f t="shared" si="10"/>
        <v>0.75</v>
      </c>
    </row>
    <row r="338" spans="1:11" x14ac:dyDescent="0.3">
      <c r="A338">
        <f>LOOKUP(9E+307,--MID(D338,1,{1,2,3,4,5}))</f>
        <v>10</v>
      </c>
      <c r="B338">
        <f>VLOOKUP(MID(D338,LOOKUP(2,1/ISNUMBER(-MID(D338,1,{1,2,3,4,5})),{1,2,3,4,5})+1,9),'Hue codes'!$A$1:$B$10,2,FALSE)</f>
        <v>80</v>
      </c>
      <c r="C338">
        <f t="shared" si="11"/>
        <v>90</v>
      </c>
      <c r="D338" s="162" t="s">
        <v>56</v>
      </c>
      <c r="E338" s="162">
        <v>3</v>
      </c>
      <c r="F338" s="162">
        <v>6</v>
      </c>
      <c r="G338" s="164">
        <v>0.40039999999999998</v>
      </c>
      <c r="H338" s="164">
        <v>0.21990000000000001</v>
      </c>
      <c r="I338" s="164">
        <v>0.37490000000000001</v>
      </c>
      <c r="J338" s="1" t="str">
        <f>HYPERLINK(SetRGB(J338,G338*255,H338*255,I338*255),"HOVER!")</f>
        <v>HOVER!</v>
      </c>
      <c r="K338">
        <f t="shared" si="10"/>
        <v>0.5</v>
      </c>
    </row>
    <row r="339" spans="1:11" x14ac:dyDescent="0.3">
      <c r="A339">
        <f>LOOKUP(9E+307,--MID(D339,1,{1,2,3,4,5}))</f>
        <v>10</v>
      </c>
      <c r="B339">
        <f>VLOOKUP(MID(D339,LOOKUP(2,1/ISNUMBER(-MID(D339,1,{1,2,3,4,5})),{1,2,3,4,5})+1,9),'Hue codes'!$A$1:$B$10,2,FALSE)</f>
        <v>80</v>
      </c>
      <c r="C339">
        <f t="shared" si="11"/>
        <v>90</v>
      </c>
      <c r="D339" s="162" t="s">
        <v>56</v>
      </c>
      <c r="E339" s="162">
        <v>3</v>
      </c>
      <c r="F339" s="162">
        <v>8</v>
      </c>
      <c r="G339" s="164">
        <v>0.43390000000000001</v>
      </c>
      <c r="H339" s="164">
        <v>0.18990000000000001</v>
      </c>
      <c r="I339" s="164">
        <v>0.40379999999999999</v>
      </c>
      <c r="J339" s="37" t="str">
        <f>HYPERLINK(SetRGB(J339,G339*255,H339*255,I339*255),"HOVER!")</f>
        <v>HOVER!</v>
      </c>
      <c r="K339">
        <f t="shared" si="10"/>
        <v>0.375</v>
      </c>
    </row>
    <row r="340" spans="1:11" x14ac:dyDescent="0.3">
      <c r="A340">
        <f>LOOKUP(9E+307,--MID(D340,1,{1,2,3,4,5}))</f>
        <v>10</v>
      </c>
      <c r="B340">
        <f>VLOOKUP(MID(D340,LOOKUP(2,1/ISNUMBER(-MID(D340,1,{1,2,3,4,5})),{1,2,3,4,5})+1,9),'Hue codes'!$A$1:$B$10,2,FALSE)</f>
        <v>80</v>
      </c>
      <c r="C340">
        <f t="shared" si="11"/>
        <v>90</v>
      </c>
      <c r="D340" s="162" t="s">
        <v>56</v>
      </c>
      <c r="E340" s="162">
        <v>3</v>
      </c>
      <c r="F340" s="162">
        <v>10</v>
      </c>
      <c r="G340" s="164">
        <v>0.4647</v>
      </c>
      <c r="H340" s="164">
        <v>0.153</v>
      </c>
      <c r="I340" s="164">
        <v>0.43149999999999999</v>
      </c>
      <c r="J340" s="73" t="str">
        <f>HYPERLINK(SetRGB(J340,G340*255,H340*255,I340*255),"HOVER!")</f>
        <v>HOVER!</v>
      </c>
      <c r="K340">
        <f t="shared" si="10"/>
        <v>0.3</v>
      </c>
    </row>
    <row r="341" spans="1:11" x14ac:dyDescent="0.3">
      <c r="A341">
        <f>LOOKUP(9E+307,--MID(D341,1,{1,2,3,4,5}))</f>
        <v>10</v>
      </c>
      <c r="B341">
        <f>VLOOKUP(MID(D341,LOOKUP(2,1/ISNUMBER(-MID(D341,1,{1,2,3,4,5})),{1,2,3,4,5})+1,9),'Hue codes'!$A$1:$B$10,2,FALSE)</f>
        <v>80</v>
      </c>
      <c r="C341">
        <f t="shared" si="11"/>
        <v>90</v>
      </c>
      <c r="D341" s="162" t="s">
        <v>56</v>
      </c>
      <c r="E341" s="162">
        <v>3</v>
      </c>
      <c r="F341" s="162">
        <v>12</v>
      </c>
      <c r="G341" s="164">
        <v>0.4965</v>
      </c>
      <c r="H341" s="164">
        <v>9.5299999999999996E-2</v>
      </c>
      <c r="I341" s="164">
        <v>0.46039999999999998</v>
      </c>
      <c r="J341" s="72" t="str">
        <f>HYPERLINK(SetRGB(J341,G341*255,H341*255,I341*255),"HOVER!")</f>
        <v>HOVER!</v>
      </c>
      <c r="K341">
        <f t="shared" si="10"/>
        <v>0.25</v>
      </c>
    </row>
    <row r="342" spans="1:11" x14ac:dyDescent="0.3">
      <c r="A342">
        <f>LOOKUP(9E+307,--MID(D342,1,{1,2,3,4,5}))</f>
        <v>2.5</v>
      </c>
      <c r="B342">
        <f>VLOOKUP(MID(D342,LOOKUP(2,1/ISNUMBER(-MID(D342,1,{1,2,3,4,5})),{1,2,3,4,5})+1,9),'Hue codes'!$A$1:$B$10,2,FALSE)</f>
        <v>90</v>
      </c>
      <c r="C342">
        <f t="shared" si="11"/>
        <v>92.5</v>
      </c>
      <c r="D342" s="162" t="s">
        <v>57</v>
      </c>
      <c r="E342" s="162">
        <v>3</v>
      </c>
      <c r="F342" s="162">
        <v>2</v>
      </c>
      <c r="G342" s="164">
        <v>0.34029999999999999</v>
      </c>
      <c r="H342" s="164">
        <v>0.26129999999999998</v>
      </c>
      <c r="I342" s="164">
        <v>0.30740000000000001</v>
      </c>
      <c r="J342" s="1" t="str">
        <f>HYPERLINK(SetRGB(J342,G342*255,H342*255,I342*255),"HOVER!")</f>
        <v>HOVER!</v>
      </c>
      <c r="K342">
        <f t="shared" si="10"/>
        <v>1.5</v>
      </c>
    </row>
    <row r="343" spans="1:11" x14ac:dyDescent="0.3">
      <c r="A343">
        <f>LOOKUP(9E+307,--MID(D343,1,{1,2,3,4,5}))</f>
        <v>2.5</v>
      </c>
      <c r="B343">
        <f>VLOOKUP(MID(D343,LOOKUP(2,1/ISNUMBER(-MID(D343,1,{1,2,3,4,5})),{1,2,3,4,5})+1,9),'Hue codes'!$A$1:$B$10,2,FALSE)</f>
        <v>90</v>
      </c>
      <c r="C343">
        <f t="shared" si="11"/>
        <v>92.5</v>
      </c>
      <c r="D343" s="162" t="s">
        <v>57</v>
      </c>
      <c r="E343" s="162">
        <v>3</v>
      </c>
      <c r="F343" s="162">
        <v>4</v>
      </c>
      <c r="G343" s="164">
        <v>0.38390000000000002</v>
      </c>
      <c r="H343" s="164">
        <v>0.23780000000000001</v>
      </c>
      <c r="I343" s="164">
        <v>0.32819999999999999</v>
      </c>
      <c r="J343" s="1" t="str">
        <f>HYPERLINK(SetRGB(J343,G343*255,H343*255,I343*255),"HOVER!")</f>
        <v>HOVER!</v>
      </c>
      <c r="K343">
        <f t="shared" si="10"/>
        <v>0.75</v>
      </c>
    </row>
    <row r="344" spans="1:11" x14ac:dyDescent="0.3">
      <c r="A344">
        <f>LOOKUP(9E+307,--MID(D344,1,{1,2,3,4,5}))</f>
        <v>2.5</v>
      </c>
      <c r="B344">
        <f>VLOOKUP(MID(D344,LOOKUP(2,1/ISNUMBER(-MID(D344,1,{1,2,3,4,5})),{1,2,3,4,5})+1,9),'Hue codes'!$A$1:$B$10,2,FALSE)</f>
        <v>90</v>
      </c>
      <c r="C344">
        <f t="shared" si="11"/>
        <v>92.5</v>
      </c>
      <c r="D344" s="162" t="s">
        <v>57</v>
      </c>
      <c r="E344" s="162">
        <v>3</v>
      </c>
      <c r="F344" s="162">
        <v>6</v>
      </c>
      <c r="G344" s="164">
        <v>0.42099999999999999</v>
      </c>
      <c r="H344" s="164">
        <v>0.2122</v>
      </c>
      <c r="I344" s="164">
        <v>0.34760000000000002</v>
      </c>
      <c r="J344" s="1" t="str">
        <f>HYPERLINK(SetRGB(J344,G344*255,H344*255,I344*255),"HOVER!")</f>
        <v>HOVER!</v>
      </c>
      <c r="K344">
        <f t="shared" si="10"/>
        <v>0.5</v>
      </c>
    </row>
    <row r="345" spans="1:11" x14ac:dyDescent="0.3">
      <c r="A345">
        <f>LOOKUP(9E+307,--MID(D345,1,{1,2,3,4,5}))</f>
        <v>2.5</v>
      </c>
      <c r="B345">
        <f>VLOOKUP(MID(D345,LOOKUP(2,1/ISNUMBER(-MID(D345,1,{1,2,3,4,5})),{1,2,3,4,5})+1,9),'Hue codes'!$A$1:$B$10,2,FALSE)</f>
        <v>90</v>
      </c>
      <c r="C345">
        <f t="shared" si="11"/>
        <v>92.5</v>
      </c>
      <c r="D345" s="162" t="s">
        <v>57</v>
      </c>
      <c r="E345" s="162">
        <v>3</v>
      </c>
      <c r="F345" s="162">
        <v>8</v>
      </c>
      <c r="G345" s="164">
        <v>0.45860000000000001</v>
      </c>
      <c r="H345" s="164">
        <v>0.1782</v>
      </c>
      <c r="I345" s="164">
        <v>0.36809999999999998</v>
      </c>
      <c r="J345" s="1" t="str">
        <f>HYPERLINK(SetRGB(J345,G345*255,H345*255,I345*255),"HOVER!")</f>
        <v>HOVER!</v>
      </c>
      <c r="K345">
        <f t="shared" si="10"/>
        <v>0.375</v>
      </c>
    </row>
    <row r="346" spans="1:11" x14ac:dyDescent="0.3">
      <c r="A346">
        <f>LOOKUP(9E+307,--MID(D346,1,{1,2,3,4,5}))</f>
        <v>2.5</v>
      </c>
      <c r="B346">
        <f>VLOOKUP(MID(D346,LOOKUP(2,1/ISNUMBER(-MID(D346,1,{1,2,3,4,5})),{1,2,3,4,5})+1,9),'Hue codes'!$A$1:$B$10,2,FALSE)</f>
        <v>90</v>
      </c>
      <c r="C346">
        <f t="shared" si="11"/>
        <v>92.5</v>
      </c>
      <c r="D346" s="162" t="s">
        <v>57</v>
      </c>
      <c r="E346" s="162">
        <v>3</v>
      </c>
      <c r="F346" s="162">
        <v>10</v>
      </c>
      <c r="G346" s="164">
        <v>0.495</v>
      </c>
      <c r="H346" s="164">
        <v>0.13150000000000001</v>
      </c>
      <c r="I346" s="164">
        <v>0.3896</v>
      </c>
      <c r="J346" s="1" t="str">
        <f>HYPERLINK(SetRGB(J346,G346*255,H346*255,I346*255),"HOVER!")</f>
        <v>HOVER!</v>
      </c>
      <c r="K346">
        <f t="shared" si="10"/>
        <v>0.3</v>
      </c>
    </row>
    <row r="347" spans="1:11" x14ac:dyDescent="0.3">
      <c r="A347">
        <f>LOOKUP(9E+307,--MID(D347,1,{1,2,3,4,5}))</f>
        <v>2.5</v>
      </c>
      <c r="B347">
        <f>VLOOKUP(MID(D347,LOOKUP(2,1/ISNUMBER(-MID(D347,1,{1,2,3,4,5})),{1,2,3,4,5})+1,9),'Hue codes'!$A$1:$B$10,2,FALSE)</f>
        <v>90</v>
      </c>
      <c r="C347">
        <f t="shared" si="11"/>
        <v>92.5</v>
      </c>
      <c r="D347" s="162" t="s">
        <v>57</v>
      </c>
      <c r="E347" s="162">
        <v>3</v>
      </c>
      <c r="F347" s="162">
        <v>12</v>
      </c>
      <c r="G347" s="164">
        <v>0.5292</v>
      </c>
      <c r="H347" s="164">
        <v>5.2999999999999999E-2</v>
      </c>
      <c r="I347" s="164">
        <v>0.41010000000000002</v>
      </c>
      <c r="J347" s="1" t="str">
        <f>HYPERLINK(SetRGB(J347,G347*255,H347*255,I347*255),"HOVER!")</f>
        <v>HOVER!</v>
      </c>
      <c r="K347">
        <f t="shared" si="10"/>
        <v>0.25</v>
      </c>
    </row>
    <row r="348" spans="1:11" x14ac:dyDescent="0.3">
      <c r="A348">
        <f>LOOKUP(9E+307,--MID(D348,1,{1,2,3,4,5}))</f>
        <v>5</v>
      </c>
      <c r="B348">
        <f>VLOOKUP(MID(D348,LOOKUP(2,1/ISNUMBER(-MID(D348,1,{1,2,3,4,5})),{1,2,3,4,5})+1,9),'Hue codes'!$A$1:$B$10,2,FALSE)</f>
        <v>90</v>
      </c>
      <c r="C348">
        <f t="shared" si="11"/>
        <v>95</v>
      </c>
      <c r="D348" s="162" t="s">
        <v>58</v>
      </c>
      <c r="E348" s="162">
        <v>3</v>
      </c>
      <c r="F348" s="162">
        <v>2</v>
      </c>
      <c r="G348" s="164">
        <v>0.34660000000000002</v>
      </c>
      <c r="H348" s="164">
        <v>0.26019999999999999</v>
      </c>
      <c r="I348" s="164">
        <v>0.29499999999999998</v>
      </c>
      <c r="J348" s="1" t="str">
        <f>HYPERLINK(SetRGB(J348,G348*255,H348*255,I348*255),"HOVER!")</f>
        <v>HOVER!</v>
      </c>
      <c r="K348">
        <f t="shared" si="10"/>
        <v>1.5</v>
      </c>
    </row>
    <row r="349" spans="1:11" x14ac:dyDescent="0.3">
      <c r="A349">
        <f>LOOKUP(9E+307,--MID(D349,1,{1,2,3,4,5}))</f>
        <v>5</v>
      </c>
      <c r="B349">
        <f>VLOOKUP(MID(D349,LOOKUP(2,1/ISNUMBER(-MID(D349,1,{1,2,3,4,5})),{1,2,3,4,5})+1,9),'Hue codes'!$A$1:$B$10,2,FALSE)</f>
        <v>90</v>
      </c>
      <c r="C349">
        <f t="shared" si="11"/>
        <v>95</v>
      </c>
      <c r="D349" s="162" t="s">
        <v>58</v>
      </c>
      <c r="E349" s="162">
        <v>3</v>
      </c>
      <c r="F349" s="162">
        <v>4</v>
      </c>
      <c r="G349" s="164">
        <v>0.39610000000000001</v>
      </c>
      <c r="H349" s="164">
        <v>0.2344</v>
      </c>
      <c r="I349" s="164">
        <v>0.307</v>
      </c>
      <c r="J349" s="1" t="str">
        <f>HYPERLINK(SetRGB(J349,G349*255,H349*255,I349*255),"HOVER!")</f>
        <v>HOVER!</v>
      </c>
      <c r="K349">
        <f t="shared" si="10"/>
        <v>0.75</v>
      </c>
    </row>
    <row r="350" spans="1:11" x14ac:dyDescent="0.3">
      <c r="A350">
        <f>LOOKUP(9E+307,--MID(D350,1,{1,2,3,4,5}))</f>
        <v>5</v>
      </c>
      <c r="B350">
        <f>VLOOKUP(MID(D350,LOOKUP(2,1/ISNUMBER(-MID(D350,1,{1,2,3,4,5})),{1,2,3,4,5})+1,9),'Hue codes'!$A$1:$B$10,2,FALSE)</f>
        <v>90</v>
      </c>
      <c r="C350">
        <f t="shared" si="11"/>
        <v>95</v>
      </c>
      <c r="D350" s="162" t="s">
        <v>58</v>
      </c>
      <c r="E350" s="162">
        <v>3</v>
      </c>
      <c r="F350" s="162">
        <v>6</v>
      </c>
      <c r="G350" s="164">
        <v>0.43780000000000002</v>
      </c>
      <c r="H350" s="164">
        <v>0.20580000000000001</v>
      </c>
      <c r="I350" s="164">
        <v>0.31890000000000002</v>
      </c>
      <c r="J350" s="1" t="str">
        <f>HYPERLINK(SetRGB(J350,G350*255,H350*255,I350*255),"HOVER!")</f>
        <v>HOVER!</v>
      </c>
      <c r="K350">
        <f t="shared" si="10"/>
        <v>0.5</v>
      </c>
    </row>
    <row r="351" spans="1:11" x14ac:dyDescent="0.3">
      <c r="A351">
        <f>LOOKUP(9E+307,--MID(D351,1,{1,2,3,4,5}))</f>
        <v>5</v>
      </c>
      <c r="B351">
        <f>VLOOKUP(MID(D351,LOOKUP(2,1/ISNUMBER(-MID(D351,1,{1,2,3,4,5})),{1,2,3,4,5})+1,9),'Hue codes'!$A$1:$B$10,2,FALSE)</f>
        <v>90</v>
      </c>
      <c r="C351">
        <f t="shared" si="11"/>
        <v>95</v>
      </c>
      <c r="D351" s="162" t="s">
        <v>58</v>
      </c>
      <c r="E351" s="162">
        <v>3</v>
      </c>
      <c r="F351" s="162">
        <v>8</v>
      </c>
      <c r="G351" s="164">
        <v>0.47860000000000003</v>
      </c>
      <c r="H351" s="164">
        <v>0.1676</v>
      </c>
      <c r="I351" s="164">
        <v>0.3327</v>
      </c>
      <c r="J351" s="1" t="str">
        <f>HYPERLINK(SetRGB(J351,G351*255,H351*255,I351*255),"HOVER!")</f>
        <v>HOVER!</v>
      </c>
      <c r="K351">
        <f t="shared" si="10"/>
        <v>0.375</v>
      </c>
    </row>
    <row r="352" spans="1:11" x14ac:dyDescent="0.3">
      <c r="A352">
        <f>LOOKUP(9E+307,--MID(D352,1,{1,2,3,4,5}))</f>
        <v>5</v>
      </c>
      <c r="B352">
        <f>VLOOKUP(MID(D352,LOOKUP(2,1/ISNUMBER(-MID(D352,1,{1,2,3,4,5})),{1,2,3,4,5})+1,9),'Hue codes'!$A$1:$B$10,2,FALSE)</f>
        <v>90</v>
      </c>
      <c r="C352">
        <f t="shared" si="11"/>
        <v>95</v>
      </c>
      <c r="D352" s="162" t="s">
        <v>58</v>
      </c>
      <c r="E352" s="162">
        <v>3</v>
      </c>
      <c r="F352" s="162">
        <v>10</v>
      </c>
      <c r="G352" s="164">
        <v>0.51649999999999996</v>
      </c>
      <c r="H352" s="164">
        <v>0.115</v>
      </c>
      <c r="I352" s="164">
        <v>0.34689999999999999</v>
      </c>
      <c r="J352" s="1" t="str">
        <f>HYPERLINK(SetRGB(J352,G352*255,H352*255,I352*255),"HOVER!")</f>
        <v>HOVER!</v>
      </c>
      <c r="K352">
        <f t="shared" si="10"/>
        <v>0.3</v>
      </c>
    </row>
    <row r="353" spans="1:11" x14ac:dyDescent="0.3">
      <c r="A353">
        <f>LOOKUP(9E+307,--MID(D353,1,{1,2,3,4,5}))</f>
        <v>7.5</v>
      </c>
      <c r="B353">
        <f>VLOOKUP(MID(D353,LOOKUP(2,1/ISNUMBER(-MID(D353,1,{1,2,3,4,5})),{1,2,3,4,5})+1,9),'Hue codes'!$A$1:$B$10,2,FALSE)</f>
        <v>90</v>
      </c>
      <c r="C353">
        <f t="shared" si="11"/>
        <v>97.5</v>
      </c>
      <c r="D353" s="162" t="s">
        <v>59</v>
      </c>
      <c r="E353" s="162">
        <v>3</v>
      </c>
      <c r="F353" s="162">
        <v>2</v>
      </c>
      <c r="G353" s="164">
        <v>0.35170000000000001</v>
      </c>
      <c r="H353" s="164">
        <v>0.25919999999999999</v>
      </c>
      <c r="I353" s="164">
        <v>0.2853</v>
      </c>
      <c r="J353" s="1" t="str">
        <f>HYPERLINK(SetRGB(J353,G353*255,H353*255,I353*255),"HOVER!")</f>
        <v>HOVER!</v>
      </c>
      <c r="K353">
        <f t="shared" si="10"/>
        <v>1.5</v>
      </c>
    </row>
    <row r="354" spans="1:11" x14ac:dyDescent="0.3">
      <c r="A354">
        <f>LOOKUP(9E+307,--MID(D354,1,{1,2,3,4,5}))</f>
        <v>7.5</v>
      </c>
      <c r="B354">
        <f>VLOOKUP(MID(D354,LOOKUP(2,1/ISNUMBER(-MID(D354,1,{1,2,3,4,5})),{1,2,3,4,5})+1,9),'Hue codes'!$A$1:$B$10,2,FALSE)</f>
        <v>90</v>
      </c>
      <c r="C354">
        <f t="shared" si="11"/>
        <v>97.5</v>
      </c>
      <c r="D354" s="162" t="s">
        <v>59</v>
      </c>
      <c r="E354" s="162">
        <v>3</v>
      </c>
      <c r="F354" s="162">
        <v>4</v>
      </c>
      <c r="G354" s="164">
        <v>0.40379999999999999</v>
      </c>
      <c r="H354" s="164">
        <v>0.23280000000000001</v>
      </c>
      <c r="I354" s="164">
        <v>0.28839999999999999</v>
      </c>
      <c r="J354" s="1" t="str">
        <f>HYPERLINK(SetRGB(J354,G354*255,H354*255,I354*255),"HOVER!")</f>
        <v>HOVER!</v>
      </c>
      <c r="K354">
        <f t="shared" si="10"/>
        <v>0.75</v>
      </c>
    </row>
    <row r="355" spans="1:11" x14ac:dyDescent="0.3">
      <c r="A355">
        <f>LOOKUP(9E+307,--MID(D355,1,{1,2,3,4,5}))</f>
        <v>7.5</v>
      </c>
      <c r="B355">
        <f>VLOOKUP(MID(D355,LOOKUP(2,1/ISNUMBER(-MID(D355,1,{1,2,3,4,5})),{1,2,3,4,5})+1,9),'Hue codes'!$A$1:$B$10,2,FALSE)</f>
        <v>90</v>
      </c>
      <c r="C355">
        <f t="shared" si="11"/>
        <v>97.5</v>
      </c>
      <c r="D355" s="162" t="s">
        <v>59</v>
      </c>
      <c r="E355" s="162">
        <v>3</v>
      </c>
      <c r="F355" s="162">
        <v>6</v>
      </c>
      <c r="G355" s="164">
        <v>0.44829999999999998</v>
      </c>
      <c r="H355" s="164">
        <v>0.2024</v>
      </c>
      <c r="I355" s="164">
        <v>0.2928</v>
      </c>
      <c r="J355" s="1" t="str">
        <f>HYPERLINK(SetRGB(J355,G355*255,H355*255,I355*255),"HOVER!")</f>
        <v>HOVER!</v>
      </c>
      <c r="K355">
        <f t="shared" si="10"/>
        <v>0.5</v>
      </c>
    </row>
    <row r="356" spans="1:11" x14ac:dyDescent="0.3">
      <c r="A356">
        <f>LOOKUP(9E+307,--MID(D356,1,{1,2,3,4,5}))</f>
        <v>7.5</v>
      </c>
      <c r="B356">
        <f>VLOOKUP(MID(D356,LOOKUP(2,1/ISNUMBER(-MID(D356,1,{1,2,3,4,5})),{1,2,3,4,5})+1,9),'Hue codes'!$A$1:$B$10,2,FALSE)</f>
        <v>90</v>
      </c>
      <c r="C356">
        <f t="shared" si="11"/>
        <v>97.5</v>
      </c>
      <c r="D356" s="162" t="s">
        <v>59</v>
      </c>
      <c r="E356" s="162">
        <v>3</v>
      </c>
      <c r="F356" s="162">
        <v>8</v>
      </c>
      <c r="G356" s="164">
        <v>0.4924</v>
      </c>
      <c r="H356" s="164">
        <v>0.16070000000000001</v>
      </c>
      <c r="I356" s="164">
        <v>0.29899999999999999</v>
      </c>
      <c r="J356" s="1" t="str">
        <f>HYPERLINK(SetRGB(J356,G356*255,H356*255,I356*255),"HOVER!")</f>
        <v>HOVER!</v>
      </c>
      <c r="K356">
        <f t="shared" si="10"/>
        <v>0.375</v>
      </c>
    </row>
    <row r="357" spans="1:11" x14ac:dyDescent="0.3">
      <c r="A357">
        <f>LOOKUP(9E+307,--MID(D357,1,{1,2,3,4,5}))</f>
        <v>7.5</v>
      </c>
      <c r="B357">
        <f>VLOOKUP(MID(D357,LOOKUP(2,1/ISNUMBER(-MID(D357,1,{1,2,3,4,5})),{1,2,3,4,5})+1,9),'Hue codes'!$A$1:$B$10,2,FALSE)</f>
        <v>90</v>
      </c>
      <c r="C357">
        <f t="shared" si="11"/>
        <v>97.5</v>
      </c>
      <c r="D357" s="162" t="s">
        <v>59</v>
      </c>
      <c r="E357" s="162">
        <v>3</v>
      </c>
      <c r="F357" s="162">
        <v>10</v>
      </c>
      <c r="G357" s="164">
        <v>0.53149999999999997</v>
      </c>
      <c r="H357" s="164">
        <v>0.10349999999999999</v>
      </c>
      <c r="I357" s="164">
        <v>0.30559999999999998</v>
      </c>
      <c r="J357" s="191" t="str">
        <f>HYPERLINK(SetRGB(J357,G357*255,H357*255,I357*255),"HOVER!")</f>
        <v>HOVER!</v>
      </c>
      <c r="K357">
        <f t="shared" si="10"/>
        <v>0.3</v>
      </c>
    </row>
    <row r="358" spans="1:11" x14ac:dyDescent="0.3">
      <c r="A358">
        <f>LOOKUP(9E+307,--MID(D358,1,{1,2,3,4,5}))</f>
        <v>10</v>
      </c>
      <c r="B358">
        <f>VLOOKUP(MID(D358,LOOKUP(2,1/ISNUMBER(-MID(D358,1,{1,2,3,4,5})),{1,2,3,4,5})+1,9),'Hue codes'!$A$1:$B$10,2,FALSE)</f>
        <v>90</v>
      </c>
      <c r="C358">
        <f t="shared" si="11"/>
        <v>0</v>
      </c>
      <c r="D358" s="162" t="s">
        <v>20</v>
      </c>
      <c r="E358" s="162">
        <v>4</v>
      </c>
      <c r="F358" s="162">
        <v>2</v>
      </c>
      <c r="G358" s="164">
        <v>0.4496</v>
      </c>
      <c r="H358" s="164">
        <v>0.3584</v>
      </c>
      <c r="I358" s="164">
        <v>0.37090000000000001</v>
      </c>
      <c r="J358" s="182" t="str">
        <f>HYPERLINK(SetRGB(J358,G358*255,H358*255,I358*255),"HOVER!")</f>
        <v>HOVER!</v>
      </c>
      <c r="K358">
        <f t="shared" si="10"/>
        <v>2</v>
      </c>
    </row>
    <row r="359" spans="1:11" x14ac:dyDescent="0.3">
      <c r="A359">
        <f>LOOKUP(9E+307,--MID(D359,1,{1,2,3,4,5}))</f>
        <v>10</v>
      </c>
      <c r="B359">
        <f>VLOOKUP(MID(D359,LOOKUP(2,1/ISNUMBER(-MID(D359,1,{1,2,3,4,5})),{1,2,3,4,5})+1,9),'Hue codes'!$A$1:$B$10,2,FALSE)</f>
        <v>90</v>
      </c>
      <c r="C359">
        <f t="shared" si="11"/>
        <v>0</v>
      </c>
      <c r="D359" s="162" t="s">
        <v>20</v>
      </c>
      <c r="E359" s="162">
        <v>4</v>
      </c>
      <c r="F359" s="162">
        <v>4</v>
      </c>
      <c r="G359" s="164">
        <v>0.5071</v>
      </c>
      <c r="H359" s="164">
        <v>0.33360000000000001</v>
      </c>
      <c r="I359" s="164">
        <v>0.36230000000000001</v>
      </c>
      <c r="J359" s="1" t="str">
        <f>HYPERLINK(SetRGB(J359,G359*255,H359*255,I359*255),"HOVER!")</f>
        <v>HOVER!</v>
      </c>
      <c r="K359">
        <f t="shared" si="10"/>
        <v>1</v>
      </c>
    </row>
    <row r="360" spans="1:11" x14ac:dyDescent="0.3">
      <c r="A360">
        <f>LOOKUP(9E+307,--MID(D360,1,{1,2,3,4,5}))</f>
        <v>10</v>
      </c>
      <c r="B360">
        <f>VLOOKUP(MID(D360,LOOKUP(2,1/ISNUMBER(-MID(D360,1,{1,2,3,4,5})),{1,2,3,4,5})+1,9),'Hue codes'!$A$1:$B$10,2,FALSE)</f>
        <v>90</v>
      </c>
      <c r="C360">
        <f t="shared" si="11"/>
        <v>0</v>
      </c>
      <c r="D360" s="162" t="s">
        <v>20</v>
      </c>
      <c r="E360" s="162">
        <v>4</v>
      </c>
      <c r="F360" s="162">
        <v>6</v>
      </c>
      <c r="G360" s="164">
        <v>0.55820000000000003</v>
      </c>
      <c r="H360" s="164">
        <v>0.30570000000000003</v>
      </c>
      <c r="I360" s="164">
        <v>0.3548</v>
      </c>
      <c r="J360" s="237" t="str">
        <f>HYPERLINK(SetRGB(J360,G360*255,H360*255,I360*255),"HOVER!")</f>
        <v>HOVER!</v>
      </c>
      <c r="K360">
        <f t="shared" si="10"/>
        <v>0.66666666666666663</v>
      </c>
    </row>
    <row r="361" spans="1:11" x14ac:dyDescent="0.3">
      <c r="A361">
        <f>LOOKUP(9E+307,--MID(D361,1,{1,2,3,4,5}))</f>
        <v>10</v>
      </c>
      <c r="B361">
        <f>VLOOKUP(MID(D361,LOOKUP(2,1/ISNUMBER(-MID(D361,1,{1,2,3,4,5})),{1,2,3,4,5})+1,9),'Hue codes'!$A$1:$B$10,2,FALSE)</f>
        <v>90</v>
      </c>
      <c r="C361">
        <f t="shared" si="11"/>
        <v>0</v>
      </c>
      <c r="D361" s="162" t="s">
        <v>20</v>
      </c>
      <c r="E361" s="162">
        <v>4</v>
      </c>
      <c r="F361" s="162">
        <v>8</v>
      </c>
      <c r="G361" s="164">
        <v>0.60750000000000004</v>
      </c>
      <c r="H361" s="164">
        <v>0.27129999999999999</v>
      </c>
      <c r="I361" s="164">
        <v>0.34839999999999999</v>
      </c>
      <c r="J361" s="1" t="str">
        <f>HYPERLINK(SetRGB(J361,G361*255,H361*255,I361*255),"HOVER!")</f>
        <v>HOVER!</v>
      </c>
      <c r="K361">
        <f t="shared" si="10"/>
        <v>0.5</v>
      </c>
    </row>
    <row r="362" spans="1:11" x14ac:dyDescent="0.3">
      <c r="A362">
        <f>LOOKUP(9E+307,--MID(D362,1,{1,2,3,4,5}))</f>
        <v>10</v>
      </c>
      <c r="B362">
        <f>VLOOKUP(MID(D362,LOOKUP(2,1/ISNUMBER(-MID(D362,1,{1,2,3,4,5})),{1,2,3,4,5})+1,9),'Hue codes'!$A$1:$B$10,2,FALSE)</f>
        <v>90</v>
      </c>
      <c r="C362">
        <f t="shared" si="11"/>
        <v>0</v>
      </c>
      <c r="D362" s="162" t="s">
        <v>20</v>
      </c>
      <c r="E362" s="162">
        <v>4</v>
      </c>
      <c r="F362" s="162">
        <v>10</v>
      </c>
      <c r="G362" s="164">
        <v>0.64970000000000006</v>
      </c>
      <c r="H362" s="164">
        <v>0.23319999999999999</v>
      </c>
      <c r="I362" s="164">
        <v>0.34360000000000002</v>
      </c>
      <c r="J362" s="1" t="str">
        <f>HYPERLINK(SetRGB(J362,G362*255,H362*255,I362*255),"HOVER!")</f>
        <v>HOVER!</v>
      </c>
      <c r="K362">
        <f t="shared" si="10"/>
        <v>0.4</v>
      </c>
    </row>
    <row r="363" spans="1:11" x14ac:dyDescent="0.3">
      <c r="A363">
        <f>LOOKUP(9E+307,--MID(D363,1,{1,2,3,4,5}))</f>
        <v>10</v>
      </c>
      <c r="B363">
        <f>VLOOKUP(MID(D363,LOOKUP(2,1/ISNUMBER(-MID(D363,1,{1,2,3,4,5})),{1,2,3,4,5})+1,9),'Hue codes'!$A$1:$B$10,2,FALSE)</f>
        <v>90</v>
      </c>
      <c r="C363">
        <f t="shared" si="11"/>
        <v>0</v>
      </c>
      <c r="D363" s="162" t="s">
        <v>20</v>
      </c>
      <c r="E363" s="162">
        <v>4</v>
      </c>
      <c r="F363" s="162">
        <v>12</v>
      </c>
      <c r="G363" s="164">
        <v>0.69469999999999998</v>
      </c>
      <c r="H363" s="164">
        <v>0.17680000000000001</v>
      </c>
      <c r="I363" s="164">
        <v>0.33960000000000001</v>
      </c>
      <c r="J363" s="199" t="str">
        <f>HYPERLINK(SetRGB(J363,G363*255,H363*255,I363*255),"HOVER!")</f>
        <v>HOVER!</v>
      </c>
      <c r="K363">
        <f t="shared" si="10"/>
        <v>0.33333333333333331</v>
      </c>
    </row>
    <row r="364" spans="1:11" x14ac:dyDescent="0.3">
      <c r="A364">
        <f>LOOKUP(9E+307,--MID(D364,1,{1,2,3,4,5}))</f>
        <v>10</v>
      </c>
      <c r="B364">
        <f>VLOOKUP(MID(D364,LOOKUP(2,1/ISNUMBER(-MID(D364,1,{1,2,3,4,5})),{1,2,3,4,5})+1,9),'Hue codes'!$A$1:$B$10,2,FALSE)</f>
        <v>90</v>
      </c>
      <c r="C364">
        <f t="shared" si="11"/>
        <v>0</v>
      </c>
      <c r="D364" s="162" t="s">
        <v>20</v>
      </c>
      <c r="E364" s="162">
        <v>4</v>
      </c>
      <c r="F364" s="162">
        <v>14</v>
      </c>
      <c r="G364" s="164">
        <v>0.73580000000000001</v>
      </c>
      <c r="H364" s="164">
        <v>8.8700000000000001E-2</v>
      </c>
      <c r="I364" s="164">
        <v>0.33750000000000002</v>
      </c>
      <c r="J364" s="1" t="str">
        <f>HYPERLINK(SetRGB(J364,G364*255,H364*255,I364*255),"HOVER!")</f>
        <v>HOVER!</v>
      </c>
      <c r="K364">
        <f t="shared" si="10"/>
        <v>0.2857142857142857</v>
      </c>
    </row>
    <row r="365" spans="1:11" x14ac:dyDescent="0.3">
      <c r="A365">
        <f>LOOKUP(9E+307,--MID(D365,1,{1,2,3,4,5}))</f>
        <v>2.5</v>
      </c>
      <c r="B365">
        <f>VLOOKUP(MID(D365,LOOKUP(2,1/ISNUMBER(-MID(D365,1,{1,2,3,4,5})),{1,2,3,4,5})+1,9),'Hue codes'!$A$1:$B$10,2,FALSE)</f>
        <v>0</v>
      </c>
      <c r="C365">
        <f t="shared" si="11"/>
        <v>2.5</v>
      </c>
      <c r="D365" s="162" t="s">
        <v>21</v>
      </c>
      <c r="E365" s="162">
        <v>4</v>
      </c>
      <c r="F365" s="162">
        <v>2</v>
      </c>
      <c r="G365" s="164">
        <v>0.4521</v>
      </c>
      <c r="H365" s="164">
        <v>0.3584</v>
      </c>
      <c r="I365" s="164">
        <v>0.36280000000000001</v>
      </c>
      <c r="J365" s="168" t="str">
        <f>HYPERLINK(SetRGB(J365,G365*255,H365*255,I365*255),"HOVER!")</f>
        <v>HOVER!</v>
      </c>
      <c r="K365">
        <f t="shared" si="10"/>
        <v>2</v>
      </c>
    </row>
    <row r="366" spans="1:11" x14ac:dyDescent="0.3">
      <c r="A366">
        <f>LOOKUP(9E+307,--MID(D366,1,{1,2,3,4,5}))</f>
        <v>2.5</v>
      </c>
      <c r="B366">
        <f>VLOOKUP(MID(D366,LOOKUP(2,1/ISNUMBER(-MID(D366,1,{1,2,3,4,5})),{1,2,3,4,5})+1,9),'Hue codes'!$A$1:$B$10,2,FALSE)</f>
        <v>0</v>
      </c>
      <c r="C366">
        <f t="shared" si="11"/>
        <v>2.5</v>
      </c>
      <c r="D366" s="162" t="s">
        <v>21</v>
      </c>
      <c r="E366" s="162">
        <v>4</v>
      </c>
      <c r="F366" s="162">
        <v>4</v>
      </c>
      <c r="G366" s="164">
        <v>0.51100000000000001</v>
      </c>
      <c r="H366" s="164">
        <v>0.33360000000000001</v>
      </c>
      <c r="I366" s="164">
        <v>0.34599999999999997</v>
      </c>
      <c r="J366" s="1" t="str">
        <f>HYPERLINK(SetRGB(J366,G366*255,H366*255,I366*255),"HOVER!")</f>
        <v>HOVER!</v>
      </c>
      <c r="K366">
        <f t="shared" si="10"/>
        <v>1</v>
      </c>
    </row>
    <row r="367" spans="1:11" x14ac:dyDescent="0.3">
      <c r="A367">
        <f>LOOKUP(9E+307,--MID(D367,1,{1,2,3,4,5}))</f>
        <v>2.5</v>
      </c>
      <c r="B367">
        <f>VLOOKUP(MID(D367,LOOKUP(2,1/ISNUMBER(-MID(D367,1,{1,2,3,4,5})),{1,2,3,4,5})+1,9),'Hue codes'!$A$1:$B$10,2,FALSE)</f>
        <v>0</v>
      </c>
      <c r="C367">
        <f t="shared" si="11"/>
        <v>2.5</v>
      </c>
      <c r="D367" s="162" t="s">
        <v>21</v>
      </c>
      <c r="E367" s="162">
        <v>4</v>
      </c>
      <c r="F367" s="162">
        <v>6</v>
      </c>
      <c r="G367" s="164">
        <v>0.56359999999999999</v>
      </c>
      <c r="H367" s="164">
        <v>0.30530000000000002</v>
      </c>
      <c r="I367" s="164">
        <v>0.3306</v>
      </c>
      <c r="J367" s="1" t="str">
        <f>HYPERLINK(SetRGB(J367,G367*255,H367*255,I367*255),"HOVER!")</f>
        <v>HOVER!</v>
      </c>
      <c r="K367">
        <f t="shared" si="10"/>
        <v>0.66666666666666663</v>
      </c>
    </row>
    <row r="368" spans="1:11" x14ac:dyDescent="0.3">
      <c r="A368">
        <f>LOOKUP(9E+307,--MID(D368,1,{1,2,3,4,5}))</f>
        <v>2.5</v>
      </c>
      <c r="B368">
        <f>VLOOKUP(MID(D368,LOOKUP(2,1/ISNUMBER(-MID(D368,1,{1,2,3,4,5})),{1,2,3,4,5})+1,9),'Hue codes'!$A$1:$B$10,2,FALSE)</f>
        <v>0</v>
      </c>
      <c r="C368">
        <f t="shared" si="11"/>
        <v>2.5</v>
      </c>
      <c r="D368" s="162" t="s">
        <v>21</v>
      </c>
      <c r="E368" s="162">
        <v>4</v>
      </c>
      <c r="F368" s="162">
        <v>8</v>
      </c>
      <c r="G368" s="164">
        <v>0.61309999999999998</v>
      </c>
      <c r="H368" s="164">
        <v>0.2712</v>
      </c>
      <c r="I368" s="164">
        <v>0.316</v>
      </c>
      <c r="J368" s="260" t="str">
        <f>HYPERLINK(SetRGB(J368,G368*255,H368*255,I368*255),"HOVER!")</f>
        <v>HOVER!</v>
      </c>
      <c r="K368">
        <f t="shared" si="10"/>
        <v>0.5</v>
      </c>
    </row>
    <row r="369" spans="1:11" x14ac:dyDescent="0.3">
      <c r="A369">
        <f>LOOKUP(9E+307,--MID(D369,1,{1,2,3,4,5}))</f>
        <v>2.5</v>
      </c>
      <c r="B369">
        <f>VLOOKUP(MID(D369,LOOKUP(2,1/ISNUMBER(-MID(D369,1,{1,2,3,4,5})),{1,2,3,4,5})+1,9),'Hue codes'!$A$1:$B$10,2,FALSE)</f>
        <v>0</v>
      </c>
      <c r="C369">
        <f t="shared" si="11"/>
        <v>2.5</v>
      </c>
      <c r="D369" s="162" t="s">
        <v>21</v>
      </c>
      <c r="E369" s="162">
        <v>4</v>
      </c>
      <c r="F369" s="162">
        <v>10</v>
      </c>
      <c r="G369" s="164">
        <v>0.6573</v>
      </c>
      <c r="H369" s="164">
        <v>0.2316</v>
      </c>
      <c r="I369" s="164">
        <v>0.30330000000000001</v>
      </c>
      <c r="J369" s="1" t="str">
        <f>HYPERLINK(SetRGB(J369,G369*255,H369*255,I369*255),"HOVER!")</f>
        <v>HOVER!</v>
      </c>
      <c r="K369">
        <f t="shared" si="10"/>
        <v>0.4</v>
      </c>
    </row>
    <row r="370" spans="1:11" x14ac:dyDescent="0.3">
      <c r="A370">
        <f>LOOKUP(9E+307,--MID(D370,1,{1,2,3,4,5}))</f>
        <v>2.5</v>
      </c>
      <c r="B370">
        <f>VLOOKUP(MID(D370,LOOKUP(2,1/ISNUMBER(-MID(D370,1,{1,2,3,4,5})),{1,2,3,4,5})+1,9),'Hue codes'!$A$1:$B$10,2,FALSE)</f>
        <v>0</v>
      </c>
      <c r="C370">
        <f t="shared" si="11"/>
        <v>2.5</v>
      </c>
      <c r="D370" s="162" t="s">
        <v>21</v>
      </c>
      <c r="E370" s="162">
        <v>4</v>
      </c>
      <c r="F370" s="162">
        <v>12</v>
      </c>
      <c r="G370" s="164">
        <v>0.70050000000000001</v>
      </c>
      <c r="H370" s="164">
        <v>0.1779</v>
      </c>
      <c r="I370" s="164">
        <v>0.29120000000000001</v>
      </c>
      <c r="J370" s="1" t="str">
        <f>HYPERLINK(SetRGB(J370,G370*255,H370*255,I370*255),"HOVER!")</f>
        <v>HOVER!</v>
      </c>
      <c r="K370">
        <f t="shared" si="10"/>
        <v>0.33333333333333331</v>
      </c>
    </row>
    <row r="371" spans="1:11" x14ac:dyDescent="0.3">
      <c r="A371">
        <f>LOOKUP(9E+307,--MID(D371,1,{1,2,3,4,5}))</f>
        <v>2.5</v>
      </c>
      <c r="B371">
        <f>VLOOKUP(MID(D371,LOOKUP(2,1/ISNUMBER(-MID(D371,1,{1,2,3,4,5})),{1,2,3,4,5})+1,9),'Hue codes'!$A$1:$B$10,2,FALSE)</f>
        <v>0</v>
      </c>
      <c r="C371">
        <f t="shared" si="11"/>
        <v>2.5</v>
      </c>
      <c r="D371" s="162" t="s">
        <v>21</v>
      </c>
      <c r="E371" s="162">
        <v>4</v>
      </c>
      <c r="F371" s="162">
        <v>14</v>
      </c>
      <c r="G371" s="164">
        <v>0.74460000000000004</v>
      </c>
      <c r="H371" s="164">
        <v>8.2299999999999998E-2</v>
      </c>
      <c r="I371" s="164">
        <v>0.28029999999999999</v>
      </c>
      <c r="J371" s="187" t="str">
        <f>HYPERLINK(SetRGB(J371,G371*255,H371*255,I371*255),"HOVER!")</f>
        <v>HOVER!</v>
      </c>
      <c r="K371">
        <f t="shared" si="10"/>
        <v>0.2857142857142857</v>
      </c>
    </row>
    <row r="372" spans="1:11" x14ac:dyDescent="0.3">
      <c r="A372">
        <f>LOOKUP(9E+307,--MID(D372,1,{1,2,3,4,5}))</f>
        <v>5</v>
      </c>
      <c r="B372">
        <f>VLOOKUP(MID(D372,LOOKUP(2,1/ISNUMBER(-MID(D372,1,{1,2,3,4,5})),{1,2,3,4,5})+1,9),'Hue codes'!$A$1:$B$10,2,FALSE)</f>
        <v>0</v>
      </c>
      <c r="C372">
        <f t="shared" si="11"/>
        <v>5</v>
      </c>
      <c r="D372" s="162" t="s">
        <v>22</v>
      </c>
      <c r="E372" s="162">
        <v>4</v>
      </c>
      <c r="F372" s="162">
        <v>2</v>
      </c>
      <c r="G372" s="164">
        <v>0.45429999999999998</v>
      </c>
      <c r="H372" s="164">
        <v>0.35849999999999999</v>
      </c>
      <c r="I372" s="164">
        <v>0.3538</v>
      </c>
      <c r="J372" s="202" t="str">
        <f>HYPERLINK(SetRGB(J372,G372*255,H372*255,I372*255),"HOVER!")</f>
        <v>HOVER!</v>
      </c>
      <c r="K372">
        <f t="shared" si="10"/>
        <v>2</v>
      </c>
    </row>
    <row r="373" spans="1:11" x14ac:dyDescent="0.3">
      <c r="A373">
        <f>LOOKUP(9E+307,--MID(D373,1,{1,2,3,4,5}))</f>
        <v>5</v>
      </c>
      <c r="B373">
        <f>VLOOKUP(MID(D373,LOOKUP(2,1/ISNUMBER(-MID(D373,1,{1,2,3,4,5})),{1,2,3,4,5})+1,9),'Hue codes'!$A$1:$B$10,2,FALSE)</f>
        <v>0</v>
      </c>
      <c r="C373">
        <f t="shared" si="11"/>
        <v>5</v>
      </c>
      <c r="D373" s="162" t="s">
        <v>22</v>
      </c>
      <c r="E373" s="162">
        <v>4</v>
      </c>
      <c r="F373" s="162">
        <v>4</v>
      </c>
      <c r="G373" s="164">
        <v>0.51559999999999995</v>
      </c>
      <c r="H373" s="164">
        <v>0.33339999999999997</v>
      </c>
      <c r="I373" s="164">
        <v>0.3266</v>
      </c>
      <c r="J373" s="247" t="str">
        <f>HYPERLINK(SetRGB(J373,G373*255,H373*255,I373*255),"HOVER!")</f>
        <v>HOVER!</v>
      </c>
      <c r="K373">
        <f t="shared" si="10"/>
        <v>1</v>
      </c>
    </row>
    <row r="374" spans="1:11" x14ac:dyDescent="0.3">
      <c r="A374">
        <f>LOOKUP(9E+307,--MID(D374,1,{1,2,3,4,5}))</f>
        <v>5</v>
      </c>
      <c r="B374">
        <f>VLOOKUP(MID(D374,LOOKUP(2,1/ISNUMBER(-MID(D374,1,{1,2,3,4,5})),{1,2,3,4,5})+1,9),'Hue codes'!$A$1:$B$10,2,FALSE)</f>
        <v>0</v>
      </c>
      <c r="C374">
        <f t="shared" si="11"/>
        <v>5</v>
      </c>
      <c r="D374" s="162" t="s">
        <v>22</v>
      </c>
      <c r="E374" s="162">
        <v>4</v>
      </c>
      <c r="F374" s="162">
        <v>6</v>
      </c>
      <c r="G374" s="164">
        <v>0.56740000000000002</v>
      </c>
      <c r="H374" s="164">
        <v>0.30620000000000003</v>
      </c>
      <c r="I374" s="164">
        <v>0.30109999999999998</v>
      </c>
      <c r="J374" s="38" t="str">
        <f>HYPERLINK(SetRGB(J374,G374*255,H374*255,I374*255),"HOVER!")</f>
        <v>HOVER!</v>
      </c>
      <c r="K374">
        <f t="shared" si="10"/>
        <v>0.66666666666666663</v>
      </c>
    </row>
    <row r="375" spans="1:11" x14ac:dyDescent="0.3">
      <c r="A375">
        <f>LOOKUP(9E+307,--MID(D375,1,{1,2,3,4,5}))</f>
        <v>5</v>
      </c>
      <c r="B375">
        <f>VLOOKUP(MID(D375,LOOKUP(2,1/ISNUMBER(-MID(D375,1,{1,2,3,4,5})),{1,2,3,4,5})+1,9),'Hue codes'!$A$1:$B$10,2,FALSE)</f>
        <v>0</v>
      </c>
      <c r="C375">
        <f t="shared" si="11"/>
        <v>5</v>
      </c>
      <c r="D375" s="162" t="s">
        <v>22</v>
      </c>
      <c r="E375" s="162">
        <v>4</v>
      </c>
      <c r="F375" s="162">
        <v>8</v>
      </c>
      <c r="G375" s="164">
        <v>0.61699999999999999</v>
      </c>
      <c r="H375" s="164">
        <v>0.27300000000000002</v>
      </c>
      <c r="I375" s="164">
        <v>0.2752</v>
      </c>
      <c r="J375" s="71" t="str">
        <f>HYPERLINK(SetRGB(J375,G375*255,H375*255,I375*255),"HOVER!")</f>
        <v>HOVER!</v>
      </c>
      <c r="K375">
        <f t="shared" ref="K375:K438" si="12">E375/F375</f>
        <v>0.5</v>
      </c>
    </row>
    <row r="376" spans="1:11" x14ac:dyDescent="0.3">
      <c r="A376">
        <f>LOOKUP(9E+307,--MID(D376,1,{1,2,3,4,5}))</f>
        <v>5</v>
      </c>
      <c r="B376">
        <f>VLOOKUP(MID(D376,LOOKUP(2,1/ISNUMBER(-MID(D376,1,{1,2,3,4,5})),{1,2,3,4,5})+1,9),'Hue codes'!$A$1:$B$10,2,FALSE)</f>
        <v>0</v>
      </c>
      <c r="C376">
        <f t="shared" si="11"/>
        <v>5</v>
      </c>
      <c r="D376" s="162" t="s">
        <v>22</v>
      </c>
      <c r="E376" s="162">
        <v>4</v>
      </c>
      <c r="F376" s="162">
        <v>10</v>
      </c>
      <c r="G376" s="164">
        <v>0.6603</v>
      </c>
      <c r="H376" s="164">
        <v>0.23530000000000001</v>
      </c>
      <c r="I376" s="164">
        <v>0.25140000000000001</v>
      </c>
      <c r="J376" s="70" t="str">
        <f>HYPERLINK(SetRGB(J376,G376*255,H376*255,I376*255),"HOVER!")</f>
        <v>HOVER!</v>
      </c>
      <c r="K376">
        <f t="shared" si="12"/>
        <v>0.4</v>
      </c>
    </row>
    <row r="377" spans="1:11" x14ac:dyDescent="0.3">
      <c r="A377">
        <f>LOOKUP(9E+307,--MID(D377,1,{1,2,3,4,5}))</f>
        <v>5</v>
      </c>
      <c r="B377">
        <f>VLOOKUP(MID(D377,LOOKUP(2,1/ISNUMBER(-MID(D377,1,{1,2,3,4,5})),{1,2,3,4,5})+1,9),'Hue codes'!$A$1:$B$10,2,FALSE)</f>
        <v>0</v>
      </c>
      <c r="C377">
        <f t="shared" si="11"/>
        <v>5</v>
      </c>
      <c r="D377" s="162" t="s">
        <v>22</v>
      </c>
      <c r="E377" s="162">
        <v>4</v>
      </c>
      <c r="F377" s="162">
        <v>12</v>
      </c>
      <c r="G377" s="164">
        <v>0.70179999999999998</v>
      </c>
      <c r="H377" s="164">
        <v>0.18640000000000001</v>
      </c>
      <c r="I377" s="164">
        <v>0.22739999999999999</v>
      </c>
      <c r="J377" s="78" t="str">
        <f>HYPERLINK(SetRGB(J377,G377*255,H377*255,I377*255),"HOVER!")</f>
        <v>HOVER!</v>
      </c>
      <c r="K377">
        <f t="shared" si="12"/>
        <v>0.33333333333333331</v>
      </c>
    </row>
    <row r="378" spans="1:11" x14ac:dyDescent="0.3">
      <c r="A378">
        <f>LOOKUP(9E+307,--MID(D378,1,{1,2,3,4,5}))</f>
        <v>5</v>
      </c>
      <c r="B378">
        <f>VLOOKUP(MID(D378,LOOKUP(2,1/ISNUMBER(-MID(D378,1,{1,2,3,4,5})),{1,2,3,4,5})+1,9),'Hue codes'!$A$1:$B$10,2,FALSE)</f>
        <v>0</v>
      </c>
      <c r="C378">
        <f t="shared" si="11"/>
        <v>5</v>
      </c>
      <c r="D378" s="162" t="s">
        <v>22</v>
      </c>
      <c r="E378" s="162">
        <v>4</v>
      </c>
      <c r="F378" s="162">
        <v>14</v>
      </c>
      <c r="G378" s="164">
        <v>0.74550000000000005</v>
      </c>
      <c r="H378" s="164">
        <v>0.1022</v>
      </c>
      <c r="I378" s="164">
        <v>0.2031</v>
      </c>
      <c r="J378" s="77" t="str">
        <f>HYPERLINK(SetRGB(J378,G378*255,H378*255,I378*255),"HOVER!")</f>
        <v>HOVER!</v>
      </c>
      <c r="K378">
        <f t="shared" si="12"/>
        <v>0.2857142857142857</v>
      </c>
    </row>
    <row r="379" spans="1:11" x14ac:dyDescent="0.3">
      <c r="A379">
        <f>LOOKUP(9E+307,--MID(D379,1,{1,2,3,4,5}))</f>
        <v>7.5</v>
      </c>
      <c r="B379">
        <f>VLOOKUP(MID(D379,LOOKUP(2,1/ISNUMBER(-MID(D379,1,{1,2,3,4,5})),{1,2,3,4,5})+1,9),'Hue codes'!$A$1:$B$10,2,FALSE)</f>
        <v>0</v>
      </c>
      <c r="C379">
        <f t="shared" si="11"/>
        <v>7.5</v>
      </c>
      <c r="D379" s="162" t="s">
        <v>23</v>
      </c>
      <c r="E379" s="162">
        <v>4</v>
      </c>
      <c r="F379" s="162">
        <v>2</v>
      </c>
      <c r="G379" s="164">
        <v>0.45519999999999999</v>
      </c>
      <c r="H379" s="164">
        <v>0.35880000000000001</v>
      </c>
      <c r="I379" s="164">
        <v>0.34749999999999998</v>
      </c>
      <c r="J379" s="76" t="str">
        <f>HYPERLINK(SetRGB(J379,G379*255,H379*255,I379*255),"HOVER!")</f>
        <v>HOVER!</v>
      </c>
      <c r="K379">
        <f t="shared" si="12"/>
        <v>2</v>
      </c>
    </row>
    <row r="380" spans="1:11" x14ac:dyDescent="0.3">
      <c r="A380">
        <f>LOOKUP(9E+307,--MID(D380,1,{1,2,3,4,5}))</f>
        <v>7.5</v>
      </c>
      <c r="B380">
        <f>VLOOKUP(MID(D380,LOOKUP(2,1/ISNUMBER(-MID(D380,1,{1,2,3,4,5})),{1,2,3,4,5})+1,9),'Hue codes'!$A$1:$B$10,2,FALSE)</f>
        <v>0</v>
      </c>
      <c r="C380">
        <f t="shared" si="11"/>
        <v>7.5</v>
      </c>
      <c r="D380" s="162" t="s">
        <v>23</v>
      </c>
      <c r="E380" s="162">
        <v>4</v>
      </c>
      <c r="F380" s="162">
        <v>4</v>
      </c>
      <c r="G380" s="164">
        <v>0.51729999999999998</v>
      </c>
      <c r="H380" s="164">
        <v>0.33400000000000002</v>
      </c>
      <c r="I380" s="164">
        <v>0.31190000000000001</v>
      </c>
      <c r="J380" s="1" t="str">
        <f>HYPERLINK(SetRGB(J380,G380*255,H380*255,I380*255),"HOVER!")</f>
        <v>HOVER!</v>
      </c>
      <c r="K380">
        <f t="shared" si="12"/>
        <v>1</v>
      </c>
    </row>
    <row r="381" spans="1:11" x14ac:dyDescent="0.3">
      <c r="A381">
        <f>LOOKUP(9E+307,--MID(D381,1,{1,2,3,4,5}))</f>
        <v>7.5</v>
      </c>
      <c r="B381">
        <f>VLOOKUP(MID(D381,LOOKUP(2,1/ISNUMBER(-MID(D381,1,{1,2,3,4,5})),{1,2,3,4,5})+1,9),'Hue codes'!$A$1:$B$10,2,FALSE)</f>
        <v>0</v>
      </c>
      <c r="C381">
        <f t="shared" si="11"/>
        <v>7.5</v>
      </c>
      <c r="D381" s="162" t="s">
        <v>23</v>
      </c>
      <c r="E381" s="162">
        <v>4</v>
      </c>
      <c r="F381" s="162">
        <v>6</v>
      </c>
      <c r="G381" s="164">
        <v>0.56869999999999998</v>
      </c>
      <c r="H381" s="164">
        <v>0.30780000000000002</v>
      </c>
      <c r="I381" s="164">
        <v>0.27760000000000001</v>
      </c>
      <c r="J381" s="1" t="str">
        <f>HYPERLINK(SetRGB(J381,G381*255,H381*255,I381*255),"HOVER!")</f>
        <v>HOVER!</v>
      </c>
      <c r="K381">
        <f t="shared" si="12"/>
        <v>0.66666666666666663</v>
      </c>
    </row>
    <row r="382" spans="1:11" x14ac:dyDescent="0.3">
      <c r="A382">
        <f>LOOKUP(9E+307,--MID(D382,1,{1,2,3,4,5}))</f>
        <v>7.5</v>
      </c>
      <c r="B382">
        <f>VLOOKUP(MID(D382,LOOKUP(2,1/ISNUMBER(-MID(D382,1,{1,2,3,4,5})),{1,2,3,4,5})+1,9),'Hue codes'!$A$1:$B$10,2,FALSE)</f>
        <v>0</v>
      </c>
      <c r="C382">
        <f t="shared" si="11"/>
        <v>7.5</v>
      </c>
      <c r="D382" s="162" t="s">
        <v>23</v>
      </c>
      <c r="E382" s="162">
        <v>4</v>
      </c>
      <c r="F382" s="162">
        <v>8</v>
      </c>
      <c r="G382" s="164">
        <v>0.61719999999999997</v>
      </c>
      <c r="H382" s="164">
        <v>0.27629999999999999</v>
      </c>
      <c r="I382" s="164">
        <v>0.24060000000000001</v>
      </c>
      <c r="J382" s="1" t="str">
        <f>HYPERLINK(SetRGB(J382,G382*255,H382*255,I382*255),"HOVER!")</f>
        <v>HOVER!</v>
      </c>
      <c r="K382">
        <f t="shared" si="12"/>
        <v>0.5</v>
      </c>
    </row>
    <row r="383" spans="1:11" x14ac:dyDescent="0.3">
      <c r="A383">
        <f>LOOKUP(9E+307,--MID(D383,1,{1,2,3,4,5}))</f>
        <v>7.5</v>
      </c>
      <c r="B383">
        <f>VLOOKUP(MID(D383,LOOKUP(2,1/ISNUMBER(-MID(D383,1,{1,2,3,4,5})),{1,2,3,4,5})+1,9),'Hue codes'!$A$1:$B$10,2,FALSE)</f>
        <v>0</v>
      </c>
      <c r="C383">
        <f t="shared" si="11"/>
        <v>7.5</v>
      </c>
      <c r="D383" s="162" t="s">
        <v>23</v>
      </c>
      <c r="E383" s="162">
        <v>4</v>
      </c>
      <c r="F383" s="162">
        <v>10</v>
      </c>
      <c r="G383" s="164">
        <v>0.65900000000000003</v>
      </c>
      <c r="H383" s="164">
        <v>0.24149999999999999</v>
      </c>
      <c r="I383" s="164">
        <v>0.20599999999999999</v>
      </c>
      <c r="J383" s="1" t="str">
        <f>HYPERLINK(SetRGB(J383,G383*255,H383*255,I383*255),"HOVER!")</f>
        <v>HOVER!</v>
      </c>
      <c r="K383">
        <f t="shared" si="12"/>
        <v>0.4</v>
      </c>
    </row>
    <row r="384" spans="1:11" x14ac:dyDescent="0.3">
      <c r="A384">
        <f>LOOKUP(9E+307,--MID(D384,1,{1,2,3,4,5}))</f>
        <v>7.5</v>
      </c>
      <c r="B384">
        <f>VLOOKUP(MID(D384,LOOKUP(2,1/ISNUMBER(-MID(D384,1,{1,2,3,4,5})),{1,2,3,4,5})+1,9),'Hue codes'!$A$1:$B$10,2,FALSE)</f>
        <v>0</v>
      </c>
      <c r="C384">
        <f t="shared" si="11"/>
        <v>7.5</v>
      </c>
      <c r="D384" s="162" t="s">
        <v>23</v>
      </c>
      <c r="E384" s="162">
        <v>4</v>
      </c>
      <c r="F384" s="162">
        <v>12</v>
      </c>
      <c r="G384" s="164">
        <v>0.69879999999999998</v>
      </c>
      <c r="H384" s="164">
        <v>0.19739999999999999</v>
      </c>
      <c r="I384" s="164">
        <v>0.1696</v>
      </c>
      <c r="J384" s="1" t="str">
        <f>HYPERLINK(SetRGB(J384,G384*255,H384*255,I384*255),"HOVER!")</f>
        <v>HOVER!</v>
      </c>
      <c r="K384">
        <f t="shared" si="12"/>
        <v>0.33333333333333331</v>
      </c>
    </row>
    <row r="385" spans="1:11" x14ac:dyDescent="0.3">
      <c r="A385">
        <f>LOOKUP(9E+307,--MID(D385,1,{1,2,3,4,5}))</f>
        <v>7.5</v>
      </c>
      <c r="B385">
        <f>VLOOKUP(MID(D385,LOOKUP(2,1/ISNUMBER(-MID(D385,1,{1,2,3,4,5})),{1,2,3,4,5})+1,9),'Hue codes'!$A$1:$B$10,2,FALSE)</f>
        <v>0</v>
      </c>
      <c r="C385">
        <f t="shared" si="11"/>
        <v>7.5</v>
      </c>
      <c r="D385" s="162" t="s">
        <v>23</v>
      </c>
      <c r="E385" s="162">
        <v>4</v>
      </c>
      <c r="F385" s="162">
        <v>14</v>
      </c>
      <c r="G385" s="164">
        <v>0.73819999999999997</v>
      </c>
      <c r="H385" s="164">
        <v>0.13239999999999999</v>
      </c>
      <c r="I385" s="164">
        <v>0.12870000000000001</v>
      </c>
      <c r="J385" s="1" t="str">
        <f>HYPERLINK(SetRGB(J385,G385*255,H385*255,I385*255),"HOVER!")</f>
        <v>HOVER!</v>
      </c>
      <c r="K385">
        <f t="shared" si="12"/>
        <v>0.2857142857142857</v>
      </c>
    </row>
    <row r="386" spans="1:11" x14ac:dyDescent="0.3">
      <c r="A386">
        <f>LOOKUP(9E+307,--MID(D386,1,{1,2,3,4,5}))</f>
        <v>10</v>
      </c>
      <c r="B386">
        <f>VLOOKUP(MID(D386,LOOKUP(2,1/ISNUMBER(-MID(D386,1,{1,2,3,4,5})),{1,2,3,4,5})+1,9),'Hue codes'!$A$1:$B$10,2,FALSE)</f>
        <v>0</v>
      </c>
      <c r="C386">
        <f t="shared" si="11"/>
        <v>10</v>
      </c>
      <c r="D386" s="162" t="s">
        <v>24</v>
      </c>
      <c r="E386" s="162">
        <v>4</v>
      </c>
      <c r="F386" s="162">
        <v>2</v>
      </c>
      <c r="G386" s="164">
        <v>0.45590000000000003</v>
      </c>
      <c r="H386" s="164">
        <v>0.35949999999999999</v>
      </c>
      <c r="I386" s="164">
        <v>0.3377</v>
      </c>
      <c r="J386" s="1" t="str">
        <f>HYPERLINK(SetRGB(J386,G386*255,H386*255,I386*255),"HOVER!")</f>
        <v>HOVER!</v>
      </c>
      <c r="K386">
        <f t="shared" si="12"/>
        <v>2</v>
      </c>
    </row>
    <row r="387" spans="1:11" x14ac:dyDescent="0.3">
      <c r="A387">
        <f>LOOKUP(9E+307,--MID(D387,1,{1,2,3,4,5}))</f>
        <v>10</v>
      </c>
      <c r="B387">
        <f>VLOOKUP(MID(D387,LOOKUP(2,1/ISNUMBER(-MID(D387,1,{1,2,3,4,5})),{1,2,3,4,5})+1,9),'Hue codes'!$A$1:$B$10,2,FALSE)</f>
        <v>0</v>
      </c>
      <c r="C387">
        <f t="shared" ref="C387:C450" si="13">IF(A387+B387=100,0,A387+B387)</f>
        <v>10</v>
      </c>
      <c r="D387" s="162" t="s">
        <v>24</v>
      </c>
      <c r="E387" s="162">
        <v>4</v>
      </c>
      <c r="F387" s="162">
        <v>4</v>
      </c>
      <c r="G387" s="164">
        <v>0.51700000000000002</v>
      </c>
      <c r="H387" s="164">
        <v>0.3362</v>
      </c>
      <c r="I387" s="164">
        <v>0.29160000000000003</v>
      </c>
      <c r="J387" s="1" t="str">
        <f>HYPERLINK(SetRGB(J387,G387*255,H387*255,I387*255),"HOVER!")</f>
        <v>HOVER!</v>
      </c>
      <c r="K387">
        <f t="shared" si="12"/>
        <v>1</v>
      </c>
    </row>
    <row r="388" spans="1:11" x14ac:dyDescent="0.3">
      <c r="A388">
        <f>LOOKUP(9E+307,--MID(D388,1,{1,2,3,4,5}))</f>
        <v>10</v>
      </c>
      <c r="B388">
        <f>VLOOKUP(MID(D388,LOOKUP(2,1/ISNUMBER(-MID(D388,1,{1,2,3,4,5})),{1,2,3,4,5})+1,9),'Hue codes'!$A$1:$B$10,2,FALSE)</f>
        <v>0</v>
      </c>
      <c r="C388">
        <f t="shared" si="13"/>
        <v>10</v>
      </c>
      <c r="D388" s="162" t="s">
        <v>24</v>
      </c>
      <c r="E388" s="162">
        <v>4</v>
      </c>
      <c r="F388" s="162">
        <v>6</v>
      </c>
      <c r="G388" s="164">
        <v>0.56530000000000002</v>
      </c>
      <c r="H388" s="164">
        <v>0.31269999999999998</v>
      </c>
      <c r="I388" s="164">
        <v>0.2465</v>
      </c>
      <c r="J388" s="1" t="str">
        <f>HYPERLINK(SetRGB(J388,G388*255,H388*255,I388*255),"HOVER!")</f>
        <v>HOVER!</v>
      </c>
      <c r="K388">
        <f t="shared" si="12"/>
        <v>0.66666666666666663</v>
      </c>
    </row>
    <row r="389" spans="1:11" x14ac:dyDescent="0.3">
      <c r="A389">
        <f>LOOKUP(9E+307,--MID(D389,1,{1,2,3,4,5}))</f>
        <v>10</v>
      </c>
      <c r="B389">
        <f>VLOOKUP(MID(D389,LOOKUP(2,1/ISNUMBER(-MID(D389,1,{1,2,3,4,5})),{1,2,3,4,5})+1,9),'Hue codes'!$A$1:$B$10,2,FALSE)</f>
        <v>0</v>
      </c>
      <c r="C389">
        <f t="shared" si="13"/>
        <v>10</v>
      </c>
      <c r="D389" s="162" t="s">
        <v>24</v>
      </c>
      <c r="E389" s="162">
        <v>4</v>
      </c>
      <c r="F389" s="162">
        <v>8</v>
      </c>
      <c r="G389" s="164">
        <v>0.61060000000000003</v>
      </c>
      <c r="H389" s="164">
        <v>0.28520000000000001</v>
      </c>
      <c r="I389" s="164">
        <v>0.19700000000000001</v>
      </c>
      <c r="J389" s="1" t="str">
        <f>HYPERLINK(SetRGB(J389,G389*255,H389*255,I389*255),"HOVER!")</f>
        <v>HOVER!</v>
      </c>
      <c r="K389">
        <f t="shared" si="12"/>
        <v>0.5</v>
      </c>
    </row>
    <row r="390" spans="1:11" x14ac:dyDescent="0.3">
      <c r="A390">
        <f>LOOKUP(9E+307,--MID(D390,1,{1,2,3,4,5}))</f>
        <v>10</v>
      </c>
      <c r="B390">
        <f>VLOOKUP(MID(D390,LOOKUP(2,1/ISNUMBER(-MID(D390,1,{1,2,3,4,5})),{1,2,3,4,5})+1,9),'Hue codes'!$A$1:$B$10,2,FALSE)</f>
        <v>0</v>
      </c>
      <c r="C390">
        <f t="shared" si="13"/>
        <v>10</v>
      </c>
      <c r="D390" s="162" t="s">
        <v>24</v>
      </c>
      <c r="E390" s="162">
        <v>4</v>
      </c>
      <c r="F390" s="162">
        <v>10</v>
      </c>
      <c r="G390" s="164">
        <v>0.65080000000000005</v>
      </c>
      <c r="H390" s="164">
        <v>0.25419999999999998</v>
      </c>
      <c r="I390" s="164">
        <v>0.1431</v>
      </c>
      <c r="J390" s="1" t="str">
        <f>HYPERLINK(SetRGB(J390,G390*255,H390*255,I390*255),"HOVER!")</f>
        <v>HOVER!</v>
      </c>
      <c r="K390">
        <f t="shared" si="12"/>
        <v>0.4</v>
      </c>
    </row>
    <row r="391" spans="1:11" x14ac:dyDescent="0.3">
      <c r="A391">
        <f>LOOKUP(9E+307,--MID(D391,1,{1,2,3,4,5}))</f>
        <v>10</v>
      </c>
      <c r="B391">
        <f>VLOOKUP(MID(D391,LOOKUP(2,1/ISNUMBER(-MID(D391,1,{1,2,3,4,5})),{1,2,3,4,5})+1,9),'Hue codes'!$A$1:$B$10,2,FALSE)</f>
        <v>0</v>
      </c>
      <c r="C391">
        <f t="shared" si="13"/>
        <v>10</v>
      </c>
      <c r="D391" s="162" t="s">
        <v>24</v>
      </c>
      <c r="E391" s="162">
        <v>4</v>
      </c>
      <c r="F391" s="162">
        <v>12</v>
      </c>
      <c r="G391" s="164">
        <v>0.68569999999999998</v>
      </c>
      <c r="H391" s="164">
        <v>0.22040000000000001</v>
      </c>
      <c r="I391" s="164">
        <v>6.9699999999999998E-2</v>
      </c>
      <c r="J391" s="1" t="str">
        <f>HYPERLINK(SetRGB(J391,G391*255,H391*255,I391*255),"HOVER!")</f>
        <v>HOVER!</v>
      </c>
      <c r="K391">
        <f t="shared" si="12"/>
        <v>0.33333333333333331</v>
      </c>
    </row>
    <row r="392" spans="1:11" x14ac:dyDescent="0.3">
      <c r="A392">
        <f>LOOKUP(9E+307,--MID(D392,1,{1,2,3,4,5}))</f>
        <v>2.5</v>
      </c>
      <c r="B392">
        <f>VLOOKUP(MID(D392,LOOKUP(2,1/ISNUMBER(-MID(D392,1,{1,2,3,4,5})),{1,2,3,4,5})+1,9),'Hue codes'!$A$1:$B$10,2,FALSE)</f>
        <v>10</v>
      </c>
      <c r="C392">
        <f t="shared" si="13"/>
        <v>12.5</v>
      </c>
      <c r="D392" s="162" t="s">
        <v>25</v>
      </c>
      <c r="E392" s="162">
        <v>4</v>
      </c>
      <c r="F392" s="162">
        <v>2</v>
      </c>
      <c r="G392" s="164">
        <v>0.4546</v>
      </c>
      <c r="H392" s="164">
        <v>0.36120000000000002</v>
      </c>
      <c r="I392" s="164">
        <v>0.3261</v>
      </c>
      <c r="J392" s="1" t="str">
        <f>HYPERLINK(SetRGB(J392,G392*255,H392*255,I392*255),"HOVER!")</f>
        <v>HOVER!</v>
      </c>
      <c r="K392">
        <f t="shared" si="12"/>
        <v>2</v>
      </c>
    </row>
    <row r="393" spans="1:11" x14ac:dyDescent="0.3">
      <c r="A393">
        <f>LOOKUP(9E+307,--MID(D393,1,{1,2,3,4,5}))</f>
        <v>2.5</v>
      </c>
      <c r="B393">
        <f>VLOOKUP(MID(D393,LOOKUP(2,1/ISNUMBER(-MID(D393,1,{1,2,3,4,5})),{1,2,3,4,5})+1,9),'Hue codes'!$A$1:$B$10,2,FALSE)</f>
        <v>10</v>
      </c>
      <c r="C393">
        <f t="shared" si="13"/>
        <v>12.5</v>
      </c>
      <c r="D393" s="162" t="s">
        <v>25</v>
      </c>
      <c r="E393" s="162">
        <v>4</v>
      </c>
      <c r="F393" s="162">
        <v>4</v>
      </c>
      <c r="G393" s="164">
        <v>0.51170000000000004</v>
      </c>
      <c r="H393" s="164">
        <v>0.3407</v>
      </c>
      <c r="I393" s="164">
        <v>0.27089999999999997</v>
      </c>
      <c r="J393" s="1" t="str">
        <f>HYPERLINK(SetRGB(J393,G393*255,H393*255,I393*255),"HOVER!")</f>
        <v>HOVER!</v>
      </c>
      <c r="K393">
        <f t="shared" si="12"/>
        <v>1</v>
      </c>
    </row>
    <row r="394" spans="1:11" x14ac:dyDescent="0.3">
      <c r="A394">
        <f>LOOKUP(9E+307,--MID(D394,1,{1,2,3,4,5}))</f>
        <v>2.5</v>
      </c>
      <c r="B394">
        <f>VLOOKUP(MID(D394,LOOKUP(2,1/ISNUMBER(-MID(D394,1,{1,2,3,4,5})),{1,2,3,4,5})+1,9),'Hue codes'!$A$1:$B$10,2,FALSE)</f>
        <v>10</v>
      </c>
      <c r="C394">
        <f t="shared" si="13"/>
        <v>12.5</v>
      </c>
      <c r="D394" s="162" t="s">
        <v>25</v>
      </c>
      <c r="E394" s="162">
        <v>4</v>
      </c>
      <c r="F394" s="162">
        <v>6</v>
      </c>
      <c r="G394" s="164">
        <v>0.55589999999999995</v>
      </c>
      <c r="H394" s="164">
        <v>0.32090000000000002</v>
      </c>
      <c r="I394" s="164">
        <v>0.21540000000000001</v>
      </c>
      <c r="J394" s="1" t="str">
        <f>HYPERLINK(SetRGB(J394,G394*255,H394*255,I394*255),"HOVER!")</f>
        <v>HOVER!</v>
      </c>
      <c r="K394">
        <f t="shared" si="12"/>
        <v>0.66666666666666663</v>
      </c>
    </row>
    <row r="395" spans="1:11" x14ac:dyDescent="0.3">
      <c r="A395">
        <f>LOOKUP(9E+307,--MID(D395,1,{1,2,3,4,5}))</f>
        <v>2.5</v>
      </c>
      <c r="B395">
        <f>VLOOKUP(MID(D395,LOOKUP(2,1/ISNUMBER(-MID(D395,1,{1,2,3,4,5})),{1,2,3,4,5})+1,9),'Hue codes'!$A$1:$B$10,2,FALSE)</f>
        <v>10</v>
      </c>
      <c r="C395">
        <f t="shared" si="13"/>
        <v>12.5</v>
      </c>
      <c r="D395" s="162" t="s">
        <v>25</v>
      </c>
      <c r="E395" s="162">
        <v>4</v>
      </c>
      <c r="F395" s="162">
        <v>8</v>
      </c>
      <c r="G395" s="164">
        <v>0.59530000000000005</v>
      </c>
      <c r="H395" s="164">
        <v>0.29930000000000001</v>
      </c>
      <c r="I395" s="164">
        <v>0.15090000000000001</v>
      </c>
      <c r="J395" s="1" t="str">
        <f>HYPERLINK(SetRGB(J395,G395*255,H395*255,I395*255),"HOVER!")</f>
        <v>HOVER!</v>
      </c>
      <c r="K395">
        <f t="shared" si="12"/>
        <v>0.5</v>
      </c>
    </row>
    <row r="396" spans="1:11" x14ac:dyDescent="0.3">
      <c r="A396">
        <f>LOOKUP(9E+307,--MID(D396,1,{1,2,3,4,5}))</f>
        <v>2.5</v>
      </c>
      <c r="B396">
        <f>VLOOKUP(MID(D396,LOOKUP(2,1/ISNUMBER(-MID(D396,1,{1,2,3,4,5})),{1,2,3,4,5})+1,9),'Hue codes'!$A$1:$B$10,2,FALSE)</f>
        <v>10</v>
      </c>
      <c r="C396">
        <f t="shared" si="13"/>
        <v>12.5</v>
      </c>
      <c r="D396" s="162" t="s">
        <v>25</v>
      </c>
      <c r="E396" s="162">
        <v>4</v>
      </c>
      <c r="F396" s="162">
        <v>10</v>
      </c>
      <c r="G396" s="164">
        <v>0.627</v>
      </c>
      <c r="H396" s="164">
        <v>0.2787</v>
      </c>
      <c r="I396" s="164">
        <v>6.0699999999999997E-2</v>
      </c>
      <c r="J396" s="1" t="str">
        <f>HYPERLINK(SetRGB(J396,G396*255,H396*255,I396*255),"HOVER!")</f>
        <v>HOVER!</v>
      </c>
      <c r="K396">
        <f t="shared" si="12"/>
        <v>0.4</v>
      </c>
    </row>
    <row r="397" spans="1:11" x14ac:dyDescent="0.3">
      <c r="A397">
        <f>LOOKUP(9E+307,--MID(D397,1,{1,2,3,4,5}))</f>
        <v>5</v>
      </c>
      <c r="B397">
        <f>VLOOKUP(MID(D397,LOOKUP(2,1/ISNUMBER(-MID(D397,1,{1,2,3,4,5})),{1,2,3,4,5})+1,9),'Hue codes'!$A$1:$B$10,2,FALSE)</f>
        <v>10</v>
      </c>
      <c r="C397">
        <f t="shared" si="13"/>
        <v>15</v>
      </c>
      <c r="D397" s="162" t="s">
        <v>26</v>
      </c>
      <c r="E397" s="162">
        <v>4</v>
      </c>
      <c r="F397" s="162">
        <v>2</v>
      </c>
      <c r="G397" s="164">
        <v>0.45069999999999999</v>
      </c>
      <c r="H397" s="164">
        <v>0.36380000000000001</v>
      </c>
      <c r="I397" s="164">
        <v>0.31519999999999998</v>
      </c>
      <c r="J397" s="1" t="str">
        <f>HYPERLINK(SetRGB(J397,G397*255,H397*255,I397*255),"HOVER!")</f>
        <v>HOVER!</v>
      </c>
      <c r="K397">
        <f t="shared" si="12"/>
        <v>2</v>
      </c>
    </row>
    <row r="398" spans="1:11" x14ac:dyDescent="0.3">
      <c r="A398">
        <f>LOOKUP(9E+307,--MID(D398,1,{1,2,3,4,5}))</f>
        <v>5</v>
      </c>
      <c r="B398">
        <f>VLOOKUP(MID(D398,LOOKUP(2,1/ISNUMBER(-MID(D398,1,{1,2,3,4,5})),{1,2,3,4,5})+1,9),'Hue codes'!$A$1:$B$10,2,FALSE)</f>
        <v>10</v>
      </c>
      <c r="C398">
        <f t="shared" si="13"/>
        <v>15</v>
      </c>
      <c r="D398" s="162" t="s">
        <v>26</v>
      </c>
      <c r="E398" s="162">
        <v>4</v>
      </c>
      <c r="F398" s="162">
        <v>4</v>
      </c>
      <c r="G398" s="164">
        <v>0.50319999999999998</v>
      </c>
      <c r="H398" s="164">
        <v>0.34649999999999997</v>
      </c>
      <c r="I398" s="164">
        <v>0.24929999999999999</v>
      </c>
      <c r="J398" s="1" t="str">
        <f>HYPERLINK(SetRGB(J398,G398*255,H398*255,I398*255),"HOVER!")</f>
        <v>HOVER!</v>
      </c>
      <c r="K398">
        <f t="shared" si="12"/>
        <v>1</v>
      </c>
    </row>
    <row r="399" spans="1:11" x14ac:dyDescent="0.3">
      <c r="A399">
        <f>LOOKUP(9E+307,--MID(D399,1,{1,2,3,4,5}))</f>
        <v>5</v>
      </c>
      <c r="B399">
        <f>VLOOKUP(MID(D399,LOOKUP(2,1/ISNUMBER(-MID(D399,1,{1,2,3,4,5})),{1,2,3,4,5})+1,9),'Hue codes'!$A$1:$B$10,2,FALSE)</f>
        <v>10</v>
      </c>
      <c r="C399">
        <f t="shared" si="13"/>
        <v>15</v>
      </c>
      <c r="D399" s="162" t="s">
        <v>26</v>
      </c>
      <c r="E399" s="162">
        <v>4</v>
      </c>
      <c r="F399" s="162">
        <v>6</v>
      </c>
      <c r="G399" s="164">
        <v>0.54169999999999996</v>
      </c>
      <c r="H399" s="164">
        <v>0.33100000000000002</v>
      </c>
      <c r="I399" s="164">
        <v>0.18410000000000001</v>
      </c>
      <c r="J399" s="1" t="str">
        <f>HYPERLINK(SetRGB(J399,G399*255,H399*255,I399*255),"HOVER!")</f>
        <v>HOVER!</v>
      </c>
      <c r="K399">
        <f t="shared" si="12"/>
        <v>0.66666666666666663</v>
      </c>
    </row>
    <row r="400" spans="1:11" x14ac:dyDescent="0.3">
      <c r="A400">
        <f>LOOKUP(9E+307,--MID(D400,1,{1,2,3,4,5}))</f>
        <v>5</v>
      </c>
      <c r="B400">
        <f>VLOOKUP(MID(D400,LOOKUP(2,1/ISNUMBER(-MID(D400,1,{1,2,3,4,5})),{1,2,3,4,5})+1,9),'Hue codes'!$A$1:$B$10,2,FALSE)</f>
        <v>10</v>
      </c>
      <c r="C400">
        <f t="shared" si="13"/>
        <v>15</v>
      </c>
      <c r="D400" s="162" t="s">
        <v>26</v>
      </c>
      <c r="E400" s="162">
        <v>4</v>
      </c>
      <c r="F400" s="162">
        <v>8</v>
      </c>
      <c r="G400" s="164">
        <v>0.57369999999999999</v>
      </c>
      <c r="H400" s="164">
        <v>0.31559999999999999</v>
      </c>
      <c r="I400" s="164">
        <v>0.10639999999999999</v>
      </c>
      <c r="J400" s="1" t="str">
        <f>HYPERLINK(SetRGB(J400,G400*255,H400*255,I400*255),"HOVER!")</f>
        <v>HOVER!</v>
      </c>
      <c r="K400">
        <f t="shared" si="12"/>
        <v>0.5</v>
      </c>
    </row>
    <row r="401" spans="1:11" x14ac:dyDescent="0.3">
      <c r="A401">
        <f>LOOKUP(9E+307,--MID(D401,1,{1,2,3,4,5}))</f>
        <v>7.5</v>
      </c>
      <c r="B401">
        <f>VLOOKUP(MID(D401,LOOKUP(2,1/ISNUMBER(-MID(D401,1,{1,2,3,4,5})),{1,2,3,4,5})+1,9),'Hue codes'!$A$1:$B$10,2,FALSE)</f>
        <v>10</v>
      </c>
      <c r="C401">
        <f t="shared" si="13"/>
        <v>17.5</v>
      </c>
      <c r="D401" s="162" t="s">
        <v>27</v>
      </c>
      <c r="E401" s="162">
        <v>4</v>
      </c>
      <c r="F401" s="162">
        <v>2</v>
      </c>
      <c r="G401" s="164">
        <v>0.44579999999999997</v>
      </c>
      <c r="H401" s="164">
        <v>0.3664</v>
      </c>
      <c r="I401" s="164">
        <v>0.30690000000000001</v>
      </c>
      <c r="J401" s="1" t="str">
        <f>HYPERLINK(SetRGB(J401,G401*255,H401*255,I401*255),"HOVER!")</f>
        <v>HOVER!</v>
      </c>
      <c r="K401">
        <f t="shared" si="12"/>
        <v>2</v>
      </c>
    </row>
    <row r="402" spans="1:11" x14ac:dyDescent="0.3">
      <c r="A402">
        <f>LOOKUP(9E+307,--MID(D402,1,{1,2,3,4,5}))</f>
        <v>7.5</v>
      </c>
      <c r="B402">
        <f>VLOOKUP(MID(D402,LOOKUP(2,1/ISNUMBER(-MID(D402,1,{1,2,3,4,5})),{1,2,3,4,5})+1,9),'Hue codes'!$A$1:$B$10,2,FALSE)</f>
        <v>10</v>
      </c>
      <c r="C402">
        <f t="shared" si="13"/>
        <v>17.5</v>
      </c>
      <c r="D402" s="162" t="s">
        <v>27</v>
      </c>
      <c r="E402" s="162">
        <v>4</v>
      </c>
      <c r="F402" s="162">
        <v>4</v>
      </c>
      <c r="G402" s="164">
        <v>0.4929</v>
      </c>
      <c r="H402" s="164">
        <v>0.35260000000000002</v>
      </c>
      <c r="I402" s="164">
        <v>0.23039999999999999</v>
      </c>
      <c r="J402" s="1" t="str">
        <f>HYPERLINK(SetRGB(J402,G402*255,H402*255,I402*255),"HOVER!")</f>
        <v>HOVER!</v>
      </c>
      <c r="K402">
        <f t="shared" si="12"/>
        <v>1</v>
      </c>
    </row>
    <row r="403" spans="1:11" x14ac:dyDescent="0.3">
      <c r="A403">
        <f>LOOKUP(9E+307,--MID(D403,1,{1,2,3,4,5}))</f>
        <v>7.5</v>
      </c>
      <c r="B403">
        <f>VLOOKUP(MID(D403,LOOKUP(2,1/ISNUMBER(-MID(D403,1,{1,2,3,4,5})),{1,2,3,4,5})+1,9),'Hue codes'!$A$1:$B$10,2,FALSE)</f>
        <v>10</v>
      </c>
      <c r="C403">
        <f t="shared" si="13"/>
        <v>17.5</v>
      </c>
      <c r="D403" s="162" t="s">
        <v>27</v>
      </c>
      <c r="E403" s="162">
        <v>4</v>
      </c>
      <c r="F403" s="162">
        <v>6</v>
      </c>
      <c r="G403" s="164">
        <v>0.52590000000000003</v>
      </c>
      <c r="H403" s="164">
        <v>0.34089999999999998</v>
      </c>
      <c r="I403" s="164">
        <v>0.15620000000000001</v>
      </c>
      <c r="J403" s="1" t="str">
        <f>HYPERLINK(SetRGB(J403,G403*255,H403*255,I403*255),"HOVER!")</f>
        <v>HOVER!</v>
      </c>
      <c r="K403">
        <f t="shared" si="12"/>
        <v>0.66666666666666663</v>
      </c>
    </row>
    <row r="404" spans="1:11" x14ac:dyDescent="0.3">
      <c r="A404">
        <f>LOOKUP(9E+307,--MID(D404,1,{1,2,3,4,5}))</f>
        <v>7.5</v>
      </c>
      <c r="B404">
        <f>VLOOKUP(MID(D404,LOOKUP(2,1/ISNUMBER(-MID(D404,1,{1,2,3,4,5})),{1,2,3,4,5})+1,9),'Hue codes'!$A$1:$B$10,2,FALSE)</f>
        <v>10</v>
      </c>
      <c r="C404">
        <f t="shared" si="13"/>
        <v>17.5</v>
      </c>
      <c r="D404" s="162" t="s">
        <v>27</v>
      </c>
      <c r="E404" s="162">
        <v>4</v>
      </c>
      <c r="F404" s="162">
        <v>8</v>
      </c>
      <c r="G404" s="164">
        <v>0.55089999999999995</v>
      </c>
      <c r="H404" s="164">
        <v>0.3306</v>
      </c>
      <c r="I404" s="164">
        <v>5.33E-2</v>
      </c>
      <c r="J404" s="1" t="str">
        <f>HYPERLINK(SetRGB(J404,G404*255,H404*255,I404*255),"HOVER!")</f>
        <v>HOVER!</v>
      </c>
      <c r="K404">
        <f t="shared" si="12"/>
        <v>0.5</v>
      </c>
    </row>
    <row r="405" spans="1:11" x14ac:dyDescent="0.3">
      <c r="A405">
        <f>LOOKUP(9E+307,--MID(D405,1,{1,2,3,4,5}))</f>
        <v>10</v>
      </c>
      <c r="B405">
        <f>VLOOKUP(MID(D405,LOOKUP(2,1/ISNUMBER(-MID(D405,1,{1,2,3,4,5})),{1,2,3,4,5})+1,9),'Hue codes'!$A$1:$B$10,2,FALSE)</f>
        <v>10</v>
      </c>
      <c r="C405">
        <f t="shared" si="13"/>
        <v>20</v>
      </c>
      <c r="D405" s="162" t="s">
        <v>28</v>
      </c>
      <c r="E405" s="162">
        <v>4</v>
      </c>
      <c r="F405" s="162">
        <v>2</v>
      </c>
      <c r="G405" s="164">
        <v>0.43640000000000001</v>
      </c>
      <c r="H405" s="164">
        <v>0.37090000000000001</v>
      </c>
      <c r="I405" s="164">
        <v>0.29649999999999999</v>
      </c>
      <c r="J405" s="1" t="str">
        <f>HYPERLINK(SetRGB(J405,G405*255,H405*255,I405*255),"HOVER!")</f>
        <v>HOVER!</v>
      </c>
      <c r="K405">
        <f t="shared" si="12"/>
        <v>2</v>
      </c>
    </row>
    <row r="406" spans="1:11" x14ac:dyDescent="0.3">
      <c r="A406">
        <f>LOOKUP(9E+307,--MID(D406,1,{1,2,3,4,5}))</f>
        <v>10</v>
      </c>
      <c r="B406">
        <f>VLOOKUP(MID(D406,LOOKUP(2,1/ISNUMBER(-MID(D406,1,{1,2,3,4,5})),{1,2,3,4,5})+1,9),'Hue codes'!$A$1:$B$10,2,FALSE)</f>
        <v>10</v>
      </c>
      <c r="C406">
        <f t="shared" si="13"/>
        <v>20</v>
      </c>
      <c r="D406" s="162" t="s">
        <v>28</v>
      </c>
      <c r="E406" s="162">
        <v>4</v>
      </c>
      <c r="F406" s="162">
        <v>4</v>
      </c>
      <c r="G406" s="164">
        <v>0.47699999999999998</v>
      </c>
      <c r="H406" s="164">
        <v>0.36070000000000002</v>
      </c>
      <c r="I406" s="164">
        <v>0.21329999999999999</v>
      </c>
      <c r="J406" s="1" t="str">
        <f>HYPERLINK(SetRGB(J406,G406*255,H406*255,I406*255),"HOVER!")</f>
        <v>HOVER!</v>
      </c>
      <c r="K406">
        <f t="shared" si="12"/>
        <v>1</v>
      </c>
    </row>
    <row r="407" spans="1:11" x14ac:dyDescent="0.3">
      <c r="A407">
        <f>LOOKUP(9E+307,--MID(D407,1,{1,2,3,4,5}))</f>
        <v>10</v>
      </c>
      <c r="B407">
        <f>VLOOKUP(MID(D407,LOOKUP(2,1/ISNUMBER(-MID(D407,1,{1,2,3,4,5})),{1,2,3,4,5})+1,9),'Hue codes'!$A$1:$B$10,2,FALSE)</f>
        <v>10</v>
      </c>
      <c r="C407">
        <f t="shared" si="13"/>
        <v>20</v>
      </c>
      <c r="D407" s="162" t="s">
        <v>28</v>
      </c>
      <c r="E407" s="162">
        <v>4</v>
      </c>
      <c r="F407" s="162">
        <v>6</v>
      </c>
      <c r="G407" s="164">
        <v>0.50490000000000002</v>
      </c>
      <c r="H407" s="164">
        <v>0.3523</v>
      </c>
      <c r="I407" s="164">
        <v>0.12790000000000001</v>
      </c>
      <c r="J407" s="39" t="str">
        <f>HYPERLINK(SetRGB(J407,G407*255,H407*255,I407*255),"HOVER!")</f>
        <v>HOVER!</v>
      </c>
      <c r="K407">
        <f t="shared" si="12"/>
        <v>0.66666666666666663</v>
      </c>
    </row>
    <row r="408" spans="1:11" x14ac:dyDescent="0.3">
      <c r="A408">
        <f>LOOKUP(9E+307,--MID(D408,1,{1,2,3,4,5}))</f>
        <v>2.5</v>
      </c>
      <c r="B408">
        <f>VLOOKUP(MID(D408,LOOKUP(2,1/ISNUMBER(-MID(D408,1,{1,2,3,4,5})),{1,2,3,4,5})+1,9),'Hue codes'!$A$1:$B$10,2,FALSE)</f>
        <v>20</v>
      </c>
      <c r="C408">
        <f t="shared" si="13"/>
        <v>22.5</v>
      </c>
      <c r="D408" s="162" t="s">
        <v>29</v>
      </c>
      <c r="E408" s="162">
        <v>4</v>
      </c>
      <c r="F408" s="162">
        <v>2</v>
      </c>
      <c r="G408" s="164">
        <v>0.4254</v>
      </c>
      <c r="H408" s="164">
        <v>0.37530000000000002</v>
      </c>
      <c r="I408" s="164">
        <v>0.29039999999999999</v>
      </c>
      <c r="J408" s="69" t="str">
        <f>HYPERLINK(SetRGB(J408,G408*255,H408*255,I408*255),"HOVER!")</f>
        <v>HOVER!</v>
      </c>
      <c r="K408">
        <f t="shared" si="12"/>
        <v>2</v>
      </c>
    </row>
    <row r="409" spans="1:11" x14ac:dyDescent="0.3">
      <c r="A409">
        <f>LOOKUP(9E+307,--MID(D409,1,{1,2,3,4,5}))</f>
        <v>2.5</v>
      </c>
      <c r="B409">
        <f>VLOOKUP(MID(D409,LOOKUP(2,1/ISNUMBER(-MID(D409,1,{1,2,3,4,5})),{1,2,3,4,5})+1,9),'Hue codes'!$A$1:$B$10,2,FALSE)</f>
        <v>20</v>
      </c>
      <c r="C409">
        <f t="shared" si="13"/>
        <v>22.5</v>
      </c>
      <c r="D409" s="162" t="s">
        <v>29</v>
      </c>
      <c r="E409" s="162">
        <v>4</v>
      </c>
      <c r="F409" s="162">
        <v>4</v>
      </c>
      <c r="G409" s="164">
        <v>0.45839999999999997</v>
      </c>
      <c r="H409" s="164">
        <v>0.36909999999999998</v>
      </c>
      <c r="I409" s="164">
        <v>0.2001</v>
      </c>
      <c r="J409" s="68" t="str">
        <f>HYPERLINK(SetRGB(J409,G409*255,H409*255,I409*255),"HOVER!")</f>
        <v>HOVER!</v>
      </c>
      <c r="K409">
        <f t="shared" si="12"/>
        <v>1</v>
      </c>
    </row>
    <row r="410" spans="1:11" x14ac:dyDescent="0.3">
      <c r="A410">
        <f>LOOKUP(9E+307,--MID(D410,1,{1,2,3,4,5}))</f>
        <v>2.5</v>
      </c>
      <c r="B410">
        <f>VLOOKUP(MID(D410,LOOKUP(2,1/ISNUMBER(-MID(D410,1,{1,2,3,4,5})),{1,2,3,4,5})+1,9),'Hue codes'!$A$1:$B$10,2,FALSE)</f>
        <v>20</v>
      </c>
      <c r="C410">
        <f t="shared" si="13"/>
        <v>22.5</v>
      </c>
      <c r="D410" s="162" t="s">
        <v>29</v>
      </c>
      <c r="E410" s="162">
        <v>4</v>
      </c>
      <c r="F410" s="162">
        <v>6</v>
      </c>
      <c r="G410" s="164">
        <v>0.48060000000000003</v>
      </c>
      <c r="H410" s="164">
        <v>0.36399999999999999</v>
      </c>
      <c r="I410" s="164">
        <v>0.1027</v>
      </c>
      <c r="J410" s="74" t="str">
        <f>HYPERLINK(SetRGB(J410,G410*255,H410*255,I410*255),"HOVER!")</f>
        <v>HOVER!</v>
      </c>
      <c r="K410">
        <f t="shared" si="12"/>
        <v>0.66666666666666663</v>
      </c>
    </row>
    <row r="411" spans="1:11" x14ac:dyDescent="0.3">
      <c r="A411">
        <f>LOOKUP(9E+307,--MID(D411,1,{1,2,3,4,5}))</f>
        <v>5</v>
      </c>
      <c r="B411">
        <f>VLOOKUP(MID(D411,LOOKUP(2,1/ISNUMBER(-MID(D411,1,{1,2,3,4,5})),{1,2,3,4,5})+1,9),'Hue codes'!$A$1:$B$10,2,FALSE)</f>
        <v>20</v>
      </c>
      <c r="C411">
        <f t="shared" si="13"/>
        <v>25</v>
      </c>
      <c r="D411" s="162" t="s">
        <v>30</v>
      </c>
      <c r="E411" s="162">
        <v>4</v>
      </c>
      <c r="F411" s="162">
        <v>2</v>
      </c>
      <c r="G411" s="164">
        <v>0.41349999999999998</v>
      </c>
      <c r="H411" s="164">
        <v>0.37959999999999999</v>
      </c>
      <c r="I411" s="164">
        <v>0.28749999999999998</v>
      </c>
      <c r="J411" s="1" t="str">
        <f>HYPERLINK(SetRGB(J411,G411*255,H411*255,I411*255),"HOVER!")</f>
        <v>HOVER!</v>
      </c>
      <c r="K411">
        <f t="shared" si="12"/>
        <v>2</v>
      </c>
    </row>
    <row r="412" spans="1:11" x14ac:dyDescent="0.3">
      <c r="A412">
        <f>LOOKUP(9E+307,--MID(D412,1,{1,2,3,4,5}))</f>
        <v>5</v>
      </c>
      <c r="B412">
        <f>VLOOKUP(MID(D412,LOOKUP(2,1/ISNUMBER(-MID(D412,1,{1,2,3,4,5})),{1,2,3,4,5})+1,9),'Hue codes'!$A$1:$B$10,2,FALSE)</f>
        <v>20</v>
      </c>
      <c r="C412">
        <f t="shared" si="13"/>
        <v>25</v>
      </c>
      <c r="D412" s="162" t="s">
        <v>30</v>
      </c>
      <c r="E412" s="162">
        <v>4</v>
      </c>
      <c r="F412" s="162">
        <v>4</v>
      </c>
      <c r="G412" s="164">
        <v>0.439</v>
      </c>
      <c r="H412" s="164">
        <v>0.37690000000000001</v>
      </c>
      <c r="I412" s="164">
        <v>0.19070000000000001</v>
      </c>
      <c r="J412" s="1" t="str">
        <f>HYPERLINK(SetRGB(J412,G412*255,H412*255,I412*255),"HOVER!")</f>
        <v>HOVER!</v>
      </c>
      <c r="K412">
        <f t="shared" si="12"/>
        <v>1</v>
      </c>
    </row>
    <row r="413" spans="1:11" x14ac:dyDescent="0.3">
      <c r="A413">
        <f>LOOKUP(9E+307,--MID(D413,1,{1,2,3,4,5}))</f>
        <v>5</v>
      </c>
      <c r="B413">
        <f>VLOOKUP(MID(D413,LOOKUP(2,1/ISNUMBER(-MID(D413,1,{1,2,3,4,5})),{1,2,3,4,5})+1,9),'Hue codes'!$A$1:$B$10,2,FALSE)</f>
        <v>20</v>
      </c>
      <c r="C413">
        <f t="shared" si="13"/>
        <v>25</v>
      </c>
      <c r="D413" s="162" t="s">
        <v>30</v>
      </c>
      <c r="E413" s="162">
        <v>4</v>
      </c>
      <c r="F413" s="162">
        <v>6</v>
      </c>
      <c r="G413" s="164">
        <v>0.45660000000000001</v>
      </c>
      <c r="H413" s="164">
        <v>0.37419999999999998</v>
      </c>
      <c r="I413" s="164">
        <v>8.1000000000000003E-2</v>
      </c>
      <c r="J413" s="1" t="str">
        <f>HYPERLINK(SetRGB(J413,G413*255,H413*255,I413*255),"HOVER!")</f>
        <v>HOVER!</v>
      </c>
      <c r="K413">
        <f t="shared" si="12"/>
        <v>0.66666666666666663</v>
      </c>
    </row>
    <row r="414" spans="1:11" x14ac:dyDescent="0.3">
      <c r="A414">
        <f>LOOKUP(9E+307,--MID(D414,1,{1,2,3,4,5}))</f>
        <v>7.5</v>
      </c>
      <c r="B414">
        <f>VLOOKUP(MID(D414,LOOKUP(2,1/ISNUMBER(-MID(D414,1,{1,2,3,4,5})),{1,2,3,4,5})+1,9),'Hue codes'!$A$1:$B$10,2,FALSE)</f>
        <v>20</v>
      </c>
      <c r="C414">
        <f t="shared" si="13"/>
        <v>27.5</v>
      </c>
      <c r="D414" s="162" t="s">
        <v>31</v>
      </c>
      <c r="E414" s="162">
        <v>4</v>
      </c>
      <c r="F414" s="162">
        <v>2</v>
      </c>
      <c r="G414" s="164">
        <v>0.4027</v>
      </c>
      <c r="H414" s="164">
        <v>0.3831</v>
      </c>
      <c r="I414" s="164">
        <v>0.28739999999999999</v>
      </c>
      <c r="J414" s="1" t="str">
        <f>HYPERLINK(SetRGB(J414,G414*255,H414*255,I414*255),"HOVER!")</f>
        <v>HOVER!</v>
      </c>
      <c r="K414">
        <f t="shared" si="12"/>
        <v>2</v>
      </c>
    </row>
    <row r="415" spans="1:11" x14ac:dyDescent="0.3">
      <c r="A415">
        <f>LOOKUP(9E+307,--MID(D415,1,{1,2,3,4,5}))</f>
        <v>7.5</v>
      </c>
      <c r="B415">
        <f>VLOOKUP(MID(D415,LOOKUP(2,1/ISNUMBER(-MID(D415,1,{1,2,3,4,5})),{1,2,3,4,5})+1,9),'Hue codes'!$A$1:$B$10,2,FALSE)</f>
        <v>20</v>
      </c>
      <c r="C415">
        <f t="shared" si="13"/>
        <v>27.5</v>
      </c>
      <c r="D415" s="162" t="s">
        <v>31</v>
      </c>
      <c r="E415" s="162">
        <v>4</v>
      </c>
      <c r="F415" s="162">
        <v>4</v>
      </c>
      <c r="G415" s="164">
        <v>0.4194</v>
      </c>
      <c r="H415" s="164">
        <v>0.38400000000000001</v>
      </c>
      <c r="I415" s="164">
        <v>0.1867</v>
      </c>
      <c r="J415" s="1" t="str">
        <f>HYPERLINK(SetRGB(J415,G415*255,H415*255,I415*255),"HOVER!")</f>
        <v>HOVER!</v>
      </c>
      <c r="K415">
        <f t="shared" si="12"/>
        <v>1</v>
      </c>
    </row>
    <row r="416" spans="1:11" x14ac:dyDescent="0.3">
      <c r="A416">
        <f>LOOKUP(9E+307,--MID(D416,1,{1,2,3,4,5}))</f>
        <v>7.5</v>
      </c>
      <c r="B416">
        <f>VLOOKUP(MID(D416,LOOKUP(2,1/ISNUMBER(-MID(D416,1,{1,2,3,4,5})),{1,2,3,4,5})+1,9),'Hue codes'!$A$1:$B$10,2,FALSE)</f>
        <v>20</v>
      </c>
      <c r="C416">
        <f t="shared" si="13"/>
        <v>27.5</v>
      </c>
      <c r="D416" s="162" t="s">
        <v>31</v>
      </c>
      <c r="E416" s="162">
        <v>4</v>
      </c>
      <c r="F416" s="162">
        <v>6</v>
      </c>
      <c r="G416" s="164">
        <v>0.43080000000000002</v>
      </c>
      <c r="H416" s="164">
        <v>0.38390000000000002</v>
      </c>
      <c r="I416" s="164">
        <v>6.7900000000000002E-2</v>
      </c>
      <c r="J416" s="1" t="str">
        <f>HYPERLINK(SetRGB(J416,G416*255,H416*255,I416*255),"HOVER!")</f>
        <v>HOVER!</v>
      </c>
      <c r="K416">
        <f t="shared" si="12"/>
        <v>0.66666666666666663</v>
      </c>
    </row>
    <row r="417" spans="1:11" x14ac:dyDescent="0.3">
      <c r="A417">
        <f>LOOKUP(9E+307,--MID(D417,1,{1,2,3,4,5}))</f>
        <v>10</v>
      </c>
      <c r="B417">
        <f>VLOOKUP(MID(D417,LOOKUP(2,1/ISNUMBER(-MID(D417,1,{1,2,3,4,5})),{1,2,3,4,5})+1,9),'Hue codes'!$A$1:$B$10,2,FALSE)</f>
        <v>20</v>
      </c>
      <c r="C417">
        <f t="shared" si="13"/>
        <v>30</v>
      </c>
      <c r="D417" s="162" t="s">
        <v>32</v>
      </c>
      <c r="E417" s="162">
        <v>4</v>
      </c>
      <c r="F417" s="162">
        <v>2</v>
      </c>
      <c r="G417" s="164">
        <v>0.3836</v>
      </c>
      <c r="H417" s="164">
        <v>0.3886</v>
      </c>
      <c r="I417" s="164">
        <v>0.29339999999999999</v>
      </c>
      <c r="J417" s="1" t="str">
        <f>HYPERLINK(SetRGB(J417,G417*255,H417*255,I417*255),"HOVER!")</f>
        <v>HOVER!</v>
      </c>
      <c r="K417">
        <f t="shared" si="12"/>
        <v>2</v>
      </c>
    </row>
    <row r="418" spans="1:11" x14ac:dyDescent="0.3">
      <c r="A418">
        <f>LOOKUP(9E+307,--MID(D418,1,{1,2,3,4,5}))</f>
        <v>10</v>
      </c>
      <c r="B418">
        <f>VLOOKUP(MID(D418,LOOKUP(2,1/ISNUMBER(-MID(D418,1,{1,2,3,4,5})),{1,2,3,4,5})+1,9),'Hue codes'!$A$1:$B$10,2,FALSE)</f>
        <v>20</v>
      </c>
      <c r="C418">
        <f t="shared" si="13"/>
        <v>30</v>
      </c>
      <c r="D418" s="162" t="s">
        <v>32</v>
      </c>
      <c r="E418" s="162">
        <v>4</v>
      </c>
      <c r="F418" s="162">
        <v>4</v>
      </c>
      <c r="G418" s="164">
        <v>0.39900000000000002</v>
      </c>
      <c r="H418" s="164">
        <v>0.39040000000000002</v>
      </c>
      <c r="I418" s="164">
        <v>0.1898</v>
      </c>
      <c r="J418" s="75" t="str">
        <f>HYPERLINK(SetRGB(J418,G418*255,H418*255,I418*255),"HOVER!")</f>
        <v>HOVER!</v>
      </c>
      <c r="K418">
        <f t="shared" si="12"/>
        <v>1</v>
      </c>
    </row>
    <row r="419" spans="1:11" x14ac:dyDescent="0.3">
      <c r="A419">
        <f>LOOKUP(9E+307,--MID(D419,1,{1,2,3,4,5}))</f>
        <v>10</v>
      </c>
      <c r="B419">
        <f>VLOOKUP(MID(D419,LOOKUP(2,1/ISNUMBER(-MID(D419,1,{1,2,3,4,5})),{1,2,3,4,5})+1,9),'Hue codes'!$A$1:$B$10,2,FALSE)</f>
        <v>20</v>
      </c>
      <c r="C419">
        <f t="shared" si="13"/>
        <v>30</v>
      </c>
      <c r="D419" s="162" t="s">
        <v>32</v>
      </c>
      <c r="E419" s="162">
        <v>4</v>
      </c>
      <c r="F419" s="162">
        <v>6</v>
      </c>
      <c r="G419" s="164">
        <v>0.4042</v>
      </c>
      <c r="H419" s="164">
        <v>0.39269999999999999</v>
      </c>
      <c r="I419" s="164">
        <v>6.7299999999999999E-2</v>
      </c>
      <c r="J419" s="196" t="str">
        <f>HYPERLINK(SetRGB(J419,G419*255,H419*255,I419*255),"HOVER!")</f>
        <v>HOVER!</v>
      </c>
      <c r="K419">
        <f t="shared" si="12"/>
        <v>0.66666666666666663</v>
      </c>
    </row>
    <row r="420" spans="1:11" x14ac:dyDescent="0.3">
      <c r="A420">
        <f>LOOKUP(9E+307,--MID(D420,1,{1,2,3,4,5}))</f>
        <v>2.5</v>
      </c>
      <c r="B420">
        <f>VLOOKUP(MID(D420,LOOKUP(2,1/ISNUMBER(-MID(D420,1,{1,2,3,4,5})),{1,2,3,4,5})+1,9),'Hue codes'!$A$1:$B$10,2,FALSE)</f>
        <v>30</v>
      </c>
      <c r="C420">
        <f t="shared" si="13"/>
        <v>32.5</v>
      </c>
      <c r="D420" s="162" t="s">
        <v>33</v>
      </c>
      <c r="E420" s="162">
        <v>4</v>
      </c>
      <c r="F420" s="162">
        <v>2</v>
      </c>
      <c r="G420" s="164">
        <v>0.37640000000000001</v>
      </c>
      <c r="H420" s="164">
        <v>0.39019999999999999</v>
      </c>
      <c r="I420" s="164">
        <v>0.29970000000000002</v>
      </c>
      <c r="J420" s="172" t="str">
        <f>HYPERLINK(SetRGB(J420,G420*255,H420*255,I420*255),"HOVER!")</f>
        <v>HOVER!</v>
      </c>
      <c r="K420">
        <f t="shared" si="12"/>
        <v>2</v>
      </c>
    </row>
    <row r="421" spans="1:11" x14ac:dyDescent="0.3">
      <c r="A421">
        <f>LOOKUP(9E+307,--MID(D421,1,{1,2,3,4,5}))</f>
        <v>2.5</v>
      </c>
      <c r="B421">
        <f>VLOOKUP(MID(D421,LOOKUP(2,1/ISNUMBER(-MID(D421,1,{1,2,3,4,5})),{1,2,3,4,5})+1,9),'Hue codes'!$A$1:$B$10,2,FALSE)</f>
        <v>30</v>
      </c>
      <c r="C421">
        <f t="shared" si="13"/>
        <v>32.5</v>
      </c>
      <c r="D421" s="162" t="s">
        <v>33</v>
      </c>
      <c r="E421" s="162">
        <v>4</v>
      </c>
      <c r="F421" s="162">
        <v>4</v>
      </c>
      <c r="G421" s="164">
        <v>0.37309999999999999</v>
      </c>
      <c r="H421" s="164">
        <v>0.39739999999999998</v>
      </c>
      <c r="I421" s="164">
        <v>0.20230000000000001</v>
      </c>
      <c r="J421" s="216" t="str">
        <f>HYPERLINK(SetRGB(J421,G421*255,H421*255,I421*255),"HOVER!")</f>
        <v>HOVER!</v>
      </c>
      <c r="K421">
        <f t="shared" si="12"/>
        <v>1</v>
      </c>
    </row>
    <row r="422" spans="1:11" x14ac:dyDescent="0.3">
      <c r="A422">
        <f>LOOKUP(9E+307,--MID(D422,1,{1,2,3,4,5}))</f>
        <v>2.5</v>
      </c>
      <c r="B422">
        <f>VLOOKUP(MID(D422,LOOKUP(2,1/ISNUMBER(-MID(D422,1,{1,2,3,4,5})),{1,2,3,4,5})+1,9),'Hue codes'!$A$1:$B$10,2,FALSE)</f>
        <v>30</v>
      </c>
      <c r="C422">
        <f t="shared" si="13"/>
        <v>32.5</v>
      </c>
      <c r="D422" s="162" t="s">
        <v>33</v>
      </c>
      <c r="E422" s="162">
        <v>4</v>
      </c>
      <c r="F422" s="162">
        <v>6</v>
      </c>
      <c r="G422" s="164">
        <v>0.36849999999999999</v>
      </c>
      <c r="H422" s="164">
        <v>0.40260000000000001</v>
      </c>
      <c r="I422" s="164">
        <v>9.1999999999999998E-2</v>
      </c>
      <c r="J422" s="193" t="str">
        <f>HYPERLINK(SetRGB(J422,G422*255,H422*255,I422*255),"HOVER!")</f>
        <v>HOVER!</v>
      </c>
      <c r="K422">
        <f t="shared" si="12"/>
        <v>0.66666666666666663</v>
      </c>
    </row>
    <row r="423" spans="1:11" x14ac:dyDescent="0.3">
      <c r="A423">
        <f>LOOKUP(9E+307,--MID(D423,1,{1,2,3,4,5}))</f>
        <v>5</v>
      </c>
      <c r="B423">
        <f>VLOOKUP(MID(D423,LOOKUP(2,1/ISNUMBER(-MID(D423,1,{1,2,3,4,5})),{1,2,3,4,5})+1,9),'Hue codes'!$A$1:$B$10,2,FALSE)</f>
        <v>30</v>
      </c>
      <c r="C423">
        <f t="shared" si="13"/>
        <v>35</v>
      </c>
      <c r="D423" s="162" t="s">
        <v>34</v>
      </c>
      <c r="E423" s="162">
        <v>4</v>
      </c>
      <c r="F423" s="162">
        <v>2</v>
      </c>
      <c r="G423" s="164">
        <v>0.36599999999999999</v>
      </c>
      <c r="H423" s="164">
        <v>0.39250000000000002</v>
      </c>
      <c r="I423" s="164">
        <v>0.30709999999999998</v>
      </c>
      <c r="J423" s="188" t="str">
        <f>HYPERLINK(SetRGB(J423,G423*255,H423*255,I423*255),"HOVER!")</f>
        <v>HOVER!</v>
      </c>
      <c r="K423">
        <f t="shared" si="12"/>
        <v>2</v>
      </c>
    </row>
    <row r="424" spans="1:11" x14ac:dyDescent="0.3">
      <c r="A424">
        <f>LOOKUP(9E+307,--MID(D424,1,{1,2,3,4,5}))</f>
        <v>5</v>
      </c>
      <c r="B424">
        <f>VLOOKUP(MID(D424,LOOKUP(2,1/ISNUMBER(-MID(D424,1,{1,2,3,4,5})),{1,2,3,4,5})+1,9),'Hue codes'!$A$1:$B$10,2,FALSE)</f>
        <v>30</v>
      </c>
      <c r="C424">
        <f t="shared" si="13"/>
        <v>35</v>
      </c>
      <c r="D424" s="162" t="s">
        <v>34</v>
      </c>
      <c r="E424" s="162">
        <v>4</v>
      </c>
      <c r="F424" s="162">
        <v>4</v>
      </c>
      <c r="G424" s="164">
        <v>0.34839999999999999</v>
      </c>
      <c r="H424" s="164">
        <v>0.40300000000000002</v>
      </c>
      <c r="I424" s="164">
        <v>0.22109999999999999</v>
      </c>
      <c r="J424" s="214" t="str">
        <f>HYPERLINK(SetRGB(J424,G424*255,H424*255,I424*255),"HOVER!")</f>
        <v>HOVER!</v>
      </c>
      <c r="K424">
        <f t="shared" si="12"/>
        <v>1</v>
      </c>
    </row>
    <row r="425" spans="1:11" x14ac:dyDescent="0.3">
      <c r="A425">
        <f>LOOKUP(9E+307,--MID(D425,1,{1,2,3,4,5}))</f>
        <v>5</v>
      </c>
      <c r="B425">
        <f>VLOOKUP(MID(D425,LOOKUP(2,1/ISNUMBER(-MID(D425,1,{1,2,3,4,5})),{1,2,3,4,5})+1,9),'Hue codes'!$A$1:$B$10,2,FALSE)</f>
        <v>30</v>
      </c>
      <c r="C425">
        <f t="shared" si="13"/>
        <v>35</v>
      </c>
      <c r="D425" s="162" t="s">
        <v>34</v>
      </c>
      <c r="E425" s="162">
        <v>4</v>
      </c>
      <c r="F425" s="162">
        <v>6</v>
      </c>
      <c r="G425" s="164">
        <v>0.33</v>
      </c>
      <c r="H425" s="164">
        <v>0.4113</v>
      </c>
      <c r="I425" s="164">
        <v>0.12659999999999999</v>
      </c>
      <c r="J425" s="228" t="str">
        <f>HYPERLINK(SetRGB(J425,G425*255,H425*255,I425*255),"HOVER!")</f>
        <v>HOVER!</v>
      </c>
      <c r="K425">
        <f t="shared" si="12"/>
        <v>0.66666666666666663</v>
      </c>
    </row>
    <row r="426" spans="1:11" x14ac:dyDescent="0.3">
      <c r="A426">
        <f>LOOKUP(9E+307,--MID(D426,1,{1,2,3,4,5}))</f>
        <v>7.5</v>
      </c>
      <c r="B426">
        <f>VLOOKUP(MID(D426,LOOKUP(2,1/ISNUMBER(-MID(D426,1,{1,2,3,4,5})),{1,2,3,4,5})+1,9),'Hue codes'!$A$1:$B$10,2,FALSE)</f>
        <v>30</v>
      </c>
      <c r="C426">
        <f t="shared" si="13"/>
        <v>37.5</v>
      </c>
      <c r="D426" s="162" t="s">
        <v>35</v>
      </c>
      <c r="E426" s="162">
        <v>4</v>
      </c>
      <c r="F426" s="162">
        <v>2</v>
      </c>
      <c r="G426" s="164">
        <v>0.3483</v>
      </c>
      <c r="H426" s="164">
        <v>0.39589999999999997</v>
      </c>
      <c r="I426" s="164">
        <v>0.3231</v>
      </c>
      <c r="J426" s="227" t="str">
        <f>HYPERLINK(SetRGB(J426,G426*255,H426*255,I426*255),"HOVER!")</f>
        <v>HOVER!</v>
      </c>
      <c r="K426">
        <f t="shared" si="12"/>
        <v>2</v>
      </c>
    </row>
    <row r="427" spans="1:11" x14ac:dyDescent="0.3">
      <c r="A427">
        <f>LOOKUP(9E+307,--MID(D427,1,{1,2,3,4,5}))</f>
        <v>7.5</v>
      </c>
      <c r="B427">
        <f>VLOOKUP(MID(D427,LOOKUP(2,1/ISNUMBER(-MID(D427,1,{1,2,3,4,5})),{1,2,3,4,5})+1,9),'Hue codes'!$A$1:$B$10,2,FALSE)</f>
        <v>30</v>
      </c>
      <c r="C427">
        <f t="shared" si="13"/>
        <v>37.5</v>
      </c>
      <c r="D427" s="162" t="s">
        <v>35</v>
      </c>
      <c r="E427" s="162">
        <v>4</v>
      </c>
      <c r="F427" s="162">
        <v>4</v>
      </c>
      <c r="G427" s="164">
        <v>0.31119999999999998</v>
      </c>
      <c r="H427" s="164">
        <v>0.4098</v>
      </c>
      <c r="I427" s="164">
        <v>0.25380000000000003</v>
      </c>
      <c r="J427" s="173" t="str">
        <f>HYPERLINK(SetRGB(J427,G427*255,H427*255,I427*255),"HOVER!")</f>
        <v>HOVER!</v>
      </c>
      <c r="K427">
        <f t="shared" si="12"/>
        <v>1</v>
      </c>
    </row>
    <row r="428" spans="1:11" x14ac:dyDescent="0.3">
      <c r="A428">
        <f>LOOKUP(9E+307,--MID(D428,1,{1,2,3,4,5}))</f>
        <v>7.5</v>
      </c>
      <c r="B428">
        <f>VLOOKUP(MID(D428,LOOKUP(2,1/ISNUMBER(-MID(D428,1,{1,2,3,4,5})),{1,2,3,4,5})+1,9),'Hue codes'!$A$1:$B$10,2,FALSE)</f>
        <v>30</v>
      </c>
      <c r="C428">
        <f t="shared" si="13"/>
        <v>37.5</v>
      </c>
      <c r="D428" s="162" t="s">
        <v>35</v>
      </c>
      <c r="E428" s="162">
        <v>4</v>
      </c>
      <c r="F428" s="162">
        <v>6</v>
      </c>
      <c r="G428" s="164">
        <v>0.27139999999999997</v>
      </c>
      <c r="H428" s="164">
        <v>0.4214</v>
      </c>
      <c r="I428" s="164">
        <v>0.17860000000000001</v>
      </c>
      <c r="J428" s="226" t="str">
        <f>HYPERLINK(SetRGB(J428,G428*255,H428*255,I428*255),"HOVER!")</f>
        <v>HOVER!</v>
      </c>
      <c r="K428">
        <f t="shared" si="12"/>
        <v>0.66666666666666663</v>
      </c>
    </row>
    <row r="429" spans="1:11" x14ac:dyDescent="0.3">
      <c r="A429">
        <f>LOOKUP(9E+307,--MID(D429,1,{1,2,3,4,5}))</f>
        <v>7.5</v>
      </c>
      <c r="B429">
        <f>VLOOKUP(MID(D429,LOOKUP(2,1/ISNUMBER(-MID(D429,1,{1,2,3,4,5})),{1,2,3,4,5})+1,9),'Hue codes'!$A$1:$B$10,2,FALSE)</f>
        <v>30</v>
      </c>
      <c r="C429">
        <f t="shared" si="13"/>
        <v>37.5</v>
      </c>
      <c r="D429" s="162" t="s">
        <v>35</v>
      </c>
      <c r="E429" s="162">
        <v>4</v>
      </c>
      <c r="F429" s="162">
        <v>8</v>
      </c>
      <c r="G429" s="164">
        <v>0.22570000000000001</v>
      </c>
      <c r="H429" s="164">
        <v>0.43149999999999999</v>
      </c>
      <c r="I429" s="164">
        <v>7.5700000000000003E-2</v>
      </c>
      <c r="J429" s="233" t="str">
        <f>HYPERLINK(SetRGB(J429,G429*255,H429*255,I429*255),"HOVER!")</f>
        <v>HOVER!</v>
      </c>
      <c r="K429">
        <f t="shared" si="12"/>
        <v>0.5</v>
      </c>
    </row>
    <row r="430" spans="1:11" x14ac:dyDescent="0.3">
      <c r="A430">
        <f>LOOKUP(9E+307,--MID(D430,1,{1,2,3,4,5}))</f>
        <v>10</v>
      </c>
      <c r="B430">
        <f>VLOOKUP(MID(D430,LOOKUP(2,1/ISNUMBER(-MID(D430,1,{1,2,3,4,5})),{1,2,3,4,5})+1,9),'Hue codes'!$A$1:$B$10,2,FALSE)</f>
        <v>30</v>
      </c>
      <c r="C430">
        <f t="shared" si="13"/>
        <v>40</v>
      </c>
      <c r="D430" s="162" t="s">
        <v>36</v>
      </c>
      <c r="E430" s="162">
        <v>4</v>
      </c>
      <c r="F430" s="162">
        <v>2</v>
      </c>
      <c r="G430" s="164">
        <v>0.33779999999999999</v>
      </c>
      <c r="H430" s="164">
        <v>0.39760000000000001</v>
      </c>
      <c r="I430" s="164">
        <v>0.33360000000000001</v>
      </c>
      <c r="J430" s="1" t="str">
        <f>HYPERLINK(SetRGB(J430,G430*255,H430*255,I430*255),"HOVER!")</f>
        <v>HOVER!</v>
      </c>
      <c r="K430">
        <f t="shared" si="12"/>
        <v>2</v>
      </c>
    </row>
    <row r="431" spans="1:11" x14ac:dyDescent="0.3">
      <c r="A431">
        <f>LOOKUP(9E+307,--MID(D431,1,{1,2,3,4,5}))</f>
        <v>10</v>
      </c>
      <c r="B431">
        <f>VLOOKUP(MID(D431,LOOKUP(2,1/ISNUMBER(-MID(D431,1,{1,2,3,4,5})),{1,2,3,4,5})+1,9),'Hue codes'!$A$1:$B$10,2,FALSE)</f>
        <v>30</v>
      </c>
      <c r="C431">
        <f t="shared" si="13"/>
        <v>40</v>
      </c>
      <c r="D431" s="162" t="s">
        <v>36</v>
      </c>
      <c r="E431" s="162">
        <v>4</v>
      </c>
      <c r="F431" s="162">
        <v>4</v>
      </c>
      <c r="G431" s="164">
        <v>0.28489999999999999</v>
      </c>
      <c r="H431" s="164">
        <v>0.4133</v>
      </c>
      <c r="I431" s="164">
        <v>0.28079999999999999</v>
      </c>
      <c r="J431" s="1" t="str">
        <f>HYPERLINK(SetRGB(J431,G431*255,H431*255,I431*255),"HOVER!")</f>
        <v>HOVER!</v>
      </c>
      <c r="K431">
        <f t="shared" si="12"/>
        <v>1</v>
      </c>
    </row>
    <row r="432" spans="1:11" x14ac:dyDescent="0.3">
      <c r="A432">
        <f>LOOKUP(9E+307,--MID(D432,1,{1,2,3,4,5}))</f>
        <v>10</v>
      </c>
      <c r="B432">
        <f>VLOOKUP(MID(D432,LOOKUP(2,1/ISNUMBER(-MID(D432,1,{1,2,3,4,5})),{1,2,3,4,5})+1,9),'Hue codes'!$A$1:$B$10,2,FALSE)</f>
        <v>30</v>
      </c>
      <c r="C432">
        <f t="shared" si="13"/>
        <v>40</v>
      </c>
      <c r="D432" s="162" t="s">
        <v>36</v>
      </c>
      <c r="E432" s="162">
        <v>4</v>
      </c>
      <c r="F432" s="162">
        <v>6</v>
      </c>
      <c r="G432" s="164">
        <v>0.21990000000000001</v>
      </c>
      <c r="H432" s="164">
        <v>0.4274</v>
      </c>
      <c r="I432" s="164">
        <v>0.22309999999999999</v>
      </c>
      <c r="J432" s="1" t="str">
        <f>HYPERLINK(SetRGB(J432,G432*255,H432*255,I432*255),"HOVER!")</f>
        <v>HOVER!</v>
      </c>
      <c r="K432">
        <f t="shared" si="12"/>
        <v>0.66666666666666663</v>
      </c>
    </row>
    <row r="433" spans="1:11" x14ac:dyDescent="0.3">
      <c r="A433">
        <f>LOOKUP(9E+307,--MID(D433,1,{1,2,3,4,5}))</f>
        <v>10</v>
      </c>
      <c r="B433">
        <f>VLOOKUP(MID(D433,LOOKUP(2,1/ISNUMBER(-MID(D433,1,{1,2,3,4,5})),{1,2,3,4,5})+1,9),'Hue codes'!$A$1:$B$10,2,FALSE)</f>
        <v>30</v>
      </c>
      <c r="C433">
        <f t="shared" si="13"/>
        <v>40</v>
      </c>
      <c r="D433" s="162" t="s">
        <v>36</v>
      </c>
      <c r="E433" s="162">
        <v>4</v>
      </c>
      <c r="F433" s="162">
        <v>8</v>
      </c>
      <c r="G433" s="164">
        <v>0.13239999999999999</v>
      </c>
      <c r="H433" s="164">
        <v>0.43930000000000002</v>
      </c>
      <c r="I433" s="164">
        <v>0.16220000000000001</v>
      </c>
      <c r="J433" s="1" t="str">
        <f>HYPERLINK(SetRGB(J433,G433*255,H433*255,I433*255),"HOVER!")</f>
        <v>HOVER!</v>
      </c>
      <c r="K433">
        <f t="shared" si="12"/>
        <v>0.5</v>
      </c>
    </row>
    <row r="434" spans="1:11" x14ac:dyDescent="0.3">
      <c r="A434">
        <f>LOOKUP(9E+307,--MID(D434,1,{1,2,3,4,5}))</f>
        <v>2.5</v>
      </c>
      <c r="B434">
        <f>VLOOKUP(MID(D434,LOOKUP(2,1/ISNUMBER(-MID(D434,1,{1,2,3,4,5})),{1,2,3,4,5})+1,9),'Hue codes'!$A$1:$B$10,2,FALSE)</f>
        <v>40</v>
      </c>
      <c r="C434">
        <f t="shared" si="13"/>
        <v>42.5</v>
      </c>
      <c r="D434" s="162" t="s">
        <v>37</v>
      </c>
      <c r="E434" s="162">
        <v>4</v>
      </c>
      <c r="F434" s="162">
        <v>2</v>
      </c>
      <c r="G434" s="164">
        <v>0.32469999999999999</v>
      </c>
      <c r="H434" s="164">
        <v>0.39939999999999998</v>
      </c>
      <c r="I434" s="164">
        <v>0.3483</v>
      </c>
      <c r="J434" s="1" t="str">
        <f>HYPERLINK(SetRGB(J434,G434*255,H434*255,I434*255),"HOVER!")</f>
        <v>HOVER!</v>
      </c>
      <c r="K434">
        <f t="shared" si="12"/>
        <v>2</v>
      </c>
    </row>
    <row r="435" spans="1:11" x14ac:dyDescent="0.3">
      <c r="A435">
        <f>LOOKUP(9E+307,--MID(D435,1,{1,2,3,4,5}))</f>
        <v>2.5</v>
      </c>
      <c r="B435">
        <f>VLOOKUP(MID(D435,LOOKUP(2,1/ISNUMBER(-MID(D435,1,{1,2,3,4,5})),{1,2,3,4,5})+1,9),'Hue codes'!$A$1:$B$10,2,FALSE)</f>
        <v>40</v>
      </c>
      <c r="C435">
        <f t="shared" si="13"/>
        <v>42.5</v>
      </c>
      <c r="D435" s="162" t="s">
        <v>37</v>
      </c>
      <c r="E435" s="162">
        <v>4</v>
      </c>
      <c r="F435" s="162">
        <v>4</v>
      </c>
      <c r="G435" s="164">
        <v>0.252</v>
      </c>
      <c r="H435" s="164">
        <v>0.41670000000000001</v>
      </c>
      <c r="I435" s="164">
        <v>0.31469999999999998</v>
      </c>
      <c r="J435" s="1" t="str">
        <f>HYPERLINK(SetRGB(J435,G435*255,H435*255,I435*255),"HOVER!")</f>
        <v>HOVER!</v>
      </c>
      <c r="K435">
        <f t="shared" si="12"/>
        <v>1</v>
      </c>
    </row>
    <row r="436" spans="1:11" x14ac:dyDescent="0.3">
      <c r="A436">
        <f>LOOKUP(9E+307,--MID(D436,1,{1,2,3,4,5}))</f>
        <v>2.5</v>
      </c>
      <c r="B436">
        <f>VLOOKUP(MID(D436,LOOKUP(2,1/ISNUMBER(-MID(D436,1,{1,2,3,4,5})),{1,2,3,4,5})+1,9),'Hue codes'!$A$1:$B$10,2,FALSE)</f>
        <v>40</v>
      </c>
      <c r="C436">
        <f t="shared" si="13"/>
        <v>42.5</v>
      </c>
      <c r="D436" s="162" t="s">
        <v>37</v>
      </c>
      <c r="E436" s="162">
        <v>4</v>
      </c>
      <c r="F436" s="162">
        <v>6</v>
      </c>
      <c r="G436" s="164">
        <v>0.1419</v>
      </c>
      <c r="H436" s="164">
        <v>0.43269999999999997</v>
      </c>
      <c r="I436" s="164">
        <v>0.28060000000000002</v>
      </c>
      <c r="J436" s="1" t="str">
        <f>HYPERLINK(SetRGB(J436,G436*255,H436*255,I436*255),"HOVER!")</f>
        <v>HOVER!</v>
      </c>
      <c r="K436">
        <f t="shared" si="12"/>
        <v>0.66666666666666663</v>
      </c>
    </row>
    <row r="437" spans="1:11" x14ac:dyDescent="0.3">
      <c r="A437">
        <f>LOOKUP(9E+307,--MID(D437,1,{1,2,3,4,5}))</f>
        <v>5</v>
      </c>
      <c r="B437">
        <f>VLOOKUP(MID(D437,LOOKUP(2,1/ISNUMBER(-MID(D437,1,{1,2,3,4,5})),{1,2,3,4,5})+1,9),'Hue codes'!$A$1:$B$10,2,FALSE)</f>
        <v>40</v>
      </c>
      <c r="C437">
        <f t="shared" si="13"/>
        <v>45</v>
      </c>
      <c r="D437" s="162" t="s">
        <v>38</v>
      </c>
      <c r="E437" s="162">
        <v>4</v>
      </c>
      <c r="F437" s="162">
        <v>2</v>
      </c>
      <c r="G437" s="164">
        <v>0.318</v>
      </c>
      <c r="H437" s="164">
        <v>0.40010000000000001</v>
      </c>
      <c r="I437" s="164">
        <v>0.35730000000000001</v>
      </c>
      <c r="J437" s="1" t="str">
        <f>HYPERLINK(SetRGB(J437,G437*255,H437*255,I437*255),"HOVER!")</f>
        <v>HOVER!</v>
      </c>
      <c r="K437">
        <f t="shared" si="12"/>
        <v>2</v>
      </c>
    </row>
    <row r="438" spans="1:11" x14ac:dyDescent="0.3">
      <c r="A438">
        <f>LOOKUP(9E+307,--MID(D438,1,{1,2,3,4,5}))</f>
        <v>5</v>
      </c>
      <c r="B438">
        <f>VLOOKUP(MID(D438,LOOKUP(2,1/ISNUMBER(-MID(D438,1,{1,2,3,4,5})),{1,2,3,4,5})+1,9),'Hue codes'!$A$1:$B$10,2,FALSE)</f>
        <v>40</v>
      </c>
      <c r="C438">
        <f t="shared" si="13"/>
        <v>45</v>
      </c>
      <c r="D438" s="162" t="s">
        <v>38</v>
      </c>
      <c r="E438" s="162">
        <v>4</v>
      </c>
      <c r="F438" s="162">
        <v>4</v>
      </c>
      <c r="G438" s="164">
        <v>0.2326</v>
      </c>
      <c r="H438" s="164">
        <v>0.41820000000000002</v>
      </c>
      <c r="I438" s="164">
        <v>0.3337</v>
      </c>
      <c r="J438" s="1" t="str">
        <f>HYPERLINK(SetRGB(J438,G438*255,H438*255,I438*255),"HOVER!")</f>
        <v>HOVER!</v>
      </c>
      <c r="K438">
        <f t="shared" si="12"/>
        <v>1</v>
      </c>
    </row>
    <row r="439" spans="1:11" x14ac:dyDescent="0.3">
      <c r="A439">
        <f>LOOKUP(9E+307,--MID(D439,1,{1,2,3,4,5}))</f>
        <v>5</v>
      </c>
      <c r="B439">
        <f>VLOOKUP(MID(D439,LOOKUP(2,1/ISNUMBER(-MID(D439,1,{1,2,3,4,5})),{1,2,3,4,5})+1,9),'Hue codes'!$A$1:$B$10,2,FALSE)</f>
        <v>40</v>
      </c>
      <c r="C439">
        <f t="shared" si="13"/>
        <v>45</v>
      </c>
      <c r="D439" s="162" t="s">
        <v>38</v>
      </c>
      <c r="E439" s="162">
        <v>4</v>
      </c>
      <c r="F439" s="162">
        <v>6</v>
      </c>
      <c r="G439" s="164">
        <v>9.2600000000000002E-2</v>
      </c>
      <c r="H439" s="164">
        <v>0.43390000000000001</v>
      </c>
      <c r="I439" s="164">
        <v>0.31280000000000002</v>
      </c>
      <c r="J439" s="1" t="str">
        <f>HYPERLINK(SetRGB(J439,G439*255,H439*255,I439*255),"HOVER!")</f>
        <v>HOVER!</v>
      </c>
      <c r="K439">
        <f t="shared" ref="K439:K502" si="14">E439/F439</f>
        <v>0.66666666666666663</v>
      </c>
    </row>
    <row r="440" spans="1:11" x14ac:dyDescent="0.3">
      <c r="A440">
        <f>LOOKUP(9E+307,--MID(D440,1,{1,2,3,4,5}))</f>
        <v>7.5</v>
      </c>
      <c r="B440">
        <f>VLOOKUP(MID(D440,LOOKUP(2,1/ISNUMBER(-MID(D440,1,{1,2,3,4,5})),{1,2,3,4,5})+1,9),'Hue codes'!$A$1:$B$10,2,FALSE)</f>
        <v>40</v>
      </c>
      <c r="C440">
        <f t="shared" si="13"/>
        <v>47.5</v>
      </c>
      <c r="D440" s="162" t="s">
        <v>39</v>
      </c>
      <c r="E440" s="162">
        <v>4</v>
      </c>
      <c r="F440" s="162">
        <v>2</v>
      </c>
      <c r="G440" s="164">
        <v>0.3135</v>
      </c>
      <c r="H440" s="164">
        <v>0.40039999999999998</v>
      </c>
      <c r="I440" s="164">
        <v>0.3649</v>
      </c>
      <c r="J440" s="40" t="str">
        <f>HYPERLINK(SetRGB(J440,G440*255,H440*255,I440*255),"HOVER!")</f>
        <v>HOVER!</v>
      </c>
      <c r="K440">
        <f t="shared" si="14"/>
        <v>2</v>
      </c>
    </row>
    <row r="441" spans="1:11" x14ac:dyDescent="0.3">
      <c r="A441">
        <f>LOOKUP(9E+307,--MID(D441,1,{1,2,3,4,5}))</f>
        <v>7.5</v>
      </c>
      <c r="B441">
        <f>VLOOKUP(MID(D441,LOOKUP(2,1/ISNUMBER(-MID(D441,1,{1,2,3,4,5})),{1,2,3,4,5})+1,9),'Hue codes'!$A$1:$B$10,2,FALSE)</f>
        <v>40</v>
      </c>
      <c r="C441">
        <f t="shared" si="13"/>
        <v>47.5</v>
      </c>
      <c r="D441" s="162" t="s">
        <v>39</v>
      </c>
      <c r="E441" s="162">
        <v>4</v>
      </c>
      <c r="F441" s="162">
        <v>4</v>
      </c>
      <c r="G441" s="164">
        <v>0.21909999999999999</v>
      </c>
      <c r="H441" s="164">
        <v>0.41889999999999999</v>
      </c>
      <c r="I441" s="164">
        <v>0.3493</v>
      </c>
      <c r="J441" s="67" t="str">
        <f>HYPERLINK(SetRGB(J441,G441*255,H441*255,I441*255),"HOVER!")</f>
        <v>HOVER!</v>
      </c>
      <c r="K441">
        <f t="shared" si="14"/>
        <v>1</v>
      </c>
    </row>
    <row r="442" spans="1:11" x14ac:dyDescent="0.3">
      <c r="A442">
        <f>LOOKUP(9E+307,--MID(D442,1,{1,2,3,4,5}))</f>
        <v>7.5</v>
      </c>
      <c r="B442">
        <f>VLOOKUP(MID(D442,LOOKUP(2,1/ISNUMBER(-MID(D442,1,{1,2,3,4,5})),{1,2,3,4,5})+1,9),'Hue codes'!$A$1:$B$10,2,FALSE)</f>
        <v>40</v>
      </c>
      <c r="C442">
        <f t="shared" si="13"/>
        <v>47.5</v>
      </c>
      <c r="D442" s="162" t="s">
        <v>39</v>
      </c>
      <c r="E442" s="162">
        <v>4</v>
      </c>
      <c r="F442" s="162">
        <v>6</v>
      </c>
      <c r="G442" s="164">
        <v>2.1299999999999999E-2</v>
      </c>
      <c r="H442" s="164">
        <v>0.43480000000000002</v>
      </c>
      <c r="I442" s="164">
        <v>0.33700000000000002</v>
      </c>
      <c r="J442" s="66" t="str">
        <f>HYPERLINK(SetRGB(J442,G442*255,H442*255,I442*255),"HOVER!")</f>
        <v>HOVER!</v>
      </c>
      <c r="K442">
        <f t="shared" si="14"/>
        <v>0.66666666666666663</v>
      </c>
    </row>
    <row r="443" spans="1:11" x14ac:dyDescent="0.3">
      <c r="A443">
        <f>LOOKUP(9E+307,--MID(D443,1,{1,2,3,4,5}))</f>
        <v>10</v>
      </c>
      <c r="B443">
        <f>VLOOKUP(MID(D443,LOOKUP(2,1/ISNUMBER(-MID(D443,1,{1,2,3,4,5})),{1,2,3,4,5})+1,9),'Hue codes'!$A$1:$B$10,2,FALSE)</f>
        <v>40</v>
      </c>
      <c r="C443">
        <f t="shared" si="13"/>
        <v>50</v>
      </c>
      <c r="D443" s="162" t="s">
        <v>40</v>
      </c>
      <c r="E443" s="162">
        <v>4</v>
      </c>
      <c r="F443" s="162">
        <v>2</v>
      </c>
      <c r="G443" s="164">
        <v>0.30880000000000002</v>
      </c>
      <c r="H443" s="164">
        <v>0.4007</v>
      </c>
      <c r="I443" s="164">
        <v>0.37219999999999998</v>
      </c>
      <c r="J443" s="1" t="str">
        <f>HYPERLINK(SetRGB(J443,G443*255,H443*255,I443*255),"HOVER!")</f>
        <v>HOVER!</v>
      </c>
      <c r="K443">
        <f t="shared" si="14"/>
        <v>2</v>
      </c>
    </row>
    <row r="444" spans="1:11" x14ac:dyDescent="0.3">
      <c r="A444">
        <f>LOOKUP(9E+307,--MID(D444,1,{1,2,3,4,5}))</f>
        <v>10</v>
      </c>
      <c r="B444">
        <f>VLOOKUP(MID(D444,LOOKUP(2,1/ISNUMBER(-MID(D444,1,{1,2,3,4,5})),{1,2,3,4,5})+1,9),'Hue codes'!$A$1:$B$10,2,FALSE)</f>
        <v>40</v>
      </c>
      <c r="C444">
        <f t="shared" si="13"/>
        <v>50</v>
      </c>
      <c r="D444" s="162" t="s">
        <v>40</v>
      </c>
      <c r="E444" s="162">
        <v>4</v>
      </c>
      <c r="F444" s="162">
        <v>4</v>
      </c>
      <c r="G444" s="164">
        <v>0.20599999999999999</v>
      </c>
      <c r="H444" s="164">
        <v>0.41920000000000002</v>
      </c>
      <c r="I444" s="164">
        <v>0.3649</v>
      </c>
      <c r="J444" s="1" t="str">
        <f>HYPERLINK(SetRGB(J444,G444*255,H444*255,I444*255),"HOVER!")</f>
        <v>HOVER!</v>
      </c>
      <c r="K444">
        <f t="shared" si="14"/>
        <v>1</v>
      </c>
    </row>
    <row r="445" spans="1:11" x14ac:dyDescent="0.3">
      <c r="A445">
        <f>LOOKUP(9E+307,--MID(D445,1,{1,2,3,4,5}))</f>
        <v>2.5</v>
      </c>
      <c r="B445">
        <f>VLOOKUP(MID(D445,LOOKUP(2,1/ISNUMBER(-MID(D445,1,{1,2,3,4,5})),{1,2,3,4,5})+1,9),'Hue codes'!$A$1:$B$10,2,FALSE)</f>
        <v>50</v>
      </c>
      <c r="C445">
        <f t="shared" si="13"/>
        <v>52.5</v>
      </c>
      <c r="D445" s="162" t="s">
        <v>41</v>
      </c>
      <c r="E445" s="162">
        <v>4</v>
      </c>
      <c r="F445" s="162">
        <v>2</v>
      </c>
      <c r="G445" s="164">
        <v>0.30520000000000003</v>
      </c>
      <c r="H445" s="164">
        <v>0.40060000000000001</v>
      </c>
      <c r="I445" s="164">
        <v>0.38109999999999999</v>
      </c>
      <c r="J445" s="1" t="str">
        <f>HYPERLINK(SetRGB(J445,G445*255,H445*255,I445*255),"HOVER!")</f>
        <v>HOVER!</v>
      </c>
      <c r="K445">
        <f t="shared" si="14"/>
        <v>2</v>
      </c>
    </row>
    <row r="446" spans="1:11" x14ac:dyDescent="0.3">
      <c r="A446">
        <f>LOOKUP(9E+307,--MID(D446,1,{1,2,3,4,5}))</f>
        <v>2.5</v>
      </c>
      <c r="B446">
        <f>VLOOKUP(MID(D446,LOOKUP(2,1/ISNUMBER(-MID(D446,1,{1,2,3,4,5})),{1,2,3,4,5})+1,9),'Hue codes'!$A$1:$B$10,2,FALSE)</f>
        <v>50</v>
      </c>
      <c r="C446">
        <f t="shared" si="13"/>
        <v>52.5</v>
      </c>
      <c r="D446" s="162" t="s">
        <v>41</v>
      </c>
      <c r="E446" s="162">
        <v>4</v>
      </c>
      <c r="F446" s="162">
        <v>4</v>
      </c>
      <c r="G446" s="164">
        <v>0.19309999999999999</v>
      </c>
      <c r="H446" s="164">
        <v>0.41909999999999997</v>
      </c>
      <c r="I446" s="164">
        <v>0.38300000000000001</v>
      </c>
      <c r="J446" s="1" t="str">
        <f>HYPERLINK(SetRGB(J446,G446*255,H446*255,I446*255),"HOVER!")</f>
        <v>HOVER!</v>
      </c>
      <c r="K446">
        <f t="shared" si="14"/>
        <v>1</v>
      </c>
    </row>
    <row r="447" spans="1:11" x14ac:dyDescent="0.3">
      <c r="A447">
        <f>LOOKUP(9E+307,--MID(D447,1,{1,2,3,4,5}))</f>
        <v>5</v>
      </c>
      <c r="B447">
        <f>VLOOKUP(MID(D447,LOOKUP(2,1/ISNUMBER(-MID(D447,1,{1,2,3,4,5})),{1,2,3,4,5})+1,9),'Hue codes'!$A$1:$B$10,2,FALSE)</f>
        <v>50</v>
      </c>
      <c r="C447">
        <f t="shared" si="13"/>
        <v>55</v>
      </c>
      <c r="D447" s="162" t="s">
        <v>42</v>
      </c>
      <c r="E447" s="162">
        <v>4</v>
      </c>
      <c r="F447" s="162">
        <v>2</v>
      </c>
      <c r="G447" s="164">
        <v>0.30180000000000001</v>
      </c>
      <c r="H447" s="164">
        <v>0.40029999999999999</v>
      </c>
      <c r="I447" s="164">
        <v>0.39079999999999998</v>
      </c>
      <c r="J447" s="1" t="str">
        <f>HYPERLINK(SetRGB(J447,G447*255,H447*255,I447*255),"HOVER!")</f>
        <v>HOVER!</v>
      </c>
      <c r="K447">
        <f t="shared" si="14"/>
        <v>2</v>
      </c>
    </row>
    <row r="448" spans="1:11" x14ac:dyDescent="0.3">
      <c r="A448">
        <f>LOOKUP(9E+307,--MID(D448,1,{1,2,3,4,5}))</f>
        <v>5</v>
      </c>
      <c r="B448">
        <f>VLOOKUP(MID(D448,LOOKUP(2,1/ISNUMBER(-MID(D448,1,{1,2,3,4,5})),{1,2,3,4,5})+1,9),'Hue codes'!$A$1:$B$10,2,FALSE)</f>
        <v>50</v>
      </c>
      <c r="C448">
        <f t="shared" si="13"/>
        <v>55</v>
      </c>
      <c r="D448" s="162" t="s">
        <v>42</v>
      </c>
      <c r="E448" s="162">
        <v>4</v>
      </c>
      <c r="F448" s="162">
        <v>4</v>
      </c>
      <c r="G448" s="164">
        <v>0.1837</v>
      </c>
      <c r="H448" s="164">
        <v>0.41810000000000003</v>
      </c>
      <c r="I448" s="164">
        <v>0.40350000000000003</v>
      </c>
      <c r="J448" s="1" t="str">
        <f>HYPERLINK(SetRGB(J448,G448*255,H448*255,I448*255),"HOVER!")</f>
        <v>HOVER!</v>
      </c>
      <c r="K448">
        <f t="shared" si="14"/>
        <v>1</v>
      </c>
    </row>
    <row r="449" spans="1:11" x14ac:dyDescent="0.3">
      <c r="A449">
        <f>LOOKUP(9E+307,--MID(D449,1,{1,2,3,4,5}))</f>
        <v>7.5</v>
      </c>
      <c r="B449">
        <f>VLOOKUP(MID(D449,LOOKUP(2,1/ISNUMBER(-MID(D449,1,{1,2,3,4,5})),{1,2,3,4,5})+1,9),'Hue codes'!$A$1:$B$10,2,FALSE)</f>
        <v>50</v>
      </c>
      <c r="C449">
        <f t="shared" si="13"/>
        <v>57.5</v>
      </c>
      <c r="D449" s="162" t="s">
        <v>43</v>
      </c>
      <c r="E449" s="162">
        <v>4</v>
      </c>
      <c r="F449" s="162">
        <v>2</v>
      </c>
      <c r="G449" s="164">
        <v>0.29970000000000002</v>
      </c>
      <c r="H449" s="164">
        <v>0.39979999999999999</v>
      </c>
      <c r="I449" s="164">
        <v>0.39989999999999998</v>
      </c>
      <c r="J449" s="1" t="str">
        <f>HYPERLINK(SetRGB(J449,G449*255,H449*255,I449*255),"HOVER!")</f>
        <v>HOVER!</v>
      </c>
      <c r="K449">
        <f t="shared" si="14"/>
        <v>2</v>
      </c>
    </row>
    <row r="450" spans="1:11" x14ac:dyDescent="0.3">
      <c r="A450">
        <f>LOOKUP(9E+307,--MID(D450,1,{1,2,3,4,5}))</f>
        <v>7.5</v>
      </c>
      <c r="B450">
        <f>VLOOKUP(MID(D450,LOOKUP(2,1/ISNUMBER(-MID(D450,1,{1,2,3,4,5})),{1,2,3,4,5})+1,9),'Hue codes'!$A$1:$B$10,2,FALSE)</f>
        <v>50</v>
      </c>
      <c r="C450">
        <f t="shared" si="13"/>
        <v>57.5</v>
      </c>
      <c r="D450" s="162" t="s">
        <v>43</v>
      </c>
      <c r="E450" s="162">
        <v>4</v>
      </c>
      <c r="F450" s="162">
        <v>4</v>
      </c>
      <c r="G450" s="164">
        <v>0.1804</v>
      </c>
      <c r="H450" s="164">
        <v>0.41660000000000003</v>
      </c>
      <c r="I450" s="164">
        <v>0.42120000000000002</v>
      </c>
      <c r="J450" s="1" t="str">
        <f>HYPERLINK(SetRGB(J450,G450*255,H450*255,I450*255),"HOVER!")</f>
        <v>HOVER!</v>
      </c>
      <c r="K450">
        <f t="shared" si="14"/>
        <v>1</v>
      </c>
    </row>
    <row r="451" spans="1:11" x14ac:dyDescent="0.3">
      <c r="A451">
        <f>LOOKUP(9E+307,--MID(D451,1,{1,2,3,4,5}))</f>
        <v>10</v>
      </c>
      <c r="B451">
        <f>VLOOKUP(MID(D451,LOOKUP(2,1/ISNUMBER(-MID(D451,1,{1,2,3,4,5})),{1,2,3,4,5})+1,9),'Hue codes'!$A$1:$B$10,2,FALSE)</f>
        <v>50</v>
      </c>
      <c r="C451">
        <f t="shared" ref="C451:C514" si="15">IF(A451+B451=100,0,A451+B451)</f>
        <v>60</v>
      </c>
      <c r="D451" s="162" t="s">
        <v>44</v>
      </c>
      <c r="E451" s="162">
        <v>4</v>
      </c>
      <c r="F451" s="162">
        <v>2</v>
      </c>
      <c r="G451" s="164">
        <v>0.30030000000000001</v>
      </c>
      <c r="H451" s="164">
        <v>0.3987</v>
      </c>
      <c r="I451" s="164">
        <v>0.4083</v>
      </c>
      <c r="J451" s="1" t="str">
        <f>HYPERLINK(SetRGB(J451,G451*255,H451*255,I451*255),"HOVER!")</f>
        <v>HOVER!</v>
      </c>
      <c r="K451">
        <f t="shared" si="14"/>
        <v>2</v>
      </c>
    </row>
    <row r="452" spans="1:11" x14ac:dyDescent="0.3">
      <c r="A452">
        <f>LOOKUP(9E+307,--MID(D452,1,{1,2,3,4,5}))</f>
        <v>10</v>
      </c>
      <c r="B452">
        <f>VLOOKUP(MID(D452,LOOKUP(2,1/ISNUMBER(-MID(D452,1,{1,2,3,4,5})),{1,2,3,4,5})+1,9),'Hue codes'!$A$1:$B$10,2,FALSE)</f>
        <v>50</v>
      </c>
      <c r="C452">
        <f t="shared" si="15"/>
        <v>60</v>
      </c>
      <c r="D452" s="162" t="s">
        <v>44</v>
      </c>
      <c r="E452" s="162">
        <v>4</v>
      </c>
      <c r="F452" s="162">
        <v>4</v>
      </c>
      <c r="G452" s="164">
        <v>0.18010000000000001</v>
      </c>
      <c r="H452" s="164">
        <v>0.41460000000000002</v>
      </c>
      <c r="I452" s="164">
        <v>0.43909999999999999</v>
      </c>
      <c r="J452" s="1" t="str">
        <f>HYPERLINK(SetRGB(J452,G452*255,H452*255,I452*255),"HOVER!")</f>
        <v>HOVER!</v>
      </c>
      <c r="K452">
        <f t="shared" si="14"/>
        <v>1</v>
      </c>
    </row>
    <row r="453" spans="1:11" x14ac:dyDescent="0.3">
      <c r="A453">
        <f>LOOKUP(9E+307,--MID(D453,1,{1,2,3,4,5}))</f>
        <v>2.5</v>
      </c>
      <c r="B453">
        <f>VLOOKUP(MID(D453,LOOKUP(2,1/ISNUMBER(-MID(D453,1,{1,2,3,4,5})),{1,2,3,4,5})+1,9),'Hue codes'!$A$1:$B$10,2,FALSE)</f>
        <v>60</v>
      </c>
      <c r="C453">
        <f t="shared" si="15"/>
        <v>62.5</v>
      </c>
      <c r="D453" s="162" t="s">
        <v>45</v>
      </c>
      <c r="E453" s="162">
        <v>4</v>
      </c>
      <c r="F453" s="162">
        <v>2</v>
      </c>
      <c r="G453" s="164">
        <v>0.30370000000000003</v>
      </c>
      <c r="H453" s="164">
        <v>0.39710000000000001</v>
      </c>
      <c r="I453" s="164">
        <v>0.41570000000000001</v>
      </c>
      <c r="J453" s="1" t="str">
        <f>HYPERLINK(SetRGB(J453,G453*255,H453*255,I453*255),"HOVER!")</f>
        <v>HOVER!</v>
      </c>
      <c r="K453">
        <f t="shared" si="14"/>
        <v>2</v>
      </c>
    </row>
    <row r="454" spans="1:11" x14ac:dyDescent="0.3">
      <c r="A454">
        <f>LOOKUP(9E+307,--MID(D454,1,{1,2,3,4,5}))</f>
        <v>2.5</v>
      </c>
      <c r="B454">
        <f>VLOOKUP(MID(D454,LOOKUP(2,1/ISNUMBER(-MID(D454,1,{1,2,3,4,5})),{1,2,3,4,5})+1,9),'Hue codes'!$A$1:$B$10,2,FALSE)</f>
        <v>60</v>
      </c>
      <c r="C454">
        <f t="shared" si="15"/>
        <v>62.5</v>
      </c>
      <c r="D454" s="162" t="s">
        <v>45</v>
      </c>
      <c r="E454" s="162">
        <v>4</v>
      </c>
      <c r="F454" s="162">
        <v>4</v>
      </c>
      <c r="G454" s="164">
        <v>0.1888</v>
      </c>
      <c r="H454" s="164">
        <v>0.41160000000000002</v>
      </c>
      <c r="I454" s="164">
        <v>0.45500000000000002</v>
      </c>
      <c r="J454" s="1" t="str">
        <f>HYPERLINK(SetRGB(J454,G454*255,H454*255,I454*255),"HOVER!")</f>
        <v>HOVER!</v>
      </c>
      <c r="K454">
        <f t="shared" si="14"/>
        <v>1</v>
      </c>
    </row>
    <row r="455" spans="1:11" x14ac:dyDescent="0.3">
      <c r="A455">
        <f>LOOKUP(9E+307,--MID(D455,1,{1,2,3,4,5}))</f>
        <v>5</v>
      </c>
      <c r="B455">
        <f>VLOOKUP(MID(D455,LOOKUP(2,1/ISNUMBER(-MID(D455,1,{1,2,3,4,5})),{1,2,3,4,5})+1,9),'Hue codes'!$A$1:$B$10,2,FALSE)</f>
        <v>60</v>
      </c>
      <c r="C455">
        <f t="shared" si="15"/>
        <v>65</v>
      </c>
      <c r="D455" s="162" t="s">
        <v>46</v>
      </c>
      <c r="E455" s="162">
        <v>4</v>
      </c>
      <c r="F455" s="162">
        <v>2</v>
      </c>
      <c r="G455" s="164">
        <v>0.30880000000000002</v>
      </c>
      <c r="H455" s="164">
        <v>0.39529999999999998</v>
      </c>
      <c r="I455" s="164">
        <v>0.42180000000000001</v>
      </c>
      <c r="J455" s="1" t="str">
        <f>HYPERLINK(SetRGB(J455,G455*255,H455*255,I455*255),"HOVER!")</f>
        <v>HOVER!</v>
      </c>
      <c r="K455">
        <f t="shared" si="14"/>
        <v>2</v>
      </c>
    </row>
    <row r="456" spans="1:11" x14ac:dyDescent="0.3">
      <c r="A456">
        <f>LOOKUP(9E+307,--MID(D456,1,{1,2,3,4,5}))</f>
        <v>5</v>
      </c>
      <c r="B456">
        <f>VLOOKUP(MID(D456,LOOKUP(2,1/ISNUMBER(-MID(D456,1,{1,2,3,4,5})),{1,2,3,4,5})+1,9),'Hue codes'!$A$1:$B$10,2,FALSE)</f>
        <v>60</v>
      </c>
      <c r="C456">
        <f t="shared" si="15"/>
        <v>65</v>
      </c>
      <c r="D456" s="162" t="s">
        <v>46</v>
      </c>
      <c r="E456" s="162">
        <v>4</v>
      </c>
      <c r="F456" s="162">
        <v>4</v>
      </c>
      <c r="G456" s="164">
        <v>0.20749999999999999</v>
      </c>
      <c r="H456" s="164">
        <v>0.40770000000000001</v>
      </c>
      <c r="I456" s="164">
        <v>0.46710000000000002</v>
      </c>
      <c r="J456" s="1" t="str">
        <f>HYPERLINK(SetRGB(J456,G456*255,H456*255,I456*255),"HOVER!")</f>
        <v>HOVER!</v>
      </c>
      <c r="K456">
        <f t="shared" si="14"/>
        <v>1</v>
      </c>
    </row>
    <row r="457" spans="1:11" x14ac:dyDescent="0.3">
      <c r="A457">
        <f>LOOKUP(9E+307,--MID(D457,1,{1,2,3,4,5}))</f>
        <v>7.5</v>
      </c>
      <c r="B457">
        <f>VLOOKUP(MID(D457,LOOKUP(2,1/ISNUMBER(-MID(D457,1,{1,2,3,4,5})),{1,2,3,4,5})+1,9),'Hue codes'!$A$1:$B$10,2,FALSE)</f>
        <v>60</v>
      </c>
      <c r="C457">
        <f t="shared" si="15"/>
        <v>67.5</v>
      </c>
      <c r="D457" s="162" t="s">
        <v>47</v>
      </c>
      <c r="E457" s="162">
        <v>4</v>
      </c>
      <c r="F457" s="162">
        <v>2</v>
      </c>
      <c r="G457" s="164">
        <v>0.31790000000000002</v>
      </c>
      <c r="H457" s="164">
        <v>0.3926</v>
      </c>
      <c r="I457" s="164">
        <v>0.42720000000000002</v>
      </c>
      <c r="J457" s="1" t="str">
        <f>HYPERLINK(SetRGB(J457,G457*255,H457*255,I457*255),"HOVER!")</f>
        <v>HOVER!</v>
      </c>
      <c r="K457">
        <f t="shared" si="14"/>
        <v>2</v>
      </c>
    </row>
    <row r="458" spans="1:11" x14ac:dyDescent="0.3">
      <c r="A458">
        <f>LOOKUP(9E+307,--MID(D458,1,{1,2,3,4,5}))</f>
        <v>7.5</v>
      </c>
      <c r="B458">
        <f>VLOOKUP(MID(D458,LOOKUP(2,1/ISNUMBER(-MID(D458,1,{1,2,3,4,5})),{1,2,3,4,5})+1,9),'Hue codes'!$A$1:$B$10,2,FALSE)</f>
        <v>60</v>
      </c>
      <c r="C458">
        <f t="shared" si="15"/>
        <v>67.5</v>
      </c>
      <c r="D458" s="162" t="s">
        <v>47</v>
      </c>
      <c r="E458" s="162">
        <v>4</v>
      </c>
      <c r="F458" s="162">
        <v>4</v>
      </c>
      <c r="G458" s="164">
        <v>0.2334</v>
      </c>
      <c r="H458" s="164">
        <v>0.40260000000000001</v>
      </c>
      <c r="I458" s="164">
        <v>0.47689999999999999</v>
      </c>
      <c r="J458" s="1" t="str">
        <f>HYPERLINK(SetRGB(J458,G458*255,H458*255,I458*255),"HOVER!")</f>
        <v>HOVER!</v>
      </c>
      <c r="K458">
        <f t="shared" si="14"/>
        <v>1</v>
      </c>
    </row>
    <row r="459" spans="1:11" x14ac:dyDescent="0.3">
      <c r="A459">
        <f>LOOKUP(9E+307,--MID(D459,1,{1,2,3,4,5}))</f>
        <v>7.5</v>
      </c>
      <c r="B459">
        <f>VLOOKUP(MID(D459,LOOKUP(2,1/ISNUMBER(-MID(D459,1,{1,2,3,4,5})),{1,2,3,4,5})+1,9),'Hue codes'!$A$1:$B$10,2,FALSE)</f>
        <v>60</v>
      </c>
      <c r="C459">
        <f t="shared" si="15"/>
        <v>67.5</v>
      </c>
      <c r="D459" s="162" t="s">
        <v>47</v>
      </c>
      <c r="E459" s="162">
        <v>4</v>
      </c>
      <c r="F459" s="162">
        <v>6</v>
      </c>
      <c r="G459" s="164">
        <v>9.5299999999999996E-2</v>
      </c>
      <c r="H459" s="164">
        <v>0.41049999999999998</v>
      </c>
      <c r="I459" s="164">
        <v>0.52480000000000004</v>
      </c>
      <c r="J459" s="1" t="str">
        <f>HYPERLINK(SetRGB(J459,G459*255,H459*255,I459*255),"HOVER!")</f>
        <v>HOVER!</v>
      </c>
      <c r="K459">
        <f t="shared" si="14"/>
        <v>0.66666666666666663</v>
      </c>
    </row>
    <row r="460" spans="1:11" x14ac:dyDescent="0.3">
      <c r="A460">
        <f>LOOKUP(9E+307,--MID(D460,1,{1,2,3,4,5}))</f>
        <v>10</v>
      </c>
      <c r="B460">
        <f>VLOOKUP(MID(D460,LOOKUP(2,1/ISNUMBER(-MID(D460,1,{1,2,3,4,5})),{1,2,3,4,5})+1,9),'Hue codes'!$A$1:$B$10,2,FALSE)</f>
        <v>60</v>
      </c>
      <c r="C460">
        <f t="shared" si="15"/>
        <v>70</v>
      </c>
      <c r="D460" s="162" t="s">
        <v>48</v>
      </c>
      <c r="E460" s="162">
        <v>4</v>
      </c>
      <c r="F460" s="162">
        <v>2</v>
      </c>
      <c r="G460" s="164">
        <v>0.32869999999999999</v>
      </c>
      <c r="H460" s="164">
        <v>0.38950000000000001</v>
      </c>
      <c r="I460" s="164">
        <v>0.43109999999999998</v>
      </c>
      <c r="J460" s="1" t="str">
        <f>HYPERLINK(SetRGB(J460,G460*255,H460*255,I460*255),"HOVER!")</f>
        <v>HOVER!</v>
      </c>
      <c r="K460">
        <f t="shared" si="14"/>
        <v>2</v>
      </c>
    </row>
    <row r="461" spans="1:11" x14ac:dyDescent="0.3">
      <c r="A461">
        <f>LOOKUP(9E+307,--MID(D461,1,{1,2,3,4,5}))</f>
        <v>10</v>
      </c>
      <c r="B461">
        <f>VLOOKUP(MID(D461,LOOKUP(2,1/ISNUMBER(-MID(D461,1,{1,2,3,4,5})),{1,2,3,4,5})+1,9),'Hue codes'!$A$1:$B$10,2,FALSE)</f>
        <v>60</v>
      </c>
      <c r="C461">
        <f t="shared" si="15"/>
        <v>70</v>
      </c>
      <c r="D461" s="162" t="s">
        <v>48</v>
      </c>
      <c r="E461" s="162">
        <v>4</v>
      </c>
      <c r="F461" s="162">
        <v>4</v>
      </c>
      <c r="G461" s="164">
        <v>0.26050000000000001</v>
      </c>
      <c r="H461" s="164">
        <v>0.39710000000000001</v>
      </c>
      <c r="I461" s="164">
        <v>0.48299999999999998</v>
      </c>
      <c r="J461" s="1" t="str">
        <f>HYPERLINK(SetRGB(J461,G461*255,H461*255,I461*255),"HOVER!")</f>
        <v>HOVER!</v>
      </c>
      <c r="K461">
        <f t="shared" si="14"/>
        <v>1</v>
      </c>
    </row>
    <row r="462" spans="1:11" x14ac:dyDescent="0.3">
      <c r="A462">
        <f>LOOKUP(9E+307,--MID(D462,1,{1,2,3,4,5}))</f>
        <v>10</v>
      </c>
      <c r="B462">
        <f>VLOOKUP(MID(D462,LOOKUP(2,1/ISNUMBER(-MID(D462,1,{1,2,3,4,5})),{1,2,3,4,5})+1,9),'Hue codes'!$A$1:$B$10,2,FALSE)</f>
        <v>60</v>
      </c>
      <c r="C462">
        <f t="shared" si="15"/>
        <v>70</v>
      </c>
      <c r="D462" s="162" t="s">
        <v>48</v>
      </c>
      <c r="E462" s="162">
        <v>4</v>
      </c>
      <c r="F462" s="162">
        <v>6</v>
      </c>
      <c r="G462" s="164">
        <v>0.1653</v>
      </c>
      <c r="H462" s="164">
        <v>0.40350000000000003</v>
      </c>
      <c r="I462" s="164">
        <v>0.5323</v>
      </c>
      <c r="J462" s="1" t="str">
        <f>HYPERLINK(SetRGB(J462,G462*255,H462*255,I462*255),"HOVER!")</f>
        <v>HOVER!</v>
      </c>
      <c r="K462">
        <f t="shared" si="14"/>
        <v>0.66666666666666663</v>
      </c>
    </row>
    <row r="463" spans="1:11" x14ac:dyDescent="0.3">
      <c r="A463">
        <f>LOOKUP(9E+307,--MID(D463,1,{1,2,3,4,5}))</f>
        <v>2.5</v>
      </c>
      <c r="B463">
        <f>VLOOKUP(MID(D463,LOOKUP(2,1/ISNUMBER(-MID(D463,1,{1,2,3,4,5})),{1,2,3,4,5})+1,9),'Hue codes'!$A$1:$B$10,2,FALSE)</f>
        <v>70</v>
      </c>
      <c r="C463">
        <f t="shared" si="15"/>
        <v>72.5</v>
      </c>
      <c r="D463" s="162" t="s">
        <v>49</v>
      </c>
      <c r="E463" s="162">
        <v>4</v>
      </c>
      <c r="F463" s="162">
        <v>2</v>
      </c>
      <c r="G463" s="164">
        <v>0.34129999999999999</v>
      </c>
      <c r="H463" s="164">
        <v>0.38590000000000002</v>
      </c>
      <c r="I463" s="164">
        <v>0.43419999999999997</v>
      </c>
      <c r="J463" s="1" t="str">
        <f>HYPERLINK(SetRGB(J463,G463*255,H463*255,I463*255),"HOVER!")</f>
        <v>HOVER!</v>
      </c>
      <c r="K463">
        <f t="shared" si="14"/>
        <v>2</v>
      </c>
    </row>
    <row r="464" spans="1:11" x14ac:dyDescent="0.3">
      <c r="A464">
        <f>LOOKUP(9E+307,--MID(D464,1,{1,2,3,4,5}))</f>
        <v>2.5</v>
      </c>
      <c r="B464">
        <f>VLOOKUP(MID(D464,LOOKUP(2,1/ISNUMBER(-MID(D464,1,{1,2,3,4,5})),{1,2,3,4,5})+1,9),'Hue codes'!$A$1:$B$10,2,FALSE)</f>
        <v>70</v>
      </c>
      <c r="C464">
        <f t="shared" si="15"/>
        <v>72.5</v>
      </c>
      <c r="D464" s="162" t="s">
        <v>49</v>
      </c>
      <c r="E464" s="162">
        <v>4</v>
      </c>
      <c r="F464" s="162">
        <v>4</v>
      </c>
      <c r="G464" s="164">
        <v>0.29110000000000003</v>
      </c>
      <c r="H464" s="164">
        <v>0.39040000000000002</v>
      </c>
      <c r="I464" s="164">
        <v>0.48770000000000002</v>
      </c>
      <c r="J464" s="1" t="str">
        <f>HYPERLINK(SetRGB(J464,G464*255,H464*255,I464*255),"HOVER!")</f>
        <v>HOVER!</v>
      </c>
      <c r="K464">
        <f t="shared" si="14"/>
        <v>1</v>
      </c>
    </row>
    <row r="465" spans="1:11" x14ac:dyDescent="0.3">
      <c r="A465">
        <f>LOOKUP(9E+307,--MID(D465,1,{1,2,3,4,5}))</f>
        <v>2.5</v>
      </c>
      <c r="B465">
        <f>VLOOKUP(MID(D465,LOOKUP(2,1/ISNUMBER(-MID(D465,1,{1,2,3,4,5})),{1,2,3,4,5})+1,9),'Hue codes'!$A$1:$B$10,2,FALSE)</f>
        <v>70</v>
      </c>
      <c r="C465">
        <f t="shared" si="15"/>
        <v>72.5</v>
      </c>
      <c r="D465" s="162" t="s">
        <v>49</v>
      </c>
      <c r="E465" s="162">
        <v>4</v>
      </c>
      <c r="F465" s="162">
        <v>6</v>
      </c>
      <c r="G465" s="164">
        <v>0.22800000000000001</v>
      </c>
      <c r="H465" s="164">
        <v>0.39410000000000001</v>
      </c>
      <c r="I465" s="164">
        <v>0.53920000000000001</v>
      </c>
      <c r="J465" s="1" t="str">
        <f>HYPERLINK(SetRGB(J465,G465*255,H465*255,I465*255),"HOVER!")</f>
        <v>HOVER!</v>
      </c>
      <c r="K465">
        <f t="shared" si="14"/>
        <v>0.66666666666666663</v>
      </c>
    </row>
    <row r="466" spans="1:11" x14ac:dyDescent="0.3">
      <c r="A466">
        <f>LOOKUP(9E+307,--MID(D466,1,{1,2,3,4,5}))</f>
        <v>2.5</v>
      </c>
      <c r="B466">
        <f>VLOOKUP(MID(D466,LOOKUP(2,1/ISNUMBER(-MID(D466,1,{1,2,3,4,5})),{1,2,3,4,5})+1,9),'Hue codes'!$A$1:$B$10,2,FALSE)</f>
        <v>70</v>
      </c>
      <c r="C466">
        <f t="shared" si="15"/>
        <v>72.5</v>
      </c>
      <c r="D466" s="162" t="s">
        <v>49</v>
      </c>
      <c r="E466" s="162">
        <v>4</v>
      </c>
      <c r="F466" s="162">
        <v>8</v>
      </c>
      <c r="G466" s="164">
        <v>0.11169999999999999</v>
      </c>
      <c r="H466" s="164">
        <v>0.39800000000000002</v>
      </c>
      <c r="I466" s="164">
        <v>0.59399999999999997</v>
      </c>
      <c r="J466" s="1" t="str">
        <f>HYPERLINK(SetRGB(J466,G466*255,H466*255,I466*255),"HOVER!")</f>
        <v>HOVER!</v>
      </c>
      <c r="K466">
        <f t="shared" si="14"/>
        <v>0.5</v>
      </c>
    </row>
    <row r="467" spans="1:11" x14ac:dyDescent="0.3">
      <c r="A467">
        <f>LOOKUP(9E+307,--MID(D467,1,{1,2,3,4,5}))</f>
        <v>5</v>
      </c>
      <c r="B467">
        <f>VLOOKUP(MID(D467,LOOKUP(2,1/ISNUMBER(-MID(D467,1,{1,2,3,4,5})),{1,2,3,4,5})+1,9),'Hue codes'!$A$1:$B$10,2,FALSE)</f>
        <v>70</v>
      </c>
      <c r="C467">
        <f t="shared" si="15"/>
        <v>75</v>
      </c>
      <c r="D467" s="162" t="s">
        <v>50</v>
      </c>
      <c r="E467" s="162">
        <v>4</v>
      </c>
      <c r="F467" s="162">
        <v>2</v>
      </c>
      <c r="G467" s="164">
        <v>0.35499999999999998</v>
      </c>
      <c r="H467" s="164">
        <v>0.38190000000000002</v>
      </c>
      <c r="I467" s="164">
        <v>0.43709999999999999</v>
      </c>
      <c r="J467" s="1" t="str">
        <f>HYPERLINK(SetRGB(J467,G467*255,H467*255,I467*255),"HOVER!")</f>
        <v>HOVER!</v>
      </c>
      <c r="K467">
        <f t="shared" si="14"/>
        <v>2</v>
      </c>
    </row>
    <row r="468" spans="1:11" x14ac:dyDescent="0.3">
      <c r="A468">
        <f>LOOKUP(9E+307,--MID(D468,1,{1,2,3,4,5}))</f>
        <v>5</v>
      </c>
      <c r="B468">
        <f>VLOOKUP(MID(D468,LOOKUP(2,1/ISNUMBER(-MID(D468,1,{1,2,3,4,5})),{1,2,3,4,5})+1,9),'Hue codes'!$A$1:$B$10,2,FALSE)</f>
        <v>70</v>
      </c>
      <c r="C468">
        <f t="shared" si="15"/>
        <v>75</v>
      </c>
      <c r="D468" s="162" t="s">
        <v>50</v>
      </c>
      <c r="E468" s="162">
        <v>4</v>
      </c>
      <c r="F468" s="162">
        <v>4</v>
      </c>
      <c r="G468" s="164">
        <v>0.32269999999999999</v>
      </c>
      <c r="H468" s="164">
        <v>0.38290000000000002</v>
      </c>
      <c r="I468" s="164">
        <v>0.48970000000000002</v>
      </c>
      <c r="J468" s="1" t="str">
        <f>HYPERLINK(SetRGB(J468,G468*255,H468*255,I468*255),"HOVER!")</f>
        <v>HOVER!</v>
      </c>
      <c r="K468">
        <f t="shared" si="14"/>
        <v>1</v>
      </c>
    </row>
    <row r="469" spans="1:11" x14ac:dyDescent="0.3">
      <c r="A469">
        <f>LOOKUP(9E+307,--MID(D469,1,{1,2,3,4,5}))</f>
        <v>5</v>
      </c>
      <c r="B469">
        <f>VLOOKUP(MID(D469,LOOKUP(2,1/ISNUMBER(-MID(D469,1,{1,2,3,4,5})),{1,2,3,4,5})+1,9),'Hue codes'!$A$1:$B$10,2,FALSE)</f>
        <v>70</v>
      </c>
      <c r="C469">
        <f t="shared" si="15"/>
        <v>75</v>
      </c>
      <c r="D469" s="162" t="s">
        <v>50</v>
      </c>
      <c r="E469" s="162">
        <v>4</v>
      </c>
      <c r="F469" s="162">
        <v>6</v>
      </c>
      <c r="G469" s="164">
        <v>0.2792</v>
      </c>
      <c r="H469" s="164">
        <v>0.38440000000000002</v>
      </c>
      <c r="I469" s="164">
        <v>0.54220000000000002</v>
      </c>
      <c r="J469" s="1" t="str">
        <f>HYPERLINK(SetRGB(J469,G469*255,H469*255,I469*255),"HOVER!")</f>
        <v>HOVER!</v>
      </c>
      <c r="K469">
        <f t="shared" si="14"/>
        <v>0.66666666666666663</v>
      </c>
    </row>
    <row r="470" spans="1:11" x14ac:dyDescent="0.3">
      <c r="A470">
        <f>LOOKUP(9E+307,--MID(D470,1,{1,2,3,4,5}))</f>
        <v>5</v>
      </c>
      <c r="B470">
        <f>VLOOKUP(MID(D470,LOOKUP(2,1/ISNUMBER(-MID(D470,1,{1,2,3,4,5})),{1,2,3,4,5})+1,9),'Hue codes'!$A$1:$B$10,2,FALSE)</f>
        <v>70</v>
      </c>
      <c r="C470">
        <f t="shared" si="15"/>
        <v>75</v>
      </c>
      <c r="D470" s="162" t="s">
        <v>50</v>
      </c>
      <c r="E470" s="162">
        <v>4</v>
      </c>
      <c r="F470" s="162">
        <v>8</v>
      </c>
      <c r="G470" s="164">
        <v>0.2172</v>
      </c>
      <c r="H470" s="164">
        <v>0.3856</v>
      </c>
      <c r="I470" s="164">
        <v>0.59740000000000004</v>
      </c>
      <c r="J470" s="1" t="str">
        <f>HYPERLINK(SetRGB(J470,G470*255,H470*255,I470*255),"HOVER!")</f>
        <v>HOVER!</v>
      </c>
      <c r="K470">
        <f t="shared" si="14"/>
        <v>0.5</v>
      </c>
    </row>
    <row r="471" spans="1:11" x14ac:dyDescent="0.3">
      <c r="A471">
        <f>LOOKUP(9E+307,--MID(D471,1,{1,2,3,4,5}))</f>
        <v>5</v>
      </c>
      <c r="B471">
        <f>VLOOKUP(MID(D471,LOOKUP(2,1/ISNUMBER(-MID(D471,1,{1,2,3,4,5})),{1,2,3,4,5})+1,9),'Hue codes'!$A$1:$B$10,2,FALSE)</f>
        <v>70</v>
      </c>
      <c r="C471">
        <f t="shared" si="15"/>
        <v>75</v>
      </c>
      <c r="D471" s="162" t="s">
        <v>50</v>
      </c>
      <c r="E471" s="162">
        <v>4</v>
      </c>
      <c r="F471" s="162">
        <v>10</v>
      </c>
      <c r="G471" s="164">
        <v>0.1265</v>
      </c>
      <c r="H471" s="164">
        <v>0.38619999999999999</v>
      </c>
      <c r="I471" s="164">
        <v>0.64810000000000001</v>
      </c>
      <c r="J471" s="41" t="str">
        <f>HYPERLINK(SetRGB(J471,G471*255,H471*255,I471*255),"HOVER!")</f>
        <v>HOVER!</v>
      </c>
      <c r="K471">
        <f t="shared" si="14"/>
        <v>0.4</v>
      </c>
    </row>
    <row r="472" spans="1:11" x14ac:dyDescent="0.3">
      <c r="A472">
        <f>LOOKUP(9E+307,--MID(D472,1,{1,2,3,4,5}))</f>
        <v>7.5</v>
      </c>
      <c r="B472">
        <f>VLOOKUP(MID(D472,LOOKUP(2,1/ISNUMBER(-MID(D472,1,{1,2,3,4,5})),{1,2,3,4,5})+1,9),'Hue codes'!$A$1:$B$10,2,FALSE)</f>
        <v>70</v>
      </c>
      <c r="C472">
        <f t="shared" si="15"/>
        <v>77.5</v>
      </c>
      <c r="D472" s="162" t="s">
        <v>51</v>
      </c>
      <c r="E472" s="162">
        <v>4</v>
      </c>
      <c r="F472" s="162">
        <v>2</v>
      </c>
      <c r="G472" s="164">
        <v>0.36969999999999997</v>
      </c>
      <c r="H472" s="164">
        <v>0.37759999999999999</v>
      </c>
      <c r="I472" s="164">
        <v>0.438</v>
      </c>
      <c r="J472" s="65" t="str">
        <f>HYPERLINK(SetRGB(J472,G472*255,H472*255,I472*255),"HOVER!")</f>
        <v>HOVER!</v>
      </c>
      <c r="K472">
        <f t="shared" si="14"/>
        <v>2</v>
      </c>
    </row>
    <row r="473" spans="1:11" x14ac:dyDescent="0.3">
      <c r="A473">
        <f>LOOKUP(9E+307,--MID(D473,1,{1,2,3,4,5}))</f>
        <v>7.5</v>
      </c>
      <c r="B473">
        <f>VLOOKUP(MID(D473,LOOKUP(2,1/ISNUMBER(-MID(D473,1,{1,2,3,4,5})),{1,2,3,4,5})+1,9),'Hue codes'!$A$1:$B$10,2,FALSE)</f>
        <v>70</v>
      </c>
      <c r="C473">
        <f t="shared" si="15"/>
        <v>77.5</v>
      </c>
      <c r="D473" s="162" t="s">
        <v>51</v>
      </c>
      <c r="E473" s="162">
        <v>4</v>
      </c>
      <c r="F473" s="162">
        <v>4</v>
      </c>
      <c r="G473" s="164">
        <v>0.3569</v>
      </c>
      <c r="H473" s="164">
        <v>0.37390000000000001</v>
      </c>
      <c r="I473" s="164">
        <v>0.49</v>
      </c>
      <c r="J473" s="64" t="str">
        <f>HYPERLINK(SetRGB(J473,G473*255,H473*255,I473*255),"HOVER!")</f>
        <v>HOVER!</v>
      </c>
      <c r="K473">
        <f t="shared" si="14"/>
        <v>1</v>
      </c>
    </row>
    <row r="474" spans="1:11" x14ac:dyDescent="0.3">
      <c r="A474">
        <f>LOOKUP(9E+307,--MID(D474,1,{1,2,3,4,5}))</f>
        <v>7.5</v>
      </c>
      <c r="B474">
        <f>VLOOKUP(MID(D474,LOOKUP(2,1/ISNUMBER(-MID(D474,1,{1,2,3,4,5})),{1,2,3,4,5})+1,9),'Hue codes'!$A$1:$B$10,2,FALSE)</f>
        <v>70</v>
      </c>
      <c r="C474">
        <f t="shared" si="15"/>
        <v>77.5</v>
      </c>
      <c r="D474" s="162" t="s">
        <v>51</v>
      </c>
      <c r="E474" s="162">
        <v>4</v>
      </c>
      <c r="F474" s="162">
        <v>6</v>
      </c>
      <c r="G474" s="164">
        <v>0.34110000000000001</v>
      </c>
      <c r="H474" s="164">
        <v>0.36980000000000002</v>
      </c>
      <c r="I474" s="164">
        <v>0.54110000000000003</v>
      </c>
      <c r="J474" s="1" t="str">
        <f>HYPERLINK(SetRGB(J474,G474*255,H474*255,I474*255),"HOVER!")</f>
        <v>HOVER!</v>
      </c>
      <c r="K474">
        <f t="shared" si="14"/>
        <v>0.66666666666666663</v>
      </c>
    </row>
    <row r="475" spans="1:11" x14ac:dyDescent="0.3">
      <c r="A475">
        <f>LOOKUP(9E+307,--MID(D475,1,{1,2,3,4,5}))</f>
        <v>7.5</v>
      </c>
      <c r="B475">
        <f>VLOOKUP(MID(D475,LOOKUP(2,1/ISNUMBER(-MID(D475,1,{1,2,3,4,5})),{1,2,3,4,5})+1,9),'Hue codes'!$A$1:$B$10,2,FALSE)</f>
        <v>70</v>
      </c>
      <c r="C475">
        <f t="shared" si="15"/>
        <v>77.5</v>
      </c>
      <c r="D475" s="162" t="s">
        <v>51</v>
      </c>
      <c r="E475" s="162">
        <v>4</v>
      </c>
      <c r="F475" s="162">
        <v>8</v>
      </c>
      <c r="G475" s="164">
        <v>0.32390000000000002</v>
      </c>
      <c r="H475" s="164">
        <v>0.36459999999999998</v>
      </c>
      <c r="I475" s="164">
        <v>0.59319999999999995</v>
      </c>
      <c r="J475" s="1" t="str">
        <f>HYPERLINK(SetRGB(J475,G475*255,H475*255,I475*255),"HOVER!")</f>
        <v>HOVER!</v>
      </c>
      <c r="K475">
        <f t="shared" si="14"/>
        <v>0.5</v>
      </c>
    </row>
    <row r="476" spans="1:11" x14ac:dyDescent="0.3">
      <c r="A476">
        <f>LOOKUP(9E+307,--MID(D476,1,{1,2,3,4,5}))</f>
        <v>7.5</v>
      </c>
      <c r="B476">
        <f>VLOOKUP(MID(D476,LOOKUP(2,1/ISNUMBER(-MID(D476,1,{1,2,3,4,5})),{1,2,3,4,5})+1,9),'Hue codes'!$A$1:$B$10,2,FALSE)</f>
        <v>70</v>
      </c>
      <c r="C476">
        <f t="shared" si="15"/>
        <v>77.5</v>
      </c>
      <c r="D476" s="162" t="s">
        <v>51</v>
      </c>
      <c r="E476" s="162">
        <v>4</v>
      </c>
      <c r="F476" s="162">
        <v>10</v>
      </c>
      <c r="G476" s="164">
        <v>0.30359999999999998</v>
      </c>
      <c r="H476" s="164">
        <v>0.35870000000000002</v>
      </c>
      <c r="I476" s="164">
        <v>0.64419999999999999</v>
      </c>
      <c r="J476" s="1" t="str">
        <f>HYPERLINK(SetRGB(J476,G476*255,H476*255,I476*255),"HOVER!")</f>
        <v>HOVER!</v>
      </c>
      <c r="K476">
        <f t="shared" si="14"/>
        <v>0.4</v>
      </c>
    </row>
    <row r="477" spans="1:11" x14ac:dyDescent="0.3">
      <c r="A477">
        <f>LOOKUP(9E+307,--MID(D477,1,{1,2,3,4,5}))</f>
        <v>7.5</v>
      </c>
      <c r="B477">
        <f>VLOOKUP(MID(D477,LOOKUP(2,1/ISNUMBER(-MID(D477,1,{1,2,3,4,5})),{1,2,3,4,5})+1,9),'Hue codes'!$A$1:$B$10,2,FALSE)</f>
        <v>70</v>
      </c>
      <c r="C477">
        <f t="shared" si="15"/>
        <v>77.5</v>
      </c>
      <c r="D477" s="162" t="s">
        <v>51</v>
      </c>
      <c r="E477" s="162">
        <v>4</v>
      </c>
      <c r="F477" s="162">
        <v>12</v>
      </c>
      <c r="G477" s="164">
        <v>0.28260000000000002</v>
      </c>
      <c r="H477" s="164">
        <v>0.3518</v>
      </c>
      <c r="I477" s="164">
        <v>0.69310000000000005</v>
      </c>
      <c r="J477" s="1" t="str">
        <f>HYPERLINK(SetRGB(J477,G477*255,H477*255,I477*255),"HOVER!")</f>
        <v>HOVER!</v>
      </c>
      <c r="K477">
        <f t="shared" si="14"/>
        <v>0.33333333333333331</v>
      </c>
    </row>
    <row r="478" spans="1:11" x14ac:dyDescent="0.3">
      <c r="A478">
        <f>LOOKUP(9E+307,--MID(D478,1,{1,2,3,4,5}))</f>
        <v>7.5</v>
      </c>
      <c r="B478">
        <f>VLOOKUP(MID(D478,LOOKUP(2,1/ISNUMBER(-MID(D478,1,{1,2,3,4,5})),{1,2,3,4,5})+1,9),'Hue codes'!$A$1:$B$10,2,FALSE)</f>
        <v>70</v>
      </c>
      <c r="C478">
        <f t="shared" si="15"/>
        <v>77.5</v>
      </c>
      <c r="D478" s="162" t="s">
        <v>51</v>
      </c>
      <c r="E478" s="162">
        <v>4</v>
      </c>
      <c r="F478" s="162">
        <v>14</v>
      </c>
      <c r="G478" s="164">
        <v>0.26540000000000002</v>
      </c>
      <c r="H478" s="164">
        <v>0.34250000000000003</v>
      </c>
      <c r="I478" s="164">
        <v>0.74129999999999996</v>
      </c>
      <c r="J478" s="1" t="str">
        <f>HYPERLINK(SetRGB(J478,G478*255,H478*255,I478*255),"HOVER!")</f>
        <v>HOVER!</v>
      </c>
      <c r="K478">
        <f t="shared" si="14"/>
        <v>0.2857142857142857</v>
      </c>
    </row>
    <row r="479" spans="1:11" x14ac:dyDescent="0.3">
      <c r="A479">
        <f>LOOKUP(9E+307,--MID(D479,1,{1,2,3,4,5}))</f>
        <v>7.5</v>
      </c>
      <c r="B479">
        <f>VLOOKUP(MID(D479,LOOKUP(2,1/ISNUMBER(-MID(D479,1,{1,2,3,4,5})),{1,2,3,4,5})+1,9),'Hue codes'!$A$1:$B$10,2,FALSE)</f>
        <v>70</v>
      </c>
      <c r="C479">
        <f t="shared" si="15"/>
        <v>77.5</v>
      </c>
      <c r="D479" s="162" t="s">
        <v>51</v>
      </c>
      <c r="E479" s="162">
        <v>4</v>
      </c>
      <c r="F479" s="162">
        <v>16</v>
      </c>
      <c r="G479" s="164">
        <v>0.25259999999999999</v>
      </c>
      <c r="H479" s="164">
        <v>0.32950000000000002</v>
      </c>
      <c r="I479" s="164">
        <v>0.79239999999999999</v>
      </c>
      <c r="J479" s="1" t="str">
        <f>HYPERLINK(SetRGB(J479,G479*255,H479*255,I479*255),"HOVER!")</f>
        <v>HOVER!</v>
      </c>
      <c r="K479">
        <f t="shared" si="14"/>
        <v>0.25</v>
      </c>
    </row>
    <row r="480" spans="1:11" x14ac:dyDescent="0.3">
      <c r="A480">
        <f>LOOKUP(9E+307,--MID(D480,1,{1,2,3,4,5}))</f>
        <v>7.5</v>
      </c>
      <c r="B480">
        <f>VLOOKUP(MID(D480,LOOKUP(2,1/ISNUMBER(-MID(D480,1,{1,2,3,4,5})),{1,2,3,4,5})+1,9),'Hue codes'!$A$1:$B$10,2,FALSE)</f>
        <v>70</v>
      </c>
      <c r="C480">
        <f t="shared" si="15"/>
        <v>77.5</v>
      </c>
      <c r="D480" s="162" t="s">
        <v>51</v>
      </c>
      <c r="E480" s="162">
        <v>4</v>
      </c>
      <c r="F480" s="162">
        <v>18</v>
      </c>
      <c r="G480" s="164">
        <v>0.24399999999999999</v>
      </c>
      <c r="H480" s="164">
        <v>0.31359999999999999</v>
      </c>
      <c r="I480" s="164">
        <v>0.84219999999999995</v>
      </c>
      <c r="J480" s="1" t="str">
        <f>HYPERLINK(SetRGB(J480,G480*255,H480*255,I480*255),"HOVER!")</f>
        <v>HOVER!</v>
      </c>
      <c r="K480">
        <f t="shared" si="14"/>
        <v>0.22222222222222221</v>
      </c>
    </row>
    <row r="481" spans="1:11" x14ac:dyDescent="0.3">
      <c r="A481">
        <f>LOOKUP(9E+307,--MID(D481,1,{1,2,3,4,5}))</f>
        <v>7.5</v>
      </c>
      <c r="B481">
        <f>VLOOKUP(MID(D481,LOOKUP(2,1/ISNUMBER(-MID(D481,1,{1,2,3,4,5})),{1,2,3,4,5})+1,9),'Hue codes'!$A$1:$B$10,2,FALSE)</f>
        <v>70</v>
      </c>
      <c r="C481">
        <f t="shared" si="15"/>
        <v>77.5</v>
      </c>
      <c r="D481" s="162" t="s">
        <v>51</v>
      </c>
      <c r="E481" s="162">
        <v>4</v>
      </c>
      <c r="F481" s="162">
        <v>20</v>
      </c>
      <c r="G481" s="164">
        <v>0.2389</v>
      </c>
      <c r="H481" s="164">
        <v>0.29189999999999999</v>
      </c>
      <c r="I481" s="164">
        <v>0.89729999999999999</v>
      </c>
      <c r="J481" s="1" t="str">
        <f>HYPERLINK(SetRGB(J481,G481*255,H481*255,I481*255),"HOVER!")</f>
        <v>HOVER!</v>
      </c>
      <c r="K481">
        <f t="shared" si="14"/>
        <v>0.2</v>
      </c>
    </row>
    <row r="482" spans="1:11" x14ac:dyDescent="0.3">
      <c r="A482">
        <f>LOOKUP(9E+307,--MID(D482,1,{1,2,3,4,5}))</f>
        <v>7.5</v>
      </c>
      <c r="B482">
        <f>VLOOKUP(MID(D482,LOOKUP(2,1/ISNUMBER(-MID(D482,1,{1,2,3,4,5})),{1,2,3,4,5})+1,9),'Hue codes'!$A$1:$B$10,2,FALSE)</f>
        <v>70</v>
      </c>
      <c r="C482">
        <f t="shared" si="15"/>
        <v>77.5</v>
      </c>
      <c r="D482" s="162" t="s">
        <v>51</v>
      </c>
      <c r="E482" s="162">
        <v>4</v>
      </c>
      <c r="F482" s="162">
        <v>22</v>
      </c>
      <c r="G482" s="164">
        <v>0.24160000000000001</v>
      </c>
      <c r="H482" s="164">
        <v>0.27289999999999998</v>
      </c>
      <c r="I482" s="164">
        <v>0.93520000000000003</v>
      </c>
      <c r="J482" s="1" t="str">
        <f>HYPERLINK(SetRGB(J482,G482*255,H482*255,I482*255),"HOVER!")</f>
        <v>HOVER!</v>
      </c>
      <c r="K482">
        <f t="shared" si="14"/>
        <v>0.18181818181818182</v>
      </c>
    </row>
    <row r="483" spans="1:11" x14ac:dyDescent="0.3">
      <c r="A483">
        <f>LOOKUP(9E+307,--MID(D483,1,{1,2,3,4,5}))</f>
        <v>7.5</v>
      </c>
      <c r="B483">
        <f>VLOOKUP(MID(D483,LOOKUP(2,1/ISNUMBER(-MID(D483,1,{1,2,3,4,5})),{1,2,3,4,5})+1,9),'Hue codes'!$A$1:$B$10,2,FALSE)</f>
        <v>70</v>
      </c>
      <c r="C483">
        <f t="shared" si="15"/>
        <v>77.5</v>
      </c>
      <c r="D483" s="162" t="s">
        <v>51</v>
      </c>
      <c r="E483" s="162">
        <v>4</v>
      </c>
      <c r="F483" s="162">
        <v>24</v>
      </c>
      <c r="G483" s="164">
        <v>0.24610000000000001</v>
      </c>
      <c r="H483" s="164">
        <v>0.247</v>
      </c>
      <c r="I483" s="164">
        <v>0.97889999999999999</v>
      </c>
      <c r="J483" s="1" t="str">
        <f>HYPERLINK(SetRGB(J483,G483*255,H483*255,I483*255),"HOVER!")</f>
        <v>HOVER!</v>
      </c>
      <c r="K483">
        <f t="shared" si="14"/>
        <v>0.16666666666666666</v>
      </c>
    </row>
    <row r="484" spans="1:11" x14ac:dyDescent="0.3">
      <c r="A484">
        <f>LOOKUP(9E+307,--MID(D484,1,{1,2,3,4,5}))</f>
        <v>7.5</v>
      </c>
      <c r="B484">
        <f>VLOOKUP(MID(D484,LOOKUP(2,1/ISNUMBER(-MID(D484,1,{1,2,3,4,5})),{1,2,3,4,5})+1,9),'Hue codes'!$A$1:$B$10,2,FALSE)</f>
        <v>70</v>
      </c>
      <c r="C484">
        <f t="shared" si="15"/>
        <v>77.5</v>
      </c>
      <c r="D484" s="162" t="s">
        <v>51</v>
      </c>
      <c r="E484" s="162">
        <v>4</v>
      </c>
      <c r="F484" s="162">
        <v>26</v>
      </c>
      <c r="G484" s="164">
        <v>0.253</v>
      </c>
      <c r="H484" s="164">
        <v>0.21410000000000001</v>
      </c>
      <c r="I484" s="164">
        <v>1</v>
      </c>
      <c r="J484" s="1" t="str">
        <f>HYPERLINK(SetRGB(J484,G484*255,H484*255,I484*255),"HOVER!")</f>
        <v>HOVER!</v>
      </c>
      <c r="K484">
        <f t="shared" si="14"/>
        <v>0.15384615384615385</v>
      </c>
    </row>
    <row r="485" spans="1:11" x14ac:dyDescent="0.3">
      <c r="A485">
        <f>LOOKUP(9E+307,--MID(D485,1,{1,2,3,4,5}))</f>
        <v>10</v>
      </c>
      <c r="B485">
        <f>VLOOKUP(MID(D485,LOOKUP(2,1/ISNUMBER(-MID(D485,1,{1,2,3,4,5})),{1,2,3,4,5})+1,9),'Hue codes'!$A$1:$B$10,2,FALSE)</f>
        <v>70</v>
      </c>
      <c r="C485">
        <f t="shared" si="15"/>
        <v>80</v>
      </c>
      <c r="D485" s="162" t="s">
        <v>52</v>
      </c>
      <c r="E485" s="162">
        <v>4</v>
      </c>
      <c r="F485" s="162">
        <v>2</v>
      </c>
      <c r="G485" s="164">
        <v>0.38400000000000001</v>
      </c>
      <c r="H485" s="164">
        <v>0.37330000000000002</v>
      </c>
      <c r="I485" s="164">
        <v>0.43759999999999999</v>
      </c>
      <c r="J485" s="1" t="str">
        <f>HYPERLINK(SetRGB(J485,G485*255,H485*255,I485*255),"HOVER!")</f>
        <v>HOVER!</v>
      </c>
      <c r="K485">
        <f t="shared" si="14"/>
        <v>2</v>
      </c>
    </row>
    <row r="486" spans="1:11" x14ac:dyDescent="0.3">
      <c r="A486">
        <f>LOOKUP(9E+307,--MID(D486,1,{1,2,3,4,5}))</f>
        <v>10</v>
      </c>
      <c r="B486">
        <f>VLOOKUP(MID(D486,LOOKUP(2,1/ISNUMBER(-MID(D486,1,{1,2,3,4,5})),{1,2,3,4,5})+1,9),'Hue codes'!$A$1:$B$10,2,FALSE)</f>
        <v>70</v>
      </c>
      <c r="C486">
        <f t="shared" si="15"/>
        <v>80</v>
      </c>
      <c r="D486" s="162" t="s">
        <v>52</v>
      </c>
      <c r="E486" s="162">
        <v>4</v>
      </c>
      <c r="F486" s="162">
        <v>4</v>
      </c>
      <c r="G486" s="164">
        <v>0.38619999999999999</v>
      </c>
      <c r="H486" s="164">
        <v>0.36559999999999998</v>
      </c>
      <c r="I486" s="164">
        <v>0.4859</v>
      </c>
      <c r="J486" s="1" t="str">
        <f>HYPERLINK(SetRGB(J486,G486*255,H486*255,I486*255),"HOVER!")</f>
        <v>HOVER!</v>
      </c>
      <c r="K486">
        <f t="shared" si="14"/>
        <v>1</v>
      </c>
    </row>
    <row r="487" spans="1:11" x14ac:dyDescent="0.3">
      <c r="A487">
        <f>LOOKUP(9E+307,--MID(D487,1,{1,2,3,4,5}))</f>
        <v>10</v>
      </c>
      <c r="B487">
        <f>VLOOKUP(MID(D487,LOOKUP(2,1/ISNUMBER(-MID(D487,1,{1,2,3,4,5})),{1,2,3,4,5})+1,9),'Hue codes'!$A$1:$B$10,2,FALSE)</f>
        <v>70</v>
      </c>
      <c r="C487">
        <f t="shared" si="15"/>
        <v>80</v>
      </c>
      <c r="D487" s="162" t="s">
        <v>52</v>
      </c>
      <c r="E487" s="162">
        <v>4</v>
      </c>
      <c r="F487" s="162">
        <v>6</v>
      </c>
      <c r="G487" s="164">
        <v>0.38819999999999999</v>
      </c>
      <c r="H487" s="164">
        <v>0.35680000000000001</v>
      </c>
      <c r="I487" s="164">
        <v>0.53449999999999998</v>
      </c>
      <c r="J487" s="1" t="str">
        <f>HYPERLINK(SetRGB(J487,G487*255,H487*255,I487*255),"HOVER!")</f>
        <v>HOVER!</v>
      </c>
      <c r="K487">
        <f t="shared" si="14"/>
        <v>0.66666666666666663</v>
      </c>
    </row>
    <row r="488" spans="1:11" x14ac:dyDescent="0.3">
      <c r="A488">
        <f>LOOKUP(9E+307,--MID(D488,1,{1,2,3,4,5}))</f>
        <v>10</v>
      </c>
      <c r="B488">
        <f>VLOOKUP(MID(D488,LOOKUP(2,1/ISNUMBER(-MID(D488,1,{1,2,3,4,5})),{1,2,3,4,5})+1,9),'Hue codes'!$A$1:$B$10,2,FALSE)</f>
        <v>70</v>
      </c>
      <c r="C488">
        <f t="shared" si="15"/>
        <v>80</v>
      </c>
      <c r="D488" s="162" t="s">
        <v>52</v>
      </c>
      <c r="E488" s="162">
        <v>4</v>
      </c>
      <c r="F488" s="162">
        <v>8</v>
      </c>
      <c r="G488" s="164">
        <v>0.39079999999999998</v>
      </c>
      <c r="H488" s="164">
        <v>0.3468</v>
      </c>
      <c r="I488" s="164">
        <v>0.58109999999999995</v>
      </c>
      <c r="J488" s="1" t="str">
        <f>HYPERLINK(SetRGB(J488,G488*255,H488*255,I488*255),"HOVER!")</f>
        <v>HOVER!</v>
      </c>
      <c r="K488">
        <f t="shared" si="14"/>
        <v>0.5</v>
      </c>
    </row>
    <row r="489" spans="1:11" x14ac:dyDescent="0.3">
      <c r="A489">
        <f>LOOKUP(9E+307,--MID(D489,1,{1,2,3,4,5}))</f>
        <v>10</v>
      </c>
      <c r="B489">
        <f>VLOOKUP(MID(D489,LOOKUP(2,1/ISNUMBER(-MID(D489,1,{1,2,3,4,5})),{1,2,3,4,5})+1,9),'Hue codes'!$A$1:$B$10,2,FALSE)</f>
        <v>70</v>
      </c>
      <c r="C489">
        <f t="shared" si="15"/>
        <v>80</v>
      </c>
      <c r="D489" s="162" t="s">
        <v>52</v>
      </c>
      <c r="E489" s="162">
        <v>4</v>
      </c>
      <c r="F489" s="162">
        <v>10</v>
      </c>
      <c r="G489" s="164">
        <v>0.39340000000000003</v>
      </c>
      <c r="H489" s="164">
        <v>0.33539999999999998</v>
      </c>
      <c r="I489" s="164">
        <v>0.62739999999999996</v>
      </c>
      <c r="J489" s="1" t="str">
        <f>HYPERLINK(SetRGB(J489,G489*255,H489*255,I489*255),"HOVER!")</f>
        <v>HOVER!</v>
      </c>
      <c r="K489">
        <f t="shared" si="14"/>
        <v>0.4</v>
      </c>
    </row>
    <row r="490" spans="1:11" x14ac:dyDescent="0.3">
      <c r="A490">
        <f>LOOKUP(9E+307,--MID(D490,1,{1,2,3,4,5}))</f>
        <v>10</v>
      </c>
      <c r="B490">
        <f>VLOOKUP(MID(D490,LOOKUP(2,1/ISNUMBER(-MID(D490,1,{1,2,3,4,5})),{1,2,3,4,5})+1,9),'Hue codes'!$A$1:$B$10,2,FALSE)</f>
        <v>70</v>
      </c>
      <c r="C490">
        <f t="shared" si="15"/>
        <v>80</v>
      </c>
      <c r="D490" s="162" t="s">
        <v>52</v>
      </c>
      <c r="E490" s="162">
        <v>4</v>
      </c>
      <c r="F490" s="162">
        <v>12</v>
      </c>
      <c r="G490" s="164">
        <v>0.3987</v>
      </c>
      <c r="H490" s="164">
        <v>0.32169999999999999</v>
      </c>
      <c r="I490" s="164">
        <v>0.67300000000000004</v>
      </c>
      <c r="J490" s="1" t="str">
        <f>HYPERLINK(SetRGB(J490,G490*255,H490*255,I490*255),"HOVER!")</f>
        <v>HOVER!</v>
      </c>
      <c r="K490">
        <f t="shared" si="14"/>
        <v>0.33333333333333331</v>
      </c>
    </row>
    <row r="491" spans="1:11" x14ac:dyDescent="0.3">
      <c r="A491">
        <f>LOOKUP(9E+307,--MID(D491,1,{1,2,3,4,5}))</f>
        <v>10</v>
      </c>
      <c r="B491">
        <f>VLOOKUP(MID(D491,LOOKUP(2,1/ISNUMBER(-MID(D491,1,{1,2,3,4,5})),{1,2,3,4,5})+1,9),'Hue codes'!$A$1:$B$10,2,FALSE)</f>
        <v>70</v>
      </c>
      <c r="C491">
        <f t="shared" si="15"/>
        <v>80</v>
      </c>
      <c r="D491" s="162" t="s">
        <v>52</v>
      </c>
      <c r="E491" s="162">
        <v>4</v>
      </c>
      <c r="F491" s="162">
        <v>14</v>
      </c>
      <c r="G491" s="164">
        <v>0.4047</v>
      </c>
      <c r="H491" s="164">
        <v>0.30599999999999999</v>
      </c>
      <c r="I491" s="164">
        <v>0.71760000000000002</v>
      </c>
      <c r="J491" s="1" t="str">
        <f>HYPERLINK(SetRGB(J491,G491*255,H491*255,I491*255),"HOVER!")</f>
        <v>HOVER!</v>
      </c>
      <c r="K491">
        <f t="shared" si="14"/>
        <v>0.2857142857142857</v>
      </c>
    </row>
    <row r="492" spans="1:11" x14ac:dyDescent="0.3">
      <c r="A492">
        <f>LOOKUP(9E+307,--MID(D492,1,{1,2,3,4,5}))</f>
        <v>10</v>
      </c>
      <c r="B492">
        <f>VLOOKUP(MID(D492,LOOKUP(2,1/ISNUMBER(-MID(D492,1,{1,2,3,4,5})),{1,2,3,4,5})+1,9),'Hue codes'!$A$1:$B$10,2,FALSE)</f>
        <v>70</v>
      </c>
      <c r="C492">
        <f t="shared" si="15"/>
        <v>80</v>
      </c>
      <c r="D492" s="162" t="s">
        <v>52</v>
      </c>
      <c r="E492" s="162">
        <v>4</v>
      </c>
      <c r="F492" s="162">
        <v>16</v>
      </c>
      <c r="G492" s="164">
        <v>0.4173</v>
      </c>
      <c r="H492" s="164">
        <v>0.2863</v>
      </c>
      <c r="I492" s="164">
        <v>0.75839999999999996</v>
      </c>
      <c r="J492" s="1" t="str">
        <f>HYPERLINK(SetRGB(J492,G492*255,H492*255,I492*255),"HOVER!")</f>
        <v>HOVER!</v>
      </c>
      <c r="K492">
        <f t="shared" si="14"/>
        <v>0.25</v>
      </c>
    </row>
    <row r="493" spans="1:11" x14ac:dyDescent="0.3">
      <c r="A493">
        <f>LOOKUP(9E+307,--MID(D493,1,{1,2,3,4,5}))</f>
        <v>10</v>
      </c>
      <c r="B493">
        <f>VLOOKUP(MID(D493,LOOKUP(2,1/ISNUMBER(-MID(D493,1,{1,2,3,4,5})),{1,2,3,4,5})+1,9),'Hue codes'!$A$1:$B$10,2,FALSE)</f>
        <v>70</v>
      </c>
      <c r="C493">
        <f t="shared" si="15"/>
        <v>80</v>
      </c>
      <c r="D493" s="162" t="s">
        <v>52</v>
      </c>
      <c r="E493" s="162">
        <v>4</v>
      </c>
      <c r="F493" s="162">
        <v>18</v>
      </c>
      <c r="G493" s="164">
        <v>0.42809999999999998</v>
      </c>
      <c r="H493" s="164">
        <v>0.26429999999999998</v>
      </c>
      <c r="I493" s="164">
        <v>0.79969999999999997</v>
      </c>
      <c r="J493" s="1" t="str">
        <f>HYPERLINK(SetRGB(J493,G493*255,H493*255,I493*255),"HOVER!")</f>
        <v>HOVER!</v>
      </c>
      <c r="K493">
        <f t="shared" si="14"/>
        <v>0.22222222222222221</v>
      </c>
    </row>
    <row r="494" spans="1:11" x14ac:dyDescent="0.3">
      <c r="A494">
        <f>LOOKUP(9E+307,--MID(D494,1,{1,2,3,4,5}))</f>
        <v>10</v>
      </c>
      <c r="B494">
        <f>VLOOKUP(MID(D494,LOOKUP(2,1/ISNUMBER(-MID(D494,1,{1,2,3,4,5})),{1,2,3,4,5})+1,9),'Hue codes'!$A$1:$B$10,2,FALSE)</f>
        <v>70</v>
      </c>
      <c r="C494">
        <f t="shared" si="15"/>
        <v>80</v>
      </c>
      <c r="D494" s="162" t="s">
        <v>52</v>
      </c>
      <c r="E494" s="162">
        <v>4</v>
      </c>
      <c r="F494" s="162">
        <v>20</v>
      </c>
      <c r="G494" s="164">
        <v>0.44269999999999998</v>
      </c>
      <c r="H494" s="164">
        <v>0.23350000000000001</v>
      </c>
      <c r="I494" s="164">
        <v>0.84530000000000005</v>
      </c>
      <c r="J494" s="1" t="str">
        <f>HYPERLINK(SetRGB(J494,G494*255,H494*255,I494*255),"HOVER!")</f>
        <v>HOVER!</v>
      </c>
      <c r="K494">
        <f t="shared" si="14"/>
        <v>0.2</v>
      </c>
    </row>
    <row r="495" spans="1:11" x14ac:dyDescent="0.3">
      <c r="A495">
        <f>LOOKUP(9E+307,--MID(D495,1,{1,2,3,4,5}))</f>
        <v>10</v>
      </c>
      <c r="B495">
        <f>VLOOKUP(MID(D495,LOOKUP(2,1/ISNUMBER(-MID(D495,1,{1,2,3,4,5})),{1,2,3,4,5})+1,9),'Hue codes'!$A$1:$B$10,2,FALSE)</f>
        <v>70</v>
      </c>
      <c r="C495">
        <f t="shared" si="15"/>
        <v>80</v>
      </c>
      <c r="D495" s="162" t="s">
        <v>52</v>
      </c>
      <c r="E495" s="162">
        <v>4</v>
      </c>
      <c r="F495" s="162">
        <v>22</v>
      </c>
      <c r="G495" s="164">
        <v>0.45500000000000002</v>
      </c>
      <c r="H495" s="164">
        <v>0.20519999999999999</v>
      </c>
      <c r="I495" s="164">
        <v>0.87829999999999997</v>
      </c>
      <c r="J495" s="1" t="str">
        <f>HYPERLINK(SetRGB(J495,G495*255,H495*255,I495*255),"HOVER!")</f>
        <v>HOVER!</v>
      </c>
      <c r="K495">
        <f t="shared" si="14"/>
        <v>0.18181818181818182</v>
      </c>
    </row>
    <row r="496" spans="1:11" x14ac:dyDescent="0.3">
      <c r="A496">
        <f>LOOKUP(9E+307,--MID(D496,1,{1,2,3,4,5}))</f>
        <v>10</v>
      </c>
      <c r="B496">
        <f>VLOOKUP(MID(D496,LOOKUP(2,1/ISNUMBER(-MID(D496,1,{1,2,3,4,5})),{1,2,3,4,5})+1,9),'Hue codes'!$A$1:$B$10,2,FALSE)</f>
        <v>70</v>
      </c>
      <c r="C496">
        <f t="shared" si="15"/>
        <v>80</v>
      </c>
      <c r="D496" s="162" t="s">
        <v>52</v>
      </c>
      <c r="E496" s="162">
        <v>4</v>
      </c>
      <c r="F496" s="162">
        <v>24</v>
      </c>
      <c r="G496" s="164">
        <v>0.46920000000000001</v>
      </c>
      <c r="H496" s="164">
        <v>0.1641</v>
      </c>
      <c r="I496" s="164">
        <v>0.91600000000000004</v>
      </c>
      <c r="J496" s="1" t="str">
        <f>HYPERLINK(SetRGB(J496,G496*255,H496*255,I496*255),"HOVER!")</f>
        <v>HOVER!</v>
      </c>
      <c r="K496">
        <f t="shared" si="14"/>
        <v>0.16666666666666666</v>
      </c>
    </row>
    <row r="497" spans="1:11" x14ac:dyDescent="0.3">
      <c r="A497">
        <f>LOOKUP(9E+307,--MID(D497,1,{1,2,3,4,5}))</f>
        <v>10</v>
      </c>
      <c r="B497">
        <f>VLOOKUP(MID(D497,LOOKUP(2,1/ISNUMBER(-MID(D497,1,{1,2,3,4,5})),{1,2,3,4,5})+1,9),'Hue codes'!$A$1:$B$10,2,FALSE)</f>
        <v>70</v>
      </c>
      <c r="C497">
        <f t="shared" si="15"/>
        <v>80</v>
      </c>
      <c r="D497" s="162" t="s">
        <v>52</v>
      </c>
      <c r="E497" s="162">
        <v>4</v>
      </c>
      <c r="F497" s="162">
        <v>26</v>
      </c>
      <c r="G497" s="164">
        <v>0.48720000000000002</v>
      </c>
      <c r="H497" s="164">
        <v>8.9200000000000002E-2</v>
      </c>
      <c r="I497" s="164">
        <v>0.95879999999999999</v>
      </c>
      <c r="J497" s="1" t="str">
        <f>HYPERLINK(SetRGB(J497,G497*255,H497*255,I497*255),"HOVER!")</f>
        <v>HOVER!</v>
      </c>
      <c r="K497">
        <f t="shared" si="14"/>
        <v>0.15384615384615385</v>
      </c>
    </row>
    <row r="498" spans="1:11" x14ac:dyDescent="0.3">
      <c r="A498">
        <f>LOOKUP(9E+307,--MID(D498,1,{1,2,3,4,5}))</f>
        <v>2.5</v>
      </c>
      <c r="B498">
        <f>VLOOKUP(MID(D498,LOOKUP(2,1/ISNUMBER(-MID(D498,1,{1,2,3,4,5})),{1,2,3,4,5})+1,9),'Hue codes'!$A$1:$B$10,2,FALSE)</f>
        <v>80</v>
      </c>
      <c r="C498">
        <f t="shared" si="15"/>
        <v>82.5</v>
      </c>
      <c r="D498" s="162" t="s">
        <v>53</v>
      </c>
      <c r="E498" s="162">
        <v>4</v>
      </c>
      <c r="F498" s="162">
        <v>2</v>
      </c>
      <c r="G498" s="164">
        <v>0.39560000000000001</v>
      </c>
      <c r="H498" s="164">
        <v>0.37</v>
      </c>
      <c r="I498" s="164">
        <v>0.43459999999999999</v>
      </c>
      <c r="J498" s="1" t="str">
        <f>HYPERLINK(SetRGB(J498,G498*255,H498*255,I498*255),"HOVER!")</f>
        <v>HOVER!</v>
      </c>
      <c r="K498">
        <f t="shared" si="14"/>
        <v>2</v>
      </c>
    </row>
    <row r="499" spans="1:11" x14ac:dyDescent="0.3">
      <c r="A499">
        <f>LOOKUP(9E+307,--MID(D499,1,{1,2,3,4,5}))</f>
        <v>2.5</v>
      </c>
      <c r="B499">
        <f>VLOOKUP(MID(D499,LOOKUP(2,1/ISNUMBER(-MID(D499,1,{1,2,3,4,5})),{1,2,3,4,5})+1,9),'Hue codes'!$A$1:$B$10,2,FALSE)</f>
        <v>80</v>
      </c>
      <c r="C499">
        <f t="shared" si="15"/>
        <v>82.5</v>
      </c>
      <c r="D499" s="162" t="s">
        <v>53</v>
      </c>
      <c r="E499" s="162">
        <v>4</v>
      </c>
      <c r="F499" s="162">
        <v>4</v>
      </c>
      <c r="G499" s="164">
        <v>0.4093</v>
      </c>
      <c r="H499" s="164">
        <v>0.35880000000000001</v>
      </c>
      <c r="I499" s="164">
        <v>0.47989999999999999</v>
      </c>
      <c r="J499" s="1" t="str">
        <f>HYPERLINK(SetRGB(J499,G499*255,H499*255,I499*255),"HOVER!")</f>
        <v>HOVER!</v>
      </c>
      <c r="K499">
        <f t="shared" si="14"/>
        <v>1</v>
      </c>
    </row>
    <row r="500" spans="1:11" x14ac:dyDescent="0.3">
      <c r="A500">
        <f>LOOKUP(9E+307,--MID(D500,1,{1,2,3,4,5}))</f>
        <v>2.5</v>
      </c>
      <c r="B500">
        <f>VLOOKUP(MID(D500,LOOKUP(2,1/ISNUMBER(-MID(D500,1,{1,2,3,4,5})),{1,2,3,4,5})+1,9),'Hue codes'!$A$1:$B$10,2,FALSE)</f>
        <v>80</v>
      </c>
      <c r="C500">
        <f t="shared" si="15"/>
        <v>82.5</v>
      </c>
      <c r="D500" s="162" t="s">
        <v>53</v>
      </c>
      <c r="E500" s="162">
        <v>4</v>
      </c>
      <c r="F500" s="162">
        <v>6</v>
      </c>
      <c r="G500" s="164">
        <v>0.42209999999999998</v>
      </c>
      <c r="H500" s="164">
        <v>0.34710000000000002</v>
      </c>
      <c r="I500" s="164">
        <v>0.5212</v>
      </c>
      <c r="J500" s="1" t="str">
        <f>HYPERLINK(SetRGB(J500,G500*255,H500*255,I500*255),"HOVER!")</f>
        <v>HOVER!</v>
      </c>
      <c r="K500">
        <f t="shared" si="14"/>
        <v>0.66666666666666663</v>
      </c>
    </row>
    <row r="501" spans="1:11" x14ac:dyDescent="0.3">
      <c r="A501">
        <f>LOOKUP(9E+307,--MID(D501,1,{1,2,3,4,5}))</f>
        <v>2.5</v>
      </c>
      <c r="B501">
        <f>VLOOKUP(MID(D501,LOOKUP(2,1/ISNUMBER(-MID(D501,1,{1,2,3,4,5})),{1,2,3,4,5})+1,9),'Hue codes'!$A$1:$B$10,2,FALSE)</f>
        <v>80</v>
      </c>
      <c r="C501">
        <f t="shared" si="15"/>
        <v>82.5</v>
      </c>
      <c r="D501" s="162" t="s">
        <v>53</v>
      </c>
      <c r="E501" s="162">
        <v>4</v>
      </c>
      <c r="F501" s="162">
        <v>8</v>
      </c>
      <c r="G501" s="164">
        <v>0.43740000000000001</v>
      </c>
      <c r="H501" s="164">
        <v>0.33289999999999997</v>
      </c>
      <c r="I501" s="164">
        <v>0.56230000000000002</v>
      </c>
      <c r="J501" s="42" t="str">
        <f>HYPERLINK(SetRGB(J501,G501*255,H501*255,I501*255),"HOVER!")</f>
        <v>HOVER!</v>
      </c>
      <c r="K501">
        <f t="shared" si="14"/>
        <v>0.5</v>
      </c>
    </row>
    <row r="502" spans="1:11" x14ac:dyDescent="0.3">
      <c r="A502">
        <f>LOOKUP(9E+307,--MID(D502,1,{1,2,3,4,5}))</f>
        <v>2.5</v>
      </c>
      <c r="B502">
        <f>VLOOKUP(MID(D502,LOOKUP(2,1/ISNUMBER(-MID(D502,1,{1,2,3,4,5})),{1,2,3,4,5})+1,9),'Hue codes'!$A$1:$B$10,2,FALSE)</f>
        <v>80</v>
      </c>
      <c r="C502">
        <f t="shared" si="15"/>
        <v>82.5</v>
      </c>
      <c r="D502" s="162" t="s">
        <v>53</v>
      </c>
      <c r="E502" s="162">
        <v>4</v>
      </c>
      <c r="F502" s="162">
        <v>10</v>
      </c>
      <c r="G502" s="164">
        <v>0.45379999999999998</v>
      </c>
      <c r="H502" s="164">
        <v>0.31659999999999999</v>
      </c>
      <c r="I502" s="164">
        <v>0.60209999999999997</v>
      </c>
      <c r="J502" s="63" t="str">
        <f>HYPERLINK(SetRGB(J502,G502*255,H502*255,I502*255),"HOVER!")</f>
        <v>HOVER!</v>
      </c>
      <c r="K502">
        <f t="shared" si="14"/>
        <v>0.4</v>
      </c>
    </row>
    <row r="503" spans="1:11" x14ac:dyDescent="0.3">
      <c r="A503">
        <f>LOOKUP(9E+307,--MID(D503,1,{1,2,3,4,5}))</f>
        <v>2.5</v>
      </c>
      <c r="B503">
        <f>VLOOKUP(MID(D503,LOOKUP(2,1/ISNUMBER(-MID(D503,1,{1,2,3,4,5})),{1,2,3,4,5})+1,9),'Hue codes'!$A$1:$B$10,2,FALSE)</f>
        <v>80</v>
      </c>
      <c r="C503">
        <f t="shared" si="15"/>
        <v>82.5</v>
      </c>
      <c r="D503" s="162" t="s">
        <v>53</v>
      </c>
      <c r="E503" s="162">
        <v>4</v>
      </c>
      <c r="F503" s="162">
        <v>12</v>
      </c>
      <c r="G503" s="164">
        <v>0.4718</v>
      </c>
      <c r="H503" s="164">
        <v>0.29680000000000001</v>
      </c>
      <c r="I503" s="164">
        <v>0.6431</v>
      </c>
      <c r="J503" s="62" t="str">
        <f>HYPERLINK(SetRGB(J503,G503*255,H503*255,I503*255),"HOVER!")</f>
        <v>HOVER!</v>
      </c>
      <c r="K503">
        <f t="shared" ref="K503:K566" si="16">E503/F503</f>
        <v>0.33333333333333331</v>
      </c>
    </row>
    <row r="504" spans="1:11" x14ac:dyDescent="0.3">
      <c r="A504">
        <f>LOOKUP(9E+307,--MID(D504,1,{1,2,3,4,5}))</f>
        <v>2.5</v>
      </c>
      <c r="B504">
        <f>VLOOKUP(MID(D504,LOOKUP(2,1/ISNUMBER(-MID(D504,1,{1,2,3,4,5})),{1,2,3,4,5})+1,9),'Hue codes'!$A$1:$B$10,2,FALSE)</f>
        <v>80</v>
      </c>
      <c r="C504">
        <f t="shared" si="15"/>
        <v>82.5</v>
      </c>
      <c r="D504" s="162" t="s">
        <v>53</v>
      </c>
      <c r="E504" s="162">
        <v>4</v>
      </c>
      <c r="F504" s="162">
        <v>14</v>
      </c>
      <c r="G504" s="164">
        <v>0.48920000000000002</v>
      </c>
      <c r="H504" s="164">
        <v>0.27510000000000001</v>
      </c>
      <c r="I504" s="164">
        <v>0.68110000000000004</v>
      </c>
      <c r="J504" s="1" t="str">
        <f>HYPERLINK(SetRGB(J504,G504*255,H504*255,I504*255),"HOVER!")</f>
        <v>HOVER!</v>
      </c>
      <c r="K504">
        <f t="shared" si="16"/>
        <v>0.2857142857142857</v>
      </c>
    </row>
    <row r="505" spans="1:11" x14ac:dyDescent="0.3">
      <c r="A505">
        <f>LOOKUP(9E+307,--MID(D505,1,{1,2,3,4,5}))</f>
        <v>2.5</v>
      </c>
      <c r="B505">
        <f>VLOOKUP(MID(D505,LOOKUP(2,1/ISNUMBER(-MID(D505,1,{1,2,3,4,5})),{1,2,3,4,5})+1,9),'Hue codes'!$A$1:$B$10,2,FALSE)</f>
        <v>80</v>
      </c>
      <c r="C505">
        <f t="shared" si="15"/>
        <v>82.5</v>
      </c>
      <c r="D505" s="162" t="s">
        <v>53</v>
      </c>
      <c r="E505" s="162">
        <v>4</v>
      </c>
      <c r="F505" s="162">
        <v>16</v>
      </c>
      <c r="G505" s="164">
        <v>0.50849999999999995</v>
      </c>
      <c r="H505" s="164">
        <v>0.248</v>
      </c>
      <c r="I505" s="164">
        <v>0.71960000000000002</v>
      </c>
      <c r="J505" s="1" t="str">
        <f>HYPERLINK(SetRGB(J505,G505*255,H505*255,I505*255),"HOVER!")</f>
        <v>HOVER!</v>
      </c>
      <c r="K505">
        <f t="shared" si="16"/>
        <v>0.25</v>
      </c>
    </row>
    <row r="506" spans="1:11" x14ac:dyDescent="0.3">
      <c r="A506">
        <f>LOOKUP(9E+307,--MID(D506,1,{1,2,3,4,5}))</f>
        <v>2.5</v>
      </c>
      <c r="B506">
        <f>VLOOKUP(MID(D506,LOOKUP(2,1/ISNUMBER(-MID(D506,1,{1,2,3,4,5})),{1,2,3,4,5})+1,9),'Hue codes'!$A$1:$B$10,2,FALSE)</f>
        <v>80</v>
      </c>
      <c r="C506">
        <f t="shared" si="15"/>
        <v>82.5</v>
      </c>
      <c r="D506" s="162" t="s">
        <v>53</v>
      </c>
      <c r="E506" s="162">
        <v>4</v>
      </c>
      <c r="F506" s="162">
        <v>18</v>
      </c>
      <c r="G506" s="164">
        <v>0.52869999999999995</v>
      </c>
      <c r="H506" s="164">
        <v>0.21429999999999999</v>
      </c>
      <c r="I506" s="164">
        <v>0.7581</v>
      </c>
      <c r="J506" s="1" t="str">
        <f>HYPERLINK(SetRGB(J506,G506*255,H506*255,I506*255),"HOVER!")</f>
        <v>HOVER!</v>
      </c>
      <c r="K506">
        <f t="shared" si="16"/>
        <v>0.22222222222222221</v>
      </c>
    </row>
    <row r="507" spans="1:11" x14ac:dyDescent="0.3">
      <c r="A507">
        <f>LOOKUP(9E+307,--MID(D507,1,{1,2,3,4,5}))</f>
        <v>2.5</v>
      </c>
      <c r="B507">
        <f>VLOOKUP(MID(D507,LOOKUP(2,1/ISNUMBER(-MID(D507,1,{1,2,3,4,5})),{1,2,3,4,5})+1,9),'Hue codes'!$A$1:$B$10,2,FALSE)</f>
        <v>80</v>
      </c>
      <c r="C507">
        <f t="shared" si="15"/>
        <v>82.5</v>
      </c>
      <c r="D507" s="162" t="s">
        <v>53</v>
      </c>
      <c r="E507" s="162">
        <v>4</v>
      </c>
      <c r="F507" s="162">
        <v>20</v>
      </c>
      <c r="G507" s="164">
        <v>0.54910000000000003</v>
      </c>
      <c r="H507" s="164">
        <v>0.16930000000000001</v>
      </c>
      <c r="I507" s="164">
        <v>0.79769999999999996</v>
      </c>
      <c r="J507" s="1" t="str">
        <f>HYPERLINK(SetRGB(J507,G507*255,H507*255,I507*255),"HOVER!")</f>
        <v>HOVER!</v>
      </c>
      <c r="K507">
        <f t="shared" si="16"/>
        <v>0.2</v>
      </c>
    </row>
    <row r="508" spans="1:11" x14ac:dyDescent="0.3">
      <c r="A508">
        <f>LOOKUP(9E+307,--MID(D508,1,{1,2,3,4,5}))</f>
        <v>2.5</v>
      </c>
      <c r="B508">
        <f>VLOOKUP(MID(D508,LOOKUP(2,1/ISNUMBER(-MID(D508,1,{1,2,3,4,5})),{1,2,3,4,5})+1,9),'Hue codes'!$A$1:$B$10,2,FALSE)</f>
        <v>80</v>
      </c>
      <c r="C508">
        <f t="shared" si="15"/>
        <v>82.5</v>
      </c>
      <c r="D508" s="162" t="s">
        <v>53</v>
      </c>
      <c r="E508" s="162">
        <v>4</v>
      </c>
      <c r="F508" s="162">
        <v>22</v>
      </c>
      <c r="G508" s="164">
        <v>0.56599999999999995</v>
      </c>
      <c r="H508" s="164">
        <v>0.11840000000000001</v>
      </c>
      <c r="I508" s="164">
        <v>0.82820000000000005</v>
      </c>
      <c r="J508" s="1" t="str">
        <f>HYPERLINK(SetRGB(J508,G508*255,H508*255,I508*255),"HOVER!")</f>
        <v>HOVER!</v>
      </c>
      <c r="K508">
        <f t="shared" si="16"/>
        <v>0.18181818181818182</v>
      </c>
    </row>
    <row r="509" spans="1:11" x14ac:dyDescent="0.3">
      <c r="A509">
        <f>LOOKUP(9E+307,--MID(D509,1,{1,2,3,4,5}))</f>
        <v>5</v>
      </c>
      <c r="B509">
        <f>VLOOKUP(MID(D509,LOOKUP(2,1/ISNUMBER(-MID(D509,1,{1,2,3,4,5})),{1,2,3,4,5})+1,9),'Hue codes'!$A$1:$B$10,2,FALSE)</f>
        <v>80</v>
      </c>
      <c r="C509">
        <f t="shared" si="15"/>
        <v>85</v>
      </c>
      <c r="D509" s="162" t="s">
        <v>54</v>
      </c>
      <c r="E509" s="162">
        <v>4</v>
      </c>
      <c r="F509" s="162">
        <v>2</v>
      </c>
      <c r="G509" s="164">
        <v>0.40679999999999999</v>
      </c>
      <c r="H509" s="164">
        <v>0.36699999999999999</v>
      </c>
      <c r="I509" s="164">
        <v>0.42909999999999998</v>
      </c>
      <c r="J509" s="1" t="str">
        <f>HYPERLINK(SetRGB(J509,G509*255,H509*255,I509*255),"HOVER!")</f>
        <v>HOVER!</v>
      </c>
      <c r="K509">
        <f t="shared" si="16"/>
        <v>2</v>
      </c>
    </row>
    <row r="510" spans="1:11" x14ac:dyDescent="0.3">
      <c r="A510">
        <f>LOOKUP(9E+307,--MID(D510,1,{1,2,3,4,5}))</f>
        <v>5</v>
      </c>
      <c r="B510">
        <f>VLOOKUP(MID(D510,LOOKUP(2,1/ISNUMBER(-MID(D510,1,{1,2,3,4,5})),{1,2,3,4,5})+1,9),'Hue codes'!$A$1:$B$10,2,FALSE)</f>
        <v>80</v>
      </c>
      <c r="C510">
        <f t="shared" si="15"/>
        <v>85</v>
      </c>
      <c r="D510" s="162" t="s">
        <v>54</v>
      </c>
      <c r="E510" s="162">
        <v>4</v>
      </c>
      <c r="F510" s="162">
        <v>4</v>
      </c>
      <c r="G510" s="164">
        <v>0.42870000000000003</v>
      </c>
      <c r="H510" s="164">
        <v>0.35320000000000001</v>
      </c>
      <c r="I510" s="164">
        <v>0.46960000000000002</v>
      </c>
      <c r="J510" s="1" t="str">
        <f>HYPERLINK(SetRGB(J510,G510*255,H510*255,I510*255),"HOVER!")</f>
        <v>HOVER!</v>
      </c>
      <c r="K510">
        <f t="shared" si="16"/>
        <v>1</v>
      </c>
    </row>
    <row r="511" spans="1:11" x14ac:dyDescent="0.3">
      <c r="A511">
        <f>LOOKUP(9E+307,--MID(D511,1,{1,2,3,4,5}))</f>
        <v>5</v>
      </c>
      <c r="B511">
        <f>VLOOKUP(MID(D511,LOOKUP(2,1/ISNUMBER(-MID(D511,1,{1,2,3,4,5})),{1,2,3,4,5})+1,9),'Hue codes'!$A$1:$B$10,2,FALSE)</f>
        <v>80</v>
      </c>
      <c r="C511">
        <f t="shared" si="15"/>
        <v>85</v>
      </c>
      <c r="D511" s="162" t="s">
        <v>54</v>
      </c>
      <c r="E511" s="162">
        <v>4</v>
      </c>
      <c r="F511" s="162">
        <v>6</v>
      </c>
      <c r="G511" s="164">
        <v>0.44929999999999998</v>
      </c>
      <c r="H511" s="164">
        <v>0.33879999999999999</v>
      </c>
      <c r="I511" s="164">
        <v>0.50649999999999995</v>
      </c>
      <c r="J511" s="1" t="str">
        <f>HYPERLINK(SetRGB(J511,G511*255,H511*255,I511*255),"HOVER!")</f>
        <v>HOVER!</v>
      </c>
      <c r="K511">
        <f t="shared" si="16"/>
        <v>0.66666666666666663</v>
      </c>
    </row>
    <row r="512" spans="1:11" x14ac:dyDescent="0.3">
      <c r="A512">
        <f>LOOKUP(9E+307,--MID(D512,1,{1,2,3,4,5}))</f>
        <v>5</v>
      </c>
      <c r="B512">
        <f>VLOOKUP(MID(D512,LOOKUP(2,1/ISNUMBER(-MID(D512,1,{1,2,3,4,5})),{1,2,3,4,5})+1,9),'Hue codes'!$A$1:$B$10,2,FALSE)</f>
        <v>80</v>
      </c>
      <c r="C512">
        <f t="shared" si="15"/>
        <v>85</v>
      </c>
      <c r="D512" s="162" t="s">
        <v>54</v>
      </c>
      <c r="E512" s="162">
        <v>4</v>
      </c>
      <c r="F512" s="162">
        <v>8</v>
      </c>
      <c r="G512" s="164">
        <v>0.47060000000000002</v>
      </c>
      <c r="H512" s="164">
        <v>0.3221</v>
      </c>
      <c r="I512" s="164">
        <v>0.54269999999999996</v>
      </c>
      <c r="J512" s="1" t="str">
        <f>HYPERLINK(SetRGB(J512,G512*255,H512*255,I512*255),"HOVER!")</f>
        <v>HOVER!</v>
      </c>
      <c r="K512">
        <f t="shared" si="16"/>
        <v>0.5</v>
      </c>
    </row>
    <row r="513" spans="1:11" x14ac:dyDescent="0.3">
      <c r="A513">
        <f>LOOKUP(9E+307,--MID(D513,1,{1,2,3,4,5}))</f>
        <v>5</v>
      </c>
      <c r="B513">
        <f>VLOOKUP(MID(D513,LOOKUP(2,1/ISNUMBER(-MID(D513,1,{1,2,3,4,5})),{1,2,3,4,5})+1,9),'Hue codes'!$A$1:$B$10,2,FALSE)</f>
        <v>80</v>
      </c>
      <c r="C513">
        <f t="shared" si="15"/>
        <v>85</v>
      </c>
      <c r="D513" s="162" t="s">
        <v>54</v>
      </c>
      <c r="E513" s="162">
        <v>4</v>
      </c>
      <c r="F513" s="162">
        <v>10</v>
      </c>
      <c r="G513" s="164">
        <v>0.49370000000000003</v>
      </c>
      <c r="H513" s="164">
        <v>0.3019</v>
      </c>
      <c r="I513" s="164">
        <v>0.57940000000000003</v>
      </c>
      <c r="J513" s="1" t="str">
        <f>HYPERLINK(SetRGB(J513,G513*255,H513*255,I513*255),"HOVER!")</f>
        <v>HOVER!</v>
      </c>
      <c r="K513">
        <f t="shared" si="16"/>
        <v>0.4</v>
      </c>
    </row>
    <row r="514" spans="1:11" x14ac:dyDescent="0.3">
      <c r="A514">
        <f>LOOKUP(9E+307,--MID(D514,1,{1,2,3,4,5}))</f>
        <v>5</v>
      </c>
      <c r="B514">
        <f>VLOOKUP(MID(D514,LOOKUP(2,1/ISNUMBER(-MID(D514,1,{1,2,3,4,5})),{1,2,3,4,5})+1,9),'Hue codes'!$A$1:$B$10,2,FALSE)</f>
        <v>80</v>
      </c>
      <c r="C514">
        <f t="shared" si="15"/>
        <v>85</v>
      </c>
      <c r="D514" s="162" t="s">
        <v>54</v>
      </c>
      <c r="E514" s="162">
        <v>4</v>
      </c>
      <c r="F514" s="162">
        <v>12</v>
      </c>
      <c r="G514" s="164">
        <v>0.51619999999999999</v>
      </c>
      <c r="H514" s="164">
        <v>0.2792</v>
      </c>
      <c r="I514" s="164">
        <v>0.61450000000000005</v>
      </c>
      <c r="J514" s="1" t="str">
        <f>HYPERLINK(SetRGB(J514,G514*255,H514*255,I514*255),"HOVER!")</f>
        <v>HOVER!</v>
      </c>
      <c r="K514">
        <f t="shared" si="16"/>
        <v>0.33333333333333331</v>
      </c>
    </row>
    <row r="515" spans="1:11" x14ac:dyDescent="0.3">
      <c r="A515">
        <f>LOOKUP(9E+307,--MID(D515,1,{1,2,3,4,5}))</f>
        <v>5</v>
      </c>
      <c r="B515">
        <f>VLOOKUP(MID(D515,LOOKUP(2,1/ISNUMBER(-MID(D515,1,{1,2,3,4,5})),{1,2,3,4,5})+1,9),'Hue codes'!$A$1:$B$10,2,FALSE)</f>
        <v>80</v>
      </c>
      <c r="C515">
        <f t="shared" ref="C515:C578" si="17">IF(A515+B515=100,0,A515+B515)</f>
        <v>85</v>
      </c>
      <c r="D515" s="162" t="s">
        <v>54</v>
      </c>
      <c r="E515" s="162">
        <v>4</v>
      </c>
      <c r="F515" s="162">
        <v>14</v>
      </c>
      <c r="G515" s="164">
        <v>0.5403</v>
      </c>
      <c r="H515" s="164">
        <v>0.25090000000000001</v>
      </c>
      <c r="I515" s="164">
        <v>0.6502</v>
      </c>
      <c r="J515" s="1" t="str">
        <f>HYPERLINK(SetRGB(J515,G515*255,H515*255,I515*255),"HOVER!")</f>
        <v>HOVER!</v>
      </c>
      <c r="K515">
        <f t="shared" si="16"/>
        <v>0.2857142857142857</v>
      </c>
    </row>
    <row r="516" spans="1:11" x14ac:dyDescent="0.3">
      <c r="A516">
        <f>LOOKUP(9E+307,--MID(D516,1,{1,2,3,4,5}))</f>
        <v>5</v>
      </c>
      <c r="B516">
        <f>VLOOKUP(MID(D516,LOOKUP(2,1/ISNUMBER(-MID(D516,1,{1,2,3,4,5})),{1,2,3,4,5})+1,9),'Hue codes'!$A$1:$B$10,2,FALSE)</f>
        <v>80</v>
      </c>
      <c r="C516">
        <f t="shared" si="17"/>
        <v>85</v>
      </c>
      <c r="D516" s="162" t="s">
        <v>54</v>
      </c>
      <c r="E516" s="162">
        <v>4</v>
      </c>
      <c r="F516" s="162">
        <v>16</v>
      </c>
      <c r="G516" s="164">
        <v>0.56599999999999995</v>
      </c>
      <c r="H516" s="164">
        <v>0.21379999999999999</v>
      </c>
      <c r="I516" s="164">
        <v>0.68759999999999999</v>
      </c>
      <c r="J516" s="1" t="str">
        <f>HYPERLINK(SetRGB(J516,G516*255,H516*255,I516*255),"HOVER!")</f>
        <v>HOVER!</v>
      </c>
      <c r="K516">
        <f t="shared" si="16"/>
        <v>0.25</v>
      </c>
    </row>
    <row r="517" spans="1:11" x14ac:dyDescent="0.3">
      <c r="A517">
        <f>LOOKUP(9E+307,--MID(D517,1,{1,2,3,4,5}))</f>
        <v>5</v>
      </c>
      <c r="B517">
        <f>VLOOKUP(MID(D517,LOOKUP(2,1/ISNUMBER(-MID(D517,1,{1,2,3,4,5})),{1,2,3,4,5})+1,9),'Hue codes'!$A$1:$B$10,2,FALSE)</f>
        <v>80</v>
      </c>
      <c r="C517">
        <f t="shared" si="17"/>
        <v>85</v>
      </c>
      <c r="D517" s="162" t="s">
        <v>54</v>
      </c>
      <c r="E517" s="162">
        <v>4</v>
      </c>
      <c r="F517" s="162">
        <v>18</v>
      </c>
      <c r="G517" s="164">
        <v>0.58840000000000003</v>
      </c>
      <c r="H517" s="164">
        <v>0.17130000000000001</v>
      </c>
      <c r="I517" s="164">
        <v>0.72070000000000001</v>
      </c>
      <c r="J517" s="1" t="str">
        <f>HYPERLINK(SetRGB(J517,G517*255,H517*255,I517*255),"HOVER!")</f>
        <v>HOVER!</v>
      </c>
      <c r="K517">
        <f t="shared" si="16"/>
        <v>0.22222222222222221</v>
      </c>
    </row>
    <row r="518" spans="1:11" x14ac:dyDescent="0.3">
      <c r="A518">
        <f>LOOKUP(9E+307,--MID(D518,1,{1,2,3,4,5}))</f>
        <v>5</v>
      </c>
      <c r="B518">
        <f>VLOOKUP(MID(D518,LOOKUP(2,1/ISNUMBER(-MID(D518,1,{1,2,3,4,5})),{1,2,3,4,5})+1,9),'Hue codes'!$A$1:$B$10,2,FALSE)</f>
        <v>80</v>
      </c>
      <c r="C518">
        <f t="shared" si="17"/>
        <v>85</v>
      </c>
      <c r="D518" s="162" t="s">
        <v>54</v>
      </c>
      <c r="E518" s="162">
        <v>4</v>
      </c>
      <c r="F518" s="162">
        <v>20</v>
      </c>
      <c r="G518" s="164">
        <v>0.61280000000000001</v>
      </c>
      <c r="H518" s="164">
        <v>0.1024</v>
      </c>
      <c r="I518" s="164">
        <v>0.75570000000000004</v>
      </c>
      <c r="J518" s="1" t="str">
        <f>HYPERLINK(SetRGB(J518,G518*255,H518*255,I518*255),"HOVER!")</f>
        <v>HOVER!</v>
      </c>
      <c r="K518">
        <f t="shared" si="16"/>
        <v>0.2</v>
      </c>
    </row>
    <row r="519" spans="1:11" x14ac:dyDescent="0.3">
      <c r="A519">
        <f>LOOKUP(9E+307,--MID(D519,1,{1,2,3,4,5}))</f>
        <v>7.5</v>
      </c>
      <c r="B519">
        <f>VLOOKUP(MID(D519,LOOKUP(2,1/ISNUMBER(-MID(D519,1,{1,2,3,4,5})),{1,2,3,4,5})+1,9),'Hue codes'!$A$1:$B$10,2,FALSE)</f>
        <v>80</v>
      </c>
      <c r="C519">
        <f t="shared" si="17"/>
        <v>87.5</v>
      </c>
      <c r="D519" s="162" t="s">
        <v>55</v>
      </c>
      <c r="E519" s="162">
        <v>4</v>
      </c>
      <c r="F519" s="162">
        <v>2</v>
      </c>
      <c r="G519" s="164">
        <v>0.41770000000000002</v>
      </c>
      <c r="H519" s="164">
        <v>0.36430000000000001</v>
      </c>
      <c r="I519" s="164">
        <v>0.42080000000000001</v>
      </c>
      <c r="J519" s="1" t="str">
        <f>HYPERLINK(SetRGB(J519,G519*255,H519*255,I519*255),"HOVER!")</f>
        <v>HOVER!</v>
      </c>
      <c r="K519">
        <f t="shared" si="16"/>
        <v>2</v>
      </c>
    </row>
    <row r="520" spans="1:11" x14ac:dyDescent="0.3">
      <c r="A520">
        <f>LOOKUP(9E+307,--MID(D520,1,{1,2,3,4,5}))</f>
        <v>7.5</v>
      </c>
      <c r="B520">
        <f>VLOOKUP(MID(D520,LOOKUP(2,1/ISNUMBER(-MID(D520,1,{1,2,3,4,5})),{1,2,3,4,5})+1,9),'Hue codes'!$A$1:$B$10,2,FALSE)</f>
        <v>80</v>
      </c>
      <c r="C520">
        <f t="shared" si="17"/>
        <v>87.5</v>
      </c>
      <c r="D520" s="162" t="s">
        <v>55</v>
      </c>
      <c r="E520" s="162">
        <v>4</v>
      </c>
      <c r="F520" s="162">
        <v>4</v>
      </c>
      <c r="G520" s="164">
        <v>0.44829999999999998</v>
      </c>
      <c r="H520" s="164">
        <v>0.3478</v>
      </c>
      <c r="I520" s="164">
        <v>0.45479999999999998</v>
      </c>
      <c r="J520" s="1" t="str">
        <f>HYPERLINK(SetRGB(J520,G520*255,H520*255,I520*255),"HOVER!")</f>
        <v>HOVER!</v>
      </c>
      <c r="K520">
        <f t="shared" si="16"/>
        <v>1</v>
      </c>
    </row>
    <row r="521" spans="1:11" x14ac:dyDescent="0.3">
      <c r="A521">
        <f>LOOKUP(9E+307,--MID(D521,1,{1,2,3,4,5}))</f>
        <v>7.5</v>
      </c>
      <c r="B521">
        <f>VLOOKUP(MID(D521,LOOKUP(2,1/ISNUMBER(-MID(D521,1,{1,2,3,4,5})),{1,2,3,4,5})+1,9),'Hue codes'!$A$1:$B$10,2,FALSE)</f>
        <v>80</v>
      </c>
      <c r="C521">
        <f t="shared" si="17"/>
        <v>87.5</v>
      </c>
      <c r="D521" s="162" t="s">
        <v>55</v>
      </c>
      <c r="E521" s="162">
        <v>4</v>
      </c>
      <c r="F521" s="162">
        <v>6</v>
      </c>
      <c r="G521" s="164">
        <v>0.47720000000000001</v>
      </c>
      <c r="H521" s="164">
        <v>0.32979999999999998</v>
      </c>
      <c r="I521" s="164">
        <v>0.48659999999999998</v>
      </c>
      <c r="J521" s="1" t="str">
        <f>HYPERLINK(SetRGB(J521,G521*255,H521*255,I521*255),"HOVER!")</f>
        <v>HOVER!</v>
      </c>
      <c r="K521">
        <f t="shared" si="16"/>
        <v>0.66666666666666663</v>
      </c>
    </row>
    <row r="522" spans="1:11" x14ac:dyDescent="0.3">
      <c r="A522">
        <f>LOOKUP(9E+307,--MID(D522,1,{1,2,3,4,5}))</f>
        <v>7.5</v>
      </c>
      <c r="B522">
        <f>VLOOKUP(MID(D522,LOOKUP(2,1/ISNUMBER(-MID(D522,1,{1,2,3,4,5})),{1,2,3,4,5})+1,9),'Hue codes'!$A$1:$B$10,2,FALSE)</f>
        <v>80</v>
      </c>
      <c r="C522">
        <f t="shared" si="17"/>
        <v>87.5</v>
      </c>
      <c r="D522" s="162" t="s">
        <v>55</v>
      </c>
      <c r="E522" s="162">
        <v>4</v>
      </c>
      <c r="F522" s="162">
        <v>8</v>
      </c>
      <c r="G522" s="164">
        <v>0.50539999999999996</v>
      </c>
      <c r="H522" s="164">
        <v>0.30930000000000002</v>
      </c>
      <c r="I522" s="164">
        <v>0.51829999999999998</v>
      </c>
      <c r="J522" s="1" t="str">
        <f>HYPERLINK(SetRGB(J522,G522*255,H522*255,I522*255),"HOVER!")</f>
        <v>HOVER!</v>
      </c>
      <c r="K522">
        <f t="shared" si="16"/>
        <v>0.5</v>
      </c>
    </row>
    <row r="523" spans="1:11" x14ac:dyDescent="0.3">
      <c r="A523">
        <f>LOOKUP(9E+307,--MID(D523,1,{1,2,3,4,5}))</f>
        <v>7.5</v>
      </c>
      <c r="B523">
        <f>VLOOKUP(MID(D523,LOOKUP(2,1/ISNUMBER(-MID(D523,1,{1,2,3,4,5})),{1,2,3,4,5})+1,9),'Hue codes'!$A$1:$B$10,2,FALSE)</f>
        <v>80</v>
      </c>
      <c r="C523">
        <f t="shared" si="17"/>
        <v>87.5</v>
      </c>
      <c r="D523" s="162" t="s">
        <v>55</v>
      </c>
      <c r="E523" s="162">
        <v>4</v>
      </c>
      <c r="F523" s="162">
        <v>10</v>
      </c>
      <c r="G523" s="164">
        <v>0.53280000000000005</v>
      </c>
      <c r="H523" s="164">
        <v>0.28599999999999998</v>
      </c>
      <c r="I523" s="164">
        <v>0.54920000000000002</v>
      </c>
      <c r="J523" s="1" t="str">
        <f>HYPERLINK(SetRGB(J523,G523*255,H523*255,I523*255),"HOVER!")</f>
        <v>HOVER!</v>
      </c>
      <c r="K523">
        <f t="shared" si="16"/>
        <v>0.4</v>
      </c>
    </row>
    <row r="524" spans="1:11" x14ac:dyDescent="0.3">
      <c r="A524">
        <f>LOOKUP(9E+307,--MID(D524,1,{1,2,3,4,5}))</f>
        <v>7.5</v>
      </c>
      <c r="B524">
        <f>VLOOKUP(MID(D524,LOOKUP(2,1/ISNUMBER(-MID(D524,1,{1,2,3,4,5})),{1,2,3,4,5})+1,9),'Hue codes'!$A$1:$B$10,2,FALSE)</f>
        <v>80</v>
      </c>
      <c r="C524">
        <f t="shared" si="17"/>
        <v>87.5</v>
      </c>
      <c r="D524" s="162" t="s">
        <v>55</v>
      </c>
      <c r="E524" s="162">
        <v>4</v>
      </c>
      <c r="F524" s="162">
        <v>12</v>
      </c>
      <c r="G524" s="164">
        <v>0.56000000000000005</v>
      </c>
      <c r="H524" s="164">
        <v>0.25850000000000001</v>
      </c>
      <c r="I524" s="164">
        <v>0.58020000000000005</v>
      </c>
      <c r="J524" s="1" t="str">
        <f>HYPERLINK(SetRGB(J524,G524*255,H524*255,I524*255),"HOVER!")</f>
        <v>HOVER!</v>
      </c>
      <c r="K524">
        <f t="shared" si="16"/>
        <v>0.33333333333333331</v>
      </c>
    </row>
    <row r="525" spans="1:11" x14ac:dyDescent="0.3">
      <c r="A525">
        <f>LOOKUP(9E+307,--MID(D525,1,{1,2,3,4,5}))</f>
        <v>7.5</v>
      </c>
      <c r="B525">
        <f>VLOOKUP(MID(D525,LOOKUP(2,1/ISNUMBER(-MID(D525,1,{1,2,3,4,5})),{1,2,3,4,5})+1,9),'Hue codes'!$A$1:$B$10,2,FALSE)</f>
        <v>80</v>
      </c>
      <c r="C525">
        <f t="shared" si="17"/>
        <v>87.5</v>
      </c>
      <c r="D525" s="162" t="s">
        <v>55</v>
      </c>
      <c r="E525" s="162">
        <v>4</v>
      </c>
      <c r="F525" s="162">
        <v>14</v>
      </c>
      <c r="G525" s="164">
        <v>0.58919999999999995</v>
      </c>
      <c r="H525" s="164">
        <v>0.22220000000000001</v>
      </c>
      <c r="I525" s="164">
        <v>0.61309999999999998</v>
      </c>
      <c r="J525" s="1" t="str">
        <f>HYPERLINK(SetRGB(J525,G525*255,H525*255,I525*255),"HOVER!")</f>
        <v>HOVER!</v>
      </c>
      <c r="K525">
        <f t="shared" si="16"/>
        <v>0.2857142857142857</v>
      </c>
    </row>
    <row r="526" spans="1:11" x14ac:dyDescent="0.3">
      <c r="A526">
        <f>LOOKUP(9E+307,--MID(D526,1,{1,2,3,4,5}))</f>
        <v>7.5</v>
      </c>
      <c r="B526">
        <f>VLOOKUP(MID(D526,LOOKUP(2,1/ISNUMBER(-MID(D526,1,{1,2,3,4,5})),{1,2,3,4,5})+1,9),'Hue codes'!$A$1:$B$10,2,FALSE)</f>
        <v>80</v>
      </c>
      <c r="C526">
        <f t="shared" si="17"/>
        <v>87.5</v>
      </c>
      <c r="D526" s="162" t="s">
        <v>55</v>
      </c>
      <c r="E526" s="162">
        <v>4</v>
      </c>
      <c r="F526" s="162">
        <v>16</v>
      </c>
      <c r="G526" s="164">
        <v>0.61839999999999995</v>
      </c>
      <c r="H526" s="164">
        <v>0.17449999999999999</v>
      </c>
      <c r="I526" s="164">
        <v>0.6452</v>
      </c>
      <c r="J526" s="1" t="str">
        <f>HYPERLINK(SetRGB(J526,G526*255,H526*255,I526*255),"HOVER!")</f>
        <v>HOVER!</v>
      </c>
      <c r="K526">
        <f t="shared" si="16"/>
        <v>0.25</v>
      </c>
    </row>
    <row r="527" spans="1:11" x14ac:dyDescent="0.3">
      <c r="A527">
        <f>LOOKUP(9E+307,--MID(D527,1,{1,2,3,4,5}))</f>
        <v>7.5</v>
      </c>
      <c r="B527">
        <f>VLOOKUP(MID(D527,LOOKUP(2,1/ISNUMBER(-MID(D527,1,{1,2,3,4,5})),{1,2,3,4,5})+1,9),'Hue codes'!$A$1:$B$10,2,FALSE)</f>
        <v>80</v>
      </c>
      <c r="C527">
        <f t="shared" si="17"/>
        <v>87.5</v>
      </c>
      <c r="D527" s="162" t="s">
        <v>55</v>
      </c>
      <c r="E527" s="162">
        <v>4</v>
      </c>
      <c r="F527" s="162">
        <v>18</v>
      </c>
      <c r="G527" s="164">
        <v>0.64610000000000001</v>
      </c>
      <c r="H527" s="164">
        <v>0.1038</v>
      </c>
      <c r="I527" s="164">
        <v>0.67730000000000001</v>
      </c>
      <c r="J527" s="1" t="str">
        <f>HYPERLINK(SetRGB(J527,G527*255,H527*255,I527*255),"HOVER!")</f>
        <v>HOVER!</v>
      </c>
      <c r="K527">
        <f t="shared" si="16"/>
        <v>0.22222222222222221</v>
      </c>
    </row>
    <row r="528" spans="1:11" x14ac:dyDescent="0.3">
      <c r="A528">
        <f>LOOKUP(9E+307,--MID(D528,1,{1,2,3,4,5}))</f>
        <v>10</v>
      </c>
      <c r="B528">
        <f>VLOOKUP(MID(D528,LOOKUP(2,1/ISNUMBER(-MID(D528,1,{1,2,3,4,5})),{1,2,3,4,5})+1,9),'Hue codes'!$A$1:$B$10,2,FALSE)</f>
        <v>80</v>
      </c>
      <c r="C528">
        <f t="shared" si="17"/>
        <v>90</v>
      </c>
      <c r="D528" s="162" t="s">
        <v>56</v>
      </c>
      <c r="E528" s="162">
        <v>4</v>
      </c>
      <c r="F528" s="162">
        <v>2</v>
      </c>
      <c r="G528" s="164">
        <v>0.4264</v>
      </c>
      <c r="H528" s="164">
        <v>0.3624</v>
      </c>
      <c r="I528" s="164">
        <v>0.41139999999999999</v>
      </c>
      <c r="J528" s="1" t="str">
        <f>HYPERLINK(SetRGB(J528,G528*255,H528*255,I528*255),"HOVER!")</f>
        <v>HOVER!</v>
      </c>
      <c r="K528">
        <f t="shared" si="16"/>
        <v>2</v>
      </c>
    </row>
    <row r="529" spans="1:11" x14ac:dyDescent="0.3">
      <c r="A529">
        <f>LOOKUP(9E+307,--MID(D529,1,{1,2,3,4,5}))</f>
        <v>10</v>
      </c>
      <c r="B529">
        <f>VLOOKUP(MID(D529,LOOKUP(2,1/ISNUMBER(-MID(D529,1,{1,2,3,4,5})),{1,2,3,4,5})+1,9),'Hue codes'!$A$1:$B$10,2,FALSE)</f>
        <v>80</v>
      </c>
      <c r="C529">
        <f t="shared" si="17"/>
        <v>90</v>
      </c>
      <c r="D529" s="162" t="s">
        <v>56</v>
      </c>
      <c r="E529" s="162">
        <v>4</v>
      </c>
      <c r="F529" s="162">
        <v>4</v>
      </c>
      <c r="G529" s="164">
        <v>0.46510000000000001</v>
      </c>
      <c r="H529" s="164">
        <v>0.34310000000000002</v>
      </c>
      <c r="I529" s="164">
        <v>0.439</v>
      </c>
      <c r="J529" s="181" t="str">
        <f>HYPERLINK(SetRGB(J529,G529*255,H529*255,I529*255),"HOVER!")</f>
        <v>HOVER!</v>
      </c>
      <c r="K529">
        <f t="shared" si="16"/>
        <v>1</v>
      </c>
    </row>
    <row r="530" spans="1:11" x14ac:dyDescent="0.3">
      <c r="A530">
        <f>LOOKUP(9E+307,--MID(D530,1,{1,2,3,4,5}))</f>
        <v>10</v>
      </c>
      <c r="B530">
        <f>VLOOKUP(MID(D530,LOOKUP(2,1/ISNUMBER(-MID(D530,1,{1,2,3,4,5})),{1,2,3,4,5})+1,9),'Hue codes'!$A$1:$B$10,2,FALSE)</f>
        <v>80</v>
      </c>
      <c r="C530">
        <f t="shared" si="17"/>
        <v>90</v>
      </c>
      <c r="D530" s="162" t="s">
        <v>56</v>
      </c>
      <c r="E530" s="162">
        <v>4</v>
      </c>
      <c r="F530" s="162">
        <v>6</v>
      </c>
      <c r="G530" s="164">
        <v>0.50039999999999996</v>
      </c>
      <c r="H530" s="164">
        <v>0.32190000000000002</v>
      </c>
      <c r="I530" s="164">
        <v>0.4657</v>
      </c>
      <c r="J530" s="43" t="str">
        <f>HYPERLINK(SetRGB(J530,G530*255,H530*255,I530*255),"HOVER!")</f>
        <v>HOVER!</v>
      </c>
      <c r="K530">
        <f t="shared" si="16"/>
        <v>0.66666666666666663</v>
      </c>
    </row>
    <row r="531" spans="1:11" x14ac:dyDescent="0.3">
      <c r="A531">
        <f>LOOKUP(9E+307,--MID(D531,1,{1,2,3,4,5}))</f>
        <v>10</v>
      </c>
      <c r="B531">
        <f>VLOOKUP(MID(D531,LOOKUP(2,1/ISNUMBER(-MID(D531,1,{1,2,3,4,5})),{1,2,3,4,5})+1,9),'Hue codes'!$A$1:$B$10,2,FALSE)</f>
        <v>80</v>
      </c>
      <c r="C531">
        <f t="shared" si="17"/>
        <v>90</v>
      </c>
      <c r="D531" s="162" t="s">
        <v>56</v>
      </c>
      <c r="E531" s="162">
        <v>4</v>
      </c>
      <c r="F531" s="162">
        <v>8</v>
      </c>
      <c r="G531" s="164">
        <v>0.53400000000000003</v>
      </c>
      <c r="H531" s="164">
        <v>0.29799999999999999</v>
      </c>
      <c r="I531" s="164">
        <v>0.49199999999999999</v>
      </c>
      <c r="J531" s="61" t="str">
        <f>HYPERLINK(SetRGB(J531,G531*255,H531*255,I531*255),"HOVER!")</f>
        <v>HOVER!</v>
      </c>
      <c r="K531">
        <f t="shared" si="16"/>
        <v>0.5</v>
      </c>
    </row>
    <row r="532" spans="1:11" x14ac:dyDescent="0.3">
      <c r="A532">
        <f>LOOKUP(9E+307,--MID(D532,1,{1,2,3,4,5}))</f>
        <v>10</v>
      </c>
      <c r="B532">
        <f>VLOOKUP(MID(D532,LOOKUP(2,1/ISNUMBER(-MID(D532,1,{1,2,3,4,5})),{1,2,3,4,5})+1,9),'Hue codes'!$A$1:$B$10,2,FALSE)</f>
        <v>80</v>
      </c>
      <c r="C532">
        <f t="shared" si="17"/>
        <v>90</v>
      </c>
      <c r="D532" s="162" t="s">
        <v>56</v>
      </c>
      <c r="E532" s="162">
        <v>4</v>
      </c>
      <c r="F532" s="162">
        <v>10</v>
      </c>
      <c r="G532" s="164">
        <v>0.56540000000000001</v>
      </c>
      <c r="H532" s="164">
        <v>0.27110000000000001</v>
      </c>
      <c r="I532" s="164">
        <v>0.51749999999999996</v>
      </c>
      <c r="J532" s="60" t="str">
        <f>HYPERLINK(SetRGB(J532,G532*255,H532*255,I532*255),"HOVER!")</f>
        <v>HOVER!</v>
      </c>
      <c r="K532">
        <f t="shared" si="16"/>
        <v>0.4</v>
      </c>
    </row>
    <row r="533" spans="1:11" x14ac:dyDescent="0.3">
      <c r="A533">
        <f>LOOKUP(9E+307,--MID(D533,1,{1,2,3,4,5}))</f>
        <v>10</v>
      </c>
      <c r="B533">
        <f>VLOOKUP(MID(D533,LOOKUP(2,1/ISNUMBER(-MID(D533,1,{1,2,3,4,5})),{1,2,3,4,5})+1,9),'Hue codes'!$A$1:$B$10,2,FALSE)</f>
        <v>80</v>
      </c>
      <c r="C533">
        <f t="shared" si="17"/>
        <v>90</v>
      </c>
      <c r="D533" s="162" t="s">
        <v>56</v>
      </c>
      <c r="E533" s="162">
        <v>4</v>
      </c>
      <c r="F533" s="162">
        <v>12</v>
      </c>
      <c r="G533" s="164">
        <v>0.59750000000000003</v>
      </c>
      <c r="H533" s="164">
        <v>0.23769999999999999</v>
      </c>
      <c r="I533" s="164">
        <v>0.54359999999999997</v>
      </c>
      <c r="J533" s="1" t="str">
        <f>HYPERLINK(SetRGB(J533,G533*255,H533*255,I533*255),"HOVER!")</f>
        <v>HOVER!</v>
      </c>
      <c r="K533">
        <f t="shared" si="16"/>
        <v>0.33333333333333331</v>
      </c>
    </row>
    <row r="534" spans="1:11" x14ac:dyDescent="0.3">
      <c r="A534">
        <f>LOOKUP(9E+307,--MID(D534,1,{1,2,3,4,5}))</f>
        <v>10</v>
      </c>
      <c r="B534">
        <f>VLOOKUP(MID(D534,LOOKUP(2,1/ISNUMBER(-MID(D534,1,{1,2,3,4,5})),{1,2,3,4,5})+1,9),'Hue codes'!$A$1:$B$10,2,FALSE)</f>
        <v>80</v>
      </c>
      <c r="C534">
        <f t="shared" si="17"/>
        <v>90</v>
      </c>
      <c r="D534" s="162" t="s">
        <v>56</v>
      </c>
      <c r="E534" s="162">
        <v>4</v>
      </c>
      <c r="F534" s="162">
        <v>14</v>
      </c>
      <c r="G534" s="164">
        <v>0.62919999999999998</v>
      </c>
      <c r="H534" s="164">
        <v>0.1948</v>
      </c>
      <c r="I534" s="164">
        <v>0.57030000000000003</v>
      </c>
      <c r="J534" s="1" t="str">
        <f>HYPERLINK(SetRGB(J534,G534*255,H534*255,I534*255),"HOVER!")</f>
        <v>HOVER!</v>
      </c>
      <c r="K534">
        <f t="shared" si="16"/>
        <v>0.2857142857142857</v>
      </c>
    </row>
    <row r="535" spans="1:11" x14ac:dyDescent="0.3">
      <c r="A535">
        <f>LOOKUP(9E+307,--MID(D535,1,{1,2,3,4,5}))</f>
        <v>10</v>
      </c>
      <c r="B535">
        <f>VLOOKUP(MID(D535,LOOKUP(2,1/ISNUMBER(-MID(D535,1,{1,2,3,4,5})),{1,2,3,4,5})+1,9),'Hue codes'!$A$1:$B$10,2,FALSE)</f>
        <v>80</v>
      </c>
      <c r="C535">
        <f t="shared" si="17"/>
        <v>90</v>
      </c>
      <c r="D535" s="162" t="s">
        <v>56</v>
      </c>
      <c r="E535" s="162">
        <v>4</v>
      </c>
      <c r="F535" s="162">
        <v>16</v>
      </c>
      <c r="G535" s="164">
        <v>0.65880000000000005</v>
      </c>
      <c r="H535" s="164">
        <v>0.1384</v>
      </c>
      <c r="I535" s="164">
        <v>0.59499999999999997</v>
      </c>
      <c r="J535" s="1" t="str">
        <f>HYPERLINK(SetRGB(J535,G535*255,H535*255,I535*255),"HOVER!")</f>
        <v>HOVER!</v>
      </c>
      <c r="K535">
        <f t="shared" si="16"/>
        <v>0.25</v>
      </c>
    </row>
    <row r="536" spans="1:11" x14ac:dyDescent="0.3">
      <c r="A536">
        <f>LOOKUP(9E+307,--MID(D536,1,{1,2,3,4,5}))</f>
        <v>2.5</v>
      </c>
      <c r="B536">
        <f>VLOOKUP(MID(D536,LOOKUP(2,1/ISNUMBER(-MID(D536,1,{1,2,3,4,5})),{1,2,3,4,5})+1,9),'Hue codes'!$A$1:$B$10,2,FALSE)</f>
        <v>90</v>
      </c>
      <c r="C536">
        <f t="shared" si="17"/>
        <v>92.5</v>
      </c>
      <c r="D536" s="162" t="s">
        <v>57</v>
      </c>
      <c r="E536" s="162">
        <v>4</v>
      </c>
      <c r="F536" s="162">
        <v>2</v>
      </c>
      <c r="G536" s="164">
        <v>0.43390000000000001</v>
      </c>
      <c r="H536" s="164">
        <v>0.3609</v>
      </c>
      <c r="I536" s="164">
        <v>0.40129999999999999</v>
      </c>
      <c r="J536" s="1" t="str">
        <f>HYPERLINK(SetRGB(J536,G536*255,H536*255,I536*255),"HOVER!")</f>
        <v>HOVER!</v>
      </c>
      <c r="K536">
        <f t="shared" si="16"/>
        <v>2</v>
      </c>
    </row>
    <row r="537" spans="1:11" x14ac:dyDescent="0.3">
      <c r="A537">
        <f>LOOKUP(9E+307,--MID(D537,1,{1,2,3,4,5}))</f>
        <v>2.5</v>
      </c>
      <c r="B537">
        <f>VLOOKUP(MID(D537,LOOKUP(2,1/ISNUMBER(-MID(D537,1,{1,2,3,4,5})),{1,2,3,4,5})+1,9),'Hue codes'!$A$1:$B$10,2,FALSE)</f>
        <v>90</v>
      </c>
      <c r="C537">
        <f t="shared" si="17"/>
        <v>92.5</v>
      </c>
      <c r="D537" s="162" t="s">
        <v>57</v>
      </c>
      <c r="E537" s="162">
        <v>4</v>
      </c>
      <c r="F537" s="162">
        <v>4</v>
      </c>
      <c r="G537" s="164">
        <v>0.47839999999999999</v>
      </c>
      <c r="H537" s="164">
        <v>0.33979999999999999</v>
      </c>
      <c r="I537" s="164">
        <v>0.42020000000000002</v>
      </c>
      <c r="J537" s="1" t="str">
        <f>HYPERLINK(SetRGB(J537,G537*255,H537*255,I537*255),"HOVER!")</f>
        <v>HOVER!</v>
      </c>
      <c r="K537">
        <f t="shared" si="16"/>
        <v>1</v>
      </c>
    </row>
    <row r="538" spans="1:11" x14ac:dyDescent="0.3">
      <c r="A538">
        <f>LOOKUP(9E+307,--MID(D538,1,{1,2,3,4,5}))</f>
        <v>2.5</v>
      </c>
      <c r="B538">
        <f>VLOOKUP(MID(D538,LOOKUP(2,1/ISNUMBER(-MID(D538,1,{1,2,3,4,5})),{1,2,3,4,5})+1,9),'Hue codes'!$A$1:$B$10,2,FALSE)</f>
        <v>90</v>
      </c>
      <c r="C538">
        <f t="shared" si="17"/>
        <v>92.5</v>
      </c>
      <c r="D538" s="162" t="s">
        <v>57</v>
      </c>
      <c r="E538" s="162">
        <v>4</v>
      </c>
      <c r="F538" s="162">
        <v>6</v>
      </c>
      <c r="G538" s="164">
        <v>0.52139999999999997</v>
      </c>
      <c r="H538" s="164">
        <v>0.315</v>
      </c>
      <c r="I538" s="164">
        <v>0.44</v>
      </c>
      <c r="J538" s="1" t="str">
        <f>HYPERLINK(SetRGB(J538,G538*255,H538*255,I538*255),"HOVER!")</f>
        <v>HOVER!</v>
      </c>
      <c r="K538">
        <f t="shared" si="16"/>
        <v>0.66666666666666663</v>
      </c>
    </row>
    <row r="539" spans="1:11" x14ac:dyDescent="0.3">
      <c r="A539">
        <f>LOOKUP(9E+307,--MID(D539,1,{1,2,3,4,5}))</f>
        <v>2.5</v>
      </c>
      <c r="B539">
        <f>VLOOKUP(MID(D539,LOOKUP(2,1/ISNUMBER(-MID(D539,1,{1,2,3,4,5})),{1,2,3,4,5})+1,9),'Hue codes'!$A$1:$B$10,2,FALSE)</f>
        <v>90</v>
      </c>
      <c r="C539">
        <f t="shared" si="17"/>
        <v>92.5</v>
      </c>
      <c r="D539" s="162" t="s">
        <v>57</v>
      </c>
      <c r="E539" s="162">
        <v>4</v>
      </c>
      <c r="F539" s="162">
        <v>8</v>
      </c>
      <c r="G539" s="164">
        <v>0.56089999999999995</v>
      </c>
      <c r="H539" s="164">
        <v>0.28710000000000002</v>
      </c>
      <c r="I539" s="164">
        <v>0.45910000000000001</v>
      </c>
      <c r="J539" s="1" t="str">
        <f>HYPERLINK(SetRGB(J539,G539*255,H539*255,I539*255),"HOVER!")</f>
        <v>HOVER!</v>
      </c>
      <c r="K539">
        <f t="shared" si="16"/>
        <v>0.5</v>
      </c>
    </row>
    <row r="540" spans="1:11" x14ac:dyDescent="0.3">
      <c r="A540">
        <f>LOOKUP(9E+307,--MID(D540,1,{1,2,3,4,5}))</f>
        <v>2.5</v>
      </c>
      <c r="B540">
        <f>VLOOKUP(MID(D540,LOOKUP(2,1/ISNUMBER(-MID(D540,1,{1,2,3,4,5})),{1,2,3,4,5})+1,9),'Hue codes'!$A$1:$B$10,2,FALSE)</f>
        <v>90</v>
      </c>
      <c r="C540">
        <f t="shared" si="17"/>
        <v>92.5</v>
      </c>
      <c r="D540" s="162" t="s">
        <v>57</v>
      </c>
      <c r="E540" s="162">
        <v>4</v>
      </c>
      <c r="F540" s="162">
        <v>10</v>
      </c>
      <c r="G540" s="164">
        <v>0.5958</v>
      </c>
      <c r="H540" s="164">
        <v>0.25669999999999998</v>
      </c>
      <c r="I540" s="164">
        <v>0.4773</v>
      </c>
      <c r="J540" s="1" t="str">
        <f>HYPERLINK(SetRGB(J540,G540*255,H540*255,I540*255),"HOVER!")</f>
        <v>HOVER!</v>
      </c>
      <c r="K540">
        <f t="shared" si="16"/>
        <v>0.4</v>
      </c>
    </row>
    <row r="541" spans="1:11" x14ac:dyDescent="0.3">
      <c r="A541">
        <f>LOOKUP(9E+307,--MID(D541,1,{1,2,3,4,5}))</f>
        <v>2.5</v>
      </c>
      <c r="B541">
        <f>VLOOKUP(MID(D541,LOOKUP(2,1/ISNUMBER(-MID(D541,1,{1,2,3,4,5})),{1,2,3,4,5})+1,9),'Hue codes'!$A$1:$B$10,2,FALSE)</f>
        <v>90</v>
      </c>
      <c r="C541">
        <f t="shared" si="17"/>
        <v>92.5</v>
      </c>
      <c r="D541" s="162" t="s">
        <v>57</v>
      </c>
      <c r="E541" s="162">
        <v>4</v>
      </c>
      <c r="F541" s="162">
        <v>12</v>
      </c>
      <c r="G541" s="164">
        <v>0.63270000000000004</v>
      </c>
      <c r="H541" s="164">
        <v>0.21590000000000001</v>
      </c>
      <c r="I541" s="164">
        <v>0.49709999999999999</v>
      </c>
      <c r="J541" s="1" t="str">
        <f>HYPERLINK(SetRGB(J541,G541*255,H541*255,I541*255),"HOVER!")</f>
        <v>HOVER!</v>
      </c>
      <c r="K541">
        <f t="shared" si="16"/>
        <v>0.33333333333333331</v>
      </c>
    </row>
    <row r="542" spans="1:11" x14ac:dyDescent="0.3">
      <c r="A542">
        <f>LOOKUP(9E+307,--MID(D542,1,{1,2,3,4,5}))</f>
        <v>2.5</v>
      </c>
      <c r="B542">
        <f>VLOOKUP(MID(D542,LOOKUP(2,1/ISNUMBER(-MID(D542,1,{1,2,3,4,5})),{1,2,3,4,5})+1,9),'Hue codes'!$A$1:$B$10,2,FALSE)</f>
        <v>90</v>
      </c>
      <c r="C542">
        <f t="shared" si="17"/>
        <v>92.5</v>
      </c>
      <c r="D542" s="162" t="s">
        <v>57</v>
      </c>
      <c r="E542" s="162">
        <v>4</v>
      </c>
      <c r="F542" s="162">
        <v>14</v>
      </c>
      <c r="G542" s="164">
        <v>0.66659999999999997</v>
      </c>
      <c r="H542" s="164">
        <v>0.16450000000000001</v>
      </c>
      <c r="I542" s="164">
        <v>0.5161</v>
      </c>
      <c r="J542" s="1" t="str">
        <f>HYPERLINK(SetRGB(J542,G542*255,H542*255,I542*255),"HOVER!")</f>
        <v>HOVER!</v>
      </c>
      <c r="K542">
        <f t="shared" si="16"/>
        <v>0.2857142857142857</v>
      </c>
    </row>
    <row r="543" spans="1:11" x14ac:dyDescent="0.3">
      <c r="A543">
        <f>LOOKUP(9E+307,--MID(D543,1,{1,2,3,4,5}))</f>
        <v>2.5</v>
      </c>
      <c r="B543">
        <f>VLOOKUP(MID(D543,LOOKUP(2,1/ISNUMBER(-MID(D543,1,{1,2,3,4,5})),{1,2,3,4,5})+1,9),'Hue codes'!$A$1:$B$10,2,FALSE)</f>
        <v>90</v>
      </c>
      <c r="C543">
        <f t="shared" si="17"/>
        <v>92.5</v>
      </c>
      <c r="D543" s="162" t="s">
        <v>57</v>
      </c>
      <c r="E543" s="162">
        <v>4</v>
      </c>
      <c r="F543" s="162">
        <v>16</v>
      </c>
      <c r="G543" s="164">
        <v>0.7</v>
      </c>
      <c r="H543" s="164">
        <v>7.9600000000000004E-2</v>
      </c>
      <c r="I543" s="164">
        <v>0.5353</v>
      </c>
      <c r="J543" s="1" t="str">
        <f>HYPERLINK(SetRGB(J543,G543*255,H543*255,I543*255),"HOVER!")</f>
        <v>HOVER!</v>
      </c>
      <c r="K543">
        <f t="shared" si="16"/>
        <v>0.25</v>
      </c>
    </row>
    <row r="544" spans="1:11" x14ac:dyDescent="0.3">
      <c r="A544">
        <f>LOOKUP(9E+307,--MID(D544,1,{1,2,3,4,5}))</f>
        <v>5</v>
      </c>
      <c r="B544">
        <f>VLOOKUP(MID(D544,LOOKUP(2,1/ISNUMBER(-MID(D544,1,{1,2,3,4,5})),{1,2,3,4,5})+1,9),'Hue codes'!$A$1:$B$10,2,FALSE)</f>
        <v>90</v>
      </c>
      <c r="C544">
        <f t="shared" si="17"/>
        <v>95</v>
      </c>
      <c r="D544" s="162" t="s">
        <v>58</v>
      </c>
      <c r="E544" s="162">
        <v>4</v>
      </c>
      <c r="F544" s="162">
        <v>2</v>
      </c>
      <c r="G544" s="164">
        <v>0.44169999999999998</v>
      </c>
      <c r="H544" s="164">
        <v>0.3594</v>
      </c>
      <c r="I544" s="164">
        <v>0.38919999999999999</v>
      </c>
      <c r="J544" s="1" t="str">
        <f>HYPERLINK(SetRGB(J544,G544*255,H544*255,I544*255),"HOVER!")</f>
        <v>HOVER!</v>
      </c>
      <c r="K544">
        <f t="shared" si="16"/>
        <v>2</v>
      </c>
    </row>
    <row r="545" spans="1:11" x14ac:dyDescent="0.3">
      <c r="A545">
        <f>LOOKUP(9E+307,--MID(D545,1,{1,2,3,4,5}))</f>
        <v>5</v>
      </c>
      <c r="B545">
        <f>VLOOKUP(MID(D545,LOOKUP(2,1/ISNUMBER(-MID(D545,1,{1,2,3,4,5})),{1,2,3,4,5})+1,9),'Hue codes'!$A$1:$B$10,2,FALSE)</f>
        <v>90</v>
      </c>
      <c r="C545">
        <f t="shared" si="17"/>
        <v>95</v>
      </c>
      <c r="D545" s="162" t="s">
        <v>58</v>
      </c>
      <c r="E545" s="162">
        <v>4</v>
      </c>
      <c r="F545" s="162">
        <v>4</v>
      </c>
      <c r="G545" s="164">
        <v>0.4919</v>
      </c>
      <c r="H545" s="164">
        <v>0.33660000000000001</v>
      </c>
      <c r="I545" s="164">
        <v>0.39789999999999998</v>
      </c>
      <c r="J545" s="1" t="str">
        <f>HYPERLINK(SetRGB(J545,G545*255,H545*255,I545*255),"HOVER!")</f>
        <v>HOVER!</v>
      </c>
      <c r="K545">
        <f t="shared" si="16"/>
        <v>1</v>
      </c>
    </row>
    <row r="546" spans="1:11" x14ac:dyDescent="0.3">
      <c r="A546">
        <f>LOOKUP(9E+307,--MID(D546,1,{1,2,3,4,5}))</f>
        <v>5</v>
      </c>
      <c r="B546">
        <f>VLOOKUP(MID(D546,LOOKUP(2,1/ISNUMBER(-MID(D546,1,{1,2,3,4,5})),{1,2,3,4,5})+1,9),'Hue codes'!$A$1:$B$10,2,FALSE)</f>
        <v>90</v>
      </c>
      <c r="C546">
        <f t="shared" si="17"/>
        <v>95</v>
      </c>
      <c r="D546" s="162" t="s">
        <v>58</v>
      </c>
      <c r="E546" s="162">
        <v>4</v>
      </c>
      <c r="F546" s="162">
        <v>6</v>
      </c>
      <c r="G546" s="164">
        <v>0.54049999999999998</v>
      </c>
      <c r="H546" s="164">
        <v>0.30909999999999999</v>
      </c>
      <c r="I546" s="164">
        <v>0.4073</v>
      </c>
      <c r="J546" s="1" t="str">
        <f>HYPERLINK(SetRGB(J546,G546*255,H546*255,I546*255),"HOVER!")</f>
        <v>HOVER!</v>
      </c>
      <c r="K546">
        <f t="shared" si="16"/>
        <v>0.66666666666666663</v>
      </c>
    </row>
    <row r="547" spans="1:11" x14ac:dyDescent="0.3">
      <c r="A547">
        <f>LOOKUP(9E+307,--MID(D547,1,{1,2,3,4,5}))</f>
        <v>5</v>
      </c>
      <c r="B547">
        <f>VLOOKUP(MID(D547,LOOKUP(2,1/ISNUMBER(-MID(D547,1,{1,2,3,4,5})),{1,2,3,4,5})+1,9),'Hue codes'!$A$1:$B$10,2,FALSE)</f>
        <v>90</v>
      </c>
      <c r="C547">
        <f t="shared" si="17"/>
        <v>95</v>
      </c>
      <c r="D547" s="162" t="s">
        <v>58</v>
      </c>
      <c r="E547" s="162">
        <v>4</v>
      </c>
      <c r="F547" s="162">
        <v>8</v>
      </c>
      <c r="G547" s="164">
        <v>0.58489999999999998</v>
      </c>
      <c r="H547" s="164">
        <v>0.27760000000000001</v>
      </c>
      <c r="I547" s="164">
        <v>0.41749999999999998</v>
      </c>
      <c r="J547" s="1" t="str">
        <f>HYPERLINK(SetRGB(J547,G547*255,H547*255,I547*255),"HOVER!")</f>
        <v>HOVER!</v>
      </c>
      <c r="K547">
        <f t="shared" si="16"/>
        <v>0.5</v>
      </c>
    </row>
    <row r="548" spans="1:11" x14ac:dyDescent="0.3">
      <c r="A548">
        <f>LOOKUP(9E+307,--MID(D548,1,{1,2,3,4,5}))</f>
        <v>5</v>
      </c>
      <c r="B548">
        <f>VLOOKUP(MID(D548,LOOKUP(2,1/ISNUMBER(-MID(D548,1,{1,2,3,4,5})),{1,2,3,4,5})+1,9),'Hue codes'!$A$1:$B$10,2,FALSE)</f>
        <v>90</v>
      </c>
      <c r="C548">
        <f t="shared" si="17"/>
        <v>95</v>
      </c>
      <c r="D548" s="162" t="s">
        <v>58</v>
      </c>
      <c r="E548" s="162">
        <v>4</v>
      </c>
      <c r="F548" s="162">
        <v>10</v>
      </c>
      <c r="G548" s="164">
        <v>0.62090000000000001</v>
      </c>
      <c r="H548" s="164">
        <v>0.24560000000000001</v>
      </c>
      <c r="I548" s="164">
        <v>0.42720000000000002</v>
      </c>
      <c r="J548" s="1" t="str">
        <f>HYPERLINK(SetRGB(J548,G548*255,H548*255,I548*255),"HOVER!")</f>
        <v>HOVER!</v>
      </c>
      <c r="K548">
        <f t="shared" si="16"/>
        <v>0.4</v>
      </c>
    </row>
    <row r="549" spans="1:11" x14ac:dyDescent="0.3">
      <c r="A549">
        <f>LOOKUP(9E+307,--MID(D549,1,{1,2,3,4,5}))</f>
        <v>5</v>
      </c>
      <c r="B549">
        <f>VLOOKUP(MID(D549,LOOKUP(2,1/ISNUMBER(-MID(D549,1,{1,2,3,4,5})),{1,2,3,4,5})+1,9),'Hue codes'!$A$1:$B$10,2,FALSE)</f>
        <v>90</v>
      </c>
      <c r="C549">
        <f t="shared" si="17"/>
        <v>95</v>
      </c>
      <c r="D549" s="162" t="s">
        <v>58</v>
      </c>
      <c r="E549" s="162">
        <v>4</v>
      </c>
      <c r="F549" s="162">
        <v>12</v>
      </c>
      <c r="G549" s="164">
        <v>0.66269999999999996</v>
      </c>
      <c r="H549" s="164">
        <v>0.19670000000000001</v>
      </c>
      <c r="I549" s="164">
        <v>0.43909999999999999</v>
      </c>
      <c r="J549" s="1" t="str">
        <f>HYPERLINK(SetRGB(J549,G549*255,H549*255,I549*255),"HOVER!")</f>
        <v>HOVER!</v>
      </c>
      <c r="K549">
        <f t="shared" si="16"/>
        <v>0.33333333333333331</v>
      </c>
    </row>
    <row r="550" spans="1:11" x14ac:dyDescent="0.3">
      <c r="A550">
        <f>LOOKUP(9E+307,--MID(D550,1,{1,2,3,4,5}))</f>
        <v>5</v>
      </c>
      <c r="B550">
        <f>VLOOKUP(MID(D550,LOOKUP(2,1/ISNUMBER(-MID(D550,1,{1,2,3,4,5})),{1,2,3,4,5})+1,9),'Hue codes'!$A$1:$B$10,2,FALSE)</f>
        <v>90</v>
      </c>
      <c r="C550">
        <f t="shared" si="17"/>
        <v>95</v>
      </c>
      <c r="D550" s="162" t="s">
        <v>58</v>
      </c>
      <c r="E550" s="162">
        <v>4</v>
      </c>
      <c r="F550" s="162">
        <v>14</v>
      </c>
      <c r="G550" s="164">
        <v>0.69950000000000001</v>
      </c>
      <c r="H550" s="164">
        <v>0.1326</v>
      </c>
      <c r="I550" s="164">
        <v>0.45069999999999999</v>
      </c>
      <c r="J550" s="1" t="str">
        <f>HYPERLINK(SetRGB(J550,G550*255,H550*255,I550*255),"HOVER!")</f>
        <v>HOVER!</v>
      </c>
      <c r="K550">
        <f t="shared" si="16"/>
        <v>0.2857142857142857</v>
      </c>
    </row>
    <row r="551" spans="1:11" x14ac:dyDescent="0.3">
      <c r="A551">
        <f>LOOKUP(9E+307,--MID(D551,1,{1,2,3,4,5}))</f>
        <v>7.5</v>
      </c>
      <c r="B551">
        <f>VLOOKUP(MID(D551,LOOKUP(2,1/ISNUMBER(-MID(D551,1,{1,2,3,4,5})),{1,2,3,4,5})+1,9),'Hue codes'!$A$1:$B$10,2,FALSE)</f>
        <v>90</v>
      </c>
      <c r="C551">
        <f t="shared" si="17"/>
        <v>97.5</v>
      </c>
      <c r="D551" s="162" t="s">
        <v>59</v>
      </c>
      <c r="E551" s="162">
        <v>4</v>
      </c>
      <c r="F551" s="162">
        <v>2</v>
      </c>
      <c r="G551" s="164">
        <v>0.44669999999999999</v>
      </c>
      <c r="H551" s="164">
        <v>0.35859999999999997</v>
      </c>
      <c r="I551" s="164">
        <v>0.37930000000000003</v>
      </c>
      <c r="J551" s="1" t="str">
        <f>HYPERLINK(SetRGB(J551,G551*255,H551*255,I551*255),"HOVER!")</f>
        <v>HOVER!</v>
      </c>
      <c r="K551">
        <f t="shared" si="16"/>
        <v>2</v>
      </c>
    </row>
    <row r="552" spans="1:11" x14ac:dyDescent="0.3">
      <c r="A552">
        <f>LOOKUP(9E+307,--MID(D552,1,{1,2,3,4,5}))</f>
        <v>7.5</v>
      </c>
      <c r="B552">
        <f>VLOOKUP(MID(D552,LOOKUP(2,1/ISNUMBER(-MID(D552,1,{1,2,3,4,5})),{1,2,3,4,5})+1,9),'Hue codes'!$A$1:$B$10,2,FALSE)</f>
        <v>90</v>
      </c>
      <c r="C552">
        <f t="shared" si="17"/>
        <v>97.5</v>
      </c>
      <c r="D552" s="162" t="s">
        <v>59</v>
      </c>
      <c r="E552" s="162">
        <v>4</v>
      </c>
      <c r="F552" s="162">
        <v>4</v>
      </c>
      <c r="G552" s="164">
        <v>0.50049999999999994</v>
      </c>
      <c r="H552" s="164">
        <v>0.33489999999999998</v>
      </c>
      <c r="I552" s="164">
        <v>0.37880000000000003</v>
      </c>
      <c r="J552" s="1" t="str">
        <f>HYPERLINK(SetRGB(J552,G552*255,H552*255,I552*255),"HOVER!")</f>
        <v>HOVER!</v>
      </c>
      <c r="K552">
        <f t="shared" si="16"/>
        <v>1</v>
      </c>
    </row>
    <row r="553" spans="1:11" x14ac:dyDescent="0.3">
      <c r="A553">
        <f>LOOKUP(9E+307,--MID(D553,1,{1,2,3,4,5}))</f>
        <v>7.5</v>
      </c>
      <c r="B553">
        <f>VLOOKUP(MID(D553,LOOKUP(2,1/ISNUMBER(-MID(D553,1,{1,2,3,4,5})),{1,2,3,4,5})+1,9),'Hue codes'!$A$1:$B$10,2,FALSE)</f>
        <v>90</v>
      </c>
      <c r="C553">
        <f t="shared" si="17"/>
        <v>97.5</v>
      </c>
      <c r="D553" s="162" t="s">
        <v>59</v>
      </c>
      <c r="E553" s="162">
        <v>4</v>
      </c>
      <c r="F553" s="162">
        <v>6</v>
      </c>
      <c r="G553" s="164">
        <v>0.55120000000000002</v>
      </c>
      <c r="H553" s="164">
        <v>0.30669999999999997</v>
      </c>
      <c r="I553" s="164">
        <v>0.37930000000000003</v>
      </c>
      <c r="J553" s="1" t="str">
        <f>HYPERLINK(SetRGB(J553,G553*255,H553*255,I553*255),"HOVER!")</f>
        <v>HOVER!</v>
      </c>
      <c r="K553">
        <f t="shared" si="16"/>
        <v>0.66666666666666663</v>
      </c>
    </row>
    <row r="554" spans="1:11" x14ac:dyDescent="0.3">
      <c r="A554">
        <f>LOOKUP(9E+307,--MID(D554,1,{1,2,3,4,5}))</f>
        <v>7.5</v>
      </c>
      <c r="B554">
        <f>VLOOKUP(MID(D554,LOOKUP(2,1/ISNUMBER(-MID(D554,1,{1,2,3,4,5})),{1,2,3,4,5})+1,9),'Hue codes'!$A$1:$B$10,2,FALSE)</f>
        <v>90</v>
      </c>
      <c r="C554">
        <f t="shared" si="17"/>
        <v>97.5</v>
      </c>
      <c r="D554" s="162" t="s">
        <v>59</v>
      </c>
      <c r="E554" s="162">
        <v>4</v>
      </c>
      <c r="F554" s="162">
        <v>8</v>
      </c>
      <c r="G554" s="164">
        <v>0.59830000000000005</v>
      </c>
      <c r="H554" s="164">
        <v>0.27350000000000002</v>
      </c>
      <c r="I554" s="164">
        <v>0.38150000000000001</v>
      </c>
      <c r="J554" s="1" t="str">
        <f>HYPERLINK(SetRGB(J554,G554*255,H554*255,I554*255),"HOVER!")</f>
        <v>HOVER!</v>
      </c>
      <c r="K554">
        <f t="shared" si="16"/>
        <v>0.5</v>
      </c>
    </row>
    <row r="555" spans="1:11" x14ac:dyDescent="0.3">
      <c r="A555">
        <f>LOOKUP(9E+307,--MID(D555,1,{1,2,3,4,5}))</f>
        <v>7.5</v>
      </c>
      <c r="B555">
        <f>VLOOKUP(MID(D555,LOOKUP(2,1/ISNUMBER(-MID(D555,1,{1,2,3,4,5})),{1,2,3,4,5})+1,9),'Hue codes'!$A$1:$B$10,2,FALSE)</f>
        <v>90</v>
      </c>
      <c r="C555">
        <f t="shared" si="17"/>
        <v>97.5</v>
      </c>
      <c r="D555" s="162" t="s">
        <v>59</v>
      </c>
      <c r="E555" s="162">
        <v>4</v>
      </c>
      <c r="F555" s="162">
        <v>10</v>
      </c>
      <c r="G555" s="164">
        <v>0.63819999999999999</v>
      </c>
      <c r="H555" s="164">
        <v>0.2374</v>
      </c>
      <c r="I555" s="164">
        <v>0.38450000000000001</v>
      </c>
      <c r="J555" s="1" t="str">
        <f>HYPERLINK(SetRGB(J555,G555*255,H555*255,I555*255),"HOVER!")</f>
        <v>HOVER!</v>
      </c>
      <c r="K555">
        <f t="shared" si="16"/>
        <v>0.4</v>
      </c>
    </row>
    <row r="556" spans="1:11" x14ac:dyDescent="0.3">
      <c r="A556">
        <f>LOOKUP(9E+307,--MID(D556,1,{1,2,3,4,5}))</f>
        <v>7.5</v>
      </c>
      <c r="B556">
        <f>VLOOKUP(MID(D556,LOOKUP(2,1/ISNUMBER(-MID(D556,1,{1,2,3,4,5})),{1,2,3,4,5})+1,9),'Hue codes'!$A$1:$B$10,2,FALSE)</f>
        <v>90</v>
      </c>
      <c r="C556">
        <f t="shared" si="17"/>
        <v>97.5</v>
      </c>
      <c r="D556" s="162" t="s">
        <v>59</v>
      </c>
      <c r="E556" s="162">
        <v>4</v>
      </c>
      <c r="F556" s="162">
        <v>12</v>
      </c>
      <c r="G556" s="164">
        <v>0.68020000000000003</v>
      </c>
      <c r="H556" s="164">
        <v>0.18629999999999999</v>
      </c>
      <c r="I556" s="164">
        <v>0.38919999999999999</v>
      </c>
      <c r="J556" s="1" t="str">
        <f>HYPERLINK(SetRGB(J556,G556*255,H556*255,I556*255),"HOVER!")</f>
        <v>HOVER!</v>
      </c>
      <c r="K556">
        <f t="shared" si="16"/>
        <v>0.33333333333333331</v>
      </c>
    </row>
    <row r="557" spans="1:11" x14ac:dyDescent="0.3">
      <c r="A557">
        <f>LOOKUP(9E+307,--MID(D557,1,{1,2,3,4,5}))</f>
        <v>7.5</v>
      </c>
      <c r="B557">
        <f>VLOOKUP(MID(D557,LOOKUP(2,1/ISNUMBER(-MID(D557,1,{1,2,3,4,5})),{1,2,3,4,5})+1,9),'Hue codes'!$A$1:$B$10,2,FALSE)</f>
        <v>90</v>
      </c>
      <c r="C557">
        <f t="shared" si="17"/>
        <v>97.5</v>
      </c>
      <c r="D557" s="162" t="s">
        <v>59</v>
      </c>
      <c r="E557" s="162">
        <v>4</v>
      </c>
      <c r="F557" s="162">
        <v>14</v>
      </c>
      <c r="G557" s="164">
        <v>0.71989999999999998</v>
      </c>
      <c r="H557" s="164">
        <v>0.1096</v>
      </c>
      <c r="I557" s="164">
        <v>0.39410000000000001</v>
      </c>
      <c r="J557" s="1" t="str">
        <f>HYPERLINK(SetRGB(J557,G557*255,H557*255,I557*255),"HOVER!")</f>
        <v>HOVER!</v>
      </c>
      <c r="K557">
        <f t="shared" si="16"/>
        <v>0.2857142857142857</v>
      </c>
    </row>
    <row r="558" spans="1:11" x14ac:dyDescent="0.3">
      <c r="A558">
        <f>LOOKUP(9E+307,--MID(D558,1,{1,2,3,4,5}))</f>
        <v>10</v>
      </c>
      <c r="B558">
        <f>VLOOKUP(MID(D558,LOOKUP(2,1/ISNUMBER(-MID(D558,1,{1,2,3,4,5})),{1,2,3,4,5})+1,9),'Hue codes'!$A$1:$B$10,2,FALSE)</f>
        <v>90</v>
      </c>
      <c r="C558">
        <f t="shared" si="17"/>
        <v>0</v>
      </c>
      <c r="D558" s="162" t="s">
        <v>20</v>
      </c>
      <c r="E558" s="162">
        <v>5</v>
      </c>
      <c r="F558" s="162">
        <v>2</v>
      </c>
      <c r="G558" s="164">
        <v>0.54339999999999999</v>
      </c>
      <c r="H558" s="164">
        <v>0.46260000000000001</v>
      </c>
      <c r="I558" s="164">
        <v>0.47120000000000001</v>
      </c>
      <c r="J558" s="1" t="str">
        <f>HYPERLINK(SetRGB(J558,G558*255,H558*255,I558*255),"HOVER!")</f>
        <v>HOVER!</v>
      </c>
      <c r="K558">
        <f t="shared" si="16"/>
        <v>2.5</v>
      </c>
    </row>
    <row r="559" spans="1:11" x14ac:dyDescent="0.3">
      <c r="A559">
        <f>LOOKUP(9E+307,--MID(D559,1,{1,2,3,4,5}))</f>
        <v>10</v>
      </c>
      <c r="B559">
        <f>VLOOKUP(MID(D559,LOOKUP(2,1/ISNUMBER(-MID(D559,1,{1,2,3,4,5})),{1,2,3,4,5})+1,9),'Hue codes'!$A$1:$B$10,2,FALSE)</f>
        <v>90</v>
      </c>
      <c r="C559">
        <f t="shared" si="17"/>
        <v>0</v>
      </c>
      <c r="D559" s="162" t="s">
        <v>20</v>
      </c>
      <c r="E559" s="162">
        <v>5</v>
      </c>
      <c r="F559" s="162">
        <v>4</v>
      </c>
      <c r="G559" s="164">
        <v>0.60589999999999999</v>
      </c>
      <c r="H559" s="164">
        <v>0.43830000000000002</v>
      </c>
      <c r="I559" s="164">
        <v>0.4597</v>
      </c>
      <c r="J559" s="1" t="str">
        <f>HYPERLINK(SetRGB(J559,G559*255,H559*255,I559*255),"HOVER!")</f>
        <v>HOVER!</v>
      </c>
      <c r="K559">
        <f t="shared" si="16"/>
        <v>1.25</v>
      </c>
    </row>
    <row r="560" spans="1:11" x14ac:dyDescent="0.3">
      <c r="A560">
        <f>LOOKUP(9E+307,--MID(D560,1,{1,2,3,4,5}))</f>
        <v>10</v>
      </c>
      <c r="B560">
        <f>VLOOKUP(MID(D560,LOOKUP(2,1/ISNUMBER(-MID(D560,1,{1,2,3,4,5})),{1,2,3,4,5})+1,9),'Hue codes'!$A$1:$B$10,2,FALSE)</f>
        <v>90</v>
      </c>
      <c r="C560">
        <f t="shared" si="17"/>
        <v>0</v>
      </c>
      <c r="D560" s="162" t="s">
        <v>20</v>
      </c>
      <c r="E560" s="162">
        <v>5</v>
      </c>
      <c r="F560" s="162">
        <v>6</v>
      </c>
      <c r="G560" s="164">
        <v>0.66310000000000002</v>
      </c>
      <c r="H560" s="164">
        <v>0.41089999999999999</v>
      </c>
      <c r="I560" s="164">
        <v>0.44950000000000001</v>
      </c>
      <c r="J560" s="1" t="str">
        <f>HYPERLINK(SetRGB(J560,G560*255,H560*255,I560*255),"HOVER!")</f>
        <v>HOVER!</v>
      </c>
      <c r="K560">
        <f t="shared" si="16"/>
        <v>0.83333333333333337</v>
      </c>
    </row>
    <row r="561" spans="1:11" x14ac:dyDescent="0.3">
      <c r="A561">
        <f>LOOKUP(9E+307,--MID(D561,1,{1,2,3,4,5}))</f>
        <v>10</v>
      </c>
      <c r="B561">
        <f>VLOOKUP(MID(D561,LOOKUP(2,1/ISNUMBER(-MID(D561,1,{1,2,3,4,5})),{1,2,3,4,5})+1,9),'Hue codes'!$A$1:$B$10,2,FALSE)</f>
        <v>90</v>
      </c>
      <c r="C561">
        <f t="shared" si="17"/>
        <v>0</v>
      </c>
      <c r="D561" s="162" t="s">
        <v>20</v>
      </c>
      <c r="E561" s="162">
        <v>5</v>
      </c>
      <c r="F561" s="162">
        <v>8</v>
      </c>
      <c r="G561" s="164">
        <v>0.71689999999999998</v>
      </c>
      <c r="H561" s="164">
        <v>0.37930000000000003</v>
      </c>
      <c r="I561" s="164">
        <v>0.44009999999999999</v>
      </c>
      <c r="J561" s="44" t="str">
        <f>HYPERLINK(SetRGB(J561,G561*255,H561*255,I561*255),"HOVER!")</f>
        <v>HOVER!</v>
      </c>
      <c r="K561">
        <f t="shared" si="16"/>
        <v>0.625</v>
      </c>
    </row>
    <row r="562" spans="1:11" x14ac:dyDescent="0.3">
      <c r="A562">
        <f>LOOKUP(9E+307,--MID(D562,1,{1,2,3,4,5}))</f>
        <v>10</v>
      </c>
      <c r="B562">
        <f>VLOOKUP(MID(D562,LOOKUP(2,1/ISNUMBER(-MID(D562,1,{1,2,3,4,5})),{1,2,3,4,5})+1,9),'Hue codes'!$A$1:$B$10,2,FALSE)</f>
        <v>90</v>
      </c>
      <c r="C562">
        <f t="shared" si="17"/>
        <v>0</v>
      </c>
      <c r="D562" s="162" t="s">
        <v>20</v>
      </c>
      <c r="E562" s="162">
        <v>5</v>
      </c>
      <c r="F562" s="162">
        <v>10</v>
      </c>
      <c r="G562" s="164">
        <v>0.7641</v>
      </c>
      <c r="H562" s="164">
        <v>0.3453</v>
      </c>
      <c r="I562" s="164">
        <v>0.43290000000000001</v>
      </c>
      <c r="J562" s="59" t="str">
        <f>HYPERLINK(SetRGB(J562,G562*255,H562*255,I562*255),"HOVER!")</f>
        <v>HOVER!</v>
      </c>
      <c r="K562">
        <f t="shared" si="16"/>
        <v>0.5</v>
      </c>
    </row>
    <row r="563" spans="1:11" x14ac:dyDescent="0.3">
      <c r="A563">
        <f>LOOKUP(9E+307,--MID(D563,1,{1,2,3,4,5}))</f>
        <v>10</v>
      </c>
      <c r="B563">
        <f>VLOOKUP(MID(D563,LOOKUP(2,1/ISNUMBER(-MID(D563,1,{1,2,3,4,5})),{1,2,3,4,5})+1,9),'Hue codes'!$A$1:$B$10,2,FALSE)</f>
        <v>90</v>
      </c>
      <c r="C563">
        <f t="shared" si="17"/>
        <v>0</v>
      </c>
      <c r="D563" s="162" t="s">
        <v>20</v>
      </c>
      <c r="E563" s="162">
        <v>5</v>
      </c>
      <c r="F563" s="162">
        <v>12</v>
      </c>
      <c r="G563" s="164">
        <v>0.81510000000000005</v>
      </c>
      <c r="H563" s="164">
        <v>0.29880000000000001</v>
      </c>
      <c r="I563" s="164">
        <v>0.42609999999999998</v>
      </c>
      <c r="J563" s="58" t="str">
        <f>HYPERLINK(SetRGB(J563,G563*255,H563*255,I563*255),"HOVER!")</f>
        <v>HOVER!</v>
      </c>
      <c r="K563">
        <f t="shared" si="16"/>
        <v>0.41666666666666669</v>
      </c>
    </row>
    <row r="564" spans="1:11" x14ac:dyDescent="0.3">
      <c r="A564">
        <f>LOOKUP(9E+307,--MID(D564,1,{1,2,3,4,5}))</f>
        <v>10</v>
      </c>
      <c r="B564">
        <f>VLOOKUP(MID(D564,LOOKUP(2,1/ISNUMBER(-MID(D564,1,{1,2,3,4,5})),{1,2,3,4,5})+1,9),'Hue codes'!$A$1:$B$10,2,FALSE)</f>
        <v>90</v>
      </c>
      <c r="C564">
        <f t="shared" si="17"/>
        <v>0</v>
      </c>
      <c r="D564" s="162" t="s">
        <v>20</v>
      </c>
      <c r="E564" s="162">
        <v>5</v>
      </c>
      <c r="F564" s="162">
        <v>14</v>
      </c>
      <c r="G564" s="164">
        <v>0.85419999999999996</v>
      </c>
      <c r="H564" s="164">
        <v>0.25259999999999999</v>
      </c>
      <c r="I564" s="164">
        <v>0.42180000000000001</v>
      </c>
      <c r="J564" s="1" t="str">
        <f>HYPERLINK(SetRGB(J564,G564*255,H564*255,I564*255),"HOVER!")</f>
        <v>HOVER!</v>
      </c>
      <c r="K564">
        <f t="shared" si="16"/>
        <v>0.35714285714285715</v>
      </c>
    </row>
    <row r="565" spans="1:11" x14ac:dyDescent="0.3">
      <c r="A565">
        <f>LOOKUP(9E+307,--MID(D565,1,{1,2,3,4,5}))</f>
        <v>10</v>
      </c>
      <c r="B565">
        <f>VLOOKUP(MID(D565,LOOKUP(2,1/ISNUMBER(-MID(D565,1,{1,2,3,4,5})),{1,2,3,4,5})+1,9),'Hue codes'!$A$1:$B$10,2,FALSE)</f>
        <v>90</v>
      </c>
      <c r="C565">
        <f t="shared" si="17"/>
        <v>0</v>
      </c>
      <c r="D565" s="162" t="s">
        <v>20</v>
      </c>
      <c r="E565" s="162">
        <v>5</v>
      </c>
      <c r="F565" s="162">
        <v>16</v>
      </c>
      <c r="G565" s="164">
        <v>0.90010000000000001</v>
      </c>
      <c r="H565" s="164">
        <v>0.17510000000000001</v>
      </c>
      <c r="I565" s="164">
        <v>0.41749999999999998</v>
      </c>
      <c r="J565" s="1" t="str">
        <f>HYPERLINK(SetRGB(J565,G565*255,H565*255,I565*255),"HOVER!")</f>
        <v>HOVER!</v>
      </c>
      <c r="K565">
        <f t="shared" si="16"/>
        <v>0.3125</v>
      </c>
    </row>
    <row r="566" spans="1:11" x14ac:dyDescent="0.3">
      <c r="A566">
        <f>LOOKUP(9E+307,--MID(D566,1,{1,2,3,4,5}))</f>
        <v>2.5</v>
      </c>
      <c r="B566">
        <f>VLOOKUP(MID(D566,LOOKUP(2,1/ISNUMBER(-MID(D566,1,{1,2,3,4,5})),{1,2,3,4,5})+1,9),'Hue codes'!$A$1:$B$10,2,FALSE)</f>
        <v>0</v>
      </c>
      <c r="C566">
        <f t="shared" si="17"/>
        <v>2.5</v>
      </c>
      <c r="D566" s="162" t="s">
        <v>21</v>
      </c>
      <c r="E566" s="162">
        <v>5</v>
      </c>
      <c r="F566" s="162">
        <v>2</v>
      </c>
      <c r="G566" s="164">
        <v>0.54590000000000005</v>
      </c>
      <c r="H566" s="164">
        <v>0.46239999999999998</v>
      </c>
      <c r="I566" s="164">
        <v>0.46510000000000001</v>
      </c>
      <c r="J566" s="1" t="str">
        <f>HYPERLINK(SetRGB(J566,G566*255,H566*255,I566*255),"HOVER!")</f>
        <v>HOVER!</v>
      </c>
      <c r="K566">
        <f t="shared" si="16"/>
        <v>2.5</v>
      </c>
    </row>
    <row r="567" spans="1:11" x14ac:dyDescent="0.3">
      <c r="A567">
        <f>LOOKUP(9E+307,--MID(D567,1,{1,2,3,4,5}))</f>
        <v>2.5</v>
      </c>
      <c r="B567">
        <f>VLOOKUP(MID(D567,LOOKUP(2,1/ISNUMBER(-MID(D567,1,{1,2,3,4,5})),{1,2,3,4,5})+1,9),'Hue codes'!$A$1:$B$10,2,FALSE)</f>
        <v>0</v>
      </c>
      <c r="C567">
        <f t="shared" si="17"/>
        <v>2.5</v>
      </c>
      <c r="D567" s="162" t="s">
        <v>21</v>
      </c>
      <c r="E567" s="162">
        <v>5</v>
      </c>
      <c r="F567" s="162">
        <v>4</v>
      </c>
      <c r="G567" s="164">
        <v>0.61050000000000004</v>
      </c>
      <c r="H567" s="164">
        <v>0.43780000000000002</v>
      </c>
      <c r="I567" s="164">
        <v>0.44569999999999999</v>
      </c>
      <c r="J567" s="1" t="str">
        <f>HYPERLINK(SetRGB(J567,G567*255,H567*255,I567*255),"HOVER!")</f>
        <v>HOVER!</v>
      </c>
      <c r="K567">
        <f t="shared" ref="K567:K630" si="18">E567/F567</f>
        <v>1.25</v>
      </c>
    </row>
    <row r="568" spans="1:11" x14ac:dyDescent="0.3">
      <c r="A568">
        <f>LOOKUP(9E+307,--MID(D568,1,{1,2,3,4,5}))</f>
        <v>2.5</v>
      </c>
      <c r="B568">
        <f>VLOOKUP(MID(D568,LOOKUP(2,1/ISNUMBER(-MID(D568,1,{1,2,3,4,5})),{1,2,3,4,5})+1,9),'Hue codes'!$A$1:$B$10,2,FALSE)</f>
        <v>0</v>
      </c>
      <c r="C568">
        <f t="shared" si="17"/>
        <v>2.5</v>
      </c>
      <c r="D568" s="162" t="s">
        <v>21</v>
      </c>
      <c r="E568" s="162">
        <v>5</v>
      </c>
      <c r="F568" s="162">
        <v>6</v>
      </c>
      <c r="G568" s="164">
        <v>0.66900000000000004</v>
      </c>
      <c r="H568" s="164">
        <v>0.41039999999999999</v>
      </c>
      <c r="I568" s="164">
        <v>0.4264</v>
      </c>
      <c r="J568" s="1" t="str">
        <f>HYPERLINK(SetRGB(J568,G568*255,H568*255,I568*255),"HOVER!")</f>
        <v>HOVER!</v>
      </c>
      <c r="K568">
        <f t="shared" si="18"/>
        <v>0.83333333333333337</v>
      </c>
    </row>
    <row r="569" spans="1:11" x14ac:dyDescent="0.3">
      <c r="A569">
        <f>LOOKUP(9E+307,--MID(D569,1,{1,2,3,4,5}))</f>
        <v>2.5</v>
      </c>
      <c r="B569">
        <f>VLOOKUP(MID(D569,LOOKUP(2,1/ISNUMBER(-MID(D569,1,{1,2,3,4,5})),{1,2,3,4,5})+1,9),'Hue codes'!$A$1:$B$10,2,FALSE)</f>
        <v>0</v>
      </c>
      <c r="C569">
        <f t="shared" si="17"/>
        <v>2.5</v>
      </c>
      <c r="D569" s="162" t="s">
        <v>21</v>
      </c>
      <c r="E569" s="162">
        <v>5</v>
      </c>
      <c r="F569" s="162">
        <v>8</v>
      </c>
      <c r="G569" s="164">
        <v>0.72240000000000004</v>
      </c>
      <c r="H569" s="164">
        <v>0.37959999999999999</v>
      </c>
      <c r="I569" s="164">
        <v>0.40820000000000001</v>
      </c>
      <c r="J569" s="1" t="str">
        <f>HYPERLINK(SetRGB(J569,G569*255,H569*255,I569*255),"HOVER!")</f>
        <v>HOVER!</v>
      </c>
      <c r="K569">
        <f t="shared" si="18"/>
        <v>0.625</v>
      </c>
    </row>
    <row r="570" spans="1:11" x14ac:dyDescent="0.3">
      <c r="A570">
        <f>LOOKUP(9E+307,--MID(D570,1,{1,2,3,4,5}))</f>
        <v>2.5</v>
      </c>
      <c r="B570">
        <f>VLOOKUP(MID(D570,LOOKUP(2,1/ISNUMBER(-MID(D570,1,{1,2,3,4,5})),{1,2,3,4,5})+1,9),'Hue codes'!$A$1:$B$10,2,FALSE)</f>
        <v>0</v>
      </c>
      <c r="C570">
        <f t="shared" si="17"/>
        <v>2.5</v>
      </c>
      <c r="D570" s="162" t="s">
        <v>21</v>
      </c>
      <c r="E570" s="162">
        <v>5</v>
      </c>
      <c r="F570" s="162">
        <v>10</v>
      </c>
      <c r="G570" s="164">
        <v>0.77259999999999995</v>
      </c>
      <c r="H570" s="164">
        <v>0.34379999999999999</v>
      </c>
      <c r="I570" s="164">
        <v>0.39190000000000003</v>
      </c>
      <c r="J570" s="1" t="str">
        <f>HYPERLINK(SetRGB(J570,G570*255,H570*255,I570*255),"HOVER!")</f>
        <v>HOVER!</v>
      </c>
      <c r="K570">
        <f t="shared" si="18"/>
        <v>0.5</v>
      </c>
    </row>
    <row r="571" spans="1:11" x14ac:dyDescent="0.3">
      <c r="A571">
        <f>LOOKUP(9E+307,--MID(D571,1,{1,2,3,4,5}))</f>
        <v>2.5</v>
      </c>
      <c r="B571">
        <f>VLOOKUP(MID(D571,LOOKUP(2,1/ISNUMBER(-MID(D571,1,{1,2,3,4,5})),{1,2,3,4,5})+1,9),'Hue codes'!$A$1:$B$10,2,FALSE)</f>
        <v>0</v>
      </c>
      <c r="C571">
        <f t="shared" si="17"/>
        <v>2.5</v>
      </c>
      <c r="D571" s="162" t="s">
        <v>21</v>
      </c>
      <c r="E571" s="162">
        <v>5</v>
      </c>
      <c r="F571" s="162">
        <v>12</v>
      </c>
      <c r="G571" s="164">
        <v>0.82310000000000005</v>
      </c>
      <c r="H571" s="164">
        <v>0.29820000000000002</v>
      </c>
      <c r="I571" s="164">
        <v>0.376</v>
      </c>
      <c r="J571" s="1" t="str">
        <f>HYPERLINK(SetRGB(J571,G571*255,H571*255,I571*255),"HOVER!")</f>
        <v>HOVER!</v>
      </c>
      <c r="K571">
        <f t="shared" si="18"/>
        <v>0.41666666666666669</v>
      </c>
    </row>
    <row r="572" spans="1:11" x14ac:dyDescent="0.3">
      <c r="A572">
        <f>LOOKUP(9E+307,--MID(D572,1,{1,2,3,4,5}))</f>
        <v>2.5</v>
      </c>
      <c r="B572">
        <f>VLOOKUP(MID(D572,LOOKUP(2,1/ISNUMBER(-MID(D572,1,{1,2,3,4,5})),{1,2,3,4,5})+1,9),'Hue codes'!$A$1:$B$10,2,FALSE)</f>
        <v>0</v>
      </c>
      <c r="C572">
        <f t="shared" si="17"/>
        <v>2.5</v>
      </c>
      <c r="D572" s="162" t="s">
        <v>21</v>
      </c>
      <c r="E572" s="162">
        <v>5</v>
      </c>
      <c r="F572" s="162">
        <v>14</v>
      </c>
      <c r="G572" s="164">
        <v>0.86280000000000001</v>
      </c>
      <c r="H572" s="164">
        <v>0.2515</v>
      </c>
      <c r="I572" s="164">
        <v>0.36380000000000001</v>
      </c>
      <c r="J572" s="1" t="str">
        <f>HYPERLINK(SetRGB(J572,G572*255,H572*255,I572*255),"HOVER!")</f>
        <v>HOVER!</v>
      </c>
      <c r="K572">
        <f t="shared" si="18"/>
        <v>0.35714285714285715</v>
      </c>
    </row>
    <row r="573" spans="1:11" x14ac:dyDescent="0.3">
      <c r="A573">
        <f>LOOKUP(9E+307,--MID(D573,1,{1,2,3,4,5}))</f>
        <v>2.5</v>
      </c>
      <c r="B573">
        <f>VLOOKUP(MID(D573,LOOKUP(2,1/ISNUMBER(-MID(D573,1,{1,2,3,4,5})),{1,2,3,4,5})+1,9),'Hue codes'!$A$1:$B$10,2,FALSE)</f>
        <v>0</v>
      </c>
      <c r="C573">
        <f t="shared" si="17"/>
        <v>2.5</v>
      </c>
      <c r="D573" s="162" t="s">
        <v>21</v>
      </c>
      <c r="E573" s="162">
        <v>5</v>
      </c>
      <c r="F573" s="162">
        <v>16</v>
      </c>
      <c r="G573" s="164">
        <v>0.90810000000000002</v>
      </c>
      <c r="H573" s="164">
        <v>0.17519999999999999</v>
      </c>
      <c r="I573" s="164">
        <v>0.35139999999999999</v>
      </c>
      <c r="J573" s="1" t="str">
        <f>HYPERLINK(SetRGB(J573,G573*255,H573*255,I573*255),"HOVER!")</f>
        <v>HOVER!</v>
      </c>
      <c r="K573">
        <f t="shared" si="18"/>
        <v>0.3125</v>
      </c>
    </row>
    <row r="574" spans="1:11" x14ac:dyDescent="0.3">
      <c r="A574">
        <f>LOOKUP(9E+307,--MID(D574,1,{1,2,3,4,5}))</f>
        <v>5</v>
      </c>
      <c r="B574">
        <f>VLOOKUP(MID(D574,LOOKUP(2,1/ISNUMBER(-MID(D574,1,{1,2,3,4,5})),{1,2,3,4,5})+1,9),'Hue codes'!$A$1:$B$10,2,FALSE)</f>
        <v>0</v>
      </c>
      <c r="C574">
        <f t="shared" si="17"/>
        <v>5</v>
      </c>
      <c r="D574" s="162" t="s">
        <v>22</v>
      </c>
      <c r="E574" s="162">
        <v>5</v>
      </c>
      <c r="F574" s="162">
        <v>2</v>
      </c>
      <c r="G574" s="164">
        <v>0.54810000000000003</v>
      </c>
      <c r="H574" s="164">
        <v>0.46239999999999998</v>
      </c>
      <c r="I574" s="164">
        <v>0.45760000000000001</v>
      </c>
      <c r="J574" s="1" t="str">
        <f>HYPERLINK(SetRGB(J574,G574*255,H574*255,I574*255),"HOVER!")</f>
        <v>HOVER!</v>
      </c>
      <c r="K574">
        <f t="shared" si="18"/>
        <v>2.5</v>
      </c>
    </row>
    <row r="575" spans="1:11" x14ac:dyDescent="0.3">
      <c r="A575">
        <f>LOOKUP(9E+307,--MID(D575,1,{1,2,3,4,5}))</f>
        <v>5</v>
      </c>
      <c r="B575">
        <f>VLOOKUP(MID(D575,LOOKUP(2,1/ISNUMBER(-MID(D575,1,{1,2,3,4,5})),{1,2,3,4,5})+1,9),'Hue codes'!$A$1:$B$10,2,FALSE)</f>
        <v>0</v>
      </c>
      <c r="C575">
        <f t="shared" si="17"/>
        <v>5</v>
      </c>
      <c r="D575" s="162" t="s">
        <v>22</v>
      </c>
      <c r="E575" s="162">
        <v>5</v>
      </c>
      <c r="F575" s="162">
        <v>4</v>
      </c>
      <c r="G575" s="164">
        <v>0.61560000000000004</v>
      </c>
      <c r="H575" s="164">
        <v>0.43740000000000001</v>
      </c>
      <c r="I575" s="164">
        <v>0.42849999999999999</v>
      </c>
      <c r="J575" s="1" t="str">
        <f>HYPERLINK(SetRGB(J575,G575*255,H575*255,I575*255),"HOVER!")</f>
        <v>HOVER!</v>
      </c>
      <c r="K575">
        <f t="shared" si="18"/>
        <v>1.25</v>
      </c>
    </row>
    <row r="576" spans="1:11" x14ac:dyDescent="0.3">
      <c r="A576">
        <f>LOOKUP(9E+307,--MID(D576,1,{1,2,3,4,5}))</f>
        <v>5</v>
      </c>
      <c r="B576">
        <f>VLOOKUP(MID(D576,LOOKUP(2,1/ISNUMBER(-MID(D576,1,{1,2,3,4,5})),{1,2,3,4,5})+1,9),'Hue codes'!$A$1:$B$10,2,FALSE)</f>
        <v>0</v>
      </c>
      <c r="C576">
        <f t="shared" si="17"/>
        <v>5</v>
      </c>
      <c r="D576" s="162" t="s">
        <v>22</v>
      </c>
      <c r="E576" s="162">
        <v>5</v>
      </c>
      <c r="F576" s="162">
        <v>6</v>
      </c>
      <c r="G576" s="164">
        <v>0.67349999999999999</v>
      </c>
      <c r="H576" s="164">
        <v>0.4108</v>
      </c>
      <c r="I576" s="164">
        <v>0.3997</v>
      </c>
      <c r="J576" s="1" t="str">
        <f>HYPERLINK(SetRGB(J576,G576*255,H576*255,I576*255),"HOVER!")</f>
        <v>HOVER!</v>
      </c>
      <c r="K576">
        <f t="shared" si="18"/>
        <v>0.83333333333333337</v>
      </c>
    </row>
    <row r="577" spans="1:11" x14ac:dyDescent="0.3">
      <c r="A577">
        <f>LOOKUP(9E+307,--MID(D577,1,{1,2,3,4,5}))</f>
        <v>5</v>
      </c>
      <c r="B577">
        <f>VLOOKUP(MID(D577,LOOKUP(2,1/ISNUMBER(-MID(D577,1,{1,2,3,4,5})),{1,2,3,4,5})+1,9),'Hue codes'!$A$1:$B$10,2,FALSE)</f>
        <v>0</v>
      </c>
      <c r="C577">
        <f t="shared" si="17"/>
        <v>5</v>
      </c>
      <c r="D577" s="162" t="s">
        <v>22</v>
      </c>
      <c r="E577" s="162">
        <v>5</v>
      </c>
      <c r="F577" s="162">
        <v>8</v>
      </c>
      <c r="G577" s="164">
        <v>0.72689999999999999</v>
      </c>
      <c r="H577" s="164">
        <v>0.38069999999999998</v>
      </c>
      <c r="I577" s="164">
        <v>0.37140000000000001</v>
      </c>
      <c r="J577" s="1" t="str">
        <f>HYPERLINK(SetRGB(J577,G577*255,H577*255,I577*255),"HOVER!")</f>
        <v>HOVER!</v>
      </c>
      <c r="K577">
        <f t="shared" si="18"/>
        <v>0.625</v>
      </c>
    </row>
    <row r="578" spans="1:11" x14ac:dyDescent="0.3">
      <c r="A578">
        <f>LOOKUP(9E+307,--MID(D578,1,{1,2,3,4,5}))</f>
        <v>5</v>
      </c>
      <c r="B578">
        <f>VLOOKUP(MID(D578,LOOKUP(2,1/ISNUMBER(-MID(D578,1,{1,2,3,4,5})),{1,2,3,4,5})+1,9),'Hue codes'!$A$1:$B$10,2,FALSE)</f>
        <v>0</v>
      </c>
      <c r="C578">
        <f t="shared" si="17"/>
        <v>5</v>
      </c>
      <c r="D578" s="162" t="s">
        <v>22</v>
      </c>
      <c r="E578" s="162">
        <v>5</v>
      </c>
      <c r="F578" s="162">
        <v>10</v>
      </c>
      <c r="G578" s="164">
        <v>0.77769999999999995</v>
      </c>
      <c r="H578" s="164">
        <v>0.34539999999999998</v>
      </c>
      <c r="I578" s="164">
        <v>0.34289999999999998</v>
      </c>
      <c r="J578" s="1" t="str">
        <f>HYPERLINK(SetRGB(J578,G578*255,H578*255,I578*255),"HOVER!")</f>
        <v>HOVER!</v>
      </c>
      <c r="K578">
        <f t="shared" si="18"/>
        <v>0.5</v>
      </c>
    </row>
    <row r="579" spans="1:11" x14ac:dyDescent="0.3">
      <c r="A579">
        <f>LOOKUP(9E+307,--MID(D579,1,{1,2,3,4,5}))</f>
        <v>5</v>
      </c>
      <c r="B579">
        <f>VLOOKUP(MID(D579,LOOKUP(2,1/ISNUMBER(-MID(D579,1,{1,2,3,4,5})),{1,2,3,4,5})+1,9),'Hue codes'!$A$1:$B$10,2,FALSE)</f>
        <v>0</v>
      </c>
      <c r="C579">
        <f t="shared" ref="C579:C642" si="19">IF(A579+B579=100,0,A579+B579)</f>
        <v>5</v>
      </c>
      <c r="D579" s="162" t="s">
        <v>22</v>
      </c>
      <c r="E579" s="162">
        <v>5</v>
      </c>
      <c r="F579" s="162">
        <v>12</v>
      </c>
      <c r="G579" s="164">
        <v>0.8266</v>
      </c>
      <c r="H579" s="164">
        <v>0.30220000000000002</v>
      </c>
      <c r="I579" s="164">
        <v>0.31580000000000003</v>
      </c>
      <c r="J579" s="1" t="str">
        <f>HYPERLINK(SetRGB(J579,G579*255,H579*255,I579*255),"HOVER!")</f>
        <v>HOVER!</v>
      </c>
      <c r="K579">
        <f t="shared" si="18"/>
        <v>0.41666666666666669</v>
      </c>
    </row>
    <row r="580" spans="1:11" x14ac:dyDescent="0.3">
      <c r="A580">
        <f>LOOKUP(9E+307,--MID(D580,1,{1,2,3,4,5}))</f>
        <v>5</v>
      </c>
      <c r="B580">
        <f>VLOOKUP(MID(D580,LOOKUP(2,1/ISNUMBER(-MID(D580,1,{1,2,3,4,5})),{1,2,3,4,5})+1,9),'Hue codes'!$A$1:$B$10,2,FALSE)</f>
        <v>0</v>
      </c>
      <c r="C580">
        <f t="shared" si="19"/>
        <v>5</v>
      </c>
      <c r="D580" s="162" t="s">
        <v>22</v>
      </c>
      <c r="E580" s="162">
        <v>5</v>
      </c>
      <c r="F580" s="162">
        <v>14</v>
      </c>
      <c r="G580" s="164">
        <v>0.86670000000000003</v>
      </c>
      <c r="H580" s="164">
        <v>0.25679999999999997</v>
      </c>
      <c r="I580" s="164">
        <v>0.29220000000000002</v>
      </c>
      <c r="J580" s="1" t="str">
        <f>HYPERLINK(SetRGB(J580,G580*255,H580*255,I580*255),"HOVER!")</f>
        <v>HOVER!</v>
      </c>
      <c r="K580">
        <f t="shared" si="18"/>
        <v>0.35714285714285715</v>
      </c>
    </row>
    <row r="581" spans="1:11" x14ac:dyDescent="0.3">
      <c r="A581">
        <f>LOOKUP(9E+307,--MID(D581,1,{1,2,3,4,5}))</f>
        <v>5</v>
      </c>
      <c r="B581">
        <f>VLOOKUP(MID(D581,LOOKUP(2,1/ISNUMBER(-MID(D581,1,{1,2,3,4,5})),{1,2,3,4,5})+1,9),'Hue codes'!$A$1:$B$10,2,FALSE)</f>
        <v>0</v>
      </c>
      <c r="C581">
        <f t="shared" si="19"/>
        <v>5</v>
      </c>
      <c r="D581" s="162" t="s">
        <v>22</v>
      </c>
      <c r="E581" s="162">
        <v>5</v>
      </c>
      <c r="F581" s="162">
        <v>16</v>
      </c>
      <c r="G581" s="164">
        <v>0.91169999999999995</v>
      </c>
      <c r="H581" s="164">
        <v>0.18479999999999999</v>
      </c>
      <c r="I581" s="164">
        <v>0.26619999999999999</v>
      </c>
      <c r="J581" s="1" t="str">
        <f>HYPERLINK(SetRGB(J581,G581*255,H581*255,I581*255),"HOVER!")</f>
        <v>HOVER!</v>
      </c>
      <c r="K581">
        <f t="shared" si="18"/>
        <v>0.3125</v>
      </c>
    </row>
    <row r="582" spans="1:11" x14ac:dyDescent="0.3">
      <c r="A582">
        <f>LOOKUP(9E+307,--MID(D582,1,{1,2,3,4,5}))</f>
        <v>5</v>
      </c>
      <c r="B582">
        <f>VLOOKUP(MID(D582,LOOKUP(2,1/ISNUMBER(-MID(D582,1,{1,2,3,4,5})),{1,2,3,4,5})+1,9),'Hue codes'!$A$1:$B$10,2,FALSE)</f>
        <v>0</v>
      </c>
      <c r="C582">
        <f t="shared" si="19"/>
        <v>5</v>
      </c>
      <c r="D582" s="162" t="s">
        <v>22</v>
      </c>
      <c r="E582" s="162">
        <v>5</v>
      </c>
      <c r="F582" s="162">
        <v>18</v>
      </c>
      <c r="G582" s="164">
        <v>0.95509999999999995</v>
      </c>
      <c r="H582" s="164">
        <v>3.3099999999999997E-2</v>
      </c>
      <c r="I582" s="164">
        <v>0.24</v>
      </c>
      <c r="J582" s="1" t="str">
        <f>HYPERLINK(SetRGB(J582,G582*255,H582*255,I582*255),"HOVER!")</f>
        <v>HOVER!</v>
      </c>
      <c r="K582">
        <f t="shared" si="18"/>
        <v>0.27777777777777779</v>
      </c>
    </row>
    <row r="583" spans="1:11" x14ac:dyDescent="0.3">
      <c r="A583">
        <f>LOOKUP(9E+307,--MID(D583,1,{1,2,3,4,5}))</f>
        <v>7.5</v>
      </c>
      <c r="B583">
        <f>VLOOKUP(MID(D583,LOOKUP(2,1/ISNUMBER(-MID(D583,1,{1,2,3,4,5})),{1,2,3,4,5})+1,9),'Hue codes'!$A$1:$B$10,2,FALSE)</f>
        <v>0</v>
      </c>
      <c r="C583">
        <f t="shared" si="19"/>
        <v>7.5</v>
      </c>
      <c r="D583" s="162" t="s">
        <v>23</v>
      </c>
      <c r="E583" s="162">
        <v>5</v>
      </c>
      <c r="F583" s="162">
        <v>2</v>
      </c>
      <c r="G583" s="164">
        <v>0.55010000000000003</v>
      </c>
      <c r="H583" s="164">
        <v>0.46250000000000002</v>
      </c>
      <c r="I583" s="164">
        <v>0.4496</v>
      </c>
      <c r="J583" s="1" t="str">
        <f>HYPERLINK(SetRGB(J583,G583*255,H583*255,I583*255),"HOVER!")</f>
        <v>HOVER!</v>
      </c>
      <c r="K583">
        <f t="shared" si="18"/>
        <v>2.5</v>
      </c>
    </row>
    <row r="584" spans="1:11" x14ac:dyDescent="0.3">
      <c r="A584">
        <f>LOOKUP(9E+307,--MID(D584,1,{1,2,3,4,5}))</f>
        <v>7.5</v>
      </c>
      <c r="B584">
        <f>VLOOKUP(MID(D584,LOOKUP(2,1/ISNUMBER(-MID(D584,1,{1,2,3,4,5})),{1,2,3,4,5})+1,9),'Hue codes'!$A$1:$B$10,2,FALSE)</f>
        <v>0</v>
      </c>
      <c r="C584">
        <f t="shared" si="19"/>
        <v>7.5</v>
      </c>
      <c r="D584" s="162" t="s">
        <v>23</v>
      </c>
      <c r="E584" s="162">
        <v>5</v>
      </c>
      <c r="F584" s="162">
        <v>4</v>
      </c>
      <c r="G584" s="164">
        <v>0.61750000000000005</v>
      </c>
      <c r="H584" s="164">
        <v>0.43819999999999998</v>
      </c>
      <c r="I584" s="164">
        <v>0.41189999999999999</v>
      </c>
      <c r="J584" s="1" t="str">
        <f>HYPERLINK(SetRGB(J584,G584*255,H584*255,I584*255),"HOVER!")</f>
        <v>HOVER!</v>
      </c>
      <c r="K584">
        <f t="shared" si="18"/>
        <v>1.25</v>
      </c>
    </row>
    <row r="585" spans="1:11" x14ac:dyDescent="0.3">
      <c r="A585">
        <f>LOOKUP(9E+307,--MID(D585,1,{1,2,3,4,5}))</f>
        <v>7.5</v>
      </c>
      <c r="B585">
        <f>VLOOKUP(MID(D585,LOOKUP(2,1/ISNUMBER(-MID(D585,1,{1,2,3,4,5})),{1,2,3,4,5})+1,9),'Hue codes'!$A$1:$B$10,2,FALSE)</f>
        <v>0</v>
      </c>
      <c r="C585">
        <f t="shared" si="19"/>
        <v>7.5</v>
      </c>
      <c r="D585" s="162" t="s">
        <v>23</v>
      </c>
      <c r="E585" s="162">
        <v>5</v>
      </c>
      <c r="F585" s="162">
        <v>6</v>
      </c>
      <c r="G585" s="164">
        <v>0.67490000000000006</v>
      </c>
      <c r="H585" s="164">
        <v>0.41270000000000001</v>
      </c>
      <c r="I585" s="164">
        <v>0.3735</v>
      </c>
      <c r="J585" s="1" t="str">
        <f>HYPERLINK(SetRGB(J585,G585*255,H585*255,I585*255),"HOVER!")</f>
        <v>HOVER!</v>
      </c>
      <c r="K585">
        <f t="shared" si="18"/>
        <v>0.83333333333333337</v>
      </c>
    </row>
    <row r="586" spans="1:11" x14ac:dyDescent="0.3">
      <c r="A586">
        <f>LOOKUP(9E+307,--MID(D586,1,{1,2,3,4,5}))</f>
        <v>7.5</v>
      </c>
      <c r="B586">
        <f>VLOOKUP(MID(D586,LOOKUP(2,1/ISNUMBER(-MID(D586,1,{1,2,3,4,5})),{1,2,3,4,5})+1,9),'Hue codes'!$A$1:$B$10,2,FALSE)</f>
        <v>0</v>
      </c>
      <c r="C586">
        <f t="shared" si="19"/>
        <v>7.5</v>
      </c>
      <c r="D586" s="162" t="s">
        <v>23</v>
      </c>
      <c r="E586" s="162">
        <v>5</v>
      </c>
      <c r="F586" s="162">
        <v>8</v>
      </c>
      <c r="G586" s="164">
        <v>0.72829999999999995</v>
      </c>
      <c r="H586" s="164">
        <v>0.3836</v>
      </c>
      <c r="I586" s="164">
        <v>0.33279999999999998</v>
      </c>
      <c r="J586" s="1" t="str">
        <f>HYPERLINK(SetRGB(J586,G586*255,H586*255,I586*255),"HOVER!")</f>
        <v>HOVER!</v>
      </c>
      <c r="K586">
        <f t="shared" si="18"/>
        <v>0.625</v>
      </c>
    </row>
    <row r="587" spans="1:11" x14ac:dyDescent="0.3">
      <c r="A587">
        <f>LOOKUP(9E+307,--MID(D587,1,{1,2,3,4,5}))</f>
        <v>7.5</v>
      </c>
      <c r="B587">
        <f>VLOOKUP(MID(D587,LOOKUP(2,1/ISNUMBER(-MID(D587,1,{1,2,3,4,5})),{1,2,3,4,5})+1,9),'Hue codes'!$A$1:$B$10,2,FALSE)</f>
        <v>0</v>
      </c>
      <c r="C587">
        <f t="shared" si="19"/>
        <v>7.5</v>
      </c>
      <c r="D587" s="162" t="s">
        <v>23</v>
      </c>
      <c r="E587" s="162">
        <v>5</v>
      </c>
      <c r="F587" s="162">
        <v>10</v>
      </c>
      <c r="G587" s="164">
        <v>0.77739999999999998</v>
      </c>
      <c r="H587" s="164">
        <v>0.35060000000000002</v>
      </c>
      <c r="I587" s="164">
        <v>0.29339999999999999</v>
      </c>
      <c r="J587" s="1" t="str">
        <f>HYPERLINK(SetRGB(J587,G587*255,H587*255,I587*255),"HOVER!")</f>
        <v>HOVER!</v>
      </c>
      <c r="K587">
        <f t="shared" si="18"/>
        <v>0.5</v>
      </c>
    </row>
    <row r="588" spans="1:11" x14ac:dyDescent="0.3">
      <c r="A588">
        <f>LOOKUP(9E+307,--MID(D588,1,{1,2,3,4,5}))</f>
        <v>7.5</v>
      </c>
      <c r="B588">
        <f>VLOOKUP(MID(D588,LOOKUP(2,1/ISNUMBER(-MID(D588,1,{1,2,3,4,5})),{1,2,3,4,5})+1,9),'Hue codes'!$A$1:$B$10,2,FALSE)</f>
        <v>0</v>
      </c>
      <c r="C588">
        <f t="shared" si="19"/>
        <v>7.5</v>
      </c>
      <c r="D588" s="162" t="s">
        <v>23</v>
      </c>
      <c r="E588" s="162">
        <v>5</v>
      </c>
      <c r="F588" s="162">
        <v>12</v>
      </c>
      <c r="G588" s="164">
        <v>0.82410000000000005</v>
      </c>
      <c r="H588" s="164">
        <v>0.31119999999999998</v>
      </c>
      <c r="I588" s="164">
        <v>0.25280000000000002</v>
      </c>
      <c r="J588" s="1" t="str">
        <f>HYPERLINK(SetRGB(J588,G588*255,H588*255,I588*255),"HOVER!")</f>
        <v>HOVER!</v>
      </c>
      <c r="K588">
        <f t="shared" si="18"/>
        <v>0.41666666666666669</v>
      </c>
    </row>
    <row r="589" spans="1:11" x14ac:dyDescent="0.3">
      <c r="A589">
        <f>LOOKUP(9E+307,--MID(D589,1,{1,2,3,4,5}))</f>
        <v>7.5</v>
      </c>
      <c r="B589">
        <f>VLOOKUP(MID(D589,LOOKUP(2,1/ISNUMBER(-MID(D589,1,{1,2,3,4,5})),{1,2,3,4,5})+1,9),'Hue codes'!$A$1:$B$10,2,FALSE)</f>
        <v>0</v>
      </c>
      <c r="C589">
        <f t="shared" si="19"/>
        <v>7.5</v>
      </c>
      <c r="D589" s="162" t="s">
        <v>23</v>
      </c>
      <c r="E589" s="162">
        <v>5</v>
      </c>
      <c r="F589" s="162">
        <v>14</v>
      </c>
      <c r="G589" s="164">
        <v>0.86419999999999997</v>
      </c>
      <c r="H589" s="164">
        <v>0.26850000000000002</v>
      </c>
      <c r="I589" s="164">
        <v>0.21190000000000001</v>
      </c>
      <c r="J589" s="1" t="str">
        <f>HYPERLINK(SetRGB(J589,G589*255,H589*255,I589*255),"HOVER!")</f>
        <v>HOVER!</v>
      </c>
      <c r="K589">
        <f t="shared" si="18"/>
        <v>0.35714285714285715</v>
      </c>
    </row>
    <row r="590" spans="1:11" x14ac:dyDescent="0.3">
      <c r="A590">
        <f>LOOKUP(9E+307,--MID(D590,1,{1,2,3,4,5}))</f>
        <v>7.5</v>
      </c>
      <c r="B590">
        <f>VLOOKUP(MID(D590,LOOKUP(2,1/ISNUMBER(-MID(D590,1,{1,2,3,4,5})),{1,2,3,4,5})+1,9),'Hue codes'!$A$1:$B$10,2,FALSE)</f>
        <v>0</v>
      </c>
      <c r="C590">
        <f t="shared" si="19"/>
        <v>7.5</v>
      </c>
      <c r="D590" s="162" t="s">
        <v>23</v>
      </c>
      <c r="E590" s="162">
        <v>5</v>
      </c>
      <c r="F590" s="162">
        <v>16</v>
      </c>
      <c r="G590" s="164">
        <v>0.90559999999999996</v>
      </c>
      <c r="H590" s="164">
        <v>0.20910000000000001</v>
      </c>
      <c r="I590" s="164">
        <v>0.1648</v>
      </c>
      <c r="J590" s="1" t="str">
        <f>HYPERLINK(SetRGB(J590,G590*255,H590*255,I590*255),"HOVER!")</f>
        <v>HOVER!</v>
      </c>
      <c r="K590">
        <f t="shared" si="18"/>
        <v>0.3125</v>
      </c>
    </row>
    <row r="591" spans="1:11" x14ac:dyDescent="0.3">
      <c r="A591">
        <f>LOOKUP(9E+307,--MID(D591,1,{1,2,3,4,5}))</f>
        <v>7.5</v>
      </c>
      <c r="B591">
        <f>VLOOKUP(MID(D591,LOOKUP(2,1/ISNUMBER(-MID(D591,1,{1,2,3,4,5})),{1,2,3,4,5})+1,9),'Hue codes'!$A$1:$B$10,2,FALSE)</f>
        <v>0</v>
      </c>
      <c r="C591">
        <f t="shared" si="19"/>
        <v>7.5</v>
      </c>
      <c r="D591" s="162" t="s">
        <v>23</v>
      </c>
      <c r="E591" s="162">
        <v>5</v>
      </c>
      <c r="F591" s="162">
        <v>18</v>
      </c>
      <c r="G591" s="164">
        <v>0.94240000000000002</v>
      </c>
      <c r="H591" s="164">
        <v>0.12520000000000001</v>
      </c>
      <c r="I591" s="164">
        <v>0.1179</v>
      </c>
      <c r="J591" s="1" t="str">
        <f>HYPERLINK(SetRGB(J591,G591*255,H591*255,I591*255),"HOVER!")</f>
        <v>HOVER!</v>
      </c>
      <c r="K591">
        <f t="shared" si="18"/>
        <v>0.27777777777777779</v>
      </c>
    </row>
    <row r="592" spans="1:11" x14ac:dyDescent="0.3">
      <c r="A592">
        <f>LOOKUP(9E+307,--MID(D592,1,{1,2,3,4,5}))</f>
        <v>10</v>
      </c>
      <c r="B592">
        <f>VLOOKUP(MID(D592,LOOKUP(2,1/ISNUMBER(-MID(D592,1,{1,2,3,4,5})),{1,2,3,4,5})+1,9),'Hue codes'!$A$1:$B$10,2,FALSE)</f>
        <v>0</v>
      </c>
      <c r="C592">
        <f t="shared" si="19"/>
        <v>10</v>
      </c>
      <c r="D592" s="162" t="s">
        <v>24</v>
      </c>
      <c r="E592" s="162">
        <v>5</v>
      </c>
      <c r="F592" s="162">
        <v>2</v>
      </c>
      <c r="G592" s="164">
        <v>0.55179999999999996</v>
      </c>
      <c r="H592" s="164">
        <v>0.46289999999999998</v>
      </c>
      <c r="I592" s="164">
        <v>0.43930000000000002</v>
      </c>
      <c r="J592" s="1" t="str">
        <f>HYPERLINK(SetRGB(J592,G592*255,H592*255,I592*255),"HOVER!")</f>
        <v>HOVER!</v>
      </c>
      <c r="K592">
        <f t="shared" si="18"/>
        <v>2.5</v>
      </c>
    </row>
    <row r="593" spans="1:11" x14ac:dyDescent="0.3">
      <c r="A593">
        <f>LOOKUP(9E+307,--MID(D593,1,{1,2,3,4,5}))</f>
        <v>10</v>
      </c>
      <c r="B593">
        <f>VLOOKUP(MID(D593,LOOKUP(2,1/ISNUMBER(-MID(D593,1,{1,2,3,4,5})),{1,2,3,4,5})+1,9),'Hue codes'!$A$1:$B$10,2,FALSE)</f>
        <v>0</v>
      </c>
      <c r="C593">
        <f t="shared" si="19"/>
        <v>10</v>
      </c>
      <c r="D593" s="162" t="s">
        <v>24</v>
      </c>
      <c r="E593" s="162">
        <v>5</v>
      </c>
      <c r="F593" s="162">
        <v>4</v>
      </c>
      <c r="G593" s="164">
        <v>0.61650000000000005</v>
      </c>
      <c r="H593" s="164">
        <v>0.44080000000000003</v>
      </c>
      <c r="I593" s="164">
        <v>0.3901</v>
      </c>
      <c r="J593" s="1" t="str">
        <f>HYPERLINK(SetRGB(J593,G593*255,H593*255,I593*255),"HOVER!")</f>
        <v>HOVER!</v>
      </c>
      <c r="K593">
        <f t="shared" si="18"/>
        <v>1.25</v>
      </c>
    </row>
    <row r="594" spans="1:11" x14ac:dyDescent="0.3">
      <c r="A594">
        <f>LOOKUP(9E+307,--MID(D594,1,{1,2,3,4,5}))</f>
        <v>10</v>
      </c>
      <c r="B594">
        <f>VLOOKUP(MID(D594,LOOKUP(2,1/ISNUMBER(-MID(D594,1,{1,2,3,4,5})),{1,2,3,4,5})+1,9),'Hue codes'!$A$1:$B$10,2,FALSE)</f>
        <v>0</v>
      </c>
      <c r="C594">
        <f t="shared" si="19"/>
        <v>10</v>
      </c>
      <c r="D594" s="162" t="s">
        <v>24</v>
      </c>
      <c r="E594" s="162">
        <v>5</v>
      </c>
      <c r="F594" s="162">
        <v>6</v>
      </c>
      <c r="G594" s="164">
        <v>0.67330000000000001</v>
      </c>
      <c r="H594" s="164">
        <v>0.4168</v>
      </c>
      <c r="I594" s="164">
        <v>0.33860000000000001</v>
      </c>
      <c r="J594" s="45" t="str">
        <f>HYPERLINK(SetRGB(J594,G594*255,H594*255,I594*255),"HOVER!")</f>
        <v>HOVER!</v>
      </c>
      <c r="K594">
        <f t="shared" si="18"/>
        <v>0.83333333333333337</v>
      </c>
    </row>
    <row r="595" spans="1:11" x14ac:dyDescent="0.3">
      <c r="A595">
        <f>LOOKUP(9E+307,--MID(D595,1,{1,2,3,4,5}))</f>
        <v>10</v>
      </c>
      <c r="B595">
        <f>VLOOKUP(MID(D595,LOOKUP(2,1/ISNUMBER(-MID(D595,1,{1,2,3,4,5})),{1,2,3,4,5})+1,9),'Hue codes'!$A$1:$B$10,2,FALSE)</f>
        <v>0</v>
      </c>
      <c r="C595">
        <f t="shared" si="19"/>
        <v>10</v>
      </c>
      <c r="D595" s="162" t="s">
        <v>24</v>
      </c>
      <c r="E595" s="162">
        <v>5</v>
      </c>
      <c r="F595" s="162">
        <v>8</v>
      </c>
      <c r="G595" s="164">
        <v>0.72419999999999995</v>
      </c>
      <c r="H595" s="164">
        <v>0.39040000000000002</v>
      </c>
      <c r="I595" s="164">
        <v>0.28470000000000001</v>
      </c>
      <c r="J595" s="46" t="str">
        <f>HYPERLINK(SetRGB(J595,G595*255,H595*255,I595*255),"HOVER!")</f>
        <v>HOVER!</v>
      </c>
      <c r="K595">
        <f t="shared" si="18"/>
        <v>0.625</v>
      </c>
    </row>
    <row r="596" spans="1:11" x14ac:dyDescent="0.3">
      <c r="A596">
        <f>LOOKUP(9E+307,--MID(D596,1,{1,2,3,4,5}))</f>
        <v>10</v>
      </c>
      <c r="B596">
        <f>VLOOKUP(MID(D596,LOOKUP(2,1/ISNUMBER(-MID(D596,1,{1,2,3,4,5})),{1,2,3,4,5})+1,9),'Hue codes'!$A$1:$B$10,2,FALSE)</f>
        <v>0</v>
      </c>
      <c r="C596">
        <f t="shared" si="19"/>
        <v>10</v>
      </c>
      <c r="D596" s="162" t="s">
        <v>24</v>
      </c>
      <c r="E596" s="162">
        <v>5</v>
      </c>
      <c r="F596" s="162">
        <v>10</v>
      </c>
      <c r="G596" s="164">
        <v>0.76990000000000003</v>
      </c>
      <c r="H596" s="164">
        <v>0.36170000000000002</v>
      </c>
      <c r="I596" s="164">
        <v>0.2248</v>
      </c>
      <c r="J596" s="57" t="str">
        <f>HYPERLINK(SetRGB(J596,G596*255,H596*255,I596*255),"HOVER!")</f>
        <v>HOVER!</v>
      </c>
      <c r="K596">
        <f t="shared" si="18"/>
        <v>0.5</v>
      </c>
    </row>
    <row r="597" spans="1:11" x14ac:dyDescent="0.3">
      <c r="A597">
        <f>LOOKUP(9E+307,--MID(D597,1,{1,2,3,4,5}))</f>
        <v>10</v>
      </c>
      <c r="B597">
        <f>VLOOKUP(MID(D597,LOOKUP(2,1/ISNUMBER(-MID(D597,1,{1,2,3,4,5})),{1,2,3,4,5})+1,9),'Hue codes'!$A$1:$B$10,2,FALSE)</f>
        <v>0</v>
      </c>
      <c r="C597">
        <f t="shared" si="19"/>
        <v>10</v>
      </c>
      <c r="D597" s="162" t="s">
        <v>24</v>
      </c>
      <c r="E597" s="162">
        <v>5</v>
      </c>
      <c r="F597" s="162">
        <v>12</v>
      </c>
      <c r="G597" s="164">
        <v>0.81069999999999998</v>
      </c>
      <c r="H597" s="164">
        <v>0.33069999999999999</v>
      </c>
      <c r="I597" s="164">
        <v>0.15540000000000001</v>
      </c>
      <c r="J597" s="56" t="str">
        <f>HYPERLINK(SetRGB(J597,G597*255,H597*255,I597*255),"HOVER!")</f>
        <v>HOVER!</v>
      </c>
      <c r="K597">
        <f t="shared" si="18"/>
        <v>0.41666666666666669</v>
      </c>
    </row>
    <row r="598" spans="1:11" x14ac:dyDescent="0.3">
      <c r="A598">
        <f>LOOKUP(9E+307,--MID(D598,1,{1,2,3,4,5}))</f>
        <v>10</v>
      </c>
      <c r="B598">
        <f>VLOOKUP(MID(D598,LOOKUP(2,1/ISNUMBER(-MID(D598,1,{1,2,3,4,5})),{1,2,3,4,5})+1,9),'Hue codes'!$A$1:$B$10,2,FALSE)</f>
        <v>0</v>
      </c>
      <c r="C598">
        <f t="shared" si="19"/>
        <v>10</v>
      </c>
      <c r="D598" s="162" t="s">
        <v>24</v>
      </c>
      <c r="E598" s="162">
        <v>5</v>
      </c>
      <c r="F598" s="162">
        <v>14</v>
      </c>
      <c r="G598" s="164">
        <v>0.84330000000000005</v>
      </c>
      <c r="H598" s="164">
        <v>0.30080000000000001</v>
      </c>
      <c r="I598" s="164">
        <v>7.22E-2</v>
      </c>
      <c r="J598" s="55" t="str">
        <f>HYPERLINK(SetRGB(J598,G598*255,H598*255,I598*255),"HOVER!")</f>
        <v>HOVER!</v>
      </c>
      <c r="K598">
        <f t="shared" si="18"/>
        <v>0.35714285714285715</v>
      </c>
    </row>
    <row r="599" spans="1:11" x14ac:dyDescent="0.3">
      <c r="A599">
        <f>LOOKUP(9E+307,--MID(D599,1,{1,2,3,4,5}))</f>
        <v>2.5</v>
      </c>
      <c r="B599">
        <f>VLOOKUP(MID(D599,LOOKUP(2,1/ISNUMBER(-MID(D599,1,{1,2,3,4,5})),{1,2,3,4,5})+1,9),'Hue codes'!$A$1:$B$10,2,FALSE)</f>
        <v>10</v>
      </c>
      <c r="C599">
        <f t="shared" si="19"/>
        <v>12.5</v>
      </c>
      <c r="D599" s="162" t="s">
        <v>25</v>
      </c>
      <c r="E599" s="162">
        <v>5</v>
      </c>
      <c r="F599" s="162">
        <v>2</v>
      </c>
      <c r="G599" s="164">
        <v>0.55230000000000001</v>
      </c>
      <c r="H599" s="164">
        <v>0.46389999999999998</v>
      </c>
      <c r="I599" s="164">
        <v>0.4274</v>
      </c>
      <c r="J599" s="1" t="str">
        <f>HYPERLINK(SetRGB(J599,G599*255,H599*255,I599*255),"HOVER!")</f>
        <v>HOVER!</v>
      </c>
      <c r="K599">
        <f t="shared" si="18"/>
        <v>2.5</v>
      </c>
    </row>
    <row r="600" spans="1:11" x14ac:dyDescent="0.3">
      <c r="A600">
        <f>LOOKUP(9E+307,--MID(D600,1,{1,2,3,4,5}))</f>
        <v>2.5</v>
      </c>
      <c r="B600">
        <f>VLOOKUP(MID(D600,LOOKUP(2,1/ISNUMBER(-MID(D600,1,{1,2,3,4,5})),{1,2,3,4,5})+1,9),'Hue codes'!$A$1:$B$10,2,FALSE)</f>
        <v>10</v>
      </c>
      <c r="C600">
        <f t="shared" si="19"/>
        <v>12.5</v>
      </c>
      <c r="D600" s="162" t="s">
        <v>25</v>
      </c>
      <c r="E600" s="162">
        <v>5</v>
      </c>
      <c r="F600" s="162">
        <v>4</v>
      </c>
      <c r="G600" s="164">
        <v>0.6119</v>
      </c>
      <c r="H600" s="164">
        <v>0.4446</v>
      </c>
      <c r="I600" s="164">
        <v>0.37140000000000001</v>
      </c>
      <c r="J600" s="1" t="str">
        <f>HYPERLINK(SetRGB(J600,G600*255,H600*255,I600*255),"HOVER!")</f>
        <v>HOVER!</v>
      </c>
      <c r="K600">
        <f t="shared" si="18"/>
        <v>1.25</v>
      </c>
    </row>
    <row r="601" spans="1:11" x14ac:dyDescent="0.3">
      <c r="A601">
        <f>LOOKUP(9E+307,--MID(D601,1,{1,2,3,4,5}))</f>
        <v>2.5</v>
      </c>
      <c r="B601">
        <f>VLOOKUP(MID(D601,LOOKUP(2,1/ISNUMBER(-MID(D601,1,{1,2,3,4,5})),{1,2,3,4,5})+1,9),'Hue codes'!$A$1:$B$10,2,FALSE)</f>
        <v>10</v>
      </c>
      <c r="C601">
        <f t="shared" si="19"/>
        <v>12.5</v>
      </c>
      <c r="D601" s="162" t="s">
        <v>25</v>
      </c>
      <c r="E601" s="162">
        <v>5</v>
      </c>
      <c r="F601" s="162">
        <v>6</v>
      </c>
      <c r="G601" s="164">
        <v>0.66510000000000002</v>
      </c>
      <c r="H601" s="164">
        <v>0.42359999999999998</v>
      </c>
      <c r="I601" s="164">
        <v>0.30919999999999997</v>
      </c>
      <c r="J601" s="1" t="str">
        <f>HYPERLINK(SetRGB(J601,G601*255,H601*255,I601*255),"HOVER!")</f>
        <v>HOVER!</v>
      </c>
      <c r="K601">
        <f t="shared" si="18"/>
        <v>0.83333333333333337</v>
      </c>
    </row>
    <row r="602" spans="1:11" x14ac:dyDescent="0.3">
      <c r="A602">
        <f>LOOKUP(9E+307,--MID(D602,1,{1,2,3,4,5}))</f>
        <v>2.5</v>
      </c>
      <c r="B602">
        <f>VLOOKUP(MID(D602,LOOKUP(2,1/ISNUMBER(-MID(D602,1,{1,2,3,4,5})),{1,2,3,4,5})+1,9),'Hue codes'!$A$1:$B$10,2,FALSE)</f>
        <v>10</v>
      </c>
      <c r="C602">
        <f t="shared" si="19"/>
        <v>12.5</v>
      </c>
      <c r="D602" s="162" t="s">
        <v>25</v>
      </c>
      <c r="E602" s="162">
        <v>5</v>
      </c>
      <c r="F602" s="162">
        <v>8</v>
      </c>
      <c r="G602" s="164">
        <v>0.71189999999999998</v>
      </c>
      <c r="H602" s="164">
        <v>0.4012</v>
      </c>
      <c r="I602" s="164">
        <v>0.2409</v>
      </c>
      <c r="J602" s="1" t="str">
        <f>HYPERLINK(SetRGB(J602,G602*255,H602*255,I602*255),"HOVER!")</f>
        <v>HOVER!</v>
      </c>
      <c r="K602">
        <f t="shared" si="18"/>
        <v>0.625</v>
      </c>
    </row>
    <row r="603" spans="1:11" x14ac:dyDescent="0.3">
      <c r="A603">
        <f>LOOKUP(9E+307,--MID(D603,1,{1,2,3,4,5}))</f>
        <v>2.5</v>
      </c>
      <c r="B603">
        <f>VLOOKUP(MID(D603,LOOKUP(2,1/ISNUMBER(-MID(D603,1,{1,2,3,4,5})),{1,2,3,4,5})+1,9),'Hue codes'!$A$1:$B$10,2,FALSE)</f>
        <v>10</v>
      </c>
      <c r="C603">
        <f t="shared" si="19"/>
        <v>12.5</v>
      </c>
      <c r="D603" s="162" t="s">
        <v>25</v>
      </c>
      <c r="E603" s="162">
        <v>5</v>
      </c>
      <c r="F603" s="162">
        <v>10</v>
      </c>
      <c r="G603" s="164">
        <v>0.75029999999999997</v>
      </c>
      <c r="H603" s="164">
        <v>0.3795</v>
      </c>
      <c r="I603" s="164">
        <v>0.16450000000000001</v>
      </c>
      <c r="J603" s="1" t="str">
        <f>HYPERLINK(SetRGB(J603,G603*255,H603*255,I603*255),"HOVER!")</f>
        <v>HOVER!</v>
      </c>
      <c r="K603">
        <f t="shared" si="18"/>
        <v>0.5</v>
      </c>
    </row>
    <row r="604" spans="1:11" x14ac:dyDescent="0.3">
      <c r="A604">
        <f>LOOKUP(9E+307,--MID(D604,1,{1,2,3,4,5}))</f>
        <v>2.5</v>
      </c>
      <c r="B604">
        <f>VLOOKUP(MID(D604,LOOKUP(2,1/ISNUMBER(-MID(D604,1,{1,2,3,4,5})),{1,2,3,4,5})+1,9),'Hue codes'!$A$1:$B$10,2,FALSE)</f>
        <v>10</v>
      </c>
      <c r="C604">
        <f t="shared" si="19"/>
        <v>12.5</v>
      </c>
      <c r="D604" s="162" t="s">
        <v>25</v>
      </c>
      <c r="E604" s="162">
        <v>5</v>
      </c>
      <c r="F604" s="162">
        <v>12</v>
      </c>
      <c r="G604" s="164">
        <v>0.77890000000000004</v>
      </c>
      <c r="H604" s="164">
        <v>0.36109999999999998</v>
      </c>
      <c r="I604" s="164">
        <v>5.6899999999999999E-2</v>
      </c>
      <c r="J604" s="1" t="str">
        <f>HYPERLINK(SetRGB(J604,G604*255,H604*255,I604*255),"HOVER!")</f>
        <v>HOVER!</v>
      </c>
      <c r="K604">
        <f t="shared" si="18"/>
        <v>0.41666666666666669</v>
      </c>
    </row>
    <row r="605" spans="1:11" x14ac:dyDescent="0.3">
      <c r="A605">
        <f>LOOKUP(9E+307,--MID(D605,1,{1,2,3,4,5}))</f>
        <v>5</v>
      </c>
      <c r="B605">
        <f>VLOOKUP(MID(D605,LOOKUP(2,1/ISNUMBER(-MID(D605,1,{1,2,3,4,5})),{1,2,3,4,5})+1,9),'Hue codes'!$A$1:$B$10,2,FALSE)</f>
        <v>10</v>
      </c>
      <c r="C605">
        <f t="shared" si="19"/>
        <v>15</v>
      </c>
      <c r="D605" s="162" t="s">
        <v>26</v>
      </c>
      <c r="E605" s="162">
        <v>5</v>
      </c>
      <c r="F605" s="162">
        <v>2</v>
      </c>
      <c r="G605" s="164">
        <v>0.5494</v>
      </c>
      <c r="H605" s="164">
        <v>0.46600000000000003</v>
      </c>
      <c r="I605" s="164">
        <v>0.4168</v>
      </c>
      <c r="J605" s="1" t="str">
        <f>HYPERLINK(SetRGB(J605,G605*255,H605*255,I605*255),"HOVER!")</f>
        <v>HOVER!</v>
      </c>
      <c r="K605">
        <f t="shared" si="18"/>
        <v>2.5</v>
      </c>
    </row>
    <row r="606" spans="1:11" x14ac:dyDescent="0.3">
      <c r="A606">
        <f>LOOKUP(9E+307,--MID(D606,1,{1,2,3,4,5}))</f>
        <v>5</v>
      </c>
      <c r="B606">
        <f>VLOOKUP(MID(D606,LOOKUP(2,1/ISNUMBER(-MID(D606,1,{1,2,3,4,5})),{1,2,3,4,5})+1,9),'Hue codes'!$A$1:$B$10,2,FALSE)</f>
        <v>10</v>
      </c>
      <c r="C606">
        <f t="shared" si="19"/>
        <v>15</v>
      </c>
      <c r="D606" s="162" t="s">
        <v>26</v>
      </c>
      <c r="E606" s="162">
        <v>5</v>
      </c>
      <c r="F606" s="162">
        <v>4</v>
      </c>
      <c r="G606" s="164">
        <v>0.60389999999999999</v>
      </c>
      <c r="H606" s="164">
        <v>0.4501</v>
      </c>
      <c r="I606" s="164">
        <v>0.34920000000000001</v>
      </c>
      <c r="J606" s="1" t="str">
        <f>HYPERLINK(SetRGB(J606,G606*255,H606*255,I606*255),"HOVER!")</f>
        <v>HOVER!</v>
      </c>
      <c r="K606">
        <f t="shared" si="18"/>
        <v>1.25</v>
      </c>
    </row>
    <row r="607" spans="1:11" x14ac:dyDescent="0.3">
      <c r="A607">
        <f>LOOKUP(9E+307,--MID(D607,1,{1,2,3,4,5}))</f>
        <v>5</v>
      </c>
      <c r="B607">
        <f>VLOOKUP(MID(D607,LOOKUP(2,1/ISNUMBER(-MID(D607,1,{1,2,3,4,5})),{1,2,3,4,5})+1,9),'Hue codes'!$A$1:$B$10,2,FALSE)</f>
        <v>10</v>
      </c>
      <c r="C607">
        <f t="shared" si="19"/>
        <v>15</v>
      </c>
      <c r="D607" s="162" t="s">
        <v>26</v>
      </c>
      <c r="E607" s="162">
        <v>5</v>
      </c>
      <c r="F607" s="162">
        <v>6</v>
      </c>
      <c r="G607" s="164">
        <v>0.65249999999999997</v>
      </c>
      <c r="H607" s="164">
        <v>0.4325</v>
      </c>
      <c r="I607" s="164">
        <v>0.27500000000000002</v>
      </c>
      <c r="J607" s="1" t="str">
        <f>HYPERLINK(SetRGB(J607,G607*255,H607*255,I607*255),"HOVER!")</f>
        <v>HOVER!</v>
      </c>
      <c r="K607">
        <f t="shared" si="18"/>
        <v>0.83333333333333337</v>
      </c>
    </row>
    <row r="608" spans="1:11" x14ac:dyDescent="0.3">
      <c r="A608">
        <f>LOOKUP(9E+307,--MID(D608,1,{1,2,3,4,5}))</f>
        <v>5</v>
      </c>
      <c r="B608">
        <f>VLOOKUP(MID(D608,LOOKUP(2,1/ISNUMBER(-MID(D608,1,{1,2,3,4,5})),{1,2,3,4,5})+1,9),'Hue codes'!$A$1:$B$10,2,FALSE)</f>
        <v>10</v>
      </c>
      <c r="C608">
        <f t="shared" si="19"/>
        <v>15</v>
      </c>
      <c r="D608" s="162" t="s">
        <v>26</v>
      </c>
      <c r="E608" s="162">
        <v>5</v>
      </c>
      <c r="F608" s="162">
        <v>8</v>
      </c>
      <c r="G608" s="164">
        <v>0.69210000000000005</v>
      </c>
      <c r="H608" s="164">
        <v>0.41549999999999998</v>
      </c>
      <c r="I608" s="164">
        <v>0.1943</v>
      </c>
      <c r="J608" s="1" t="str">
        <f>HYPERLINK(SetRGB(J608,G608*255,H608*255,I608*255),"HOVER!")</f>
        <v>HOVER!</v>
      </c>
      <c r="K608">
        <f t="shared" si="18"/>
        <v>0.625</v>
      </c>
    </row>
    <row r="609" spans="1:11" x14ac:dyDescent="0.3">
      <c r="A609">
        <f>LOOKUP(9E+307,--MID(D609,1,{1,2,3,4,5}))</f>
        <v>5</v>
      </c>
      <c r="B609">
        <f>VLOOKUP(MID(D609,LOOKUP(2,1/ISNUMBER(-MID(D609,1,{1,2,3,4,5})),{1,2,3,4,5})+1,9),'Hue codes'!$A$1:$B$10,2,FALSE)</f>
        <v>10</v>
      </c>
      <c r="C609">
        <f t="shared" si="19"/>
        <v>15</v>
      </c>
      <c r="D609" s="162" t="s">
        <v>26</v>
      </c>
      <c r="E609" s="162">
        <v>5</v>
      </c>
      <c r="F609" s="162">
        <v>10</v>
      </c>
      <c r="G609" s="164">
        <v>0.72219999999999995</v>
      </c>
      <c r="H609" s="164">
        <v>0.40060000000000001</v>
      </c>
      <c r="I609" s="164">
        <v>9.8599999999999993E-2</v>
      </c>
      <c r="J609" s="1" t="str">
        <f>HYPERLINK(SetRGB(J609,G609*255,H609*255,I609*255),"HOVER!")</f>
        <v>HOVER!</v>
      </c>
      <c r="K609">
        <f t="shared" si="18"/>
        <v>0.5</v>
      </c>
    </row>
    <row r="610" spans="1:11" x14ac:dyDescent="0.3">
      <c r="A610">
        <f>LOOKUP(9E+307,--MID(D610,1,{1,2,3,4,5}))</f>
        <v>7.5</v>
      </c>
      <c r="B610">
        <f>VLOOKUP(MID(D610,LOOKUP(2,1/ISNUMBER(-MID(D610,1,{1,2,3,4,5})),{1,2,3,4,5})+1,9),'Hue codes'!$A$1:$B$10,2,FALSE)</f>
        <v>10</v>
      </c>
      <c r="C610">
        <f t="shared" si="19"/>
        <v>17.5</v>
      </c>
      <c r="D610" s="162" t="s">
        <v>27</v>
      </c>
      <c r="E610" s="162">
        <v>5</v>
      </c>
      <c r="F610" s="162">
        <v>2</v>
      </c>
      <c r="G610" s="164">
        <v>0.54469999999999996</v>
      </c>
      <c r="H610" s="164">
        <v>0.46850000000000003</v>
      </c>
      <c r="I610" s="164">
        <v>0.40849999999999997</v>
      </c>
      <c r="J610" s="1" t="str">
        <f>HYPERLINK(SetRGB(J610,G610*255,H610*255,I610*255),"HOVER!")</f>
        <v>HOVER!</v>
      </c>
      <c r="K610">
        <f t="shared" si="18"/>
        <v>2.5</v>
      </c>
    </row>
    <row r="611" spans="1:11" x14ac:dyDescent="0.3">
      <c r="A611">
        <f>LOOKUP(9E+307,--MID(D611,1,{1,2,3,4,5}))</f>
        <v>7.5</v>
      </c>
      <c r="B611">
        <f>VLOOKUP(MID(D611,LOOKUP(2,1/ISNUMBER(-MID(D611,1,{1,2,3,4,5})),{1,2,3,4,5})+1,9),'Hue codes'!$A$1:$B$10,2,FALSE)</f>
        <v>10</v>
      </c>
      <c r="C611">
        <f t="shared" si="19"/>
        <v>17.5</v>
      </c>
      <c r="D611" s="162" t="s">
        <v>27</v>
      </c>
      <c r="E611" s="162">
        <v>5</v>
      </c>
      <c r="F611" s="162">
        <v>4</v>
      </c>
      <c r="G611" s="164">
        <v>0.59530000000000005</v>
      </c>
      <c r="H611" s="164">
        <v>0.4551</v>
      </c>
      <c r="I611" s="164">
        <v>0.33169999999999999</v>
      </c>
      <c r="J611" s="1" t="str">
        <f>HYPERLINK(SetRGB(J611,G611*255,H611*255,I611*255),"HOVER!")</f>
        <v>HOVER!</v>
      </c>
      <c r="K611">
        <f t="shared" si="18"/>
        <v>1.25</v>
      </c>
    </row>
    <row r="612" spans="1:11" x14ac:dyDescent="0.3">
      <c r="A612">
        <f>LOOKUP(9E+307,--MID(D612,1,{1,2,3,4,5}))</f>
        <v>7.5</v>
      </c>
      <c r="B612">
        <f>VLOOKUP(MID(D612,LOOKUP(2,1/ISNUMBER(-MID(D612,1,{1,2,3,4,5})),{1,2,3,4,5})+1,9),'Hue codes'!$A$1:$B$10,2,FALSE)</f>
        <v>10</v>
      </c>
      <c r="C612">
        <f t="shared" si="19"/>
        <v>17.5</v>
      </c>
      <c r="D612" s="162" t="s">
        <v>27</v>
      </c>
      <c r="E612" s="162">
        <v>5</v>
      </c>
      <c r="F612" s="162">
        <v>6</v>
      </c>
      <c r="G612" s="164">
        <v>0.6381</v>
      </c>
      <c r="H612" s="164">
        <v>0.44130000000000003</v>
      </c>
      <c r="I612" s="164">
        <v>0.24690000000000001</v>
      </c>
      <c r="J612" s="1" t="str">
        <f>HYPERLINK(SetRGB(J612,G612*255,H612*255,I612*255),"HOVER!")</f>
        <v>HOVER!</v>
      </c>
      <c r="K612">
        <f t="shared" si="18"/>
        <v>0.83333333333333337</v>
      </c>
    </row>
    <row r="613" spans="1:11" x14ac:dyDescent="0.3">
      <c r="A613">
        <f>LOOKUP(9E+307,--MID(D613,1,{1,2,3,4,5}))</f>
        <v>7.5</v>
      </c>
      <c r="B613">
        <f>VLOOKUP(MID(D613,LOOKUP(2,1/ISNUMBER(-MID(D613,1,{1,2,3,4,5})),{1,2,3,4,5})+1,9),'Hue codes'!$A$1:$B$10,2,FALSE)</f>
        <v>10</v>
      </c>
      <c r="C613">
        <f t="shared" si="19"/>
        <v>17.5</v>
      </c>
      <c r="D613" s="162" t="s">
        <v>27</v>
      </c>
      <c r="E613" s="162">
        <v>5</v>
      </c>
      <c r="F613" s="162">
        <v>8</v>
      </c>
      <c r="G613" s="164">
        <v>0.66990000000000005</v>
      </c>
      <c r="H613" s="164">
        <v>0.4294</v>
      </c>
      <c r="I613" s="164">
        <v>0.15260000000000001</v>
      </c>
      <c r="J613" s="1" t="str">
        <f>HYPERLINK(SetRGB(J613,G613*255,H613*255,I613*255),"HOVER!")</f>
        <v>HOVER!</v>
      </c>
      <c r="K613">
        <f t="shared" si="18"/>
        <v>0.625</v>
      </c>
    </row>
    <row r="614" spans="1:11" x14ac:dyDescent="0.3">
      <c r="A614">
        <f>LOOKUP(9E+307,--MID(D614,1,{1,2,3,4,5}))</f>
        <v>10</v>
      </c>
      <c r="B614">
        <f>VLOOKUP(MID(D614,LOOKUP(2,1/ISNUMBER(-MID(D614,1,{1,2,3,4,5})),{1,2,3,4,5})+1,9),'Hue codes'!$A$1:$B$10,2,FALSE)</f>
        <v>10</v>
      </c>
      <c r="C614">
        <f t="shared" si="19"/>
        <v>20</v>
      </c>
      <c r="D614" s="162" t="s">
        <v>28</v>
      </c>
      <c r="E614" s="162">
        <v>5</v>
      </c>
      <c r="F614" s="162">
        <v>2</v>
      </c>
      <c r="G614" s="164">
        <v>0.53680000000000005</v>
      </c>
      <c r="H614" s="164">
        <v>0.47239999999999999</v>
      </c>
      <c r="I614" s="164">
        <v>0.39779999999999999</v>
      </c>
      <c r="J614" s="1" t="str">
        <f>HYPERLINK(SetRGB(J614,G614*255,H614*255,I614*255),"HOVER!")</f>
        <v>HOVER!</v>
      </c>
      <c r="K614">
        <f t="shared" si="18"/>
        <v>2.5</v>
      </c>
    </row>
    <row r="615" spans="1:11" x14ac:dyDescent="0.3">
      <c r="A615">
        <f>LOOKUP(9E+307,--MID(D615,1,{1,2,3,4,5}))</f>
        <v>10</v>
      </c>
      <c r="B615">
        <f>VLOOKUP(MID(D615,LOOKUP(2,1/ISNUMBER(-MID(D615,1,{1,2,3,4,5})),{1,2,3,4,5})+1,9),'Hue codes'!$A$1:$B$10,2,FALSE)</f>
        <v>10</v>
      </c>
      <c r="C615">
        <f t="shared" si="19"/>
        <v>20</v>
      </c>
      <c r="D615" s="162" t="s">
        <v>28</v>
      </c>
      <c r="E615" s="162">
        <v>5</v>
      </c>
      <c r="F615" s="162">
        <v>4</v>
      </c>
      <c r="G615" s="164">
        <v>0.5806</v>
      </c>
      <c r="H615" s="164">
        <v>0.46260000000000001</v>
      </c>
      <c r="I615" s="164">
        <v>0.3115</v>
      </c>
      <c r="J615" s="1" t="str">
        <f>HYPERLINK(SetRGB(J615,G615*255,H615*255,I615*255),"HOVER!")</f>
        <v>HOVER!</v>
      </c>
      <c r="K615">
        <f t="shared" si="18"/>
        <v>1.25</v>
      </c>
    </row>
    <row r="616" spans="1:11" x14ac:dyDescent="0.3">
      <c r="A616">
        <f>LOOKUP(9E+307,--MID(D616,1,{1,2,3,4,5}))</f>
        <v>10</v>
      </c>
      <c r="B616">
        <f>VLOOKUP(MID(D616,LOOKUP(2,1/ISNUMBER(-MID(D616,1,{1,2,3,4,5})),{1,2,3,4,5})+1,9),'Hue codes'!$A$1:$B$10,2,FALSE)</f>
        <v>10</v>
      </c>
      <c r="C616">
        <f t="shared" si="19"/>
        <v>20</v>
      </c>
      <c r="D616" s="162" t="s">
        <v>28</v>
      </c>
      <c r="E616" s="162">
        <v>5</v>
      </c>
      <c r="F616" s="162">
        <v>6</v>
      </c>
      <c r="G616" s="164">
        <v>0.61639999999999995</v>
      </c>
      <c r="H616" s="164">
        <v>0.45290000000000002</v>
      </c>
      <c r="I616" s="164">
        <v>0.2157</v>
      </c>
      <c r="J616" s="1" t="str">
        <f>HYPERLINK(SetRGB(J616,G616*255,H616*255,I616*255),"HOVER!")</f>
        <v>HOVER!</v>
      </c>
      <c r="K616">
        <f t="shared" si="18"/>
        <v>0.83333333333333337</v>
      </c>
    </row>
    <row r="617" spans="1:11" x14ac:dyDescent="0.3">
      <c r="A617">
        <f>LOOKUP(9E+307,--MID(D617,1,{1,2,3,4,5}))</f>
        <v>10</v>
      </c>
      <c r="B617">
        <f>VLOOKUP(MID(D617,LOOKUP(2,1/ISNUMBER(-MID(D617,1,{1,2,3,4,5})),{1,2,3,4,5})+1,9),'Hue codes'!$A$1:$B$10,2,FALSE)</f>
        <v>10</v>
      </c>
      <c r="C617">
        <f t="shared" si="19"/>
        <v>20</v>
      </c>
      <c r="D617" s="162" t="s">
        <v>28</v>
      </c>
      <c r="E617" s="162">
        <v>5</v>
      </c>
      <c r="F617" s="162">
        <v>8</v>
      </c>
      <c r="G617" s="164">
        <v>0.64170000000000005</v>
      </c>
      <c r="H617" s="164">
        <v>0.44500000000000001</v>
      </c>
      <c r="I617" s="164">
        <v>0.1046</v>
      </c>
      <c r="J617" s="1" t="str">
        <f>HYPERLINK(SetRGB(J617,G617*255,H617*255,I617*255),"HOVER!")</f>
        <v>HOVER!</v>
      </c>
      <c r="K617">
        <f t="shared" si="18"/>
        <v>0.625</v>
      </c>
    </row>
    <row r="618" spans="1:11" x14ac:dyDescent="0.3">
      <c r="A618">
        <f>LOOKUP(9E+307,--MID(D618,1,{1,2,3,4,5}))</f>
        <v>2.5</v>
      </c>
      <c r="B618">
        <f>VLOOKUP(MID(D618,LOOKUP(2,1/ISNUMBER(-MID(D618,1,{1,2,3,4,5})),{1,2,3,4,5})+1,9),'Hue codes'!$A$1:$B$10,2,FALSE)</f>
        <v>20</v>
      </c>
      <c r="C618">
        <f t="shared" si="19"/>
        <v>22.5</v>
      </c>
      <c r="D618" s="162" t="s">
        <v>29</v>
      </c>
      <c r="E618" s="162">
        <v>5</v>
      </c>
      <c r="F618" s="162">
        <v>2</v>
      </c>
      <c r="G618" s="164">
        <v>0.52690000000000003</v>
      </c>
      <c r="H618" s="164">
        <v>0.47639999999999999</v>
      </c>
      <c r="I618" s="164">
        <v>0.39029999999999998</v>
      </c>
      <c r="J618" s="1" t="str">
        <f>HYPERLINK(SetRGB(J618,G618*255,H618*255,I618*255),"HOVER!")</f>
        <v>HOVER!</v>
      </c>
      <c r="K618">
        <f t="shared" si="18"/>
        <v>2.5</v>
      </c>
    </row>
    <row r="619" spans="1:11" x14ac:dyDescent="0.3">
      <c r="A619">
        <f>LOOKUP(9E+307,--MID(D619,1,{1,2,3,4,5}))</f>
        <v>2.5</v>
      </c>
      <c r="B619">
        <f>VLOOKUP(MID(D619,LOOKUP(2,1/ISNUMBER(-MID(D619,1,{1,2,3,4,5})),{1,2,3,4,5})+1,9),'Hue codes'!$A$1:$B$10,2,FALSE)</f>
        <v>20</v>
      </c>
      <c r="C619">
        <f t="shared" si="19"/>
        <v>22.5</v>
      </c>
      <c r="D619" s="162" t="s">
        <v>29</v>
      </c>
      <c r="E619" s="162">
        <v>5</v>
      </c>
      <c r="F619" s="162">
        <v>4</v>
      </c>
      <c r="G619" s="164">
        <v>0.56240000000000001</v>
      </c>
      <c r="H619" s="164">
        <v>0.47070000000000001</v>
      </c>
      <c r="I619" s="164">
        <v>0.29599999999999999</v>
      </c>
      <c r="J619" s="1" t="str">
        <f>HYPERLINK(SetRGB(J619,G619*255,H619*255,I619*255),"HOVER!")</f>
        <v>HOVER!</v>
      </c>
      <c r="K619">
        <f t="shared" si="18"/>
        <v>1.25</v>
      </c>
    </row>
    <row r="620" spans="1:11" x14ac:dyDescent="0.3">
      <c r="A620">
        <f>LOOKUP(9E+307,--MID(D620,1,{1,2,3,4,5}))</f>
        <v>2.5</v>
      </c>
      <c r="B620">
        <f>VLOOKUP(MID(D620,LOOKUP(2,1/ISNUMBER(-MID(D620,1,{1,2,3,4,5})),{1,2,3,4,5})+1,9),'Hue codes'!$A$1:$B$10,2,FALSE)</f>
        <v>20</v>
      </c>
      <c r="C620">
        <f t="shared" si="19"/>
        <v>22.5</v>
      </c>
      <c r="D620" s="162" t="s">
        <v>29</v>
      </c>
      <c r="E620" s="162">
        <v>5</v>
      </c>
      <c r="F620" s="162">
        <v>6</v>
      </c>
      <c r="G620" s="164">
        <v>0.59130000000000005</v>
      </c>
      <c r="H620" s="164">
        <v>0.4647</v>
      </c>
      <c r="I620" s="164">
        <v>0.18920000000000001</v>
      </c>
      <c r="J620" s="1" t="str">
        <f>HYPERLINK(SetRGB(J620,G620*255,H620*255,I620*255),"HOVER!")</f>
        <v>HOVER!</v>
      </c>
      <c r="K620">
        <f t="shared" si="18"/>
        <v>0.83333333333333337</v>
      </c>
    </row>
    <row r="621" spans="1:11" x14ac:dyDescent="0.3">
      <c r="A621">
        <f>LOOKUP(9E+307,--MID(D621,1,{1,2,3,4,5}))</f>
        <v>2.5</v>
      </c>
      <c r="B621">
        <f>VLOOKUP(MID(D621,LOOKUP(2,1/ISNUMBER(-MID(D621,1,{1,2,3,4,5})),{1,2,3,4,5})+1,9),'Hue codes'!$A$1:$B$10,2,FALSE)</f>
        <v>20</v>
      </c>
      <c r="C621">
        <f t="shared" si="19"/>
        <v>22.5</v>
      </c>
      <c r="D621" s="162" t="s">
        <v>29</v>
      </c>
      <c r="E621" s="162">
        <v>5</v>
      </c>
      <c r="F621" s="162">
        <v>8</v>
      </c>
      <c r="G621" s="164">
        <v>0.61080000000000001</v>
      </c>
      <c r="H621" s="164">
        <v>0.45989999999999998</v>
      </c>
      <c r="I621" s="164">
        <v>5.1700000000000003E-2</v>
      </c>
      <c r="J621" s="1" t="str">
        <f>HYPERLINK(SetRGB(J621,G621*255,H621*255,I621*255),"HOVER!")</f>
        <v>HOVER!</v>
      </c>
      <c r="K621">
        <f t="shared" si="18"/>
        <v>0.625</v>
      </c>
    </row>
    <row r="622" spans="1:11" x14ac:dyDescent="0.3">
      <c r="A622">
        <f>LOOKUP(9E+307,--MID(D622,1,{1,2,3,4,5}))</f>
        <v>5</v>
      </c>
      <c r="B622">
        <f>VLOOKUP(MID(D622,LOOKUP(2,1/ISNUMBER(-MID(D622,1,{1,2,3,4,5})),{1,2,3,4,5})+1,9),'Hue codes'!$A$1:$B$10,2,FALSE)</f>
        <v>20</v>
      </c>
      <c r="C622">
        <f t="shared" si="19"/>
        <v>25</v>
      </c>
      <c r="D622" s="162" t="s">
        <v>30</v>
      </c>
      <c r="E622" s="162">
        <v>5</v>
      </c>
      <c r="F622" s="162">
        <v>2</v>
      </c>
      <c r="G622" s="164">
        <v>0.51329999999999998</v>
      </c>
      <c r="H622" s="164">
        <v>0.48139999999999999</v>
      </c>
      <c r="I622" s="164">
        <v>0.38550000000000001</v>
      </c>
      <c r="J622" s="1" t="str">
        <f>HYPERLINK(SetRGB(J622,G622*255,H622*255,I622*255),"HOVER!")</f>
        <v>HOVER!</v>
      </c>
      <c r="K622">
        <f t="shared" si="18"/>
        <v>2.5</v>
      </c>
    </row>
    <row r="623" spans="1:11" x14ac:dyDescent="0.3">
      <c r="A623">
        <f>LOOKUP(9E+307,--MID(D623,1,{1,2,3,4,5}))</f>
        <v>5</v>
      </c>
      <c r="B623">
        <f>VLOOKUP(MID(D623,LOOKUP(2,1/ISNUMBER(-MID(D623,1,{1,2,3,4,5})),{1,2,3,4,5})+1,9),'Hue codes'!$A$1:$B$10,2,FALSE)</f>
        <v>20</v>
      </c>
      <c r="C623">
        <f t="shared" si="19"/>
        <v>25</v>
      </c>
      <c r="D623" s="162" t="s">
        <v>30</v>
      </c>
      <c r="E623" s="162">
        <v>5</v>
      </c>
      <c r="F623" s="162">
        <v>4</v>
      </c>
      <c r="G623" s="164">
        <v>0.54120000000000001</v>
      </c>
      <c r="H623" s="164">
        <v>0.47910000000000003</v>
      </c>
      <c r="I623" s="164">
        <v>0.2848</v>
      </c>
      <c r="J623" s="1" t="str">
        <f>HYPERLINK(SetRGB(J623,G623*255,H623*255,I623*255),"HOVER!")</f>
        <v>HOVER!</v>
      </c>
      <c r="K623">
        <f t="shared" si="18"/>
        <v>1.25</v>
      </c>
    </row>
    <row r="624" spans="1:11" x14ac:dyDescent="0.3">
      <c r="A624">
        <f>LOOKUP(9E+307,--MID(D624,1,{1,2,3,4,5}))</f>
        <v>5</v>
      </c>
      <c r="B624">
        <f>VLOOKUP(MID(D624,LOOKUP(2,1/ISNUMBER(-MID(D624,1,{1,2,3,4,5})),{1,2,3,4,5})+1,9),'Hue codes'!$A$1:$B$10,2,FALSE)</f>
        <v>20</v>
      </c>
      <c r="C624">
        <f t="shared" si="19"/>
        <v>25</v>
      </c>
      <c r="D624" s="162" t="s">
        <v>30</v>
      </c>
      <c r="E624" s="162">
        <v>5</v>
      </c>
      <c r="F624" s="162">
        <v>6</v>
      </c>
      <c r="G624" s="164">
        <v>0.56430000000000002</v>
      </c>
      <c r="H624" s="164">
        <v>0.47589999999999999</v>
      </c>
      <c r="I624" s="164">
        <v>0.1701</v>
      </c>
      <c r="J624" s="1" t="str">
        <f>HYPERLINK(SetRGB(J624,G624*255,H624*255,I624*255),"HOVER!")</f>
        <v>HOVER!</v>
      </c>
      <c r="K624">
        <f t="shared" si="18"/>
        <v>0.83333333333333337</v>
      </c>
    </row>
    <row r="625" spans="1:11" x14ac:dyDescent="0.3">
      <c r="A625">
        <f>LOOKUP(9E+307,--MID(D625,1,{1,2,3,4,5}))</f>
        <v>7.5</v>
      </c>
      <c r="B625">
        <f>VLOOKUP(MID(D625,LOOKUP(2,1/ISNUMBER(-MID(D625,1,{1,2,3,4,5})),{1,2,3,4,5})+1,9),'Hue codes'!$A$1:$B$10,2,FALSE)</f>
        <v>20</v>
      </c>
      <c r="C625">
        <f t="shared" si="19"/>
        <v>27.5</v>
      </c>
      <c r="D625" s="162" t="s">
        <v>31</v>
      </c>
      <c r="E625" s="162">
        <v>5</v>
      </c>
      <c r="F625" s="162">
        <v>2</v>
      </c>
      <c r="G625" s="164">
        <v>0.50429999999999997</v>
      </c>
      <c r="H625" s="164">
        <v>0.4844</v>
      </c>
      <c r="I625" s="164">
        <v>0.38479999999999998</v>
      </c>
      <c r="J625" s="1" t="str">
        <f>HYPERLINK(SetRGB(J625,G625*255,H625*255,I625*255),"HOVER!")</f>
        <v>HOVER!</v>
      </c>
      <c r="K625">
        <f t="shared" si="18"/>
        <v>2.5</v>
      </c>
    </row>
    <row r="626" spans="1:11" x14ac:dyDescent="0.3">
      <c r="A626">
        <f>LOOKUP(9E+307,--MID(D626,1,{1,2,3,4,5}))</f>
        <v>7.5</v>
      </c>
      <c r="B626">
        <f>VLOOKUP(MID(D626,LOOKUP(2,1/ISNUMBER(-MID(D626,1,{1,2,3,4,5})),{1,2,3,4,5})+1,9),'Hue codes'!$A$1:$B$10,2,FALSE)</f>
        <v>20</v>
      </c>
      <c r="C626">
        <f t="shared" si="19"/>
        <v>27.5</v>
      </c>
      <c r="D626" s="162" t="s">
        <v>31</v>
      </c>
      <c r="E626" s="162">
        <v>5</v>
      </c>
      <c r="F626" s="162">
        <v>4</v>
      </c>
      <c r="G626" s="164">
        <v>0.52229999999999999</v>
      </c>
      <c r="H626" s="164">
        <v>0.48570000000000002</v>
      </c>
      <c r="I626" s="164">
        <v>0.28100000000000003</v>
      </c>
      <c r="J626" s="1" t="str">
        <f>HYPERLINK(SetRGB(J626,G626*255,H626*255,I626*255),"HOVER!")</f>
        <v>HOVER!</v>
      </c>
      <c r="K626">
        <f t="shared" si="18"/>
        <v>1.25</v>
      </c>
    </row>
    <row r="627" spans="1:11" x14ac:dyDescent="0.3">
      <c r="A627">
        <f>LOOKUP(9E+307,--MID(D627,1,{1,2,3,4,5}))</f>
        <v>7.5</v>
      </c>
      <c r="B627">
        <f>VLOOKUP(MID(D627,LOOKUP(2,1/ISNUMBER(-MID(D627,1,{1,2,3,4,5})),{1,2,3,4,5})+1,9),'Hue codes'!$A$1:$B$10,2,FALSE)</f>
        <v>20</v>
      </c>
      <c r="C627">
        <f t="shared" si="19"/>
        <v>27.5</v>
      </c>
      <c r="D627" s="162" t="s">
        <v>31</v>
      </c>
      <c r="E627" s="162">
        <v>5</v>
      </c>
      <c r="F627" s="162">
        <v>6</v>
      </c>
      <c r="G627" s="164">
        <v>0.53610000000000002</v>
      </c>
      <c r="H627" s="164">
        <v>0.48630000000000001</v>
      </c>
      <c r="I627" s="164">
        <v>0.16020000000000001</v>
      </c>
      <c r="J627" s="1" t="str">
        <f>HYPERLINK(SetRGB(J627,G627*255,H627*255,I627*255),"HOVER!")</f>
        <v>HOVER!</v>
      </c>
      <c r="K627">
        <f t="shared" si="18"/>
        <v>0.83333333333333337</v>
      </c>
    </row>
    <row r="628" spans="1:11" x14ac:dyDescent="0.3">
      <c r="A628">
        <f>LOOKUP(9E+307,--MID(D628,1,{1,2,3,4,5}))</f>
        <v>10</v>
      </c>
      <c r="B628">
        <f>VLOOKUP(MID(D628,LOOKUP(2,1/ISNUMBER(-MID(D628,1,{1,2,3,4,5})),{1,2,3,4,5})+1,9),'Hue codes'!$A$1:$B$10,2,FALSE)</f>
        <v>20</v>
      </c>
      <c r="C628">
        <f t="shared" si="19"/>
        <v>30</v>
      </c>
      <c r="D628" s="162" t="s">
        <v>32</v>
      </c>
      <c r="E628" s="162">
        <v>5</v>
      </c>
      <c r="F628" s="162">
        <v>2</v>
      </c>
      <c r="G628" s="164">
        <v>0.49270000000000003</v>
      </c>
      <c r="H628" s="164">
        <v>0.48780000000000001</v>
      </c>
      <c r="I628" s="164">
        <v>0.38719999999999999</v>
      </c>
      <c r="J628" s="1" t="str">
        <f>HYPERLINK(SetRGB(J628,G628*255,H628*255,I628*255),"HOVER!")</f>
        <v>HOVER!</v>
      </c>
      <c r="K628">
        <f t="shared" si="18"/>
        <v>2.5</v>
      </c>
    </row>
    <row r="629" spans="1:11" x14ac:dyDescent="0.3">
      <c r="A629">
        <f>LOOKUP(9E+307,--MID(D629,1,{1,2,3,4,5}))</f>
        <v>10</v>
      </c>
      <c r="B629">
        <f>VLOOKUP(MID(D629,LOOKUP(2,1/ISNUMBER(-MID(D629,1,{1,2,3,4,5})),{1,2,3,4,5})+1,9),'Hue codes'!$A$1:$B$10,2,FALSE)</f>
        <v>20</v>
      </c>
      <c r="C629">
        <f t="shared" si="19"/>
        <v>30</v>
      </c>
      <c r="D629" s="162" t="s">
        <v>32</v>
      </c>
      <c r="E629" s="162">
        <v>5</v>
      </c>
      <c r="F629" s="162">
        <v>4</v>
      </c>
      <c r="G629" s="164">
        <v>0.50160000000000005</v>
      </c>
      <c r="H629" s="164">
        <v>0.49220000000000003</v>
      </c>
      <c r="I629" s="164">
        <v>0.28339999999999999</v>
      </c>
      <c r="J629" s="1" t="str">
        <f>HYPERLINK(SetRGB(J629,G629*255,H629*255,I629*255),"HOVER!")</f>
        <v>HOVER!</v>
      </c>
      <c r="K629">
        <f t="shared" si="18"/>
        <v>1.25</v>
      </c>
    </row>
    <row r="630" spans="1:11" x14ac:dyDescent="0.3">
      <c r="A630">
        <f>LOOKUP(9E+307,--MID(D630,1,{1,2,3,4,5}))</f>
        <v>10</v>
      </c>
      <c r="B630">
        <f>VLOOKUP(MID(D630,LOOKUP(2,1/ISNUMBER(-MID(D630,1,{1,2,3,4,5})),{1,2,3,4,5})+1,9),'Hue codes'!$A$1:$B$10,2,FALSE)</f>
        <v>20</v>
      </c>
      <c r="C630">
        <f t="shared" si="19"/>
        <v>30</v>
      </c>
      <c r="D630" s="162" t="s">
        <v>32</v>
      </c>
      <c r="E630" s="162">
        <v>5</v>
      </c>
      <c r="F630" s="162">
        <v>6</v>
      </c>
      <c r="G630" s="164">
        <v>0.50800000000000001</v>
      </c>
      <c r="H630" s="164">
        <v>0.49530000000000002</v>
      </c>
      <c r="I630" s="164">
        <v>0.16470000000000001</v>
      </c>
      <c r="J630" s="1" t="str">
        <f>HYPERLINK(SetRGB(J630,G630*255,H630*255,I630*255),"HOVER!")</f>
        <v>HOVER!</v>
      </c>
      <c r="K630">
        <f t="shared" si="18"/>
        <v>0.83333333333333337</v>
      </c>
    </row>
    <row r="631" spans="1:11" x14ac:dyDescent="0.3">
      <c r="A631">
        <f>LOOKUP(9E+307,--MID(D631,1,{1,2,3,4,5}))</f>
        <v>2.5</v>
      </c>
      <c r="B631">
        <f>VLOOKUP(MID(D631,LOOKUP(2,1/ISNUMBER(-MID(D631,1,{1,2,3,4,5})),{1,2,3,4,5})+1,9),'Hue codes'!$A$1:$B$10,2,FALSE)</f>
        <v>30</v>
      </c>
      <c r="C631">
        <f t="shared" si="19"/>
        <v>32.5</v>
      </c>
      <c r="D631" s="162" t="s">
        <v>33</v>
      </c>
      <c r="E631" s="162">
        <v>5</v>
      </c>
      <c r="F631" s="162">
        <v>2</v>
      </c>
      <c r="G631" s="164">
        <v>0.4783</v>
      </c>
      <c r="H631" s="164">
        <v>0.49149999999999999</v>
      </c>
      <c r="I631" s="164">
        <v>0.39400000000000002</v>
      </c>
      <c r="J631" s="1" t="str">
        <f>HYPERLINK(SetRGB(J631,G631*255,H631*255,I631*255),"HOVER!")</f>
        <v>HOVER!</v>
      </c>
      <c r="K631">
        <f t="shared" ref="K631:K694" si="20">E631/F631</f>
        <v>2.5</v>
      </c>
    </row>
    <row r="632" spans="1:11" x14ac:dyDescent="0.3">
      <c r="A632">
        <f>LOOKUP(9E+307,--MID(D632,1,{1,2,3,4,5}))</f>
        <v>2.5</v>
      </c>
      <c r="B632">
        <f>VLOOKUP(MID(D632,LOOKUP(2,1/ISNUMBER(-MID(D632,1,{1,2,3,4,5})),{1,2,3,4,5})+1,9),'Hue codes'!$A$1:$B$10,2,FALSE)</f>
        <v>30</v>
      </c>
      <c r="C632">
        <f t="shared" si="19"/>
        <v>32.5</v>
      </c>
      <c r="D632" s="162" t="s">
        <v>33</v>
      </c>
      <c r="E632" s="162">
        <v>5</v>
      </c>
      <c r="F632" s="162">
        <v>4</v>
      </c>
      <c r="G632" s="164">
        <v>0.4753</v>
      </c>
      <c r="H632" s="164">
        <v>0.49909999999999999</v>
      </c>
      <c r="I632" s="164">
        <v>0.29859999999999998</v>
      </c>
      <c r="J632" s="1" t="str">
        <f>HYPERLINK(SetRGB(J632,G632*255,H632*255,I632*255),"HOVER!")</f>
        <v>HOVER!</v>
      </c>
      <c r="K632">
        <f t="shared" si="20"/>
        <v>1.25</v>
      </c>
    </row>
    <row r="633" spans="1:11" x14ac:dyDescent="0.3">
      <c r="A633">
        <f>LOOKUP(9E+307,--MID(D633,1,{1,2,3,4,5}))</f>
        <v>2.5</v>
      </c>
      <c r="B633">
        <f>VLOOKUP(MID(D633,LOOKUP(2,1/ISNUMBER(-MID(D633,1,{1,2,3,4,5})),{1,2,3,4,5})+1,9),'Hue codes'!$A$1:$B$10,2,FALSE)</f>
        <v>30</v>
      </c>
      <c r="C633">
        <f t="shared" si="19"/>
        <v>32.5</v>
      </c>
      <c r="D633" s="162" t="s">
        <v>33</v>
      </c>
      <c r="E633" s="162">
        <v>5</v>
      </c>
      <c r="F633" s="162">
        <v>6</v>
      </c>
      <c r="G633" s="164">
        <v>0.4713</v>
      </c>
      <c r="H633" s="164">
        <v>0.50529999999999997</v>
      </c>
      <c r="I633" s="164">
        <v>0.18729999999999999</v>
      </c>
      <c r="J633" s="1" t="str">
        <f>HYPERLINK(SetRGB(J633,G633*255,H633*255,I633*255),"HOVER!")</f>
        <v>HOVER!</v>
      </c>
      <c r="K633">
        <f t="shared" si="20"/>
        <v>0.83333333333333337</v>
      </c>
    </row>
    <row r="634" spans="1:11" x14ac:dyDescent="0.3">
      <c r="A634">
        <f>LOOKUP(9E+307,--MID(D634,1,{1,2,3,4,5}))</f>
        <v>5</v>
      </c>
      <c r="B634">
        <f>VLOOKUP(MID(D634,LOOKUP(2,1/ISNUMBER(-MID(D634,1,{1,2,3,4,5})),{1,2,3,4,5})+1,9),'Hue codes'!$A$1:$B$10,2,FALSE)</f>
        <v>30</v>
      </c>
      <c r="C634">
        <f t="shared" si="19"/>
        <v>35</v>
      </c>
      <c r="D634" s="162" t="s">
        <v>34</v>
      </c>
      <c r="E634" s="162">
        <v>5</v>
      </c>
      <c r="F634" s="162">
        <v>2</v>
      </c>
      <c r="G634" s="164">
        <v>0.46650000000000003</v>
      </c>
      <c r="H634" s="164">
        <v>0.49419999999999997</v>
      </c>
      <c r="I634" s="164">
        <v>0.40200000000000002</v>
      </c>
      <c r="J634" s="1" t="str">
        <f>HYPERLINK(SetRGB(J634,G634*255,H634*255,I634*255),"HOVER!")</f>
        <v>HOVER!</v>
      </c>
      <c r="K634">
        <f t="shared" si="20"/>
        <v>2.5</v>
      </c>
    </row>
    <row r="635" spans="1:11" x14ac:dyDescent="0.3">
      <c r="A635">
        <f>LOOKUP(9E+307,--MID(D635,1,{1,2,3,4,5}))</f>
        <v>5</v>
      </c>
      <c r="B635">
        <f>VLOOKUP(MID(D635,LOOKUP(2,1/ISNUMBER(-MID(D635,1,{1,2,3,4,5})),{1,2,3,4,5})+1,9),'Hue codes'!$A$1:$B$10,2,FALSE)</f>
        <v>30</v>
      </c>
      <c r="C635">
        <f t="shared" si="19"/>
        <v>35</v>
      </c>
      <c r="D635" s="162" t="s">
        <v>34</v>
      </c>
      <c r="E635" s="162">
        <v>5</v>
      </c>
      <c r="F635" s="162">
        <v>4</v>
      </c>
      <c r="G635" s="164">
        <v>0.45090000000000002</v>
      </c>
      <c r="H635" s="164">
        <v>0.50460000000000005</v>
      </c>
      <c r="I635" s="164">
        <v>0.31740000000000002</v>
      </c>
      <c r="J635" s="47" t="str">
        <f>HYPERLINK(SetRGB(J635,G635*255,H635*255,I635*255),"HOVER!")</f>
        <v>HOVER!</v>
      </c>
      <c r="K635">
        <f t="shared" si="20"/>
        <v>1.25</v>
      </c>
    </row>
    <row r="636" spans="1:11" x14ac:dyDescent="0.3">
      <c r="A636">
        <f>LOOKUP(9E+307,--MID(D636,1,{1,2,3,4,5}))</f>
        <v>5</v>
      </c>
      <c r="B636">
        <f>VLOOKUP(MID(D636,LOOKUP(2,1/ISNUMBER(-MID(D636,1,{1,2,3,4,5})),{1,2,3,4,5})+1,9),'Hue codes'!$A$1:$B$10,2,FALSE)</f>
        <v>30</v>
      </c>
      <c r="C636">
        <f t="shared" si="19"/>
        <v>35</v>
      </c>
      <c r="D636" s="162" t="s">
        <v>34</v>
      </c>
      <c r="E636" s="162">
        <v>5</v>
      </c>
      <c r="F636" s="162">
        <v>6</v>
      </c>
      <c r="G636" s="164">
        <v>0.43230000000000002</v>
      </c>
      <c r="H636" s="164">
        <v>0.51419999999999999</v>
      </c>
      <c r="I636" s="164">
        <v>0.2198</v>
      </c>
      <c r="J636" s="54" t="str">
        <f>HYPERLINK(SetRGB(J636,G636*255,H636*255,I636*255),"HOVER!")</f>
        <v>HOVER!</v>
      </c>
      <c r="K636">
        <f t="shared" si="20"/>
        <v>0.83333333333333337</v>
      </c>
    </row>
    <row r="637" spans="1:11" x14ac:dyDescent="0.3">
      <c r="A637">
        <f>LOOKUP(9E+307,--MID(D637,1,{1,2,3,4,5}))</f>
        <v>5</v>
      </c>
      <c r="B637">
        <f>VLOOKUP(MID(D637,LOOKUP(2,1/ISNUMBER(-MID(D637,1,{1,2,3,4,5})),{1,2,3,4,5})+1,9),'Hue codes'!$A$1:$B$10,2,FALSE)</f>
        <v>30</v>
      </c>
      <c r="C637">
        <f t="shared" si="19"/>
        <v>35</v>
      </c>
      <c r="D637" s="162" t="s">
        <v>34</v>
      </c>
      <c r="E637" s="162">
        <v>5</v>
      </c>
      <c r="F637" s="162">
        <v>8</v>
      </c>
      <c r="G637" s="164">
        <v>0.41470000000000001</v>
      </c>
      <c r="H637" s="164">
        <v>0.52190000000000003</v>
      </c>
      <c r="I637" s="164">
        <v>8.9499999999999996E-2</v>
      </c>
      <c r="J637" s="53" t="str">
        <f>HYPERLINK(SetRGB(J637,G637*255,H637*255,I637*255),"HOVER!")</f>
        <v>HOVER!</v>
      </c>
      <c r="K637">
        <f t="shared" si="20"/>
        <v>0.625</v>
      </c>
    </row>
    <row r="638" spans="1:11" x14ac:dyDescent="0.3">
      <c r="A638">
        <f>LOOKUP(9E+307,--MID(D638,1,{1,2,3,4,5}))</f>
        <v>7.5</v>
      </c>
      <c r="B638">
        <f>VLOOKUP(MID(D638,LOOKUP(2,1/ISNUMBER(-MID(D638,1,{1,2,3,4,5})),{1,2,3,4,5})+1,9),'Hue codes'!$A$1:$B$10,2,FALSE)</f>
        <v>30</v>
      </c>
      <c r="C638">
        <f t="shared" si="19"/>
        <v>37.5</v>
      </c>
      <c r="D638" s="162" t="s">
        <v>35</v>
      </c>
      <c r="E638" s="162">
        <v>5</v>
      </c>
      <c r="F638" s="162">
        <v>2</v>
      </c>
      <c r="G638" s="164">
        <v>0.44819999999999999</v>
      </c>
      <c r="H638" s="164">
        <v>0.49790000000000001</v>
      </c>
      <c r="I638" s="164">
        <v>0.41660000000000003</v>
      </c>
      <c r="J638" s="52" t="str">
        <f>HYPERLINK(SetRGB(J638,G638*255,H638*255,I638*255),"HOVER!")</f>
        <v>HOVER!</v>
      </c>
      <c r="K638">
        <f t="shared" si="20"/>
        <v>2.5</v>
      </c>
    </row>
    <row r="639" spans="1:11" x14ac:dyDescent="0.3">
      <c r="A639">
        <f>LOOKUP(9E+307,--MID(D639,1,{1,2,3,4,5}))</f>
        <v>7.5</v>
      </c>
      <c r="B639">
        <f>VLOOKUP(MID(D639,LOOKUP(2,1/ISNUMBER(-MID(D639,1,{1,2,3,4,5})),{1,2,3,4,5})+1,9),'Hue codes'!$A$1:$B$10,2,FALSE)</f>
        <v>30</v>
      </c>
      <c r="C639">
        <f t="shared" si="19"/>
        <v>37.5</v>
      </c>
      <c r="D639" s="162" t="s">
        <v>35</v>
      </c>
      <c r="E639" s="162">
        <v>5</v>
      </c>
      <c r="F639" s="162">
        <v>4</v>
      </c>
      <c r="G639" s="164">
        <v>0.41410000000000002</v>
      </c>
      <c r="H639" s="164">
        <v>0.51160000000000005</v>
      </c>
      <c r="I639" s="164">
        <v>0.3488</v>
      </c>
      <c r="J639" s="1" t="str">
        <f>HYPERLINK(SetRGB(J639,G639*255,H639*255,I639*255),"HOVER!")</f>
        <v>HOVER!</v>
      </c>
      <c r="K639">
        <f t="shared" si="20"/>
        <v>1.25</v>
      </c>
    </row>
    <row r="640" spans="1:11" x14ac:dyDescent="0.3">
      <c r="A640">
        <f>LOOKUP(9E+307,--MID(D640,1,{1,2,3,4,5}))</f>
        <v>7.5</v>
      </c>
      <c r="B640">
        <f>VLOOKUP(MID(D640,LOOKUP(2,1/ISNUMBER(-MID(D640,1,{1,2,3,4,5})),{1,2,3,4,5})+1,9),'Hue codes'!$A$1:$B$10,2,FALSE)</f>
        <v>30</v>
      </c>
      <c r="C640">
        <f t="shared" si="19"/>
        <v>37.5</v>
      </c>
      <c r="D640" s="162" t="s">
        <v>35</v>
      </c>
      <c r="E640" s="162">
        <v>5</v>
      </c>
      <c r="F640" s="162">
        <v>6</v>
      </c>
      <c r="G640" s="164">
        <v>0.37590000000000001</v>
      </c>
      <c r="H640" s="164">
        <v>0.52429999999999999</v>
      </c>
      <c r="I640" s="164">
        <v>0.27189999999999998</v>
      </c>
      <c r="J640" s="1" t="str">
        <f>HYPERLINK(SetRGB(J640,G640*255,H640*255,I640*255),"HOVER!")</f>
        <v>HOVER!</v>
      </c>
      <c r="K640">
        <f t="shared" si="20"/>
        <v>0.83333333333333337</v>
      </c>
    </row>
    <row r="641" spans="1:11" x14ac:dyDescent="0.3">
      <c r="A641">
        <f>LOOKUP(9E+307,--MID(D641,1,{1,2,3,4,5}))</f>
        <v>7.5</v>
      </c>
      <c r="B641">
        <f>VLOOKUP(MID(D641,LOOKUP(2,1/ISNUMBER(-MID(D641,1,{1,2,3,4,5})),{1,2,3,4,5})+1,9),'Hue codes'!$A$1:$B$10,2,FALSE)</f>
        <v>30</v>
      </c>
      <c r="C641">
        <f t="shared" si="19"/>
        <v>37.5</v>
      </c>
      <c r="D641" s="162" t="s">
        <v>35</v>
      </c>
      <c r="E641" s="162">
        <v>5</v>
      </c>
      <c r="F641" s="162">
        <v>8</v>
      </c>
      <c r="G641" s="164">
        <v>0.33529999999999999</v>
      </c>
      <c r="H641" s="164">
        <v>0.53520000000000001</v>
      </c>
      <c r="I641" s="164">
        <v>0.18579999999999999</v>
      </c>
      <c r="J641" s="1" t="str">
        <f>HYPERLINK(SetRGB(J641,G641*255,H641*255,I641*255),"HOVER!")</f>
        <v>HOVER!</v>
      </c>
      <c r="K641">
        <f t="shared" si="20"/>
        <v>0.625</v>
      </c>
    </row>
    <row r="642" spans="1:11" x14ac:dyDescent="0.3">
      <c r="A642">
        <f>LOOKUP(9E+307,--MID(D642,1,{1,2,3,4,5}))</f>
        <v>7.5</v>
      </c>
      <c r="B642">
        <f>VLOOKUP(MID(D642,LOOKUP(2,1/ISNUMBER(-MID(D642,1,{1,2,3,4,5})),{1,2,3,4,5})+1,9),'Hue codes'!$A$1:$B$10,2,FALSE)</f>
        <v>30</v>
      </c>
      <c r="C642">
        <f t="shared" si="19"/>
        <v>37.5</v>
      </c>
      <c r="D642" s="162" t="s">
        <v>35</v>
      </c>
      <c r="E642" s="162">
        <v>5</v>
      </c>
      <c r="F642" s="162">
        <v>10</v>
      </c>
      <c r="G642" s="164">
        <v>0.28939999999999999</v>
      </c>
      <c r="H642" s="164">
        <v>0.54510000000000003</v>
      </c>
      <c r="I642" s="164">
        <v>3.8100000000000002E-2</v>
      </c>
      <c r="J642" s="1" t="str">
        <f>HYPERLINK(SetRGB(J642,G642*255,H642*255,I642*255),"HOVER!")</f>
        <v>HOVER!</v>
      </c>
      <c r="K642">
        <f t="shared" si="20"/>
        <v>0.5</v>
      </c>
    </row>
    <row r="643" spans="1:11" x14ac:dyDescent="0.3">
      <c r="A643">
        <f>LOOKUP(9E+307,--MID(D643,1,{1,2,3,4,5}))</f>
        <v>10</v>
      </c>
      <c r="B643">
        <f>VLOOKUP(MID(D643,LOOKUP(2,1/ISNUMBER(-MID(D643,1,{1,2,3,4,5})),{1,2,3,4,5})+1,9),'Hue codes'!$A$1:$B$10,2,FALSE)</f>
        <v>30</v>
      </c>
      <c r="C643">
        <f t="shared" ref="C643:C706" si="21">IF(A643+B643=100,0,A643+B643)</f>
        <v>40</v>
      </c>
      <c r="D643" s="162" t="s">
        <v>36</v>
      </c>
      <c r="E643" s="162">
        <v>5</v>
      </c>
      <c r="F643" s="162">
        <v>2</v>
      </c>
      <c r="G643" s="164">
        <v>0.43469999999999998</v>
      </c>
      <c r="H643" s="164">
        <v>0.50019999999999998</v>
      </c>
      <c r="I643" s="164">
        <v>0.42949999999999999</v>
      </c>
      <c r="J643" s="1" t="str">
        <f>HYPERLINK(SetRGB(J643,G643*255,H643*255,I643*255),"HOVER!")</f>
        <v>HOVER!</v>
      </c>
      <c r="K643">
        <f t="shared" si="20"/>
        <v>2.5</v>
      </c>
    </row>
    <row r="644" spans="1:11" x14ac:dyDescent="0.3">
      <c r="A644">
        <f>LOOKUP(9E+307,--MID(D644,1,{1,2,3,4,5}))</f>
        <v>10</v>
      </c>
      <c r="B644">
        <f>VLOOKUP(MID(D644,LOOKUP(2,1/ISNUMBER(-MID(D644,1,{1,2,3,4,5})),{1,2,3,4,5})+1,9),'Hue codes'!$A$1:$B$10,2,FALSE)</f>
        <v>30</v>
      </c>
      <c r="C644">
        <f t="shared" si="21"/>
        <v>40</v>
      </c>
      <c r="D644" s="162" t="s">
        <v>36</v>
      </c>
      <c r="E644" s="162">
        <v>5</v>
      </c>
      <c r="F644" s="162">
        <v>4</v>
      </c>
      <c r="G644" s="164">
        <v>0.38469999999999999</v>
      </c>
      <c r="H644" s="164">
        <v>0.5161</v>
      </c>
      <c r="I644" s="164">
        <v>0.37659999999999999</v>
      </c>
      <c r="J644" s="1" t="str">
        <f>HYPERLINK(SetRGB(J644,G644*255,H644*255,I644*255),"HOVER!")</f>
        <v>HOVER!</v>
      </c>
      <c r="K644">
        <f t="shared" si="20"/>
        <v>1.25</v>
      </c>
    </row>
    <row r="645" spans="1:11" x14ac:dyDescent="0.3">
      <c r="A645">
        <f>LOOKUP(9E+307,--MID(D645,1,{1,2,3,4,5}))</f>
        <v>10</v>
      </c>
      <c r="B645">
        <f>VLOOKUP(MID(D645,LOOKUP(2,1/ISNUMBER(-MID(D645,1,{1,2,3,4,5})),{1,2,3,4,5})+1,9),'Hue codes'!$A$1:$B$10,2,FALSE)</f>
        <v>30</v>
      </c>
      <c r="C645">
        <f t="shared" si="21"/>
        <v>40</v>
      </c>
      <c r="D645" s="162" t="s">
        <v>36</v>
      </c>
      <c r="E645" s="162">
        <v>5</v>
      </c>
      <c r="F645" s="162">
        <v>6</v>
      </c>
      <c r="G645" s="164">
        <v>0.32919999999999999</v>
      </c>
      <c r="H645" s="164">
        <v>0.53029999999999999</v>
      </c>
      <c r="I645" s="164">
        <v>0.31890000000000002</v>
      </c>
      <c r="J645" s="1" t="str">
        <f>HYPERLINK(SetRGB(J645,G645*255,H645*255,I645*255),"HOVER!")</f>
        <v>HOVER!</v>
      </c>
      <c r="K645">
        <f t="shared" si="20"/>
        <v>0.83333333333333337</v>
      </c>
    </row>
    <row r="646" spans="1:11" x14ac:dyDescent="0.3">
      <c r="A646">
        <f>LOOKUP(9E+307,--MID(D646,1,{1,2,3,4,5}))</f>
        <v>10</v>
      </c>
      <c r="B646">
        <f>VLOOKUP(MID(D646,LOOKUP(2,1/ISNUMBER(-MID(D646,1,{1,2,3,4,5})),{1,2,3,4,5})+1,9),'Hue codes'!$A$1:$B$10,2,FALSE)</f>
        <v>30</v>
      </c>
      <c r="C646">
        <f t="shared" si="21"/>
        <v>40</v>
      </c>
      <c r="D646" s="162" t="s">
        <v>36</v>
      </c>
      <c r="E646" s="162">
        <v>5</v>
      </c>
      <c r="F646" s="162">
        <v>8</v>
      </c>
      <c r="G646" s="164">
        <v>0.25900000000000001</v>
      </c>
      <c r="H646" s="164">
        <v>0.54359999999999997</v>
      </c>
      <c r="I646" s="164">
        <v>0.25640000000000002</v>
      </c>
      <c r="J646" s="1" t="str">
        <f>HYPERLINK(SetRGB(J646,G646*255,H646*255,I646*255),"HOVER!")</f>
        <v>HOVER!</v>
      </c>
      <c r="K646">
        <f t="shared" si="20"/>
        <v>0.625</v>
      </c>
    </row>
    <row r="647" spans="1:11" x14ac:dyDescent="0.3">
      <c r="A647">
        <f>LOOKUP(9E+307,--MID(D647,1,{1,2,3,4,5}))</f>
        <v>10</v>
      </c>
      <c r="B647">
        <f>VLOOKUP(MID(D647,LOOKUP(2,1/ISNUMBER(-MID(D647,1,{1,2,3,4,5})),{1,2,3,4,5})+1,9),'Hue codes'!$A$1:$B$10,2,FALSE)</f>
        <v>30</v>
      </c>
      <c r="C647">
        <f t="shared" si="21"/>
        <v>40</v>
      </c>
      <c r="D647" s="162" t="s">
        <v>36</v>
      </c>
      <c r="E647" s="162">
        <v>5</v>
      </c>
      <c r="F647" s="162">
        <v>10</v>
      </c>
      <c r="G647" s="164">
        <v>0.16089999999999999</v>
      </c>
      <c r="H647" s="164">
        <v>0.55549999999999999</v>
      </c>
      <c r="I647" s="164">
        <v>0.1865</v>
      </c>
      <c r="J647" s="1" t="str">
        <f>HYPERLINK(SetRGB(J647,G647*255,H647*255,I647*255),"HOVER!")</f>
        <v>HOVER!</v>
      </c>
      <c r="K647">
        <f t="shared" si="20"/>
        <v>0.5</v>
      </c>
    </row>
    <row r="648" spans="1:11" x14ac:dyDescent="0.3">
      <c r="A648">
        <f>LOOKUP(9E+307,--MID(D648,1,{1,2,3,4,5}))</f>
        <v>2.5</v>
      </c>
      <c r="B648">
        <f>VLOOKUP(MID(D648,LOOKUP(2,1/ISNUMBER(-MID(D648,1,{1,2,3,4,5})),{1,2,3,4,5})+1,9),'Hue codes'!$A$1:$B$10,2,FALSE)</f>
        <v>40</v>
      </c>
      <c r="C648">
        <f t="shared" si="21"/>
        <v>42.5</v>
      </c>
      <c r="D648" s="162" t="s">
        <v>37</v>
      </c>
      <c r="E648" s="162">
        <v>5</v>
      </c>
      <c r="F648" s="162">
        <v>2</v>
      </c>
      <c r="G648" s="164">
        <v>0.42130000000000001</v>
      </c>
      <c r="H648" s="164">
        <v>0.50219999999999998</v>
      </c>
      <c r="I648" s="164">
        <v>0.44390000000000002</v>
      </c>
      <c r="J648" s="1" t="str">
        <f>HYPERLINK(SetRGB(J648,G648*255,H648*255,I648*255),"HOVER!")</f>
        <v>HOVER!</v>
      </c>
      <c r="K648">
        <f t="shared" si="20"/>
        <v>2.5</v>
      </c>
    </row>
    <row r="649" spans="1:11" x14ac:dyDescent="0.3">
      <c r="A649">
        <f>LOOKUP(9E+307,--MID(D649,1,{1,2,3,4,5}))</f>
        <v>2.5</v>
      </c>
      <c r="B649">
        <f>VLOOKUP(MID(D649,LOOKUP(2,1/ISNUMBER(-MID(D649,1,{1,2,3,4,5})),{1,2,3,4,5})+1,9),'Hue codes'!$A$1:$B$10,2,FALSE)</f>
        <v>40</v>
      </c>
      <c r="C649">
        <f t="shared" si="21"/>
        <v>42.5</v>
      </c>
      <c r="D649" s="162" t="s">
        <v>37</v>
      </c>
      <c r="E649" s="162">
        <v>5</v>
      </c>
      <c r="F649" s="162">
        <v>4</v>
      </c>
      <c r="G649" s="164">
        <v>0.3533</v>
      </c>
      <c r="H649" s="164">
        <v>0.51980000000000004</v>
      </c>
      <c r="I649" s="164">
        <v>0.40860000000000002</v>
      </c>
      <c r="J649" s="1" t="str">
        <f>HYPERLINK(SetRGB(J649,G649*255,H649*255,I649*255),"HOVER!")</f>
        <v>HOVER!</v>
      </c>
      <c r="K649">
        <f t="shared" si="20"/>
        <v>1.25</v>
      </c>
    </row>
    <row r="650" spans="1:11" x14ac:dyDescent="0.3">
      <c r="A650">
        <f>LOOKUP(9E+307,--MID(D650,1,{1,2,3,4,5}))</f>
        <v>2.5</v>
      </c>
      <c r="B650">
        <f>VLOOKUP(MID(D650,LOOKUP(2,1/ISNUMBER(-MID(D650,1,{1,2,3,4,5})),{1,2,3,4,5})+1,9),'Hue codes'!$A$1:$B$10,2,FALSE)</f>
        <v>40</v>
      </c>
      <c r="C650">
        <f t="shared" si="21"/>
        <v>42.5</v>
      </c>
      <c r="D650" s="162" t="s">
        <v>37</v>
      </c>
      <c r="E650" s="162">
        <v>5</v>
      </c>
      <c r="F650" s="162">
        <v>6</v>
      </c>
      <c r="G650" s="164">
        <v>0.26979999999999998</v>
      </c>
      <c r="H650" s="164">
        <v>0.53559999999999997</v>
      </c>
      <c r="I650" s="164">
        <v>0.37330000000000002</v>
      </c>
      <c r="J650" s="1" t="str">
        <f>HYPERLINK(SetRGB(J650,G650*255,H650*255,I650*255),"HOVER!")</f>
        <v>HOVER!</v>
      </c>
      <c r="K650">
        <f t="shared" si="20"/>
        <v>0.83333333333333337</v>
      </c>
    </row>
    <row r="651" spans="1:11" x14ac:dyDescent="0.3">
      <c r="A651">
        <f>LOOKUP(9E+307,--MID(D651,1,{1,2,3,4,5}))</f>
        <v>2.5</v>
      </c>
      <c r="B651">
        <f>VLOOKUP(MID(D651,LOOKUP(2,1/ISNUMBER(-MID(D651,1,{1,2,3,4,5})),{1,2,3,4,5})+1,9),'Hue codes'!$A$1:$B$10,2,FALSE)</f>
        <v>40</v>
      </c>
      <c r="C651">
        <f t="shared" si="21"/>
        <v>42.5</v>
      </c>
      <c r="D651" s="162" t="s">
        <v>37</v>
      </c>
      <c r="E651" s="162">
        <v>5</v>
      </c>
      <c r="F651" s="162">
        <v>8</v>
      </c>
      <c r="G651" s="164">
        <v>0.1321</v>
      </c>
      <c r="H651" s="164">
        <v>0.55059999999999998</v>
      </c>
      <c r="I651" s="164">
        <v>0.33829999999999999</v>
      </c>
      <c r="J651" s="1" t="str">
        <f>HYPERLINK(SetRGB(J651,G651*255,H651*255,I651*255),"HOVER!")</f>
        <v>HOVER!</v>
      </c>
      <c r="K651">
        <f t="shared" si="20"/>
        <v>0.625</v>
      </c>
    </row>
    <row r="652" spans="1:11" x14ac:dyDescent="0.3">
      <c r="A652">
        <f>LOOKUP(9E+307,--MID(D652,1,{1,2,3,4,5}))</f>
        <v>5</v>
      </c>
      <c r="B652">
        <f>VLOOKUP(MID(D652,LOOKUP(2,1/ISNUMBER(-MID(D652,1,{1,2,3,4,5})),{1,2,3,4,5})+1,9),'Hue codes'!$A$1:$B$10,2,FALSE)</f>
        <v>40</v>
      </c>
      <c r="C652">
        <f t="shared" si="21"/>
        <v>45</v>
      </c>
      <c r="D652" s="162" t="s">
        <v>38</v>
      </c>
      <c r="E652" s="162">
        <v>5</v>
      </c>
      <c r="F652" s="162">
        <v>2</v>
      </c>
      <c r="G652" s="164">
        <v>0.41370000000000001</v>
      </c>
      <c r="H652" s="164">
        <v>0.503</v>
      </c>
      <c r="I652" s="164">
        <v>0.4551</v>
      </c>
      <c r="J652" s="1" t="str">
        <f>HYPERLINK(SetRGB(J652,G652*255,H652*255,I652*255),"HOVER!")</f>
        <v>HOVER!</v>
      </c>
      <c r="K652">
        <f t="shared" si="20"/>
        <v>2.5</v>
      </c>
    </row>
    <row r="653" spans="1:11" x14ac:dyDescent="0.3">
      <c r="A653">
        <f>LOOKUP(9E+307,--MID(D653,1,{1,2,3,4,5}))</f>
        <v>5</v>
      </c>
      <c r="B653">
        <f>VLOOKUP(MID(D653,LOOKUP(2,1/ISNUMBER(-MID(D653,1,{1,2,3,4,5})),{1,2,3,4,5})+1,9),'Hue codes'!$A$1:$B$10,2,FALSE)</f>
        <v>40</v>
      </c>
      <c r="C653">
        <f t="shared" si="21"/>
        <v>45</v>
      </c>
      <c r="D653" s="162" t="s">
        <v>38</v>
      </c>
      <c r="E653" s="162">
        <v>5</v>
      </c>
      <c r="F653" s="162">
        <v>4</v>
      </c>
      <c r="G653" s="164">
        <v>0.33389999999999997</v>
      </c>
      <c r="H653" s="164">
        <v>0.52149999999999996</v>
      </c>
      <c r="I653" s="164">
        <v>0.43020000000000003</v>
      </c>
      <c r="J653" s="1" t="str">
        <f>HYPERLINK(SetRGB(J653,G653*255,H653*255,I653*255),"HOVER!")</f>
        <v>HOVER!</v>
      </c>
      <c r="K653">
        <f t="shared" si="20"/>
        <v>1.25</v>
      </c>
    </row>
    <row r="654" spans="1:11" x14ac:dyDescent="0.3">
      <c r="A654">
        <f>LOOKUP(9E+307,--MID(D654,1,{1,2,3,4,5}))</f>
        <v>5</v>
      </c>
      <c r="B654">
        <f>VLOOKUP(MID(D654,LOOKUP(2,1/ISNUMBER(-MID(D654,1,{1,2,3,4,5})),{1,2,3,4,5})+1,9),'Hue codes'!$A$1:$B$10,2,FALSE)</f>
        <v>40</v>
      </c>
      <c r="C654">
        <f t="shared" si="21"/>
        <v>45</v>
      </c>
      <c r="D654" s="162" t="s">
        <v>38</v>
      </c>
      <c r="E654" s="162">
        <v>5</v>
      </c>
      <c r="F654" s="162">
        <v>6</v>
      </c>
      <c r="G654" s="164">
        <v>0.23089999999999999</v>
      </c>
      <c r="H654" s="164">
        <v>0.53769999999999996</v>
      </c>
      <c r="I654" s="164">
        <v>0.4083</v>
      </c>
      <c r="J654" s="1" t="str">
        <f>HYPERLINK(SetRGB(J654,G654*255,H654*255,I654*255),"HOVER!")</f>
        <v>HOVER!</v>
      </c>
      <c r="K654">
        <f t="shared" si="20"/>
        <v>0.83333333333333337</v>
      </c>
    </row>
    <row r="655" spans="1:11" x14ac:dyDescent="0.3">
      <c r="A655">
        <f>LOOKUP(9E+307,--MID(D655,1,{1,2,3,4,5}))</f>
        <v>7.5</v>
      </c>
      <c r="B655">
        <f>VLOOKUP(MID(D655,LOOKUP(2,1/ISNUMBER(-MID(D655,1,{1,2,3,4,5})),{1,2,3,4,5})+1,9),'Hue codes'!$A$1:$B$10,2,FALSE)</f>
        <v>40</v>
      </c>
      <c r="C655">
        <f t="shared" si="21"/>
        <v>47.5</v>
      </c>
      <c r="D655" s="162" t="s">
        <v>39</v>
      </c>
      <c r="E655" s="162">
        <v>5</v>
      </c>
      <c r="F655" s="162">
        <v>2</v>
      </c>
      <c r="G655" s="164">
        <v>0.40910000000000002</v>
      </c>
      <c r="H655" s="164">
        <v>0.50329999999999997</v>
      </c>
      <c r="I655" s="164">
        <v>0.4627</v>
      </c>
      <c r="J655" s="1" t="str">
        <f>HYPERLINK(SetRGB(J655,G655*255,H655*255,I655*255),"HOVER!")</f>
        <v>HOVER!</v>
      </c>
      <c r="K655">
        <f t="shared" si="20"/>
        <v>2.5</v>
      </c>
    </row>
    <row r="656" spans="1:11" x14ac:dyDescent="0.3">
      <c r="A656">
        <f>LOOKUP(9E+307,--MID(D656,1,{1,2,3,4,5}))</f>
        <v>7.5</v>
      </c>
      <c r="B656">
        <f>VLOOKUP(MID(D656,LOOKUP(2,1/ISNUMBER(-MID(D656,1,{1,2,3,4,5})),{1,2,3,4,5})+1,9),'Hue codes'!$A$1:$B$10,2,FALSE)</f>
        <v>40</v>
      </c>
      <c r="C656">
        <f t="shared" si="21"/>
        <v>47.5</v>
      </c>
      <c r="D656" s="162" t="s">
        <v>39</v>
      </c>
      <c r="E656" s="162">
        <v>5</v>
      </c>
      <c r="F656" s="162">
        <v>4</v>
      </c>
      <c r="G656" s="164">
        <v>0.3221</v>
      </c>
      <c r="H656" s="164">
        <v>0.52210000000000001</v>
      </c>
      <c r="I656" s="164">
        <v>0.44619999999999999</v>
      </c>
      <c r="J656" s="1" t="str">
        <f>HYPERLINK(SetRGB(J656,G656*255,H656*255,I656*255),"HOVER!")</f>
        <v>HOVER!</v>
      </c>
      <c r="K656">
        <f t="shared" si="20"/>
        <v>1.25</v>
      </c>
    </row>
    <row r="657" spans="1:11" x14ac:dyDescent="0.3">
      <c r="A657">
        <f>LOOKUP(9E+307,--MID(D657,1,{1,2,3,4,5}))</f>
        <v>7.5</v>
      </c>
      <c r="B657">
        <f>VLOOKUP(MID(D657,LOOKUP(2,1/ISNUMBER(-MID(D657,1,{1,2,3,4,5})),{1,2,3,4,5})+1,9),'Hue codes'!$A$1:$B$10,2,FALSE)</f>
        <v>40</v>
      </c>
      <c r="C657">
        <f t="shared" si="21"/>
        <v>47.5</v>
      </c>
      <c r="D657" s="162" t="s">
        <v>39</v>
      </c>
      <c r="E657" s="162">
        <v>5</v>
      </c>
      <c r="F657" s="162">
        <v>6</v>
      </c>
      <c r="G657" s="164">
        <v>0.2056</v>
      </c>
      <c r="H657" s="164">
        <v>0.5383</v>
      </c>
      <c r="I657" s="164">
        <v>0.43259999999999998</v>
      </c>
      <c r="J657" s="1" t="str">
        <f>HYPERLINK(SetRGB(J657,G657*255,H657*255,I657*255),"HOVER!")</f>
        <v>HOVER!</v>
      </c>
      <c r="K657">
        <f t="shared" si="20"/>
        <v>0.83333333333333337</v>
      </c>
    </row>
    <row r="658" spans="1:11" x14ac:dyDescent="0.3">
      <c r="A658">
        <f>LOOKUP(9E+307,--MID(D658,1,{1,2,3,4,5}))</f>
        <v>10</v>
      </c>
      <c r="B658">
        <f>VLOOKUP(MID(D658,LOOKUP(2,1/ISNUMBER(-MID(D658,1,{1,2,3,4,5})),{1,2,3,4,5})+1,9),'Hue codes'!$A$1:$B$10,2,FALSE)</f>
        <v>40</v>
      </c>
      <c r="C658">
        <f t="shared" si="21"/>
        <v>50</v>
      </c>
      <c r="D658" s="162" t="s">
        <v>40</v>
      </c>
      <c r="E658" s="162">
        <v>5</v>
      </c>
      <c r="F658" s="162">
        <v>2</v>
      </c>
      <c r="G658" s="164">
        <v>0.40500000000000003</v>
      </c>
      <c r="H658" s="164">
        <v>0.50329999999999997</v>
      </c>
      <c r="I658" s="164">
        <v>0.47160000000000002</v>
      </c>
      <c r="J658" s="1" t="str">
        <f>HYPERLINK(SetRGB(J658,G658*255,H658*255,I658*255),"HOVER!")</f>
        <v>HOVER!</v>
      </c>
      <c r="K658">
        <f t="shared" si="20"/>
        <v>2.5</v>
      </c>
    </row>
    <row r="659" spans="1:11" x14ac:dyDescent="0.3">
      <c r="A659">
        <f>LOOKUP(9E+307,--MID(D659,1,{1,2,3,4,5}))</f>
        <v>10</v>
      </c>
      <c r="B659">
        <f>VLOOKUP(MID(D659,LOOKUP(2,1/ISNUMBER(-MID(D659,1,{1,2,3,4,5})),{1,2,3,4,5})+1,9),'Hue codes'!$A$1:$B$10,2,FALSE)</f>
        <v>40</v>
      </c>
      <c r="C659">
        <f t="shared" si="21"/>
        <v>50</v>
      </c>
      <c r="D659" s="162" t="s">
        <v>40</v>
      </c>
      <c r="E659" s="162">
        <v>5</v>
      </c>
      <c r="F659" s="162">
        <v>4</v>
      </c>
      <c r="G659" s="164">
        <v>0.31109999999999999</v>
      </c>
      <c r="H659" s="164">
        <v>0.52229999999999999</v>
      </c>
      <c r="I659" s="164">
        <v>0.46300000000000002</v>
      </c>
      <c r="J659" s="1" t="str">
        <f>HYPERLINK(SetRGB(J659,G659*255,H659*255,I659*255),"HOVER!")</f>
        <v>HOVER!</v>
      </c>
      <c r="K659">
        <f t="shared" si="20"/>
        <v>1.25</v>
      </c>
    </row>
    <row r="660" spans="1:11" x14ac:dyDescent="0.3">
      <c r="A660">
        <f>LOOKUP(9E+307,--MID(D660,1,{1,2,3,4,5}))</f>
        <v>10</v>
      </c>
      <c r="B660">
        <f>VLOOKUP(MID(D660,LOOKUP(2,1/ISNUMBER(-MID(D660,1,{1,2,3,4,5})),{1,2,3,4,5})+1,9),'Hue codes'!$A$1:$B$10,2,FALSE)</f>
        <v>40</v>
      </c>
      <c r="C660">
        <f t="shared" si="21"/>
        <v>50</v>
      </c>
      <c r="D660" s="162" t="s">
        <v>40</v>
      </c>
      <c r="E660" s="162">
        <v>5</v>
      </c>
      <c r="F660" s="162">
        <v>6</v>
      </c>
      <c r="G660" s="164">
        <v>0.18390000000000001</v>
      </c>
      <c r="H660" s="164">
        <v>0.53820000000000001</v>
      </c>
      <c r="I660" s="164">
        <v>0.45629999999999998</v>
      </c>
      <c r="J660" s="1" t="str">
        <f>HYPERLINK(SetRGB(J660,G660*255,H660*255,I660*255),"HOVER!")</f>
        <v>HOVER!</v>
      </c>
      <c r="K660">
        <f t="shared" si="20"/>
        <v>0.83333333333333337</v>
      </c>
    </row>
    <row r="661" spans="1:11" x14ac:dyDescent="0.3">
      <c r="A661">
        <f>LOOKUP(9E+307,--MID(D661,1,{1,2,3,4,5}))</f>
        <v>2.5</v>
      </c>
      <c r="B661">
        <f>VLOOKUP(MID(D661,LOOKUP(2,1/ISNUMBER(-MID(D661,1,{1,2,3,4,5})),{1,2,3,4,5})+1,9),'Hue codes'!$A$1:$B$10,2,FALSE)</f>
        <v>50</v>
      </c>
      <c r="C661">
        <f t="shared" si="21"/>
        <v>52.5</v>
      </c>
      <c r="D661" s="162" t="s">
        <v>41</v>
      </c>
      <c r="E661" s="162">
        <v>5</v>
      </c>
      <c r="F661" s="162">
        <v>2</v>
      </c>
      <c r="G661" s="164">
        <v>0.40160000000000001</v>
      </c>
      <c r="H661" s="164">
        <v>0.50329999999999997</v>
      </c>
      <c r="I661" s="164">
        <v>0.47939999999999999</v>
      </c>
      <c r="J661" s="1" t="str">
        <f>HYPERLINK(SetRGB(J661,G661*255,H661*255,I661*255),"HOVER!")</f>
        <v>HOVER!</v>
      </c>
      <c r="K661">
        <f t="shared" si="20"/>
        <v>2.5</v>
      </c>
    </row>
    <row r="662" spans="1:11" x14ac:dyDescent="0.3">
      <c r="A662">
        <f>LOOKUP(9E+307,--MID(D662,1,{1,2,3,4,5}))</f>
        <v>2.5</v>
      </c>
      <c r="B662">
        <f>VLOOKUP(MID(D662,LOOKUP(2,1/ISNUMBER(-MID(D662,1,{1,2,3,4,5})),{1,2,3,4,5})+1,9),'Hue codes'!$A$1:$B$10,2,FALSE)</f>
        <v>50</v>
      </c>
      <c r="C662">
        <f t="shared" si="21"/>
        <v>52.5</v>
      </c>
      <c r="D662" s="162" t="s">
        <v>41</v>
      </c>
      <c r="E662" s="162">
        <v>5</v>
      </c>
      <c r="F662" s="162">
        <v>4</v>
      </c>
      <c r="G662" s="164">
        <v>0.30370000000000003</v>
      </c>
      <c r="H662" s="164">
        <v>0.52200000000000002</v>
      </c>
      <c r="I662" s="164">
        <v>0.47860000000000003</v>
      </c>
      <c r="J662" s="1" t="str">
        <f>HYPERLINK(SetRGB(J662,G662*255,H662*255,I662*255),"HOVER!")</f>
        <v>HOVER!</v>
      </c>
      <c r="K662">
        <f t="shared" si="20"/>
        <v>1.25</v>
      </c>
    </row>
    <row r="663" spans="1:11" x14ac:dyDescent="0.3">
      <c r="A663">
        <f>LOOKUP(9E+307,--MID(D663,1,{1,2,3,4,5}))</f>
        <v>2.5</v>
      </c>
      <c r="B663">
        <f>VLOOKUP(MID(D663,LOOKUP(2,1/ISNUMBER(-MID(D663,1,{1,2,3,4,5})),{1,2,3,4,5})+1,9),'Hue codes'!$A$1:$B$10,2,FALSE)</f>
        <v>50</v>
      </c>
      <c r="C663">
        <f t="shared" si="21"/>
        <v>52.5</v>
      </c>
      <c r="D663" s="162" t="s">
        <v>41</v>
      </c>
      <c r="E663" s="162">
        <v>5</v>
      </c>
      <c r="F663" s="162">
        <v>6</v>
      </c>
      <c r="G663" s="164">
        <v>0.16320000000000001</v>
      </c>
      <c r="H663" s="164">
        <v>0.53769999999999996</v>
      </c>
      <c r="I663" s="164">
        <v>0.47949999999999998</v>
      </c>
      <c r="J663" s="1" t="str">
        <f>HYPERLINK(SetRGB(J663,G663*255,H663*255,I663*255),"HOVER!")</f>
        <v>HOVER!</v>
      </c>
      <c r="K663">
        <f t="shared" si="20"/>
        <v>0.83333333333333337</v>
      </c>
    </row>
    <row r="664" spans="1:11" x14ac:dyDescent="0.3">
      <c r="A664">
        <f>LOOKUP(9E+307,--MID(D664,1,{1,2,3,4,5}))</f>
        <v>5</v>
      </c>
      <c r="B664">
        <f>VLOOKUP(MID(D664,LOOKUP(2,1/ISNUMBER(-MID(D664,1,{1,2,3,4,5})),{1,2,3,4,5})+1,9),'Hue codes'!$A$1:$B$10,2,FALSE)</f>
        <v>50</v>
      </c>
      <c r="C664">
        <f t="shared" si="21"/>
        <v>55</v>
      </c>
      <c r="D664" s="162" t="s">
        <v>42</v>
      </c>
      <c r="E664" s="162">
        <v>5</v>
      </c>
      <c r="F664" s="162">
        <v>2</v>
      </c>
      <c r="G664" s="164">
        <v>0.3982</v>
      </c>
      <c r="H664" s="164">
        <v>0.50290000000000001</v>
      </c>
      <c r="I664" s="164">
        <v>0.4909</v>
      </c>
      <c r="J664" s="1" t="str">
        <f>HYPERLINK(SetRGB(J664,G664*255,H664*255,I664*255),"HOVER!")</f>
        <v>HOVER!</v>
      </c>
      <c r="K664">
        <f t="shared" si="20"/>
        <v>2.5</v>
      </c>
    </row>
    <row r="665" spans="1:11" x14ac:dyDescent="0.3">
      <c r="A665">
        <f>LOOKUP(9E+307,--MID(D665,1,{1,2,3,4,5}))</f>
        <v>5</v>
      </c>
      <c r="B665">
        <f>VLOOKUP(MID(D665,LOOKUP(2,1/ISNUMBER(-MID(D665,1,{1,2,3,4,5})),{1,2,3,4,5})+1,9),'Hue codes'!$A$1:$B$10,2,FALSE)</f>
        <v>50</v>
      </c>
      <c r="C665">
        <f t="shared" si="21"/>
        <v>55</v>
      </c>
      <c r="D665" s="162" t="s">
        <v>42</v>
      </c>
      <c r="E665" s="162">
        <v>5</v>
      </c>
      <c r="F665" s="162">
        <v>4</v>
      </c>
      <c r="G665" s="164">
        <v>0.2949</v>
      </c>
      <c r="H665" s="164">
        <v>0.52110000000000001</v>
      </c>
      <c r="I665" s="164">
        <v>0.50080000000000002</v>
      </c>
      <c r="J665" s="1" t="str">
        <f>HYPERLINK(SetRGB(J665,G665*255,H665*255,I665*255),"HOVER!")</f>
        <v>HOVER!</v>
      </c>
      <c r="K665">
        <f t="shared" si="20"/>
        <v>1.25</v>
      </c>
    </row>
    <row r="666" spans="1:11" x14ac:dyDescent="0.3">
      <c r="A666">
        <f>LOOKUP(9E+307,--MID(D666,1,{1,2,3,4,5}))</f>
        <v>5</v>
      </c>
      <c r="B666">
        <f>VLOOKUP(MID(D666,LOOKUP(2,1/ISNUMBER(-MID(D666,1,{1,2,3,4,5})),{1,2,3,4,5})+1,9),'Hue codes'!$A$1:$B$10,2,FALSE)</f>
        <v>50</v>
      </c>
      <c r="C666">
        <f t="shared" si="21"/>
        <v>55</v>
      </c>
      <c r="D666" s="162" t="s">
        <v>42</v>
      </c>
      <c r="E666" s="162">
        <v>5</v>
      </c>
      <c r="F666" s="162">
        <v>6</v>
      </c>
      <c r="G666" s="164">
        <v>0.13489999999999999</v>
      </c>
      <c r="H666" s="164">
        <v>0.53649999999999998</v>
      </c>
      <c r="I666" s="164">
        <v>0.51100000000000001</v>
      </c>
      <c r="J666" s="1" t="str">
        <f>HYPERLINK(SetRGB(J666,G666*255,H666*255,I666*255),"HOVER!")</f>
        <v>HOVER!</v>
      </c>
      <c r="K666">
        <f t="shared" si="20"/>
        <v>0.83333333333333337</v>
      </c>
    </row>
    <row r="667" spans="1:11" x14ac:dyDescent="0.3">
      <c r="A667">
        <f>LOOKUP(9E+307,--MID(D667,1,{1,2,3,4,5}))</f>
        <v>7.5</v>
      </c>
      <c r="B667">
        <f>VLOOKUP(MID(D667,LOOKUP(2,1/ISNUMBER(-MID(D667,1,{1,2,3,4,5})),{1,2,3,4,5})+1,9),'Hue codes'!$A$1:$B$10,2,FALSE)</f>
        <v>50</v>
      </c>
      <c r="C667">
        <f t="shared" si="21"/>
        <v>57.5</v>
      </c>
      <c r="D667" s="162" t="s">
        <v>43</v>
      </c>
      <c r="E667" s="162">
        <v>5</v>
      </c>
      <c r="F667" s="162">
        <v>2</v>
      </c>
      <c r="G667" s="164">
        <v>0.3962</v>
      </c>
      <c r="H667" s="164">
        <v>0.50229999999999997</v>
      </c>
      <c r="I667" s="164">
        <v>0.50019999999999998</v>
      </c>
      <c r="J667" s="1" t="str">
        <f>HYPERLINK(SetRGB(J667,G667*255,H667*255,I667*255),"HOVER!")</f>
        <v>HOVER!</v>
      </c>
      <c r="K667">
        <f t="shared" si="20"/>
        <v>2.5</v>
      </c>
    </row>
    <row r="668" spans="1:11" x14ac:dyDescent="0.3">
      <c r="A668">
        <f>LOOKUP(9E+307,--MID(D668,1,{1,2,3,4,5}))</f>
        <v>7.5</v>
      </c>
      <c r="B668">
        <f>VLOOKUP(MID(D668,LOOKUP(2,1/ISNUMBER(-MID(D668,1,{1,2,3,4,5})),{1,2,3,4,5})+1,9),'Hue codes'!$A$1:$B$10,2,FALSE)</f>
        <v>50</v>
      </c>
      <c r="C668">
        <f t="shared" si="21"/>
        <v>57.5</v>
      </c>
      <c r="D668" s="162" t="s">
        <v>43</v>
      </c>
      <c r="E668" s="162">
        <v>5</v>
      </c>
      <c r="F668" s="162">
        <v>4</v>
      </c>
      <c r="G668" s="164">
        <v>0.29320000000000002</v>
      </c>
      <c r="H668" s="164">
        <v>0.51949999999999996</v>
      </c>
      <c r="I668" s="164">
        <v>0.51780000000000004</v>
      </c>
      <c r="J668" s="1" t="str">
        <f>HYPERLINK(SetRGB(J668,G668*255,H668*255,I668*255),"HOVER!")</f>
        <v>HOVER!</v>
      </c>
      <c r="K668">
        <f t="shared" si="20"/>
        <v>1.25</v>
      </c>
    </row>
    <row r="669" spans="1:11" x14ac:dyDescent="0.3">
      <c r="A669">
        <f>LOOKUP(9E+307,--MID(D669,1,{1,2,3,4,5}))</f>
        <v>7.5</v>
      </c>
      <c r="B669">
        <f>VLOOKUP(MID(D669,LOOKUP(2,1/ISNUMBER(-MID(D669,1,{1,2,3,4,5})),{1,2,3,4,5})+1,9),'Hue codes'!$A$1:$B$10,2,FALSE)</f>
        <v>50</v>
      </c>
      <c r="C669">
        <f t="shared" si="21"/>
        <v>57.5</v>
      </c>
      <c r="D669" s="162" t="s">
        <v>43</v>
      </c>
      <c r="E669" s="162">
        <v>5</v>
      </c>
      <c r="F669" s="162">
        <v>6</v>
      </c>
      <c r="G669" s="164">
        <v>0.1071</v>
      </c>
      <c r="H669" s="164">
        <v>0.5353</v>
      </c>
      <c r="I669" s="164">
        <v>0.53659999999999997</v>
      </c>
      <c r="J669" s="1" t="str">
        <f>HYPERLINK(SetRGB(J669,G669*255,H669*255,I669*255),"HOVER!")</f>
        <v>HOVER!</v>
      </c>
      <c r="K669">
        <f t="shared" si="20"/>
        <v>0.83333333333333337</v>
      </c>
    </row>
    <row r="670" spans="1:11" x14ac:dyDescent="0.3">
      <c r="A670">
        <f>LOOKUP(9E+307,--MID(D670,1,{1,2,3,4,5}))</f>
        <v>10</v>
      </c>
      <c r="B670">
        <f>VLOOKUP(MID(D670,LOOKUP(2,1/ISNUMBER(-MID(D670,1,{1,2,3,4,5})),{1,2,3,4,5})+1,9),'Hue codes'!$A$1:$B$10,2,FALSE)</f>
        <v>50</v>
      </c>
      <c r="C670">
        <f t="shared" si="21"/>
        <v>60</v>
      </c>
      <c r="D670" s="162" t="s">
        <v>44</v>
      </c>
      <c r="E670" s="162">
        <v>5</v>
      </c>
      <c r="F670" s="162">
        <v>2</v>
      </c>
      <c r="G670" s="164">
        <v>0.39879999999999999</v>
      </c>
      <c r="H670" s="164">
        <v>0.50080000000000002</v>
      </c>
      <c r="I670" s="164">
        <v>0.50890000000000002</v>
      </c>
      <c r="J670" s="1" t="str">
        <f>HYPERLINK(SetRGB(J670,G670*255,H670*255,I670*255),"HOVER!")</f>
        <v>HOVER!</v>
      </c>
      <c r="K670">
        <f t="shared" si="20"/>
        <v>2.5</v>
      </c>
    </row>
    <row r="671" spans="1:11" x14ac:dyDescent="0.3">
      <c r="A671">
        <f>LOOKUP(9E+307,--MID(D671,1,{1,2,3,4,5}))</f>
        <v>10</v>
      </c>
      <c r="B671">
        <f>VLOOKUP(MID(D671,LOOKUP(2,1/ISNUMBER(-MID(D671,1,{1,2,3,4,5})),{1,2,3,4,5})+1,9),'Hue codes'!$A$1:$B$10,2,FALSE)</f>
        <v>50</v>
      </c>
      <c r="C671">
        <f t="shared" si="21"/>
        <v>60</v>
      </c>
      <c r="D671" s="162" t="s">
        <v>44</v>
      </c>
      <c r="E671" s="162">
        <v>5</v>
      </c>
      <c r="F671" s="162">
        <v>4</v>
      </c>
      <c r="G671" s="164">
        <v>0.29570000000000002</v>
      </c>
      <c r="H671" s="164">
        <v>0.51690000000000003</v>
      </c>
      <c r="I671" s="164">
        <v>0.53700000000000003</v>
      </c>
      <c r="J671" s="1" t="str">
        <f>HYPERLINK(SetRGB(J671,G671*255,H671*255,I671*255),"HOVER!")</f>
        <v>HOVER!</v>
      </c>
      <c r="K671">
        <f t="shared" si="20"/>
        <v>1.25</v>
      </c>
    </row>
    <row r="672" spans="1:11" x14ac:dyDescent="0.3">
      <c r="A672">
        <f>LOOKUP(9E+307,--MID(D672,1,{1,2,3,4,5}))</f>
        <v>10</v>
      </c>
      <c r="B672">
        <f>VLOOKUP(MID(D672,LOOKUP(2,1/ISNUMBER(-MID(D672,1,{1,2,3,4,5})),{1,2,3,4,5})+1,9),'Hue codes'!$A$1:$B$10,2,FALSE)</f>
        <v>50</v>
      </c>
      <c r="C672">
        <f t="shared" si="21"/>
        <v>60</v>
      </c>
      <c r="D672" s="162" t="s">
        <v>44</v>
      </c>
      <c r="E672" s="162">
        <v>5</v>
      </c>
      <c r="F672" s="162">
        <v>6</v>
      </c>
      <c r="G672" s="164">
        <v>0.10059999999999999</v>
      </c>
      <c r="H672" s="164">
        <v>0.53210000000000002</v>
      </c>
      <c r="I672" s="164">
        <v>0.56710000000000005</v>
      </c>
      <c r="J672" s="1" t="str">
        <f>HYPERLINK(SetRGB(J672,G672*255,H672*255,I672*255),"HOVER!")</f>
        <v>HOVER!</v>
      </c>
      <c r="K672">
        <f t="shared" si="20"/>
        <v>0.83333333333333337</v>
      </c>
    </row>
    <row r="673" spans="1:11" x14ac:dyDescent="0.3">
      <c r="A673">
        <f>LOOKUP(9E+307,--MID(D673,1,{1,2,3,4,5}))</f>
        <v>2.5</v>
      </c>
      <c r="B673">
        <f>VLOOKUP(MID(D673,LOOKUP(2,1/ISNUMBER(-MID(D673,1,{1,2,3,4,5})),{1,2,3,4,5})+1,9),'Hue codes'!$A$1:$B$10,2,FALSE)</f>
        <v>60</v>
      </c>
      <c r="C673">
        <f t="shared" si="21"/>
        <v>62.5</v>
      </c>
      <c r="D673" s="162" t="s">
        <v>45</v>
      </c>
      <c r="E673" s="162">
        <v>5</v>
      </c>
      <c r="F673" s="162">
        <v>2</v>
      </c>
      <c r="G673" s="164">
        <v>0.40360000000000001</v>
      </c>
      <c r="H673" s="164">
        <v>0.49890000000000001</v>
      </c>
      <c r="I673" s="164">
        <v>0.51539999999999997</v>
      </c>
      <c r="J673" s="1" t="str">
        <f>HYPERLINK(SetRGB(J673,G673*255,H673*255,I673*255),"HOVER!")</f>
        <v>HOVER!</v>
      </c>
      <c r="K673">
        <f t="shared" si="20"/>
        <v>2.5</v>
      </c>
    </row>
    <row r="674" spans="1:11" x14ac:dyDescent="0.3">
      <c r="A674">
        <f>LOOKUP(9E+307,--MID(D674,1,{1,2,3,4,5}))</f>
        <v>2.5</v>
      </c>
      <c r="B674">
        <f>VLOOKUP(MID(D674,LOOKUP(2,1/ISNUMBER(-MID(D674,1,{1,2,3,4,5})),{1,2,3,4,5})+1,9),'Hue codes'!$A$1:$B$10,2,FALSE)</f>
        <v>60</v>
      </c>
      <c r="C674">
        <f t="shared" si="21"/>
        <v>62.5</v>
      </c>
      <c r="D674" s="162" t="s">
        <v>45</v>
      </c>
      <c r="E674" s="162">
        <v>5</v>
      </c>
      <c r="F674" s="162">
        <v>4</v>
      </c>
      <c r="G674" s="164">
        <v>0.30270000000000002</v>
      </c>
      <c r="H674" s="164">
        <v>0.5141</v>
      </c>
      <c r="I674" s="164">
        <v>0.55189999999999995</v>
      </c>
      <c r="J674" s="1" t="str">
        <f>HYPERLINK(SetRGB(J674,G674*255,H674*255,I674*255),"HOVER!")</f>
        <v>HOVER!</v>
      </c>
      <c r="K674">
        <f t="shared" si="20"/>
        <v>1.25</v>
      </c>
    </row>
    <row r="675" spans="1:11" x14ac:dyDescent="0.3">
      <c r="A675">
        <f>LOOKUP(9E+307,--MID(D675,1,{1,2,3,4,5}))</f>
        <v>2.5</v>
      </c>
      <c r="B675">
        <f>VLOOKUP(MID(D675,LOOKUP(2,1/ISNUMBER(-MID(D675,1,{1,2,3,4,5})),{1,2,3,4,5})+1,9),'Hue codes'!$A$1:$B$10,2,FALSE)</f>
        <v>60</v>
      </c>
      <c r="C675">
        <f t="shared" si="21"/>
        <v>62.5</v>
      </c>
      <c r="D675" s="162" t="s">
        <v>45</v>
      </c>
      <c r="E675" s="162">
        <v>5</v>
      </c>
      <c r="F675" s="162">
        <v>6</v>
      </c>
      <c r="G675" s="164">
        <v>0.12479999999999999</v>
      </c>
      <c r="H675" s="164">
        <v>0.52810000000000001</v>
      </c>
      <c r="I675" s="164">
        <v>0.58960000000000001</v>
      </c>
      <c r="J675" s="1" t="str">
        <f>HYPERLINK(SetRGB(J675,G675*255,H675*255,I675*255),"HOVER!")</f>
        <v>HOVER!</v>
      </c>
      <c r="K675">
        <f t="shared" si="20"/>
        <v>0.83333333333333337</v>
      </c>
    </row>
    <row r="676" spans="1:11" x14ac:dyDescent="0.3">
      <c r="A676">
        <f>LOOKUP(9E+307,--MID(D676,1,{1,2,3,4,5}))</f>
        <v>5</v>
      </c>
      <c r="B676">
        <f>VLOOKUP(MID(D676,LOOKUP(2,1/ISNUMBER(-MID(D676,1,{1,2,3,4,5})),{1,2,3,4,5})+1,9),'Hue codes'!$A$1:$B$10,2,FALSE)</f>
        <v>60</v>
      </c>
      <c r="C676">
        <f t="shared" si="21"/>
        <v>65</v>
      </c>
      <c r="D676" s="162" t="s">
        <v>46</v>
      </c>
      <c r="E676" s="162">
        <v>5</v>
      </c>
      <c r="F676" s="162">
        <v>2</v>
      </c>
      <c r="G676" s="164">
        <v>0.41099999999999998</v>
      </c>
      <c r="H676" s="164">
        <v>0.4965</v>
      </c>
      <c r="I676" s="164">
        <v>0.52139999999999997</v>
      </c>
      <c r="J676" s="1" t="str">
        <f>HYPERLINK(SetRGB(J676,G676*255,H676*255,I676*255),"HOVER!")</f>
        <v>HOVER!</v>
      </c>
      <c r="K676">
        <f t="shared" si="20"/>
        <v>2.5</v>
      </c>
    </row>
    <row r="677" spans="1:11" x14ac:dyDescent="0.3">
      <c r="A677">
        <f>LOOKUP(9E+307,--MID(D677,1,{1,2,3,4,5}))</f>
        <v>5</v>
      </c>
      <c r="B677">
        <f>VLOOKUP(MID(D677,LOOKUP(2,1/ISNUMBER(-MID(D677,1,{1,2,3,4,5})),{1,2,3,4,5})+1,9),'Hue codes'!$A$1:$B$10,2,FALSE)</f>
        <v>60</v>
      </c>
      <c r="C677">
        <f t="shared" si="21"/>
        <v>65</v>
      </c>
      <c r="D677" s="162" t="s">
        <v>46</v>
      </c>
      <c r="E677" s="162">
        <v>5</v>
      </c>
      <c r="F677" s="162">
        <v>4</v>
      </c>
      <c r="G677" s="164">
        <v>0.31809999999999999</v>
      </c>
      <c r="H677" s="164">
        <v>0.5101</v>
      </c>
      <c r="I677" s="164">
        <v>0.56410000000000005</v>
      </c>
      <c r="J677" s="1" t="str">
        <f>HYPERLINK(SetRGB(J677,G677*255,H677*255,I677*255),"HOVER!")</f>
        <v>HOVER!</v>
      </c>
      <c r="K677">
        <f t="shared" si="20"/>
        <v>1.25</v>
      </c>
    </row>
    <row r="678" spans="1:11" x14ac:dyDescent="0.3">
      <c r="A678">
        <f>LOOKUP(9E+307,--MID(D678,1,{1,2,3,4,5}))</f>
        <v>5</v>
      </c>
      <c r="B678">
        <f>VLOOKUP(MID(D678,LOOKUP(2,1/ISNUMBER(-MID(D678,1,{1,2,3,4,5})),{1,2,3,4,5})+1,9),'Hue codes'!$A$1:$B$10,2,FALSE)</f>
        <v>60</v>
      </c>
      <c r="C678">
        <f t="shared" si="21"/>
        <v>65</v>
      </c>
      <c r="D678" s="162" t="s">
        <v>46</v>
      </c>
      <c r="E678" s="162">
        <v>5</v>
      </c>
      <c r="F678" s="162">
        <v>6</v>
      </c>
      <c r="G678" s="164">
        <v>0.1764</v>
      </c>
      <c r="H678" s="164">
        <v>0.52170000000000005</v>
      </c>
      <c r="I678" s="164">
        <v>0.61019999999999996</v>
      </c>
      <c r="J678" s="1" t="str">
        <f>HYPERLINK(SetRGB(J678,G678*255,H678*255,I678*255),"HOVER!")</f>
        <v>HOVER!</v>
      </c>
      <c r="K678">
        <f t="shared" si="20"/>
        <v>0.83333333333333337</v>
      </c>
    </row>
    <row r="679" spans="1:11" x14ac:dyDescent="0.3">
      <c r="A679">
        <f>LOOKUP(9E+307,--MID(D679,1,{1,2,3,4,5}))</f>
        <v>7.5</v>
      </c>
      <c r="B679">
        <f>VLOOKUP(MID(D679,LOOKUP(2,1/ISNUMBER(-MID(D679,1,{1,2,3,4,5})),{1,2,3,4,5})+1,9),'Hue codes'!$A$1:$B$10,2,FALSE)</f>
        <v>60</v>
      </c>
      <c r="C679">
        <f t="shared" si="21"/>
        <v>67.5</v>
      </c>
      <c r="D679" s="162" t="s">
        <v>47</v>
      </c>
      <c r="E679" s="162">
        <v>5</v>
      </c>
      <c r="F679" s="162">
        <v>2</v>
      </c>
      <c r="G679" s="164">
        <v>0.41930000000000001</v>
      </c>
      <c r="H679" s="164">
        <v>0.49399999999999999</v>
      </c>
      <c r="I679" s="164">
        <v>0.52590000000000003</v>
      </c>
      <c r="J679" s="1" t="str">
        <f>HYPERLINK(SetRGB(J679,G679*255,H679*255,I679*255),"HOVER!")</f>
        <v>HOVER!</v>
      </c>
      <c r="K679">
        <f t="shared" si="20"/>
        <v>2.5</v>
      </c>
    </row>
    <row r="680" spans="1:11" x14ac:dyDescent="0.3">
      <c r="A680">
        <f>LOOKUP(9E+307,--MID(D680,1,{1,2,3,4,5}))</f>
        <v>7.5</v>
      </c>
      <c r="B680">
        <f>VLOOKUP(MID(D680,LOOKUP(2,1/ISNUMBER(-MID(D680,1,{1,2,3,4,5})),{1,2,3,4,5})+1,9),'Hue codes'!$A$1:$B$10,2,FALSE)</f>
        <v>60</v>
      </c>
      <c r="C680">
        <f t="shared" si="21"/>
        <v>67.5</v>
      </c>
      <c r="D680" s="162" t="s">
        <v>47</v>
      </c>
      <c r="E680" s="162">
        <v>5</v>
      </c>
      <c r="F680" s="162">
        <v>4</v>
      </c>
      <c r="G680" s="164">
        <v>0.34039999999999998</v>
      </c>
      <c r="H680" s="164">
        <v>0.50480000000000003</v>
      </c>
      <c r="I680" s="164">
        <v>0.57489999999999997</v>
      </c>
      <c r="J680" s="1" t="str">
        <f>HYPERLINK(SetRGB(J680,G680*255,H680*255,I680*255),"HOVER!")</f>
        <v>HOVER!</v>
      </c>
      <c r="K680">
        <f t="shared" si="20"/>
        <v>1.25</v>
      </c>
    </row>
    <row r="681" spans="1:11" x14ac:dyDescent="0.3">
      <c r="A681">
        <f>LOOKUP(9E+307,--MID(D681,1,{1,2,3,4,5}))</f>
        <v>7.5</v>
      </c>
      <c r="B681">
        <f>VLOOKUP(MID(D681,LOOKUP(2,1/ISNUMBER(-MID(D681,1,{1,2,3,4,5})),{1,2,3,4,5})+1,9),'Hue codes'!$A$1:$B$10,2,FALSE)</f>
        <v>60</v>
      </c>
      <c r="C681">
        <f t="shared" si="21"/>
        <v>67.5</v>
      </c>
      <c r="D681" s="162" t="s">
        <v>47</v>
      </c>
      <c r="E681" s="162">
        <v>5</v>
      </c>
      <c r="F681" s="162">
        <v>6</v>
      </c>
      <c r="G681" s="164">
        <v>0.2319</v>
      </c>
      <c r="H681" s="164">
        <v>0.51429999999999998</v>
      </c>
      <c r="I681" s="164">
        <v>0.62419999999999998</v>
      </c>
      <c r="J681" s="48" t="str">
        <f>HYPERLINK(SetRGB(J681,G681*255,H681*255,I681*255),"HOVER!")</f>
        <v>HOVER!</v>
      </c>
      <c r="K681">
        <f t="shared" si="20"/>
        <v>0.83333333333333337</v>
      </c>
    </row>
    <row r="682" spans="1:11" x14ac:dyDescent="0.3">
      <c r="A682">
        <f>LOOKUP(9E+307,--MID(D682,1,{1,2,3,4,5}))</f>
        <v>10</v>
      </c>
      <c r="B682">
        <f>VLOOKUP(MID(D682,LOOKUP(2,1/ISNUMBER(-MID(D682,1,{1,2,3,4,5})),{1,2,3,4,5})+1,9),'Hue codes'!$A$1:$B$10,2,FALSE)</f>
        <v>60</v>
      </c>
      <c r="C682">
        <f t="shared" si="21"/>
        <v>70</v>
      </c>
      <c r="D682" s="162" t="s">
        <v>48</v>
      </c>
      <c r="E682" s="162">
        <v>5</v>
      </c>
      <c r="F682" s="162">
        <v>2</v>
      </c>
      <c r="G682" s="164">
        <v>0.43080000000000002</v>
      </c>
      <c r="H682" s="164">
        <v>0.49059999999999998</v>
      </c>
      <c r="I682" s="164">
        <v>0.53029999999999999</v>
      </c>
      <c r="J682" s="51" t="str">
        <f>HYPERLINK(SetRGB(J682,G682*255,H682*255,I682*255),"HOVER!")</f>
        <v>HOVER!</v>
      </c>
      <c r="K682">
        <f t="shared" si="20"/>
        <v>2.5</v>
      </c>
    </row>
    <row r="683" spans="1:11" x14ac:dyDescent="0.3">
      <c r="A683">
        <f>LOOKUP(9E+307,--MID(D683,1,{1,2,3,4,5}))</f>
        <v>10</v>
      </c>
      <c r="B683">
        <f>VLOOKUP(MID(D683,LOOKUP(2,1/ISNUMBER(-MID(D683,1,{1,2,3,4,5})),{1,2,3,4,5})+1,9),'Hue codes'!$A$1:$B$10,2,FALSE)</f>
        <v>60</v>
      </c>
      <c r="C683">
        <f t="shared" si="21"/>
        <v>70</v>
      </c>
      <c r="D683" s="162" t="s">
        <v>48</v>
      </c>
      <c r="E683" s="162">
        <v>5</v>
      </c>
      <c r="F683" s="162">
        <v>4</v>
      </c>
      <c r="G683" s="164">
        <v>0.36609999999999998</v>
      </c>
      <c r="H683" s="164">
        <v>0.49890000000000001</v>
      </c>
      <c r="I683" s="164">
        <v>0.58140000000000003</v>
      </c>
      <c r="J683" s="50" t="str">
        <f>HYPERLINK(SetRGB(J683,G683*255,H683*255,I683*255),"HOVER!")</f>
        <v>HOVER!</v>
      </c>
      <c r="K683">
        <f t="shared" si="20"/>
        <v>1.25</v>
      </c>
    </row>
    <row r="684" spans="1:11" x14ac:dyDescent="0.3">
      <c r="A684">
        <f>LOOKUP(9E+307,--MID(D684,1,{1,2,3,4,5}))</f>
        <v>10</v>
      </c>
      <c r="B684">
        <f>VLOOKUP(MID(D684,LOOKUP(2,1/ISNUMBER(-MID(D684,1,{1,2,3,4,5})),{1,2,3,4,5})+1,9),'Hue codes'!$A$1:$B$10,2,FALSE)</f>
        <v>60</v>
      </c>
      <c r="C684">
        <f t="shared" si="21"/>
        <v>70</v>
      </c>
      <c r="D684" s="162" t="s">
        <v>48</v>
      </c>
      <c r="E684" s="162">
        <v>5</v>
      </c>
      <c r="F684" s="162">
        <v>6</v>
      </c>
      <c r="G684" s="164">
        <v>0.28360000000000002</v>
      </c>
      <c r="H684" s="164">
        <v>0.50619999999999998</v>
      </c>
      <c r="I684" s="164">
        <v>0.6331</v>
      </c>
      <c r="J684" s="1" t="str">
        <f>HYPERLINK(SetRGB(J684,G684*255,H684*255,I684*255),"HOVER!")</f>
        <v>HOVER!</v>
      </c>
      <c r="K684">
        <f t="shared" si="20"/>
        <v>0.83333333333333337</v>
      </c>
    </row>
    <row r="685" spans="1:11" x14ac:dyDescent="0.3">
      <c r="A685">
        <f>LOOKUP(9E+307,--MID(D685,1,{1,2,3,4,5}))</f>
        <v>10</v>
      </c>
      <c r="B685">
        <f>VLOOKUP(MID(D685,LOOKUP(2,1/ISNUMBER(-MID(D685,1,{1,2,3,4,5})),{1,2,3,4,5})+1,9),'Hue codes'!$A$1:$B$10,2,FALSE)</f>
        <v>60</v>
      </c>
      <c r="C685">
        <f t="shared" si="21"/>
        <v>70</v>
      </c>
      <c r="D685" s="162" t="s">
        <v>48</v>
      </c>
      <c r="E685" s="162">
        <v>5</v>
      </c>
      <c r="F685" s="162">
        <v>8</v>
      </c>
      <c r="G685" s="164">
        <v>0.13769999999999999</v>
      </c>
      <c r="H685" s="164">
        <v>0.51349999999999996</v>
      </c>
      <c r="I685" s="164">
        <v>0.68579999999999997</v>
      </c>
      <c r="J685" s="1" t="str">
        <f>HYPERLINK(SetRGB(J685,G685*255,H685*255,I685*255),"HOVER!")</f>
        <v>HOVER!</v>
      </c>
      <c r="K685">
        <f t="shared" si="20"/>
        <v>0.625</v>
      </c>
    </row>
    <row r="686" spans="1:11" x14ac:dyDescent="0.3">
      <c r="A686">
        <f>LOOKUP(9E+307,--MID(D686,1,{1,2,3,4,5}))</f>
        <v>2.5</v>
      </c>
      <c r="B686">
        <f>VLOOKUP(MID(D686,LOOKUP(2,1/ISNUMBER(-MID(D686,1,{1,2,3,4,5})),{1,2,3,4,5})+1,9),'Hue codes'!$A$1:$B$10,2,FALSE)</f>
        <v>70</v>
      </c>
      <c r="C686">
        <f t="shared" si="21"/>
        <v>72.5</v>
      </c>
      <c r="D686" s="162" t="s">
        <v>49</v>
      </c>
      <c r="E686" s="162">
        <v>5</v>
      </c>
      <c r="F686" s="162">
        <v>2</v>
      </c>
      <c r="G686" s="164">
        <v>0.44309999999999999</v>
      </c>
      <c r="H686" s="164">
        <v>0.48709999999999998</v>
      </c>
      <c r="I686" s="164">
        <v>0.53249999999999997</v>
      </c>
      <c r="J686" s="1" t="str">
        <f>HYPERLINK(SetRGB(J686,G686*255,H686*255,I686*255),"HOVER!")</f>
        <v>HOVER!</v>
      </c>
      <c r="K686">
        <f t="shared" si="20"/>
        <v>2.5</v>
      </c>
    </row>
    <row r="687" spans="1:11" x14ac:dyDescent="0.3">
      <c r="A687">
        <f>LOOKUP(9E+307,--MID(D687,1,{1,2,3,4,5}))</f>
        <v>2.5</v>
      </c>
      <c r="B687">
        <f>VLOOKUP(MID(D687,LOOKUP(2,1/ISNUMBER(-MID(D687,1,{1,2,3,4,5})),{1,2,3,4,5})+1,9),'Hue codes'!$A$1:$B$10,2,FALSE)</f>
        <v>70</v>
      </c>
      <c r="C687">
        <f t="shared" si="21"/>
        <v>72.5</v>
      </c>
      <c r="D687" s="162" t="s">
        <v>49</v>
      </c>
      <c r="E687" s="162">
        <v>5</v>
      </c>
      <c r="F687" s="162">
        <v>4</v>
      </c>
      <c r="G687" s="164">
        <v>0.39479999999999998</v>
      </c>
      <c r="H687" s="164">
        <v>0.49230000000000002</v>
      </c>
      <c r="I687" s="164">
        <v>0.5847</v>
      </c>
      <c r="J687" s="1" t="str">
        <f>HYPERLINK(SetRGB(J687,G687*255,H687*255,I687*255),"HOVER!")</f>
        <v>HOVER!</v>
      </c>
      <c r="K687">
        <f t="shared" si="20"/>
        <v>1.25</v>
      </c>
    </row>
    <row r="688" spans="1:11" x14ac:dyDescent="0.3">
      <c r="A688">
        <f>LOOKUP(9E+307,--MID(D688,1,{1,2,3,4,5}))</f>
        <v>2.5</v>
      </c>
      <c r="B688">
        <f>VLOOKUP(MID(D688,LOOKUP(2,1/ISNUMBER(-MID(D688,1,{1,2,3,4,5})),{1,2,3,4,5})+1,9),'Hue codes'!$A$1:$B$10,2,FALSE)</f>
        <v>70</v>
      </c>
      <c r="C688">
        <f t="shared" si="21"/>
        <v>72.5</v>
      </c>
      <c r="D688" s="162" t="s">
        <v>49</v>
      </c>
      <c r="E688" s="162">
        <v>5</v>
      </c>
      <c r="F688" s="162">
        <v>6</v>
      </c>
      <c r="G688" s="164">
        <v>0.33510000000000001</v>
      </c>
      <c r="H688" s="164">
        <v>0.4965</v>
      </c>
      <c r="I688" s="164">
        <v>0.64059999999999995</v>
      </c>
      <c r="J688" s="1" t="str">
        <f>HYPERLINK(SetRGB(J688,G688*255,H688*255,I688*255),"HOVER!")</f>
        <v>HOVER!</v>
      </c>
      <c r="K688">
        <f t="shared" si="20"/>
        <v>0.83333333333333337</v>
      </c>
    </row>
    <row r="689" spans="1:11" x14ac:dyDescent="0.3">
      <c r="A689">
        <f>LOOKUP(9E+307,--MID(D689,1,{1,2,3,4,5}))</f>
        <v>2.5</v>
      </c>
      <c r="B689">
        <f>VLOOKUP(MID(D689,LOOKUP(2,1/ISNUMBER(-MID(D689,1,{1,2,3,4,5})),{1,2,3,4,5})+1,9),'Hue codes'!$A$1:$B$10,2,FALSE)</f>
        <v>70</v>
      </c>
      <c r="C689">
        <f t="shared" si="21"/>
        <v>72.5</v>
      </c>
      <c r="D689" s="162" t="s">
        <v>49</v>
      </c>
      <c r="E689" s="162">
        <v>5</v>
      </c>
      <c r="F689" s="162">
        <v>8</v>
      </c>
      <c r="G689" s="164">
        <v>0.25519999999999998</v>
      </c>
      <c r="H689" s="164">
        <v>0.50060000000000004</v>
      </c>
      <c r="I689" s="164">
        <v>0.69440000000000002</v>
      </c>
      <c r="J689" s="1" t="str">
        <f>HYPERLINK(SetRGB(J689,G689*255,H689*255,I689*255),"HOVER!")</f>
        <v>HOVER!</v>
      </c>
      <c r="K689">
        <f t="shared" si="20"/>
        <v>0.625</v>
      </c>
    </row>
    <row r="690" spans="1:11" x14ac:dyDescent="0.3">
      <c r="A690">
        <f>LOOKUP(9E+307,--MID(D690,1,{1,2,3,4,5}))</f>
        <v>2.5</v>
      </c>
      <c r="B690">
        <f>VLOOKUP(MID(D690,LOOKUP(2,1/ISNUMBER(-MID(D690,1,{1,2,3,4,5})),{1,2,3,4,5})+1,9),'Hue codes'!$A$1:$B$10,2,FALSE)</f>
        <v>70</v>
      </c>
      <c r="C690">
        <f t="shared" si="21"/>
        <v>72.5</v>
      </c>
      <c r="D690" s="162" t="s">
        <v>49</v>
      </c>
      <c r="E690" s="162">
        <v>5</v>
      </c>
      <c r="F690" s="162">
        <v>10</v>
      </c>
      <c r="G690" s="164">
        <v>0.1114</v>
      </c>
      <c r="H690" s="164">
        <v>0.50429999999999997</v>
      </c>
      <c r="I690" s="164">
        <v>0.74929999999999997</v>
      </c>
      <c r="J690" s="1" t="str">
        <f>HYPERLINK(SetRGB(J690,G690*255,H690*255,I690*255),"HOVER!")</f>
        <v>HOVER!</v>
      </c>
      <c r="K690">
        <f t="shared" si="20"/>
        <v>0.5</v>
      </c>
    </row>
    <row r="691" spans="1:11" x14ac:dyDescent="0.3">
      <c r="A691">
        <f>LOOKUP(9E+307,--MID(D691,1,{1,2,3,4,5}))</f>
        <v>5</v>
      </c>
      <c r="B691">
        <f>VLOOKUP(MID(D691,LOOKUP(2,1/ISNUMBER(-MID(D691,1,{1,2,3,4,5})),{1,2,3,4,5})+1,9),'Hue codes'!$A$1:$B$10,2,FALSE)</f>
        <v>70</v>
      </c>
      <c r="C691">
        <f t="shared" si="21"/>
        <v>75</v>
      </c>
      <c r="D691" s="162" t="s">
        <v>50</v>
      </c>
      <c r="E691" s="162">
        <v>5</v>
      </c>
      <c r="F691" s="162">
        <v>2</v>
      </c>
      <c r="G691" s="164">
        <v>0.45710000000000001</v>
      </c>
      <c r="H691" s="164">
        <v>0.48309999999999997</v>
      </c>
      <c r="I691" s="164">
        <v>0.53349999999999997</v>
      </c>
      <c r="J691" s="1" t="str">
        <f>HYPERLINK(SetRGB(J691,G691*255,H691*255,I691*255),"HOVER!")</f>
        <v>HOVER!</v>
      </c>
      <c r="K691">
        <f t="shared" si="20"/>
        <v>2.5</v>
      </c>
    </row>
    <row r="692" spans="1:11" x14ac:dyDescent="0.3">
      <c r="A692">
        <f>LOOKUP(9E+307,--MID(D692,1,{1,2,3,4,5}))</f>
        <v>5</v>
      </c>
      <c r="B692">
        <f>VLOOKUP(MID(D692,LOOKUP(2,1/ISNUMBER(-MID(D692,1,{1,2,3,4,5})),{1,2,3,4,5})+1,9),'Hue codes'!$A$1:$B$10,2,FALSE)</f>
        <v>70</v>
      </c>
      <c r="C692">
        <f t="shared" si="21"/>
        <v>75</v>
      </c>
      <c r="D692" s="162" t="s">
        <v>50</v>
      </c>
      <c r="E692" s="162">
        <v>5</v>
      </c>
      <c r="F692" s="162">
        <v>4</v>
      </c>
      <c r="G692" s="164">
        <v>0.4244</v>
      </c>
      <c r="H692" s="164">
        <v>0.48480000000000001</v>
      </c>
      <c r="I692" s="164">
        <v>0.58679999999999999</v>
      </c>
      <c r="J692" s="1" t="str">
        <f>HYPERLINK(SetRGB(J692,G692*255,H692*255,I692*255),"HOVER!")</f>
        <v>HOVER!</v>
      </c>
      <c r="K692">
        <f t="shared" si="20"/>
        <v>1.25</v>
      </c>
    </row>
    <row r="693" spans="1:11" x14ac:dyDescent="0.3">
      <c r="A693">
        <f>LOOKUP(9E+307,--MID(D693,1,{1,2,3,4,5}))</f>
        <v>5</v>
      </c>
      <c r="B693">
        <f>VLOOKUP(MID(D693,LOOKUP(2,1/ISNUMBER(-MID(D693,1,{1,2,3,4,5})),{1,2,3,4,5})+1,9),'Hue codes'!$A$1:$B$10,2,FALSE)</f>
        <v>70</v>
      </c>
      <c r="C693">
        <f t="shared" si="21"/>
        <v>75</v>
      </c>
      <c r="D693" s="162" t="s">
        <v>50</v>
      </c>
      <c r="E693" s="162">
        <v>5</v>
      </c>
      <c r="F693" s="162">
        <v>6</v>
      </c>
      <c r="G693" s="164">
        <v>0.38350000000000001</v>
      </c>
      <c r="H693" s="164">
        <v>0.48620000000000002</v>
      </c>
      <c r="I693" s="164">
        <v>0.64339999999999997</v>
      </c>
      <c r="J693" s="1" t="str">
        <f>HYPERLINK(SetRGB(J693,G693*255,H693*255,I693*255),"HOVER!")</f>
        <v>HOVER!</v>
      </c>
      <c r="K693">
        <f t="shared" si="20"/>
        <v>0.83333333333333337</v>
      </c>
    </row>
    <row r="694" spans="1:11" x14ac:dyDescent="0.3">
      <c r="A694">
        <f>LOOKUP(9E+307,--MID(D694,1,{1,2,3,4,5}))</f>
        <v>5</v>
      </c>
      <c r="B694">
        <f>VLOOKUP(MID(D694,LOOKUP(2,1/ISNUMBER(-MID(D694,1,{1,2,3,4,5})),{1,2,3,4,5})+1,9),'Hue codes'!$A$1:$B$10,2,FALSE)</f>
        <v>70</v>
      </c>
      <c r="C694">
        <f t="shared" si="21"/>
        <v>75</v>
      </c>
      <c r="D694" s="162" t="s">
        <v>50</v>
      </c>
      <c r="E694" s="162">
        <v>5</v>
      </c>
      <c r="F694" s="162">
        <v>8</v>
      </c>
      <c r="G694" s="164">
        <v>0.33200000000000002</v>
      </c>
      <c r="H694" s="164">
        <v>0.4879</v>
      </c>
      <c r="I694" s="164">
        <v>0.69710000000000005</v>
      </c>
      <c r="J694" s="1" t="str">
        <f>HYPERLINK(SetRGB(J694,G694*255,H694*255,I694*255),"HOVER!")</f>
        <v>HOVER!</v>
      </c>
      <c r="K694">
        <f t="shared" si="20"/>
        <v>0.625</v>
      </c>
    </row>
    <row r="695" spans="1:11" x14ac:dyDescent="0.3">
      <c r="A695">
        <f>LOOKUP(9E+307,--MID(D695,1,{1,2,3,4,5}))</f>
        <v>5</v>
      </c>
      <c r="B695">
        <f>VLOOKUP(MID(D695,LOOKUP(2,1/ISNUMBER(-MID(D695,1,{1,2,3,4,5})),{1,2,3,4,5})+1,9),'Hue codes'!$A$1:$B$10,2,FALSE)</f>
        <v>70</v>
      </c>
      <c r="C695">
        <f t="shared" si="21"/>
        <v>75</v>
      </c>
      <c r="D695" s="162" t="s">
        <v>50</v>
      </c>
      <c r="E695" s="162">
        <v>5</v>
      </c>
      <c r="F695" s="162">
        <v>10</v>
      </c>
      <c r="G695" s="164">
        <v>0.26400000000000001</v>
      </c>
      <c r="H695" s="164">
        <v>0.48909999999999998</v>
      </c>
      <c r="I695" s="164">
        <v>0.75170000000000003</v>
      </c>
      <c r="J695" s="1" t="str">
        <f>HYPERLINK(SetRGB(J695,G695*255,H695*255,I695*255),"HOVER!")</f>
        <v>HOVER!</v>
      </c>
      <c r="K695">
        <f t="shared" ref="K695:K758" si="22">E695/F695</f>
        <v>0.5</v>
      </c>
    </row>
    <row r="696" spans="1:11" x14ac:dyDescent="0.3">
      <c r="A696">
        <f>LOOKUP(9E+307,--MID(D696,1,{1,2,3,4,5}))</f>
        <v>5</v>
      </c>
      <c r="B696">
        <f>VLOOKUP(MID(D696,LOOKUP(2,1/ISNUMBER(-MID(D696,1,{1,2,3,4,5})),{1,2,3,4,5})+1,9),'Hue codes'!$A$1:$B$10,2,FALSE)</f>
        <v>70</v>
      </c>
      <c r="C696">
        <f t="shared" si="21"/>
        <v>75</v>
      </c>
      <c r="D696" s="162" t="s">
        <v>50</v>
      </c>
      <c r="E696" s="162">
        <v>5</v>
      </c>
      <c r="F696" s="162">
        <v>12</v>
      </c>
      <c r="G696" s="164">
        <v>0.1489</v>
      </c>
      <c r="H696" s="164">
        <v>0.49059999999999998</v>
      </c>
      <c r="I696" s="164">
        <v>0.80700000000000005</v>
      </c>
      <c r="J696" s="1" t="str">
        <f>HYPERLINK(SetRGB(J696,G696*255,H696*255,I696*255),"HOVER!")</f>
        <v>HOVER!</v>
      </c>
      <c r="K696">
        <f t="shared" si="22"/>
        <v>0.41666666666666669</v>
      </c>
    </row>
    <row r="697" spans="1:11" x14ac:dyDescent="0.3">
      <c r="A697">
        <f>LOOKUP(9E+307,--MID(D697,1,{1,2,3,4,5}))</f>
        <v>7.5</v>
      </c>
      <c r="B697">
        <f>VLOOKUP(MID(D697,LOOKUP(2,1/ISNUMBER(-MID(D697,1,{1,2,3,4,5})),{1,2,3,4,5})+1,9),'Hue codes'!$A$1:$B$10,2,FALSE)</f>
        <v>70</v>
      </c>
      <c r="C697">
        <f t="shared" si="21"/>
        <v>77.5</v>
      </c>
      <c r="D697" s="162" t="s">
        <v>51</v>
      </c>
      <c r="E697" s="162">
        <v>5</v>
      </c>
      <c r="F697" s="162">
        <v>2</v>
      </c>
      <c r="G697" s="164">
        <v>0.47039999999999998</v>
      </c>
      <c r="H697" s="164">
        <v>0.4793</v>
      </c>
      <c r="I697" s="164">
        <v>0.53369999999999995</v>
      </c>
      <c r="J697" s="1" t="str">
        <f>HYPERLINK(SetRGB(J697,G697*255,H697*255,I697*255),"HOVER!")</f>
        <v>HOVER!</v>
      </c>
      <c r="K697">
        <f t="shared" si="22"/>
        <v>2.5</v>
      </c>
    </row>
    <row r="698" spans="1:11" x14ac:dyDescent="0.3">
      <c r="A698">
        <f>LOOKUP(9E+307,--MID(D698,1,{1,2,3,4,5}))</f>
        <v>7.5</v>
      </c>
      <c r="B698">
        <f>VLOOKUP(MID(D698,LOOKUP(2,1/ISNUMBER(-MID(D698,1,{1,2,3,4,5})),{1,2,3,4,5})+1,9),'Hue codes'!$A$1:$B$10,2,FALSE)</f>
        <v>70</v>
      </c>
      <c r="C698">
        <f t="shared" si="21"/>
        <v>77.5</v>
      </c>
      <c r="D698" s="162" t="s">
        <v>51</v>
      </c>
      <c r="E698" s="162">
        <v>5</v>
      </c>
      <c r="F698" s="162">
        <v>4</v>
      </c>
      <c r="G698" s="164">
        <v>0.45519999999999999</v>
      </c>
      <c r="H698" s="164">
        <v>0.47660000000000002</v>
      </c>
      <c r="I698" s="164">
        <v>0.58589999999999998</v>
      </c>
      <c r="J698" s="1" t="str">
        <f>HYPERLINK(SetRGB(J698,G698*255,H698*255,I698*255),"HOVER!")</f>
        <v>HOVER!</v>
      </c>
      <c r="K698">
        <f t="shared" si="22"/>
        <v>1.25</v>
      </c>
    </row>
    <row r="699" spans="1:11" x14ac:dyDescent="0.3">
      <c r="A699">
        <f>LOOKUP(9E+307,--MID(D699,1,{1,2,3,4,5}))</f>
        <v>7.5</v>
      </c>
      <c r="B699">
        <f>VLOOKUP(MID(D699,LOOKUP(2,1/ISNUMBER(-MID(D699,1,{1,2,3,4,5})),{1,2,3,4,5})+1,9),'Hue codes'!$A$1:$B$10,2,FALSE)</f>
        <v>70</v>
      </c>
      <c r="C699">
        <f t="shared" si="21"/>
        <v>77.5</v>
      </c>
      <c r="D699" s="162" t="s">
        <v>51</v>
      </c>
      <c r="E699" s="162">
        <v>5</v>
      </c>
      <c r="F699" s="162">
        <v>6</v>
      </c>
      <c r="G699" s="164">
        <v>0.43869999999999998</v>
      </c>
      <c r="H699" s="164">
        <v>0.47260000000000002</v>
      </c>
      <c r="I699" s="164">
        <v>0.64280000000000004</v>
      </c>
      <c r="J699" s="1" t="str">
        <f>HYPERLINK(SetRGB(J699,G699*255,H699*255,I699*255),"HOVER!")</f>
        <v>HOVER!</v>
      </c>
      <c r="K699">
        <f t="shared" si="22"/>
        <v>0.83333333333333337</v>
      </c>
    </row>
    <row r="700" spans="1:11" x14ac:dyDescent="0.3">
      <c r="A700">
        <f>LOOKUP(9E+307,--MID(D700,1,{1,2,3,4,5}))</f>
        <v>7.5</v>
      </c>
      <c r="B700">
        <f>VLOOKUP(MID(D700,LOOKUP(2,1/ISNUMBER(-MID(D700,1,{1,2,3,4,5})),{1,2,3,4,5})+1,9),'Hue codes'!$A$1:$B$10,2,FALSE)</f>
        <v>70</v>
      </c>
      <c r="C700">
        <f t="shared" si="21"/>
        <v>77.5</v>
      </c>
      <c r="D700" s="162" t="s">
        <v>51</v>
      </c>
      <c r="E700" s="162">
        <v>5</v>
      </c>
      <c r="F700" s="162">
        <v>8</v>
      </c>
      <c r="G700" s="164">
        <v>0.42280000000000001</v>
      </c>
      <c r="H700" s="164">
        <v>0.46779999999999999</v>
      </c>
      <c r="I700" s="164">
        <v>0.69530000000000003</v>
      </c>
      <c r="J700" s="1" t="str">
        <f>HYPERLINK(SetRGB(J700,G700*255,H700*255,I700*255),"HOVER!")</f>
        <v>HOVER!</v>
      </c>
      <c r="K700">
        <f t="shared" si="22"/>
        <v>0.625</v>
      </c>
    </row>
    <row r="701" spans="1:11" x14ac:dyDescent="0.3">
      <c r="A701">
        <f>LOOKUP(9E+307,--MID(D701,1,{1,2,3,4,5}))</f>
        <v>7.5</v>
      </c>
      <c r="B701">
        <f>VLOOKUP(MID(D701,LOOKUP(2,1/ISNUMBER(-MID(D701,1,{1,2,3,4,5})),{1,2,3,4,5})+1,9),'Hue codes'!$A$1:$B$10,2,FALSE)</f>
        <v>70</v>
      </c>
      <c r="C701">
        <f t="shared" si="21"/>
        <v>77.5</v>
      </c>
      <c r="D701" s="162" t="s">
        <v>51</v>
      </c>
      <c r="E701" s="162">
        <v>5</v>
      </c>
      <c r="F701" s="162">
        <v>10</v>
      </c>
      <c r="G701" s="164">
        <v>0.40250000000000002</v>
      </c>
      <c r="H701" s="164">
        <v>0.46350000000000002</v>
      </c>
      <c r="I701" s="164">
        <v>0.745</v>
      </c>
      <c r="J701" s="1" t="str">
        <f>HYPERLINK(SetRGB(J701,G701*255,H701*255,I701*255),"HOVER!")</f>
        <v>HOVER!</v>
      </c>
      <c r="K701">
        <f t="shared" si="22"/>
        <v>0.5</v>
      </c>
    </row>
    <row r="702" spans="1:11" x14ac:dyDescent="0.3">
      <c r="A702">
        <f>LOOKUP(9E+307,--MID(D702,1,{1,2,3,4,5}))</f>
        <v>7.5</v>
      </c>
      <c r="B702">
        <f>VLOOKUP(MID(D702,LOOKUP(2,1/ISNUMBER(-MID(D702,1,{1,2,3,4,5})),{1,2,3,4,5})+1,9),'Hue codes'!$A$1:$B$10,2,FALSE)</f>
        <v>70</v>
      </c>
      <c r="C702">
        <f t="shared" si="21"/>
        <v>77.5</v>
      </c>
      <c r="D702" s="162" t="s">
        <v>51</v>
      </c>
      <c r="E702" s="162">
        <v>5</v>
      </c>
      <c r="F702" s="162">
        <v>12</v>
      </c>
      <c r="G702" s="164">
        <v>0.3805</v>
      </c>
      <c r="H702" s="164">
        <v>0.45700000000000002</v>
      </c>
      <c r="I702" s="164">
        <v>0.80079999999999996</v>
      </c>
      <c r="J702" s="1" t="str">
        <f>HYPERLINK(SetRGB(J702,G702*255,H702*255,I702*255),"HOVER!")</f>
        <v>HOVER!</v>
      </c>
      <c r="K702">
        <f t="shared" si="22"/>
        <v>0.41666666666666669</v>
      </c>
    </row>
    <row r="703" spans="1:11" x14ac:dyDescent="0.3">
      <c r="A703">
        <f>LOOKUP(9E+307,--MID(D703,1,{1,2,3,4,5}))</f>
        <v>7.5</v>
      </c>
      <c r="B703">
        <f>VLOOKUP(MID(D703,LOOKUP(2,1/ISNUMBER(-MID(D703,1,{1,2,3,4,5})),{1,2,3,4,5})+1,9),'Hue codes'!$A$1:$B$10,2,FALSE)</f>
        <v>70</v>
      </c>
      <c r="C703">
        <f t="shared" si="21"/>
        <v>77.5</v>
      </c>
      <c r="D703" s="162" t="s">
        <v>51</v>
      </c>
      <c r="E703" s="162">
        <v>5</v>
      </c>
      <c r="F703" s="162">
        <v>14</v>
      </c>
      <c r="G703" s="164">
        <v>0.35399999999999998</v>
      </c>
      <c r="H703" s="164">
        <v>0.45</v>
      </c>
      <c r="I703" s="164">
        <v>0.85589999999999999</v>
      </c>
      <c r="J703" s="1" t="str">
        <f>HYPERLINK(SetRGB(J703,G703*255,H703*255,I703*255),"HOVER!")</f>
        <v>HOVER!</v>
      </c>
      <c r="K703">
        <f t="shared" si="22"/>
        <v>0.35714285714285715</v>
      </c>
    </row>
    <row r="704" spans="1:11" x14ac:dyDescent="0.3">
      <c r="A704">
        <f>LOOKUP(9E+307,--MID(D704,1,{1,2,3,4,5}))</f>
        <v>7.5</v>
      </c>
      <c r="B704">
        <f>VLOOKUP(MID(D704,LOOKUP(2,1/ISNUMBER(-MID(D704,1,{1,2,3,4,5})),{1,2,3,4,5})+1,9),'Hue codes'!$A$1:$B$10,2,FALSE)</f>
        <v>70</v>
      </c>
      <c r="C704">
        <f t="shared" si="21"/>
        <v>77.5</v>
      </c>
      <c r="D704" s="162" t="s">
        <v>51</v>
      </c>
      <c r="E704" s="162">
        <v>5</v>
      </c>
      <c r="F704" s="162">
        <v>16</v>
      </c>
      <c r="G704" s="164">
        <v>0.3271</v>
      </c>
      <c r="H704" s="164">
        <v>0.4415</v>
      </c>
      <c r="I704" s="164">
        <v>0.91020000000000001</v>
      </c>
      <c r="J704" s="1" t="str">
        <f>HYPERLINK(SetRGB(J704,G704*255,H704*255,I704*255),"HOVER!")</f>
        <v>HOVER!</v>
      </c>
      <c r="K704">
        <f t="shared" si="22"/>
        <v>0.3125</v>
      </c>
    </row>
    <row r="705" spans="1:11" x14ac:dyDescent="0.3">
      <c r="A705">
        <f>LOOKUP(9E+307,--MID(D705,1,{1,2,3,4,5}))</f>
        <v>7.5</v>
      </c>
      <c r="B705">
        <f>VLOOKUP(MID(D705,LOOKUP(2,1/ISNUMBER(-MID(D705,1,{1,2,3,4,5})),{1,2,3,4,5})+1,9),'Hue codes'!$A$1:$B$10,2,FALSE)</f>
        <v>70</v>
      </c>
      <c r="C705">
        <f t="shared" si="21"/>
        <v>77.5</v>
      </c>
      <c r="D705" s="162" t="s">
        <v>51</v>
      </c>
      <c r="E705" s="162">
        <v>5</v>
      </c>
      <c r="F705" s="162">
        <v>18</v>
      </c>
      <c r="G705" s="164">
        <v>0.3039</v>
      </c>
      <c r="H705" s="164">
        <v>0.4289</v>
      </c>
      <c r="I705" s="164">
        <v>0.96860000000000002</v>
      </c>
      <c r="J705" s="1" t="str">
        <f>HYPERLINK(SetRGB(J705,G705*255,H705*255,I705*255),"HOVER!")</f>
        <v>HOVER!</v>
      </c>
      <c r="K705">
        <f t="shared" si="22"/>
        <v>0.27777777777777779</v>
      </c>
    </row>
    <row r="706" spans="1:11" x14ac:dyDescent="0.3">
      <c r="A706">
        <f>LOOKUP(9E+307,--MID(D706,1,{1,2,3,4,5}))</f>
        <v>7.5</v>
      </c>
      <c r="B706">
        <f>VLOOKUP(MID(D706,LOOKUP(2,1/ISNUMBER(-MID(D706,1,{1,2,3,4,5})),{1,2,3,4,5})+1,9),'Hue codes'!$A$1:$B$10,2,FALSE)</f>
        <v>70</v>
      </c>
      <c r="C706">
        <f t="shared" si="21"/>
        <v>77.5</v>
      </c>
      <c r="D706" s="162" t="s">
        <v>51</v>
      </c>
      <c r="E706" s="162">
        <v>5</v>
      </c>
      <c r="F706" s="162">
        <v>20</v>
      </c>
      <c r="G706" s="164">
        <v>0.28170000000000001</v>
      </c>
      <c r="H706" s="164">
        <v>0.4143</v>
      </c>
      <c r="I706" s="164">
        <v>1</v>
      </c>
      <c r="J706" s="1" t="str">
        <f>HYPERLINK(SetRGB(J706,G706*255,H706*255,I706*255),"HOVER!")</f>
        <v>HOVER!</v>
      </c>
      <c r="K706">
        <f t="shared" si="22"/>
        <v>0.25</v>
      </c>
    </row>
    <row r="707" spans="1:11" x14ac:dyDescent="0.3">
      <c r="A707">
        <f>LOOKUP(9E+307,--MID(D707,1,{1,2,3,4,5}))</f>
        <v>10</v>
      </c>
      <c r="B707">
        <f>VLOOKUP(MID(D707,LOOKUP(2,1/ISNUMBER(-MID(D707,1,{1,2,3,4,5})),{1,2,3,4,5})+1,9),'Hue codes'!$A$1:$B$10,2,FALSE)</f>
        <v>70</v>
      </c>
      <c r="C707">
        <f t="shared" ref="C707:C770" si="23">IF(A707+B707=100,0,A707+B707)</f>
        <v>80</v>
      </c>
      <c r="D707" s="162" t="s">
        <v>52</v>
      </c>
      <c r="E707" s="162">
        <v>5</v>
      </c>
      <c r="F707" s="162">
        <v>2</v>
      </c>
      <c r="G707" s="164">
        <v>0.48280000000000001</v>
      </c>
      <c r="H707" s="164">
        <v>0.4758</v>
      </c>
      <c r="I707" s="164">
        <v>0.53169999999999995</v>
      </c>
      <c r="J707" s="1" t="str">
        <f>HYPERLINK(SetRGB(J707,G707*255,H707*255,I707*255),"HOVER!")</f>
        <v>HOVER!</v>
      </c>
      <c r="K707">
        <f t="shared" si="22"/>
        <v>2.5</v>
      </c>
    </row>
    <row r="708" spans="1:11" x14ac:dyDescent="0.3">
      <c r="A708">
        <f>LOOKUP(9E+307,--MID(D708,1,{1,2,3,4,5}))</f>
        <v>10</v>
      </c>
      <c r="B708">
        <f>VLOOKUP(MID(D708,LOOKUP(2,1/ISNUMBER(-MID(D708,1,{1,2,3,4,5})),{1,2,3,4,5})+1,9),'Hue codes'!$A$1:$B$10,2,FALSE)</f>
        <v>70</v>
      </c>
      <c r="C708">
        <f t="shared" si="23"/>
        <v>80</v>
      </c>
      <c r="D708" s="162" t="s">
        <v>52</v>
      </c>
      <c r="E708" s="162">
        <v>5</v>
      </c>
      <c r="F708" s="162">
        <v>4</v>
      </c>
      <c r="G708" s="164">
        <v>0.48309999999999997</v>
      </c>
      <c r="H708" s="164">
        <v>0.46879999999999999</v>
      </c>
      <c r="I708" s="164">
        <v>0.58220000000000005</v>
      </c>
      <c r="J708" s="1" t="str">
        <f>HYPERLINK(SetRGB(J708,G708*255,H708*255,I708*255),"HOVER!")</f>
        <v>HOVER!</v>
      </c>
      <c r="K708">
        <f t="shared" si="22"/>
        <v>1.25</v>
      </c>
    </row>
    <row r="709" spans="1:11" x14ac:dyDescent="0.3">
      <c r="A709">
        <f>LOOKUP(9E+307,--MID(D709,1,{1,2,3,4,5}))</f>
        <v>10</v>
      </c>
      <c r="B709">
        <f>VLOOKUP(MID(D709,LOOKUP(2,1/ISNUMBER(-MID(D709,1,{1,2,3,4,5})),{1,2,3,4,5})+1,9),'Hue codes'!$A$1:$B$10,2,FALSE)</f>
        <v>70</v>
      </c>
      <c r="C709">
        <f t="shared" si="23"/>
        <v>80</v>
      </c>
      <c r="D709" s="162" t="s">
        <v>52</v>
      </c>
      <c r="E709" s="162">
        <v>5</v>
      </c>
      <c r="F709" s="162">
        <v>6</v>
      </c>
      <c r="G709" s="164">
        <v>0.48470000000000002</v>
      </c>
      <c r="H709" s="164">
        <v>0.45989999999999998</v>
      </c>
      <c r="I709" s="164">
        <v>0.63649999999999995</v>
      </c>
      <c r="J709" s="1" t="str">
        <f>HYPERLINK(SetRGB(J709,G709*255,H709*255,I709*255),"HOVER!")</f>
        <v>HOVER!</v>
      </c>
      <c r="K709">
        <f t="shared" si="22"/>
        <v>0.83333333333333337</v>
      </c>
    </row>
    <row r="710" spans="1:11" x14ac:dyDescent="0.3">
      <c r="A710">
        <f>LOOKUP(9E+307,--MID(D710,1,{1,2,3,4,5}))</f>
        <v>10</v>
      </c>
      <c r="B710">
        <f>VLOOKUP(MID(D710,LOOKUP(2,1/ISNUMBER(-MID(D710,1,{1,2,3,4,5})),{1,2,3,4,5})+1,9),'Hue codes'!$A$1:$B$10,2,FALSE)</f>
        <v>70</v>
      </c>
      <c r="C710">
        <f t="shared" si="23"/>
        <v>80</v>
      </c>
      <c r="D710" s="162" t="s">
        <v>52</v>
      </c>
      <c r="E710" s="162">
        <v>5</v>
      </c>
      <c r="F710" s="162">
        <v>8</v>
      </c>
      <c r="G710" s="164">
        <v>0.48459999999999998</v>
      </c>
      <c r="H710" s="164">
        <v>0.45140000000000002</v>
      </c>
      <c r="I710" s="164">
        <v>0.68469999999999998</v>
      </c>
      <c r="J710" s="1" t="str">
        <f>HYPERLINK(SetRGB(J710,G710*255,H710*255,I710*255),"HOVER!")</f>
        <v>HOVER!</v>
      </c>
      <c r="K710">
        <f t="shared" si="22"/>
        <v>0.625</v>
      </c>
    </row>
    <row r="711" spans="1:11" x14ac:dyDescent="0.3">
      <c r="A711">
        <f>LOOKUP(9E+307,--MID(D711,1,{1,2,3,4,5}))</f>
        <v>10</v>
      </c>
      <c r="B711">
        <f>VLOOKUP(MID(D711,LOOKUP(2,1/ISNUMBER(-MID(D711,1,{1,2,3,4,5})),{1,2,3,4,5})+1,9),'Hue codes'!$A$1:$B$10,2,FALSE)</f>
        <v>70</v>
      </c>
      <c r="C711">
        <f t="shared" si="23"/>
        <v>80</v>
      </c>
      <c r="D711" s="162" t="s">
        <v>52</v>
      </c>
      <c r="E711" s="162">
        <v>5</v>
      </c>
      <c r="F711" s="162">
        <v>10</v>
      </c>
      <c r="G711" s="164">
        <v>0.48809999999999998</v>
      </c>
      <c r="H711" s="164">
        <v>0.441</v>
      </c>
      <c r="I711" s="164">
        <v>0.73119999999999996</v>
      </c>
      <c r="J711" s="1" t="str">
        <f>HYPERLINK(SetRGB(J711,G711*255,H711*255,I711*255),"HOVER!")</f>
        <v>HOVER!</v>
      </c>
      <c r="K711">
        <f t="shared" si="22"/>
        <v>0.5</v>
      </c>
    </row>
    <row r="712" spans="1:11" x14ac:dyDescent="0.3">
      <c r="A712">
        <f>LOOKUP(9E+307,--MID(D712,1,{1,2,3,4,5}))</f>
        <v>10</v>
      </c>
      <c r="B712">
        <f>VLOOKUP(MID(D712,LOOKUP(2,1/ISNUMBER(-MID(D712,1,{1,2,3,4,5})),{1,2,3,4,5})+1,9),'Hue codes'!$A$1:$B$10,2,FALSE)</f>
        <v>70</v>
      </c>
      <c r="C712">
        <f t="shared" si="23"/>
        <v>80</v>
      </c>
      <c r="D712" s="162" t="s">
        <v>52</v>
      </c>
      <c r="E712" s="162">
        <v>5</v>
      </c>
      <c r="F712" s="162">
        <v>12</v>
      </c>
      <c r="G712" s="164">
        <v>0.49030000000000001</v>
      </c>
      <c r="H712" s="164">
        <v>0.4294</v>
      </c>
      <c r="I712" s="164">
        <v>0.7802</v>
      </c>
      <c r="J712" s="1" t="str">
        <f>HYPERLINK(SetRGB(J712,G712*255,H712*255,I712*255),"HOVER!")</f>
        <v>HOVER!</v>
      </c>
      <c r="K712">
        <f t="shared" si="22"/>
        <v>0.41666666666666669</v>
      </c>
    </row>
    <row r="713" spans="1:11" x14ac:dyDescent="0.3">
      <c r="A713">
        <f>LOOKUP(9E+307,--MID(D713,1,{1,2,3,4,5}))</f>
        <v>10</v>
      </c>
      <c r="B713">
        <f>VLOOKUP(MID(D713,LOOKUP(2,1/ISNUMBER(-MID(D713,1,{1,2,3,4,5})),{1,2,3,4,5})+1,9),'Hue codes'!$A$1:$B$10,2,FALSE)</f>
        <v>70</v>
      </c>
      <c r="C713">
        <f t="shared" si="23"/>
        <v>80</v>
      </c>
      <c r="D713" s="162" t="s">
        <v>52</v>
      </c>
      <c r="E713" s="162">
        <v>5</v>
      </c>
      <c r="F713" s="162">
        <v>14</v>
      </c>
      <c r="G713" s="164">
        <v>0.49320000000000003</v>
      </c>
      <c r="H713" s="164">
        <v>0.41589999999999999</v>
      </c>
      <c r="I713" s="164">
        <v>0.8296</v>
      </c>
      <c r="J713" s="1" t="str">
        <f>HYPERLINK(SetRGB(J713,G713*255,H713*255,I713*255),"HOVER!")</f>
        <v>HOVER!</v>
      </c>
      <c r="K713">
        <f t="shared" si="22"/>
        <v>0.35714285714285715</v>
      </c>
    </row>
    <row r="714" spans="1:11" x14ac:dyDescent="0.3">
      <c r="A714">
        <f>LOOKUP(9E+307,--MID(D714,1,{1,2,3,4,5}))</f>
        <v>10</v>
      </c>
      <c r="B714">
        <f>VLOOKUP(MID(D714,LOOKUP(2,1/ISNUMBER(-MID(D714,1,{1,2,3,4,5})),{1,2,3,4,5})+1,9),'Hue codes'!$A$1:$B$10,2,FALSE)</f>
        <v>70</v>
      </c>
      <c r="C714">
        <f t="shared" si="23"/>
        <v>80</v>
      </c>
      <c r="D714" s="162" t="s">
        <v>52</v>
      </c>
      <c r="E714" s="162">
        <v>5</v>
      </c>
      <c r="F714" s="162">
        <v>16</v>
      </c>
      <c r="G714" s="164">
        <v>0.49719999999999998</v>
      </c>
      <c r="H714" s="164">
        <v>0.40060000000000001</v>
      </c>
      <c r="I714" s="164">
        <v>0.87860000000000005</v>
      </c>
      <c r="J714" s="1" t="str">
        <f>HYPERLINK(SetRGB(J714,G714*255,H714*255,I714*255),"HOVER!")</f>
        <v>HOVER!</v>
      </c>
      <c r="K714">
        <f t="shared" si="22"/>
        <v>0.3125</v>
      </c>
    </row>
    <row r="715" spans="1:11" x14ac:dyDescent="0.3">
      <c r="A715">
        <f>LOOKUP(9E+307,--MID(D715,1,{1,2,3,4,5}))</f>
        <v>10</v>
      </c>
      <c r="B715">
        <f>VLOOKUP(MID(D715,LOOKUP(2,1/ISNUMBER(-MID(D715,1,{1,2,3,4,5})),{1,2,3,4,5})+1,9),'Hue codes'!$A$1:$B$10,2,FALSE)</f>
        <v>70</v>
      </c>
      <c r="C715">
        <f t="shared" si="23"/>
        <v>80</v>
      </c>
      <c r="D715" s="162" t="s">
        <v>52</v>
      </c>
      <c r="E715" s="162">
        <v>5</v>
      </c>
      <c r="F715" s="162">
        <v>18</v>
      </c>
      <c r="G715" s="164">
        <v>0.50519999999999998</v>
      </c>
      <c r="H715" s="164">
        <v>0.38419999999999999</v>
      </c>
      <c r="I715" s="164">
        <v>0.91990000000000005</v>
      </c>
      <c r="J715" s="1" t="str">
        <f>HYPERLINK(SetRGB(J715,G715*255,H715*255,I715*255),"HOVER!")</f>
        <v>HOVER!</v>
      </c>
      <c r="K715">
        <f t="shared" si="22"/>
        <v>0.27777777777777779</v>
      </c>
    </row>
    <row r="716" spans="1:11" x14ac:dyDescent="0.3">
      <c r="A716">
        <f>LOOKUP(9E+307,--MID(D716,1,{1,2,3,4,5}))</f>
        <v>10</v>
      </c>
      <c r="B716">
        <f>VLOOKUP(MID(D716,LOOKUP(2,1/ISNUMBER(-MID(D716,1,{1,2,3,4,5})),{1,2,3,4,5})+1,9),'Hue codes'!$A$1:$B$10,2,FALSE)</f>
        <v>70</v>
      </c>
      <c r="C716">
        <f t="shared" si="23"/>
        <v>80</v>
      </c>
      <c r="D716" s="162" t="s">
        <v>52</v>
      </c>
      <c r="E716" s="162">
        <v>5</v>
      </c>
      <c r="F716" s="162">
        <v>20</v>
      </c>
      <c r="G716" s="164">
        <v>0.5141</v>
      </c>
      <c r="H716" s="164">
        <v>0.3634</v>
      </c>
      <c r="I716" s="164">
        <v>0.96689999999999998</v>
      </c>
      <c r="J716" s="49" t="str">
        <f>HYPERLINK(SetRGB(J716,G716*255,H716*255,I716*255),"HOVER!")</f>
        <v>HOVER!</v>
      </c>
      <c r="K716">
        <f t="shared" si="22"/>
        <v>0.25</v>
      </c>
    </row>
    <row r="717" spans="1:11" x14ac:dyDescent="0.3">
      <c r="A717">
        <f>LOOKUP(9E+307,--MID(D717,1,{1,2,3,4,5}))</f>
        <v>10</v>
      </c>
      <c r="B717">
        <f>VLOOKUP(MID(D717,LOOKUP(2,1/ISNUMBER(-MID(D717,1,{1,2,3,4,5})),{1,2,3,4,5})+1,9),'Hue codes'!$A$1:$B$10,2,FALSE)</f>
        <v>70</v>
      </c>
      <c r="C717">
        <f t="shared" si="23"/>
        <v>80</v>
      </c>
      <c r="D717" s="162" t="s">
        <v>52</v>
      </c>
      <c r="E717" s="162">
        <v>5</v>
      </c>
      <c r="F717" s="162">
        <v>22</v>
      </c>
      <c r="G717" s="164">
        <v>0.52880000000000005</v>
      </c>
      <c r="H717" s="164">
        <v>0.33679999999999999</v>
      </c>
      <c r="I717" s="164">
        <v>1</v>
      </c>
      <c r="J717" s="1" t="str">
        <f>HYPERLINK(SetRGB(J717,G717*255,H717*255,I717*255),"HOVER!")</f>
        <v>HOVER!</v>
      </c>
      <c r="K717">
        <f t="shared" si="22"/>
        <v>0.22727272727272727</v>
      </c>
    </row>
    <row r="718" spans="1:11" x14ac:dyDescent="0.3">
      <c r="A718">
        <f>LOOKUP(9E+307,--MID(D718,1,{1,2,3,4,5}))</f>
        <v>2.5</v>
      </c>
      <c r="B718">
        <f>VLOOKUP(MID(D718,LOOKUP(2,1/ISNUMBER(-MID(D718,1,{1,2,3,4,5})),{1,2,3,4,5})+1,9),'Hue codes'!$A$1:$B$10,2,FALSE)</f>
        <v>80</v>
      </c>
      <c r="C718">
        <f t="shared" si="23"/>
        <v>82.5</v>
      </c>
      <c r="D718" s="162" t="s">
        <v>53</v>
      </c>
      <c r="E718" s="162">
        <v>5</v>
      </c>
      <c r="F718" s="162">
        <v>2</v>
      </c>
      <c r="G718" s="164">
        <v>0.49330000000000002</v>
      </c>
      <c r="H718" s="164">
        <v>0.47299999999999998</v>
      </c>
      <c r="I718" s="164">
        <v>0.52790000000000004</v>
      </c>
      <c r="J718" s="1" t="str">
        <f>HYPERLINK(SetRGB(J718,G718*255,H718*255,I718*255),"HOVER!")</f>
        <v>HOVER!</v>
      </c>
      <c r="K718">
        <f t="shared" si="22"/>
        <v>2.5</v>
      </c>
    </row>
    <row r="719" spans="1:11" x14ac:dyDescent="0.3">
      <c r="A719">
        <f>LOOKUP(9E+307,--MID(D719,1,{1,2,3,4,5}))</f>
        <v>2.5</v>
      </c>
      <c r="B719">
        <f>VLOOKUP(MID(D719,LOOKUP(2,1/ISNUMBER(-MID(D719,1,{1,2,3,4,5})),{1,2,3,4,5})+1,9),'Hue codes'!$A$1:$B$10,2,FALSE)</f>
        <v>80</v>
      </c>
      <c r="C719">
        <f t="shared" si="23"/>
        <v>82.5</v>
      </c>
      <c r="D719" s="162" t="s">
        <v>53</v>
      </c>
      <c r="E719" s="162">
        <v>5</v>
      </c>
      <c r="F719" s="162">
        <v>4</v>
      </c>
      <c r="G719" s="164">
        <v>0.50519999999999998</v>
      </c>
      <c r="H719" s="164">
        <v>0.46260000000000001</v>
      </c>
      <c r="I719" s="164">
        <v>0.57609999999999995</v>
      </c>
      <c r="J719" s="1" t="str">
        <f>HYPERLINK(SetRGB(J719,G719*255,H719*255,I719*255),"HOVER!")</f>
        <v>HOVER!</v>
      </c>
      <c r="K719">
        <f t="shared" si="22"/>
        <v>1.25</v>
      </c>
    </row>
    <row r="720" spans="1:11" x14ac:dyDescent="0.3">
      <c r="A720">
        <f>LOOKUP(9E+307,--MID(D720,1,{1,2,3,4,5}))</f>
        <v>2.5</v>
      </c>
      <c r="B720">
        <f>VLOOKUP(MID(D720,LOOKUP(2,1/ISNUMBER(-MID(D720,1,{1,2,3,4,5})),{1,2,3,4,5})+1,9),'Hue codes'!$A$1:$B$10,2,FALSE)</f>
        <v>80</v>
      </c>
      <c r="C720">
        <f t="shared" si="23"/>
        <v>82.5</v>
      </c>
      <c r="D720" s="162" t="s">
        <v>53</v>
      </c>
      <c r="E720" s="162">
        <v>5</v>
      </c>
      <c r="F720" s="162">
        <v>6</v>
      </c>
      <c r="G720" s="164">
        <v>0.51790000000000003</v>
      </c>
      <c r="H720" s="164">
        <v>0.45090000000000002</v>
      </c>
      <c r="I720" s="164">
        <v>0.62309999999999999</v>
      </c>
      <c r="J720" s="1" t="str">
        <f>HYPERLINK(SetRGB(J720,G720*255,H720*255,I720*255),"HOVER!")</f>
        <v>HOVER!</v>
      </c>
      <c r="K720">
        <f t="shared" si="22"/>
        <v>0.83333333333333337</v>
      </c>
    </row>
    <row r="721" spans="1:11" x14ac:dyDescent="0.3">
      <c r="A721">
        <f>LOOKUP(9E+307,--MID(D721,1,{1,2,3,4,5}))</f>
        <v>2.5</v>
      </c>
      <c r="B721">
        <f>VLOOKUP(MID(D721,LOOKUP(2,1/ISNUMBER(-MID(D721,1,{1,2,3,4,5})),{1,2,3,4,5})+1,9),'Hue codes'!$A$1:$B$10,2,FALSE)</f>
        <v>80</v>
      </c>
      <c r="C721">
        <f t="shared" si="23"/>
        <v>82.5</v>
      </c>
      <c r="D721" s="162" t="s">
        <v>53</v>
      </c>
      <c r="E721" s="162">
        <v>5</v>
      </c>
      <c r="F721" s="162">
        <v>8</v>
      </c>
      <c r="G721" s="164">
        <v>0.5333</v>
      </c>
      <c r="H721" s="164">
        <v>0.437</v>
      </c>
      <c r="I721" s="164">
        <v>0.66910000000000003</v>
      </c>
      <c r="J721" s="1" t="str">
        <f>HYPERLINK(SetRGB(J721,G721*255,H721*255,I721*255),"HOVER!")</f>
        <v>HOVER!</v>
      </c>
      <c r="K721">
        <f t="shared" si="22"/>
        <v>0.625</v>
      </c>
    </row>
    <row r="722" spans="1:11" x14ac:dyDescent="0.3">
      <c r="A722">
        <f>LOOKUP(9E+307,--MID(D722,1,{1,2,3,4,5}))</f>
        <v>2.5</v>
      </c>
      <c r="B722">
        <f>VLOOKUP(MID(D722,LOOKUP(2,1/ISNUMBER(-MID(D722,1,{1,2,3,4,5})),{1,2,3,4,5})+1,9),'Hue codes'!$A$1:$B$10,2,FALSE)</f>
        <v>80</v>
      </c>
      <c r="C722">
        <f t="shared" si="23"/>
        <v>82.5</v>
      </c>
      <c r="D722" s="162" t="s">
        <v>53</v>
      </c>
      <c r="E722" s="162">
        <v>5</v>
      </c>
      <c r="F722" s="162">
        <v>10</v>
      </c>
      <c r="G722" s="164">
        <v>0.54759999999999998</v>
      </c>
      <c r="H722" s="164">
        <v>0.42320000000000002</v>
      </c>
      <c r="I722" s="164">
        <v>0.70950000000000002</v>
      </c>
      <c r="J722" s="1" t="str">
        <f>HYPERLINK(SetRGB(J722,G722*255,H722*255,I722*255),"HOVER!")</f>
        <v>HOVER!</v>
      </c>
      <c r="K722">
        <f t="shared" si="22"/>
        <v>0.5</v>
      </c>
    </row>
    <row r="723" spans="1:11" x14ac:dyDescent="0.3">
      <c r="A723">
        <f>LOOKUP(9E+307,--MID(D723,1,{1,2,3,4,5}))</f>
        <v>2.5</v>
      </c>
      <c r="B723">
        <f>VLOOKUP(MID(D723,LOOKUP(2,1/ISNUMBER(-MID(D723,1,{1,2,3,4,5})),{1,2,3,4,5})+1,9),'Hue codes'!$A$1:$B$10,2,FALSE)</f>
        <v>80</v>
      </c>
      <c r="C723">
        <f t="shared" si="23"/>
        <v>82.5</v>
      </c>
      <c r="D723" s="162" t="s">
        <v>53</v>
      </c>
      <c r="E723" s="162">
        <v>5</v>
      </c>
      <c r="F723" s="162">
        <v>12</v>
      </c>
      <c r="G723" s="164">
        <v>0.56510000000000005</v>
      </c>
      <c r="H723" s="164">
        <v>0.40589999999999998</v>
      </c>
      <c r="I723" s="164">
        <v>0.75219999999999998</v>
      </c>
      <c r="J723" s="1" t="str">
        <f>HYPERLINK(SetRGB(J723,G723*255,H723*255,I723*255),"HOVER!")</f>
        <v>HOVER!</v>
      </c>
      <c r="K723">
        <f t="shared" si="22"/>
        <v>0.41666666666666669</v>
      </c>
    </row>
    <row r="724" spans="1:11" x14ac:dyDescent="0.3">
      <c r="A724">
        <f>LOOKUP(9E+307,--MID(D724,1,{1,2,3,4,5}))</f>
        <v>2.5</v>
      </c>
      <c r="B724">
        <f>VLOOKUP(MID(D724,LOOKUP(2,1/ISNUMBER(-MID(D724,1,{1,2,3,4,5})),{1,2,3,4,5})+1,9),'Hue codes'!$A$1:$B$10,2,FALSE)</f>
        <v>80</v>
      </c>
      <c r="C724">
        <f t="shared" si="23"/>
        <v>82.5</v>
      </c>
      <c r="D724" s="162" t="s">
        <v>53</v>
      </c>
      <c r="E724" s="162">
        <v>5</v>
      </c>
      <c r="F724" s="162">
        <v>14</v>
      </c>
      <c r="G724" s="164">
        <v>0.58240000000000003</v>
      </c>
      <c r="H724" s="164">
        <v>0.38740000000000002</v>
      </c>
      <c r="I724" s="164">
        <v>0.79200000000000004</v>
      </c>
      <c r="J724" s="1" t="str">
        <f>HYPERLINK(SetRGB(J724,G724*255,H724*255,I724*255),"HOVER!")</f>
        <v>HOVER!</v>
      </c>
      <c r="K724">
        <f t="shared" si="22"/>
        <v>0.35714285714285715</v>
      </c>
    </row>
    <row r="725" spans="1:11" x14ac:dyDescent="0.3">
      <c r="A725">
        <f>LOOKUP(9E+307,--MID(D725,1,{1,2,3,4,5}))</f>
        <v>2.5</v>
      </c>
      <c r="B725">
        <f>VLOOKUP(MID(D725,LOOKUP(2,1/ISNUMBER(-MID(D725,1,{1,2,3,4,5})),{1,2,3,4,5})+1,9),'Hue codes'!$A$1:$B$10,2,FALSE)</f>
        <v>80</v>
      </c>
      <c r="C725">
        <f t="shared" si="23"/>
        <v>82.5</v>
      </c>
      <c r="D725" s="162" t="s">
        <v>53</v>
      </c>
      <c r="E725" s="162">
        <v>5</v>
      </c>
      <c r="F725" s="162">
        <v>16</v>
      </c>
      <c r="G725" s="164">
        <v>0.60050000000000003</v>
      </c>
      <c r="H725" s="164">
        <v>0.3659</v>
      </c>
      <c r="I725" s="164">
        <v>0.83260000000000001</v>
      </c>
      <c r="J725" s="1" t="str">
        <f>HYPERLINK(SetRGB(J725,G725*255,H725*255,I725*255),"HOVER!")</f>
        <v>HOVER!</v>
      </c>
      <c r="K725">
        <f t="shared" si="22"/>
        <v>0.3125</v>
      </c>
    </row>
    <row r="726" spans="1:11" x14ac:dyDescent="0.3">
      <c r="A726">
        <f>LOOKUP(9E+307,--MID(D726,1,{1,2,3,4,5}))</f>
        <v>2.5</v>
      </c>
      <c r="B726">
        <f>VLOOKUP(MID(D726,LOOKUP(2,1/ISNUMBER(-MID(D726,1,{1,2,3,4,5})),{1,2,3,4,5})+1,9),'Hue codes'!$A$1:$B$10,2,FALSE)</f>
        <v>80</v>
      </c>
      <c r="C726">
        <f t="shared" si="23"/>
        <v>82.5</v>
      </c>
      <c r="D726" s="162" t="s">
        <v>53</v>
      </c>
      <c r="E726" s="162">
        <v>5</v>
      </c>
      <c r="F726" s="162">
        <v>18</v>
      </c>
      <c r="G726" s="164">
        <v>0.61770000000000003</v>
      </c>
      <c r="H726" s="164">
        <v>0.34300000000000003</v>
      </c>
      <c r="I726" s="164">
        <v>0.87060000000000004</v>
      </c>
      <c r="J726" s="1" t="str">
        <f>HYPERLINK(SetRGB(J726,G726*255,H726*255,I726*255),"HOVER!")</f>
        <v>HOVER!</v>
      </c>
      <c r="K726">
        <f t="shared" si="22"/>
        <v>0.27777777777777779</v>
      </c>
    </row>
    <row r="727" spans="1:11" x14ac:dyDescent="0.3">
      <c r="A727">
        <f>LOOKUP(9E+307,--MID(D727,1,{1,2,3,4,5}))</f>
        <v>2.5</v>
      </c>
      <c r="B727">
        <f>VLOOKUP(MID(D727,LOOKUP(2,1/ISNUMBER(-MID(D727,1,{1,2,3,4,5})),{1,2,3,4,5})+1,9),'Hue codes'!$A$1:$B$10,2,FALSE)</f>
        <v>80</v>
      </c>
      <c r="C727">
        <f t="shared" si="23"/>
        <v>82.5</v>
      </c>
      <c r="D727" s="162" t="s">
        <v>53</v>
      </c>
      <c r="E727" s="162">
        <v>5</v>
      </c>
      <c r="F727" s="162">
        <v>20</v>
      </c>
      <c r="G727" s="164">
        <v>0.63770000000000004</v>
      </c>
      <c r="H727" s="164">
        <v>0.31319999999999998</v>
      </c>
      <c r="I727" s="164">
        <v>0.91239999999999999</v>
      </c>
      <c r="J727" s="1" t="str">
        <f>HYPERLINK(SetRGB(J727,G727*255,H727*255,I727*255),"HOVER!")</f>
        <v>HOVER!</v>
      </c>
      <c r="K727">
        <f t="shared" si="22"/>
        <v>0.25</v>
      </c>
    </row>
    <row r="728" spans="1:11" x14ac:dyDescent="0.3">
      <c r="A728">
        <f>LOOKUP(9E+307,--MID(D728,1,{1,2,3,4,5}))</f>
        <v>2.5</v>
      </c>
      <c r="B728">
        <f>VLOOKUP(MID(D728,LOOKUP(2,1/ISNUMBER(-MID(D728,1,{1,2,3,4,5})),{1,2,3,4,5})+1,9),'Hue codes'!$A$1:$B$10,2,FALSE)</f>
        <v>80</v>
      </c>
      <c r="C728">
        <f t="shared" si="23"/>
        <v>82.5</v>
      </c>
      <c r="D728" s="162" t="s">
        <v>53</v>
      </c>
      <c r="E728" s="162">
        <v>5</v>
      </c>
      <c r="F728" s="162">
        <v>22</v>
      </c>
      <c r="G728" s="164">
        <v>0.65780000000000005</v>
      </c>
      <c r="H728" s="164">
        <v>0.27729999999999999</v>
      </c>
      <c r="I728" s="164">
        <v>0.95469999999999999</v>
      </c>
      <c r="J728" s="1" t="str">
        <f>HYPERLINK(SetRGB(J728,G728*255,H728*255,I728*255),"HOVER!")</f>
        <v>HOVER!</v>
      </c>
      <c r="K728">
        <f t="shared" si="22"/>
        <v>0.22727272727272727</v>
      </c>
    </row>
    <row r="729" spans="1:11" x14ac:dyDescent="0.3">
      <c r="A729">
        <f>LOOKUP(9E+307,--MID(D729,1,{1,2,3,4,5}))</f>
        <v>2.5</v>
      </c>
      <c r="B729">
        <f>VLOOKUP(MID(D729,LOOKUP(2,1/ISNUMBER(-MID(D729,1,{1,2,3,4,5})),{1,2,3,4,5})+1,9),'Hue codes'!$A$1:$B$10,2,FALSE)</f>
        <v>80</v>
      </c>
      <c r="C729">
        <f t="shared" si="23"/>
        <v>82.5</v>
      </c>
      <c r="D729" s="162" t="s">
        <v>53</v>
      </c>
      <c r="E729" s="162">
        <v>5</v>
      </c>
      <c r="F729" s="162">
        <v>24</v>
      </c>
      <c r="G729" s="164">
        <v>0.6784</v>
      </c>
      <c r="H729" s="164">
        <v>0.2329</v>
      </c>
      <c r="I729" s="164">
        <v>0.99550000000000005</v>
      </c>
      <c r="J729" s="1" t="str">
        <f>HYPERLINK(SetRGB(J729,G729*255,H729*255,I729*255),"HOVER!")</f>
        <v>HOVER!</v>
      </c>
      <c r="K729">
        <f t="shared" si="22"/>
        <v>0.20833333333333334</v>
      </c>
    </row>
    <row r="730" spans="1:11" x14ac:dyDescent="0.3">
      <c r="A730">
        <f>LOOKUP(9E+307,--MID(D730,1,{1,2,3,4,5}))</f>
        <v>2.5</v>
      </c>
      <c r="B730">
        <f>VLOOKUP(MID(D730,LOOKUP(2,1/ISNUMBER(-MID(D730,1,{1,2,3,4,5})),{1,2,3,4,5})+1,9),'Hue codes'!$A$1:$B$10,2,FALSE)</f>
        <v>80</v>
      </c>
      <c r="C730">
        <f t="shared" si="23"/>
        <v>82.5</v>
      </c>
      <c r="D730" s="162" t="s">
        <v>53</v>
      </c>
      <c r="E730" s="162">
        <v>5</v>
      </c>
      <c r="F730" s="162">
        <v>26</v>
      </c>
      <c r="G730" s="164">
        <v>0.70050000000000001</v>
      </c>
      <c r="H730" s="164">
        <v>0.17100000000000001</v>
      </c>
      <c r="I730" s="164">
        <v>1</v>
      </c>
      <c r="J730" s="1" t="str">
        <f>HYPERLINK(SetRGB(J730,G730*255,H730*255,I730*255),"HOVER!")</f>
        <v>HOVER!</v>
      </c>
      <c r="K730">
        <f t="shared" si="22"/>
        <v>0.19230769230769232</v>
      </c>
    </row>
    <row r="731" spans="1:11" x14ac:dyDescent="0.3">
      <c r="A731">
        <f>LOOKUP(9E+307,--MID(D731,1,{1,2,3,4,5}))</f>
        <v>5</v>
      </c>
      <c r="B731">
        <f>VLOOKUP(MID(D731,LOOKUP(2,1/ISNUMBER(-MID(D731,1,{1,2,3,4,5})),{1,2,3,4,5})+1,9),'Hue codes'!$A$1:$B$10,2,FALSE)</f>
        <v>80</v>
      </c>
      <c r="C731">
        <f t="shared" si="23"/>
        <v>85</v>
      </c>
      <c r="D731" s="162" t="s">
        <v>54</v>
      </c>
      <c r="E731" s="162">
        <v>5</v>
      </c>
      <c r="F731" s="162">
        <v>2</v>
      </c>
      <c r="G731" s="164">
        <v>0.50309999999999999</v>
      </c>
      <c r="H731" s="164">
        <v>0.47049999999999997</v>
      </c>
      <c r="I731" s="164">
        <v>0.52249999999999996</v>
      </c>
      <c r="J731" s="1" t="str">
        <f>HYPERLINK(SetRGB(J731,G731*255,H731*255,I731*255),"HOVER!")</f>
        <v>HOVER!</v>
      </c>
      <c r="K731">
        <f t="shared" si="22"/>
        <v>2.5</v>
      </c>
    </row>
    <row r="732" spans="1:11" x14ac:dyDescent="0.3">
      <c r="A732">
        <f>LOOKUP(9E+307,--MID(D732,1,{1,2,3,4,5}))</f>
        <v>5</v>
      </c>
      <c r="B732">
        <f>VLOOKUP(MID(D732,LOOKUP(2,1/ISNUMBER(-MID(D732,1,{1,2,3,4,5})),{1,2,3,4,5})+1,9),'Hue codes'!$A$1:$B$10,2,FALSE)</f>
        <v>80</v>
      </c>
      <c r="C732">
        <f t="shared" si="23"/>
        <v>85</v>
      </c>
      <c r="D732" s="162" t="s">
        <v>54</v>
      </c>
      <c r="E732" s="162">
        <v>5</v>
      </c>
      <c r="F732" s="162">
        <v>4</v>
      </c>
      <c r="G732" s="164">
        <v>0.52490000000000003</v>
      </c>
      <c r="H732" s="164">
        <v>0.45729999999999998</v>
      </c>
      <c r="I732" s="164">
        <v>0.56499999999999995</v>
      </c>
      <c r="J732" s="1" t="str">
        <f>HYPERLINK(SetRGB(J732,G732*255,H732*255,I732*255),"HOVER!")</f>
        <v>HOVER!</v>
      </c>
      <c r="K732">
        <f t="shared" si="22"/>
        <v>1.25</v>
      </c>
    </row>
    <row r="733" spans="1:11" x14ac:dyDescent="0.3">
      <c r="A733">
        <f>LOOKUP(9E+307,--MID(D733,1,{1,2,3,4,5}))</f>
        <v>5</v>
      </c>
      <c r="B733">
        <f>VLOOKUP(MID(D733,LOOKUP(2,1/ISNUMBER(-MID(D733,1,{1,2,3,4,5})),{1,2,3,4,5})+1,9),'Hue codes'!$A$1:$B$10,2,FALSE)</f>
        <v>80</v>
      </c>
      <c r="C733">
        <f t="shared" si="23"/>
        <v>85</v>
      </c>
      <c r="D733" s="162" t="s">
        <v>54</v>
      </c>
      <c r="E733" s="162">
        <v>5</v>
      </c>
      <c r="F733" s="162">
        <v>6</v>
      </c>
      <c r="G733" s="164">
        <v>0.54749999999999999</v>
      </c>
      <c r="H733" s="164">
        <v>0.44240000000000002</v>
      </c>
      <c r="I733" s="164">
        <v>0.60709999999999997</v>
      </c>
      <c r="J733" s="1" t="str">
        <f>HYPERLINK(SetRGB(J733,G733*255,H733*255,I733*255),"HOVER!")</f>
        <v>HOVER!</v>
      </c>
      <c r="K733">
        <f t="shared" si="22"/>
        <v>0.83333333333333337</v>
      </c>
    </row>
    <row r="734" spans="1:11" x14ac:dyDescent="0.3">
      <c r="A734">
        <f>LOOKUP(9E+307,--MID(D734,1,{1,2,3,4,5}))</f>
        <v>5</v>
      </c>
      <c r="B734">
        <f>VLOOKUP(MID(D734,LOOKUP(2,1/ISNUMBER(-MID(D734,1,{1,2,3,4,5})),{1,2,3,4,5})+1,9),'Hue codes'!$A$1:$B$10,2,FALSE)</f>
        <v>80</v>
      </c>
      <c r="C734">
        <f t="shared" si="23"/>
        <v>85</v>
      </c>
      <c r="D734" s="162" t="s">
        <v>54</v>
      </c>
      <c r="E734" s="162">
        <v>5</v>
      </c>
      <c r="F734" s="162">
        <v>8</v>
      </c>
      <c r="G734" s="164">
        <v>0.57069999999999999</v>
      </c>
      <c r="H734" s="164">
        <v>0.42559999999999998</v>
      </c>
      <c r="I734" s="164">
        <v>0.64790000000000003</v>
      </c>
      <c r="J734" s="1" t="str">
        <f>HYPERLINK(SetRGB(J734,G734*255,H734*255,I734*255),"HOVER!")</f>
        <v>HOVER!</v>
      </c>
      <c r="K734">
        <f t="shared" si="22"/>
        <v>0.625</v>
      </c>
    </row>
    <row r="735" spans="1:11" x14ac:dyDescent="0.3">
      <c r="A735">
        <f>LOOKUP(9E+307,--MID(D735,1,{1,2,3,4,5}))</f>
        <v>5</v>
      </c>
      <c r="B735">
        <f>VLOOKUP(MID(D735,LOOKUP(2,1/ISNUMBER(-MID(D735,1,{1,2,3,4,5})),{1,2,3,4,5})+1,9),'Hue codes'!$A$1:$B$10,2,FALSE)</f>
        <v>80</v>
      </c>
      <c r="C735">
        <f t="shared" si="23"/>
        <v>85</v>
      </c>
      <c r="D735" s="162" t="s">
        <v>54</v>
      </c>
      <c r="E735" s="162">
        <v>5</v>
      </c>
      <c r="F735" s="162">
        <v>10</v>
      </c>
      <c r="G735" s="164">
        <v>0.59189999999999998</v>
      </c>
      <c r="H735" s="164">
        <v>0.40870000000000001</v>
      </c>
      <c r="I735" s="164">
        <v>0.6845</v>
      </c>
      <c r="J735" s="1" t="str">
        <f>HYPERLINK(SetRGB(J735,G735*255,H735*255,I735*255),"HOVER!")</f>
        <v>HOVER!</v>
      </c>
      <c r="K735">
        <f t="shared" si="22"/>
        <v>0.5</v>
      </c>
    </row>
    <row r="736" spans="1:11" x14ac:dyDescent="0.3">
      <c r="A736">
        <f>LOOKUP(9E+307,--MID(D736,1,{1,2,3,4,5}))</f>
        <v>5</v>
      </c>
      <c r="B736">
        <f>VLOOKUP(MID(D736,LOOKUP(2,1/ISNUMBER(-MID(D736,1,{1,2,3,4,5})),{1,2,3,4,5})+1,9),'Hue codes'!$A$1:$B$10,2,FALSE)</f>
        <v>80</v>
      </c>
      <c r="C736">
        <f t="shared" si="23"/>
        <v>85</v>
      </c>
      <c r="D736" s="162" t="s">
        <v>54</v>
      </c>
      <c r="E736" s="162">
        <v>5</v>
      </c>
      <c r="F736" s="162">
        <v>12</v>
      </c>
      <c r="G736" s="164">
        <v>0.61580000000000001</v>
      </c>
      <c r="H736" s="164">
        <v>0.38750000000000001</v>
      </c>
      <c r="I736" s="164">
        <v>0.72419999999999995</v>
      </c>
      <c r="J736" s="1" t="str">
        <f>HYPERLINK(SetRGB(J736,G736*255,H736*255,I736*255),"HOVER!")</f>
        <v>HOVER!</v>
      </c>
      <c r="K736">
        <f t="shared" si="22"/>
        <v>0.41666666666666669</v>
      </c>
    </row>
    <row r="737" spans="1:11" x14ac:dyDescent="0.3">
      <c r="A737">
        <f>LOOKUP(9E+307,--MID(D737,1,{1,2,3,4,5}))</f>
        <v>5</v>
      </c>
      <c r="B737">
        <f>VLOOKUP(MID(D737,LOOKUP(2,1/ISNUMBER(-MID(D737,1,{1,2,3,4,5})),{1,2,3,4,5})+1,9),'Hue codes'!$A$1:$B$10,2,FALSE)</f>
        <v>80</v>
      </c>
      <c r="C737">
        <f t="shared" si="23"/>
        <v>85</v>
      </c>
      <c r="D737" s="162" t="s">
        <v>54</v>
      </c>
      <c r="E737" s="162">
        <v>5</v>
      </c>
      <c r="F737" s="162">
        <v>14</v>
      </c>
      <c r="G737" s="164">
        <v>0.63749999999999996</v>
      </c>
      <c r="H737" s="164">
        <v>0.36609999999999998</v>
      </c>
      <c r="I737" s="164">
        <v>0.75900000000000001</v>
      </c>
      <c r="J737" s="1" t="str">
        <f>HYPERLINK(SetRGB(J737,G737*255,H737*255,I737*255),"HOVER!")</f>
        <v>HOVER!</v>
      </c>
      <c r="K737">
        <f t="shared" si="22"/>
        <v>0.35714285714285715</v>
      </c>
    </row>
    <row r="738" spans="1:11" x14ac:dyDescent="0.3">
      <c r="A738">
        <f>LOOKUP(9E+307,--MID(D738,1,{1,2,3,4,5}))</f>
        <v>5</v>
      </c>
      <c r="B738">
        <f>VLOOKUP(MID(D738,LOOKUP(2,1/ISNUMBER(-MID(D738,1,{1,2,3,4,5})),{1,2,3,4,5})+1,9),'Hue codes'!$A$1:$B$10,2,FALSE)</f>
        <v>80</v>
      </c>
      <c r="C738">
        <f t="shared" si="23"/>
        <v>85</v>
      </c>
      <c r="D738" s="162" t="s">
        <v>54</v>
      </c>
      <c r="E738" s="162">
        <v>5</v>
      </c>
      <c r="F738" s="162">
        <v>16</v>
      </c>
      <c r="G738" s="164">
        <v>0.66110000000000002</v>
      </c>
      <c r="H738" s="164">
        <v>0.33960000000000001</v>
      </c>
      <c r="I738" s="164">
        <v>0.79649999999999999</v>
      </c>
      <c r="J738" s="1" t="str">
        <f>HYPERLINK(SetRGB(J738,G738*255,H738*255,I738*255),"HOVER!")</f>
        <v>HOVER!</v>
      </c>
      <c r="K738">
        <f t="shared" si="22"/>
        <v>0.3125</v>
      </c>
    </row>
    <row r="739" spans="1:11" x14ac:dyDescent="0.3">
      <c r="A739">
        <f>LOOKUP(9E+307,--MID(D739,1,{1,2,3,4,5}))</f>
        <v>5</v>
      </c>
      <c r="B739">
        <f>VLOOKUP(MID(D739,LOOKUP(2,1/ISNUMBER(-MID(D739,1,{1,2,3,4,5})),{1,2,3,4,5})+1,9),'Hue codes'!$A$1:$B$10,2,FALSE)</f>
        <v>80</v>
      </c>
      <c r="C739">
        <f t="shared" si="23"/>
        <v>85</v>
      </c>
      <c r="D739" s="162" t="s">
        <v>54</v>
      </c>
      <c r="E739" s="162">
        <v>5</v>
      </c>
      <c r="F739" s="162">
        <v>18</v>
      </c>
      <c r="G739" s="164">
        <v>0.68440000000000001</v>
      </c>
      <c r="H739" s="164">
        <v>0.30959999999999999</v>
      </c>
      <c r="I739" s="164">
        <v>0.83220000000000005</v>
      </c>
      <c r="J739" s="1" t="str">
        <f>HYPERLINK(SetRGB(J739,G739*255,H739*255,I739*255),"HOVER!")</f>
        <v>HOVER!</v>
      </c>
      <c r="K739">
        <f t="shared" si="22"/>
        <v>0.27777777777777779</v>
      </c>
    </row>
    <row r="740" spans="1:11" x14ac:dyDescent="0.3">
      <c r="A740">
        <f>LOOKUP(9E+307,--MID(D740,1,{1,2,3,4,5}))</f>
        <v>5</v>
      </c>
      <c r="B740">
        <f>VLOOKUP(MID(D740,LOOKUP(2,1/ISNUMBER(-MID(D740,1,{1,2,3,4,5})),{1,2,3,4,5})+1,9),'Hue codes'!$A$1:$B$10,2,FALSE)</f>
        <v>80</v>
      </c>
      <c r="C740">
        <f t="shared" si="23"/>
        <v>85</v>
      </c>
      <c r="D740" s="162" t="s">
        <v>54</v>
      </c>
      <c r="E740" s="162">
        <v>5</v>
      </c>
      <c r="F740" s="162">
        <v>20</v>
      </c>
      <c r="G740" s="164">
        <v>0.70799999999999996</v>
      </c>
      <c r="H740" s="164">
        <v>0.27360000000000001</v>
      </c>
      <c r="I740" s="164">
        <v>0.8679</v>
      </c>
      <c r="J740" s="1" t="str">
        <f>HYPERLINK(SetRGB(J740,G740*255,H740*255,I740*255),"HOVER!")</f>
        <v>HOVER!</v>
      </c>
      <c r="K740">
        <f t="shared" si="22"/>
        <v>0.25</v>
      </c>
    </row>
    <row r="741" spans="1:11" x14ac:dyDescent="0.3">
      <c r="A741">
        <f>LOOKUP(9E+307,--MID(D741,1,{1,2,3,4,5}))</f>
        <v>5</v>
      </c>
      <c r="B741">
        <f>VLOOKUP(MID(D741,LOOKUP(2,1/ISNUMBER(-MID(D741,1,{1,2,3,4,5})),{1,2,3,4,5})+1,9),'Hue codes'!$A$1:$B$10,2,FALSE)</f>
        <v>80</v>
      </c>
      <c r="C741">
        <f t="shared" si="23"/>
        <v>85</v>
      </c>
      <c r="D741" s="162" t="s">
        <v>54</v>
      </c>
      <c r="E741" s="162">
        <v>5</v>
      </c>
      <c r="F741" s="162">
        <v>22</v>
      </c>
      <c r="G741" s="164">
        <v>0.73370000000000002</v>
      </c>
      <c r="H741" s="164">
        <v>0.22509999999999999</v>
      </c>
      <c r="I741" s="164">
        <v>0.90510000000000002</v>
      </c>
      <c r="J741" s="1" t="str">
        <f>HYPERLINK(SetRGB(J741,G741*255,H741*255,I741*255),"HOVER!")</f>
        <v>HOVER!</v>
      </c>
      <c r="K741">
        <f t="shared" si="22"/>
        <v>0.22727272727272727</v>
      </c>
    </row>
    <row r="742" spans="1:11" x14ac:dyDescent="0.3">
      <c r="A742">
        <f>LOOKUP(9E+307,--MID(D742,1,{1,2,3,4,5}))</f>
        <v>5</v>
      </c>
      <c r="B742">
        <f>VLOOKUP(MID(D742,LOOKUP(2,1/ISNUMBER(-MID(D742,1,{1,2,3,4,5})),{1,2,3,4,5})+1,9),'Hue codes'!$A$1:$B$10,2,FALSE)</f>
        <v>80</v>
      </c>
      <c r="C742">
        <f t="shared" si="23"/>
        <v>85</v>
      </c>
      <c r="D742" s="162" t="s">
        <v>54</v>
      </c>
      <c r="E742" s="162">
        <v>5</v>
      </c>
      <c r="F742" s="162">
        <v>24</v>
      </c>
      <c r="G742" s="164">
        <v>0.75929999999999997</v>
      </c>
      <c r="H742" s="164">
        <v>0.156</v>
      </c>
      <c r="I742" s="164">
        <v>0.94279999999999997</v>
      </c>
      <c r="J742" s="1" t="str">
        <f>HYPERLINK(SetRGB(J742,G742*255,H742*255,I742*255),"HOVER!")</f>
        <v>HOVER!</v>
      </c>
      <c r="K742">
        <f t="shared" si="22"/>
        <v>0.20833333333333334</v>
      </c>
    </row>
    <row r="743" spans="1:11" x14ac:dyDescent="0.3">
      <c r="A743">
        <f>LOOKUP(9E+307,--MID(D743,1,{1,2,3,4,5}))</f>
        <v>5</v>
      </c>
      <c r="B743">
        <f>VLOOKUP(MID(D743,LOOKUP(2,1/ISNUMBER(-MID(D743,1,{1,2,3,4,5})),{1,2,3,4,5})+1,9),'Hue codes'!$A$1:$B$10,2,FALSE)</f>
        <v>80</v>
      </c>
      <c r="C743">
        <f t="shared" si="23"/>
        <v>85</v>
      </c>
      <c r="D743" s="162" t="s">
        <v>54</v>
      </c>
      <c r="E743" s="162">
        <v>5</v>
      </c>
      <c r="F743" s="162">
        <v>26</v>
      </c>
      <c r="G743" s="164">
        <v>0.78359999999999996</v>
      </c>
      <c r="H743" s="164">
        <v>3.5999999999999999E-3</v>
      </c>
      <c r="I743" s="164">
        <v>0.97760000000000002</v>
      </c>
      <c r="J743" s="1" t="str">
        <f>HYPERLINK(SetRGB(J743,G743*255,H743*255,I743*255),"HOVER!")</f>
        <v>HOVER!</v>
      </c>
      <c r="K743">
        <f t="shared" si="22"/>
        <v>0.19230769230769232</v>
      </c>
    </row>
    <row r="744" spans="1:11" x14ac:dyDescent="0.3">
      <c r="A744">
        <f>LOOKUP(9E+307,--MID(D744,1,{1,2,3,4,5}))</f>
        <v>7.5</v>
      </c>
      <c r="B744">
        <f>VLOOKUP(MID(D744,LOOKUP(2,1/ISNUMBER(-MID(D744,1,{1,2,3,4,5})),{1,2,3,4,5})+1,9),'Hue codes'!$A$1:$B$10,2,FALSE)</f>
        <v>80</v>
      </c>
      <c r="C744">
        <f t="shared" si="23"/>
        <v>87.5</v>
      </c>
      <c r="D744" s="162" t="s">
        <v>55</v>
      </c>
      <c r="E744" s="162">
        <v>5</v>
      </c>
      <c r="F744" s="162">
        <v>2</v>
      </c>
      <c r="G744" s="164">
        <v>0.51359999999999995</v>
      </c>
      <c r="H744" s="164">
        <v>0.46810000000000002</v>
      </c>
      <c r="I744" s="164">
        <v>0.51370000000000005</v>
      </c>
      <c r="J744" s="1" t="str">
        <f>HYPERLINK(SetRGB(J744,G744*255,H744*255,I744*255),"HOVER!")</f>
        <v>HOVER!</v>
      </c>
      <c r="K744">
        <f t="shared" si="22"/>
        <v>2.5</v>
      </c>
    </row>
    <row r="745" spans="1:11" x14ac:dyDescent="0.3">
      <c r="A745">
        <f>LOOKUP(9E+307,--MID(D745,1,{1,2,3,4,5}))</f>
        <v>7.5</v>
      </c>
      <c r="B745">
        <f>VLOOKUP(MID(D745,LOOKUP(2,1/ISNUMBER(-MID(D745,1,{1,2,3,4,5})),{1,2,3,4,5})+1,9),'Hue codes'!$A$1:$B$10,2,FALSE)</f>
        <v>80</v>
      </c>
      <c r="C745">
        <f t="shared" si="23"/>
        <v>87.5</v>
      </c>
      <c r="D745" s="162" t="s">
        <v>55</v>
      </c>
      <c r="E745" s="162">
        <v>5</v>
      </c>
      <c r="F745" s="162">
        <v>4</v>
      </c>
      <c r="G745" s="164">
        <v>0.54679999999999995</v>
      </c>
      <c r="H745" s="164">
        <v>0.45150000000000001</v>
      </c>
      <c r="I745" s="164">
        <v>0.54900000000000004</v>
      </c>
      <c r="J745" s="1" t="str">
        <f>HYPERLINK(SetRGB(J745,G745*255,H745*255,I745*255),"HOVER!")</f>
        <v>HOVER!</v>
      </c>
      <c r="K745">
        <f t="shared" si="22"/>
        <v>1.25</v>
      </c>
    </row>
    <row r="746" spans="1:11" x14ac:dyDescent="0.3">
      <c r="A746">
        <f>LOOKUP(9E+307,--MID(D746,1,{1,2,3,4,5}))</f>
        <v>7.5</v>
      </c>
      <c r="B746">
        <f>VLOOKUP(MID(D746,LOOKUP(2,1/ISNUMBER(-MID(D746,1,{1,2,3,4,5})),{1,2,3,4,5})+1,9),'Hue codes'!$A$1:$B$10,2,FALSE)</f>
        <v>80</v>
      </c>
      <c r="C746">
        <f t="shared" si="23"/>
        <v>87.5</v>
      </c>
      <c r="D746" s="162" t="s">
        <v>55</v>
      </c>
      <c r="E746" s="162">
        <v>5</v>
      </c>
      <c r="F746" s="162">
        <v>6</v>
      </c>
      <c r="G746" s="164">
        <v>0.57889999999999997</v>
      </c>
      <c r="H746" s="164">
        <v>0.43309999999999998</v>
      </c>
      <c r="I746" s="164">
        <v>0.58430000000000004</v>
      </c>
      <c r="J746" s="1" t="str">
        <f>HYPERLINK(SetRGB(J746,G746*255,H746*255,I746*255),"HOVER!")</f>
        <v>HOVER!</v>
      </c>
      <c r="K746">
        <f t="shared" si="22"/>
        <v>0.83333333333333337</v>
      </c>
    </row>
    <row r="747" spans="1:11" x14ac:dyDescent="0.3">
      <c r="A747">
        <f>LOOKUP(9E+307,--MID(D747,1,{1,2,3,4,5}))</f>
        <v>7.5</v>
      </c>
      <c r="B747">
        <f>VLOOKUP(MID(D747,LOOKUP(2,1/ISNUMBER(-MID(D747,1,{1,2,3,4,5})),{1,2,3,4,5})+1,9),'Hue codes'!$A$1:$B$10,2,FALSE)</f>
        <v>80</v>
      </c>
      <c r="C747">
        <f t="shared" si="23"/>
        <v>87.5</v>
      </c>
      <c r="D747" s="162" t="s">
        <v>55</v>
      </c>
      <c r="E747" s="162">
        <v>5</v>
      </c>
      <c r="F747" s="162">
        <v>8</v>
      </c>
      <c r="G747" s="164">
        <v>0.61099999999999999</v>
      </c>
      <c r="H747" s="164">
        <v>0.41220000000000001</v>
      </c>
      <c r="I747" s="164">
        <v>0.61929999999999996</v>
      </c>
      <c r="J747" s="1" t="str">
        <f>HYPERLINK(SetRGB(J747,G747*255,H747*255,I747*255),"HOVER!")</f>
        <v>HOVER!</v>
      </c>
      <c r="K747">
        <f t="shared" si="22"/>
        <v>0.625</v>
      </c>
    </row>
    <row r="748" spans="1:11" x14ac:dyDescent="0.3">
      <c r="A748">
        <f>LOOKUP(9E+307,--MID(D748,1,{1,2,3,4,5}))</f>
        <v>7.5</v>
      </c>
      <c r="B748">
        <f>VLOOKUP(MID(D748,LOOKUP(2,1/ISNUMBER(-MID(D748,1,{1,2,3,4,5})),{1,2,3,4,5})+1,9),'Hue codes'!$A$1:$B$10,2,FALSE)</f>
        <v>80</v>
      </c>
      <c r="C748">
        <f t="shared" si="23"/>
        <v>87.5</v>
      </c>
      <c r="D748" s="162" t="s">
        <v>55</v>
      </c>
      <c r="E748" s="162">
        <v>5</v>
      </c>
      <c r="F748" s="162">
        <v>10</v>
      </c>
      <c r="G748" s="164">
        <v>0.63829999999999998</v>
      </c>
      <c r="H748" s="164">
        <v>0.39200000000000002</v>
      </c>
      <c r="I748" s="164">
        <v>0.64959999999999996</v>
      </c>
      <c r="J748" s="1" t="str">
        <f>HYPERLINK(SetRGB(J748,G748*255,H748*255,I748*255),"HOVER!")</f>
        <v>HOVER!</v>
      </c>
      <c r="K748">
        <f t="shared" si="22"/>
        <v>0.5</v>
      </c>
    </row>
    <row r="749" spans="1:11" x14ac:dyDescent="0.3">
      <c r="A749">
        <f>LOOKUP(9E+307,--MID(D749,1,{1,2,3,4,5}))</f>
        <v>7.5</v>
      </c>
      <c r="B749">
        <f>VLOOKUP(MID(D749,LOOKUP(2,1/ISNUMBER(-MID(D749,1,{1,2,3,4,5})),{1,2,3,4,5})+1,9),'Hue codes'!$A$1:$B$10,2,FALSE)</f>
        <v>80</v>
      </c>
      <c r="C749">
        <f t="shared" si="23"/>
        <v>87.5</v>
      </c>
      <c r="D749" s="162" t="s">
        <v>55</v>
      </c>
      <c r="E749" s="162">
        <v>5</v>
      </c>
      <c r="F749" s="162">
        <v>12</v>
      </c>
      <c r="G749" s="164">
        <v>0.66820000000000002</v>
      </c>
      <c r="H749" s="164">
        <v>0.36659999999999998</v>
      </c>
      <c r="I749" s="164">
        <v>0.68330000000000002</v>
      </c>
      <c r="J749" s="1" t="str">
        <f>HYPERLINK(SetRGB(J749,G749*255,H749*255,I749*255),"HOVER!")</f>
        <v>HOVER!</v>
      </c>
      <c r="K749">
        <f t="shared" si="22"/>
        <v>0.41666666666666669</v>
      </c>
    </row>
    <row r="750" spans="1:11" x14ac:dyDescent="0.3">
      <c r="A750">
        <f>LOOKUP(9E+307,--MID(D750,1,{1,2,3,4,5}))</f>
        <v>7.5</v>
      </c>
      <c r="B750">
        <f>VLOOKUP(MID(D750,LOOKUP(2,1/ISNUMBER(-MID(D750,1,{1,2,3,4,5})),{1,2,3,4,5})+1,9),'Hue codes'!$A$1:$B$10,2,FALSE)</f>
        <v>80</v>
      </c>
      <c r="C750">
        <f t="shared" si="23"/>
        <v>87.5</v>
      </c>
      <c r="D750" s="162" t="s">
        <v>55</v>
      </c>
      <c r="E750" s="162">
        <v>5</v>
      </c>
      <c r="F750" s="162">
        <v>14</v>
      </c>
      <c r="G750" s="164">
        <v>0.69730000000000003</v>
      </c>
      <c r="H750" s="164">
        <v>0.33839999999999998</v>
      </c>
      <c r="I750" s="164">
        <v>0.71409999999999996</v>
      </c>
      <c r="J750" s="1" t="str">
        <f>HYPERLINK(SetRGB(J750,G750*255,H750*255,I750*255),"HOVER!")</f>
        <v>HOVER!</v>
      </c>
      <c r="K750">
        <f t="shared" si="22"/>
        <v>0.35714285714285715</v>
      </c>
    </row>
    <row r="751" spans="1:11" x14ac:dyDescent="0.3">
      <c r="A751">
        <f>LOOKUP(9E+307,--MID(D751,1,{1,2,3,4,5}))</f>
        <v>7.5</v>
      </c>
      <c r="B751">
        <f>VLOOKUP(MID(D751,LOOKUP(2,1/ISNUMBER(-MID(D751,1,{1,2,3,4,5})),{1,2,3,4,5})+1,9),'Hue codes'!$A$1:$B$10,2,FALSE)</f>
        <v>80</v>
      </c>
      <c r="C751">
        <f t="shared" si="23"/>
        <v>87.5</v>
      </c>
      <c r="D751" s="162" t="s">
        <v>55</v>
      </c>
      <c r="E751" s="162">
        <v>5</v>
      </c>
      <c r="F751" s="162">
        <v>16</v>
      </c>
      <c r="G751" s="164">
        <v>0.72519999999999996</v>
      </c>
      <c r="H751" s="164">
        <v>0.30609999999999998</v>
      </c>
      <c r="I751" s="164">
        <v>0.74560000000000004</v>
      </c>
      <c r="J751" s="1" t="str">
        <f>HYPERLINK(SetRGB(J751,G751*255,H751*255,I751*255),"HOVER!")</f>
        <v>HOVER!</v>
      </c>
      <c r="K751">
        <f t="shared" si="22"/>
        <v>0.3125</v>
      </c>
    </row>
    <row r="752" spans="1:11" x14ac:dyDescent="0.3">
      <c r="A752">
        <f>LOOKUP(9E+307,--MID(D752,1,{1,2,3,4,5}))</f>
        <v>7.5</v>
      </c>
      <c r="B752">
        <f>VLOOKUP(MID(D752,LOOKUP(2,1/ISNUMBER(-MID(D752,1,{1,2,3,4,5})),{1,2,3,4,5})+1,9),'Hue codes'!$A$1:$B$10,2,FALSE)</f>
        <v>80</v>
      </c>
      <c r="C752">
        <f t="shared" si="23"/>
        <v>87.5</v>
      </c>
      <c r="D752" s="162" t="s">
        <v>55</v>
      </c>
      <c r="E752" s="162">
        <v>5</v>
      </c>
      <c r="F752" s="162">
        <v>18</v>
      </c>
      <c r="G752" s="164">
        <v>0.75490000000000002</v>
      </c>
      <c r="H752" s="164">
        <v>0.26429999999999998</v>
      </c>
      <c r="I752" s="164">
        <v>0.77890000000000004</v>
      </c>
      <c r="J752" s="1" t="str">
        <f>HYPERLINK(SetRGB(J752,G752*255,H752*255,I752*255),"HOVER!")</f>
        <v>HOVER!</v>
      </c>
      <c r="K752">
        <f t="shared" si="22"/>
        <v>0.27777777777777779</v>
      </c>
    </row>
    <row r="753" spans="1:11" x14ac:dyDescent="0.3">
      <c r="A753">
        <f>LOOKUP(9E+307,--MID(D753,1,{1,2,3,4,5}))</f>
        <v>7.5</v>
      </c>
      <c r="B753">
        <f>VLOOKUP(MID(D753,LOOKUP(2,1/ISNUMBER(-MID(D753,1,{1,2,3,4,5})),{1,2,3,4,5})+1,9),'Hue codes'!$A$1:$B$10,2,FALSE)</f>
        <v>80</v>
      </c>
      <c r="C753">
        <f t="shared" si="23"/>
        <v>87.5</v>
      </c>
      <c r="D753" s="162" t="s">
        <v>55</v>
      </c>
      <c r="E753" s="162">
        <v>5</v>
      </c>
      <c r="F753" s="162">
        <v>20</v>
      </c>
      <c r="G753" s="164">
        <v>0.78249999999999997</v>
      </c>
      <c r="H753" s="164">
        <v>0.2137</v>
      </c>
      <c r="I753" s="164">
        <v>0.81079999999999997</v>
      </c>
      <c r="J753" s="1" t="str">
        <f>HYPERLINK(SetRGB(J753,G753*255,H753*255,I753*255),"HOVER!")</f>
        <v>HOVER!</v>
      </c>
      <c r="K753">
        <f t="shared" si="22"/>
        <v>0.25</v>
      </c>
    </row>
    <row r="754" spans="1:11" x14ac:dyDescent="0.3">
      <c r="A754">
        <f>LOOKUP(9E+307,--MID(D754,1,{1,2,3,4,5}))</f>
        <v>7.5</v>
      </c>
      <c r="B754">
        <f>VLOOKUP(MID(D754,LOOKUP(2,1/ISNUMBER(-MID(D754,1,{1,2,3,4,5})),{1,2,3,4,5})+1,9),'Hue codes'!$A$1:$B$10,2,FALSE)</f>
        <v>80</v>
      </c>
      <c r="C754">
        <f t="shared" si="23"/>
        <v>87.5</v>
      </c>
      <c r="D754" s="162" t="s">
        <v>55</v>
      </c>
      <c r="E754" s="162">
        <v>5</v>
      </c>
      <c r="F754" s="162">
        <v>22</v>
      </c>
      <c r="G754" s="164">
        <v>0.8145</v>
      </c>
      <c r="H754" s="164">
        <v>0.12590000000000001</v>
      </c>
      <c r="I754" s="164">
        <v>0.84519999999999995</v>
      </c>
      <c r="J754" s="1" t="str">
        <f>HYPERLINK(SetRGB(J754,G754*255,H754*255,I754*255),"HOVER!")</f>
        <v>HOVER!</v>
      </c>
      <c r="K754">
        <f t="shared" si="22"/>
        <v>0.22727272727272727</v>
      </c>
    </row>
    <row r="755" spans="1:11" x14ac:dyDescent="0.3">
      <c r="A755">
        <f>LOOKUP(9E+307,--MID(D755,1,{1,2,3,4,5}))</f>
        <v>10</v>
      </c>
      <c r="B755">
        <f>VLOOKUP(MID(D755,LOOKUP(2,1/ISNUMBER(-MID(D755,1,{1,2,3,4,5})),{1,2,3,4,5})+1,9),'Hue codes'!$A$1:$B$10,2,FALSE)</f>
        <v>80</v>
      </c>
      <c r="C755">
        <f t="shared" si="23"/>
        <v>90</v>
      </c>
      <c r="D755" s="162" t="s">
        <v>56</v>
      </c>
      <c r="E755" s="162">
        <v>5</v>
      </c>
      <c r="F755" s="162">
        <v>2</v>
      </c>
      <c r="G755" s="164">
        <v>0.52100000000000002</v>
      </c>
      <c r="H755" s="164">
        <v>0.46650000000000003</v>
      </c>
      <c r="I755" s="164">
        <v>0.50649999999999995</v>
      </c>
      <c r="J755" s="1" t="str">
        <f>HYPERLINK(SetRGB(J755,G755*255,H755*255,I755*255),"HOVER!")</f>
        <v>HOVER!</v>
      </c>
      <c r="K755">
        <f t="shared" si="22"/>
        <v>2.5</v>
      </c>
    </row>
    <row r="756" spans="1:11" x14ac:dyDescent="0.3">
      <c r="A756">
        <f>LOOKUP(9E+307,--MID(D756,1,{1,2,3,4,5}))</f>
        <v>10</v>
      </c>
      <c r="B756">
        <f>VLOOKUP(MID(D756,LOOKUP(2,1/ISNUMBER(-MID(D756,1,{1,2,3,4,5})),{1,2,3,4,5})+1,9),'Hue codes'!$A$1:$B$10,2,FALSE)</f>
        <v>80</v>
      </c>
      <c r="C756">
        <f t="shared" si="23"/>
        <v>90</v>
      </c>
      <c r="D756" s="162" t="s">
        <v>56</v>
      </c>
      <c r="E756" s="162">
        <v>5</v>
      </c>
      <c r="F756" s="162">
        <v>4</v>
      </c>
      <c r="G756" s="164">
        <v>0.56210000000000004</v>
      </c>
      <c r="H756" s="164">
        <v>0.44769999999999999</v>
      </c>
      <c r="I756" s="164">
        <v>0.53290000000000004</v>
      </c>
      <c r="J756" s="1" t="str">
        <f>HYPERLINK(SetRGB(J756,G756*255,H756*255,I756*255),"HOVER!")</f>
        <v>HOVER!</v>
      </c>
      <c r="K756">
        <f t="shared" si="22"/>
        <v>1.25</v>
      </c>
    </row>
    <row r="757" spans="1:11" x14ac:dyDescent="0.3">
      <c r="A757">
        <f>LOOKUP(9E+307,--MID(D757,1,{1,2,3,4,5}))</f>
        <v>10</v>
      </c>
      <c r="B757">
        <f>VLOOKUP(MID(D757,LOOKUP(2,1/ISNUMBER(-MID(D757,1,{1,2,3,4,5})),{1,2,3,4,5})+1,9),'Hue codes'!$A$1:$B$10,2,FALSE)</f>
        <v>80</v>
      </c>
      <c r="C757">
        <f t="shared" si="23"/>
        <v>90</v>
      </c>
      <c r="D757" s="162" t="s">
        <v>56</v>
      </c>
      <c r="E757" s="162">
        <v>5</v>
      </c>
      <c r="F757" s="162">
        <v>6</v>
      </c>
      <c r="G757" s="164">
        <v>0.60299999999999998</v>
      </c>
      <c r="H757" s="164">
        <v>0.4259</v>
      </c>
      <c r="I757" s="164">
        <v>0.56110000000000004</v>
      </c>
      <c r="J757" s="1" t="str">
        <f>HYPERLINK(SetRGB(J757,G757*255,H757*255,I757*255),"HOVER!")</f>
        <v>HOVER!</v>
      </c>
      <c r="K757">
        <f t="shared" si="22"/>
        <v>0.83333333333333337</v>
      </c>
    </row>
    <row r="758" spans="1:11" x14ac:dyDescent="0.3">
      <c r="A758">
        <f>LOOKUP(9E+307,--MID(D758,1,{1,2,3,4,5}))</f>
        <v>10</v>
      </c>
      <c r="B758">
        <f>VLOOKUP(MID(D758,LOOKUP(2,1/ISNUMBER(-MID(D758,1,{1,2,3,4,5})),{1,2,3,4,5})+1,9),'Hue codes'!$A$1:$B$10,2,FALSE)</f>
        <v>80</v>
      </c>
      <c r="C758">
        <f t="shared" si="23"/>
        <v>90</v>
      </c>
      <c r="D758" s="162" t="s">
        <v>56</v>
      </c>
      <c r="E758" s="162">
        <v>5</v>
      </c>
      <c r="F758" s="162">
        <v>8</v>
      </c>
      <c r="G758" s="164">
        <v>0.64190000000000003</v>
      </c>
      <c r="H758" s="164">
        <v>0.40160000000000001</v>
      </c>
      <c r="I758" s="164">
        <v>0.58960000000000001</v>
      </c>
      <c r="J758" s="1" t="str">
        <f>HYPERLINK(SetRGB(J758,G758*255,H758*255,I758*255),"HOVER!")</f>
        <v>HOVER!</v>
      </c>
      <c r="K758">
        <f t="shared" si="22"/>
        <v>0.625</v>
      </c>
    </row>
    <row r="759" spans="1:11" x14ac:dyDescent="0.3">
      <c r="A759">
        <f>LOOKUP(9E+307,--MID(D759,1,{1,2,3,4,5}))</f>
        <v>10</v>
      </c>
      <c r="B759">
        <f>VLOOKUP(MID(D759,LOOKUP(2,1/ISNUMBER(-MID(D759,1,{1,2,3,4,5})),{1,2,3,4,5})+1,9),'Hue codes'!$A$1:$B$10,2,FALSE)</f>
        <v>80</v>
      </c>
      <c r="C759">
        <f t="shared" si="23"/>
        <v>90</v>
      </c>
      <c r="D759" s="162" t="s">
        <v>56</v>
      </c>
      <c r="E759" s="162">
        <v>5</v>
      </c>
      <c r="F759" s="162">
        <v>10</v>
      </c>
      <c r="G759" s="164">
        <v>0.67479999999999996</v>
      </c>
      <c r="H759" s="164">
        <v>0.37759999999999999</v>
      </c>
      <c r="I759" s="164">
        <v>0.61470000000000002</v>
      </c>
      <c r="J759" s="1" t="str">
        <f>HYPERLINK(SetRGB(J759,G759*255,H759*255,I759*255),"HOVER!")</f>
        <v>HOVER!</v>
      </c>
      <c r="K759">
        <f t="shared" ref="K759:K822" si="24">E759/F759</f>
        <v>0.5</v>
      </c>
    </row>
    <row r="760" spans="1:11" x14ac:dyDescent="0.3">
      <c r="A760">
        <f>LOOKUP(9E+307,--MID(D760,1,{1,2,3,4,5}))</f>
        <v>10</v>
      </c>
      <c r="B760">
        <f>VLOOKUP(MID(D760,LOOKUP(2,1/ISNUMBER(-MID(D760,1,{1,2,3,4,5})),{1,2,3,4,5})+1,9),'Hue codes'!$A$1:$B$10,2,FALSE)</f>
        <v>80</v>
      </c>
      <c r="C760">
        <f t="shared" si="23"/>
        <v>90</v>
      </c>
      <c r="D760" s="162" t="s">
        <v>56</v>
      </c>
      <c r="E760" s="162">
        <v>5</v>
      </c>
      <c r="F760" s="162">
        <v>12</v>
      </c>
      <c r="G760" s="164">
        <v>0.71030000000000004</v>
      </c>
      <c r="H760" s="164">
        <v>0.3473</v>
      </c>
      <c r="I760" s="164">
        <v>0.64249999999999996</v>
      </c>
      <c r="J760" s="1" t="str">
        <f>HYPERLINK(SetRGB(J760,G760*255,H760*255,I760*255),"HOVER!")</f>
        <v>HOVER!</v>
      </c>
      <c r="K760">
        <f t="shared" si="24"/>
        <v>0.41666666666666669</v>
      </c>
    </row>
    <row r="761" spans="1:11" x14ac:dyDescent="0.3">
      <c r="A761">
        <f>LOOKUP(9E+307,--MID(D761,1,{1,2,3,4,5}))</f>
        <v>10</v>
      </c>
      <c r="B761">
        <f>VLOOKUP(MID(D761,LOOKUP(2,1/ISNUMBER(-MID(D761,1,{1,2,3,4,5})),{1,2,3,4,5})+1,9),'Hue codes'!$A$1:$B$10,2,FALSE)</f>
        <v>80</v>
      </c>
      <c r="C761">
        <f t="shared" si="23"/>
        <v>90</v>
      </c>
      <c r="D761" s="162" t="s">
        <v>56</v>
      </c>
      <c r="E761" s="162">
        <v>5</v>
      </c>
      <c r="F761" s="162">
        <v>14</v>
      </c>
      <c r="G761" s="164">
        <v>0.74299999999999999</v>
      </c>
      <c r="H761" s="164">
        <v>0.31419999999999998</v>
      </c>
      <c r="I761" s="164">
        <v>0.66790000000000005</v>
      </c>
      <c r="J761" s="1" t="str">
        <f>HYPERLINK(SetRGB(J761,G761*255,H761*255,I761*255),"HOVER!")</f>
        <v>HOVER!</v>
      </c>
      <c r="K761">
        <f t="shared" si="24"/>
        <v>0.35714285714285715</v>
      </c>
    </row>
    <row r="762" spans="1:11" x14ac:dyDescent="0.3">
      <c r="A762">
        <f>LOOKUP(9E+307,--MID(D762,1,{1,2,3,4,5}))</f>
        <v>10</v>
      </c>
      <c r="B762">
        <f>VLOOKUP(MID(D762,LOOKUP(2,1/ISNUMBER(-MID(D762,1,{1,2,3,4,5})),{1,2,3,4,5})+1,9),'Hue codes'!$A$1:$B$10,2,FALSE)</f>
        <v>80</v>
      </c>
      <c r="C762">
        <f t="shared" si="23"/>
        <v>90</v>
      </c>
      <c r="D762" s="162" t="s">
        <v>56</v>
      </c>
      <c r="E762" s="162">
        <v>5</v>
      </c>
      <c r="F762" s="162">
        <v>16</v>
      </c>
      <c r="G762" s="164">
        <v>0.77549999999999997</v>
      </c>
      <c r="H762" s="164">
        <v>0.2742</v>
      </c>
      <c r="I762" s="164">
        <v>0.69379999999999997</v>
      </c>
      <c r="J762" s="1" t="str">
        <f>HYPERLINK(SetRGB(J762,G762*255,H762*255,I762*255),"HOVER!")</f>
        <v>HOVER!</v>
      </c>
      <c r="K762">
        <f t="shared" si="24"/>
        <v>0.3125</v>
      </c>
    </row>
    <row r="763" spans="1:11" x14ac:dyDescent="0.3">
      <c r="A763">
        <f>LOOKUP(9E+307,--MID(D763,1,{1,2,3,4,5}))</f>
        <v>10</v>
      </c>
      <c r="B763">
        <f>VLOOKUP(MID(D763,LOOKUP(2,1/ISNUMBER(-MID(D763,1,{1,2,3,4,5})),{1,2,3,4,5})+1,9),'Hue codes'!$A$1:$B$10,2,FALSE)</f>
        <v>80</v>
      </c>
      <c r="C763">
        <f t="shared" si="23"/>
        <v>90</v>
      </c>
      <c r="D763" s="162" t="s">
        <v>56</v>
      </c>
      <c r="E763" s="162">
        <v>5</v>
      </c>
      <c r="F763" s="162">
        <v>18</v>
      </c>
      <c r="G763" s="164">
        <v>0.80830000000000002</v>
      </c>
      <c r="H763" s="164">
        <v>0.22189999999999999</v>
      </c>
      <c r="I763" s="164">
        <v>0.72060000000000002</v>
      </c>
      <c r="J763" s="1" t="str">
        <f>HYPERLINK(SetRGB(J763,G763*255,H763*255,I763*255),"HOVER!")</f>
        <v>HOVER!</v>
      </c>
      <c r="K763">
        <f t="shared" si="24"/>
        <v>0.27777777777777779</v>
      </c>
    </row>
    <row r="764" spans="1:11" x14ac:dyDescent="0.3">
      <c r="A764">
        <f>LOOKUP(9E+307,--MID(D764,1,{1,2,3,4,5}))</f>
        <v>10</v>
      </c>
      <c r="B764">
        <f>VLOOKUP(MID(D764,LOOKUP(2,1/ISNUMBER(-MID(D764,1,{1,2,3,4,5})),{1,2,3,4,5})+1,9),'Hue codes'!$A$1:$B$10,2,FALSE)</f>
        <v>80</v>
      </c>
      <c r="C764">
        <f t="shared" si="23"/>
        <v>90</v>
      </c>
      <c r="D764" s="162" t="s">
        <v>56</v>
      </c>
      <c r="E764" s="162">
        <v>5</v>
      </c>
      <c r="F764" s="162">
        <v>20</v>
      </c>
      <c r="G764" s="164">
        <v>0.84209999999999996</v>
      </c>
      <c r="H764" s="164">
        <v>0.14230000000000001</v>
      </c>
      <c r="I764" s="164">
        <v>0.74760000000000004</v>
      </c>
      <c r="J764" s="1" t="str">
        <f>HYPERLINK(SetRGB(J764,G764*255,H764*255,I764*255),"HOVER!")</f>
        <v>HOVER!</v>
      </c>
      <c r="K764">
        <f t="shared" si="24"/>
        <v>0.25</v>
      </c>
    </row>
    <row r="765" spans="1:11" x14ac:dyDescent="0.3">
      <c r="A765">
        <f>LOOKUP(9E+307,--MID(D765,1,{1,2,3,4,5}))</f>
        <v>2.5</v>
      </c>
      <c r="B765">
        <f>VLOOKUP(MID(D765,LOOKUP(2,1/ISNUMBER(-MID(D765,1,{1,2,3,4,5})),{1,2,3,4,5})+1,9),'Hue codes'!$A$1:$B$10,2,FALSE)</f>
        <v>90</v>
      </c>
      <c r="C765">
        <f t="shared" si="23"/>
        <v>92.5</v>
      </c>
      <c r="D765" s="162" t="s">
        <v>57</v>
      </c>
      <c r="E765" s="162">
        <v>5</v>
      </c>
      <c r="F765" s="162">
        <v>2</v>
      </c>
      <c r="G765" s="164">
        <v>0.52869999999999995</v>
      </c>
      <c r="H765" s="164">
        <v>0.46479999999999999</v>
      </c>
      <c r="I765" s="164">
        <v>0.49780000000000002</v>
      </c>
      <c r="J765" s="1" t="str">
        <f>HYPERLINK(SetRGB(J765,G765*255,H765*255,I765*255),"HOVER!")</f>
        <v>HOVER!</v>
      </c>
      <c r="K765">
        <f t="shared" si="24"/>
        <v>2.5</v>
      </c>
    </row>
    <row r="766" spans="1:11" x14ac:dyDescent="0.3">
      <c r="A766">
        <f>LOOKUP(9E+307,--MID(D766,1,{1,2,3,4,5}))</f>
        <v>2.5</v>
      </c>
      <c r="B766">
        <f>VLOOKUP(MID(D766,LOOKUP(2,1/ISNUMBER(-MID(D766,1,{1,2,3,4,5})),{1,2,3,4,5})+1,9),'Hue codes'!$A$1:$B$10,2,FALSE)</f>
        <v>90</v>
      </c>
      <c r="C766">
        <f t="shared" si="23"/>
        <v>92.5</v>
      </c>
      <c r="D766" s="162" t="s">
        <v>57</v>
      </c>
      <c r="E766" s="162">
        <v>5</v>
      </c>
      <c r="F766" s="162">
        <v>4</v>
      </c>
      <c r="G766" s="164">
        <v>0.57589999999999997</v>
      </c>
      <c r="H766" s="164">
        <v>0.44440000000000002</v>
      </c>
      <c r="I766" s="164">
        <v>0.51600000000000001</v>
      </c>
      <c r="J766" s="1" t="str">
        <f>HYPERLINK(SetRGB(J766,G766*255,H766*255,I766*255),"HOVER!")</f>
        <v>HOVER!</v>
      </c>
      <c r="K766">
        <f t="shared" si="24"/>
        <v>1.25</v>
      </c>
    </row>
    <row r="767" spans="1:11" x14ac:dyDescent="0.3">
      <c r="A767">
        <f>LOOKUP(9E+307,--MID(D767,1,{1,2,3,4,5}))</f>
        <v>2.5</v>
      </c>
      <c r="B767">
        <f>VLOOKUP(MID(D767,LOOKUP(2,1/ISNUMBER(-MID(D767,1,{1,2,3,4,5})),{1,2,3,4,5})+1,9),'Hue codes'!$A$1:$B$10,2,FALSE)</f>
        <v>90</v>
      </c>
      <c r="C767">
        <f t="shared" si="23"/>
        <v>92.5</v>
      </c>
      <c r="D767" s="162" t="s">
        <v>57</v>
      </c>
      <c r="E767" s="162">
        <v>5</v>
      </c>
      <c r="F767" s="162">
        <v>6</v>
      </c>
      <c r="G767" s="164">
        <v>0.62309999999999999</v>
      </c>
      <c r="H767" s="164">
        <v>0.42009999999999997</v>
      </c>
      <c r="I767" s="164">
        <v>0.53539999999999999</v>
      </c>
      <c r="J767" s="1" t="str">
        <f>HYPERLINK(SetRGB(J767,G767*255,H767*255,I767*255),"HOVER!")</f>
        <v>HOVER!</v>
      </c>
      <c r="K767">
        <f t="shared" si="24"/>
        <v>0.83333333333333337</v>
      </c>
    </row>
    <row r="768" spans="1:11" x14ac:dyDescent="0.3">
      <c r="A768">
        <f>LOOKUP(9E+307,--MID(D768,1,{1,2,3,4,5}))</f>
        <v>2.5</v>
      </c>
      <c r="B768">
        <f>VLOOKUP(MID(D768,LOOKUP(2,1/ISNUMBER(-MID(D768,1,{1,2,3,4,5})),{1,2,3,4,5})+1,9),'Hue codes'!$A$1:$B$10,2,FALSE)</f>
        <v>90</v>
      </c>
      <c r="C768">
        <f t="shared" si="23"/>
        <v>92.5</v>
      </c>
      <c r="D768" s="162" t="s">
        <v>57</v>
      </c>
      <c r="E768" s="162">
        <v>5</v>
      </c>
      <c r="F768" s="162">
        <v>8</v>
      </c>
      <c r="G768" s="164">
        <v>0.66949999999999998</v>
      </c>
      <c r="H768" s="164">
        <v>0.39169999999999999</v>
      </c>
      <c r="I768" s="164">
        <v>0.55589999999999995</v>
      </c>
      <c r="J768" s="1" t="str">
        <f>HYPERLINK(SetRGB(J768,G768*255,H768*255,I768*255),"HOVER!")</f>
        <v>HOVER!</v>
      </c>
      <c r="K768">
        <f t="shared" si="24"/>
        <v>0.625</v>
      </c>
    </row>
    <row r="769" spans="1:11" x14ac:dyDescent="0.3">
      <c r="A769">
        <f>LOOKUP(9E+307,--MID(D769,1,{1,2,3,4,5}))</f>
        <v>2.5</v>
      </c>
      <c r="B769">
        <f>VLOOKUP(MID(D769,LOOKUP(2,1/ISNUMBER(-MID(D769,1,{1,2,3,4,5})),{1,2,3,4,5})+1,9),'Hue codes'!$A$1:$B$10,2,FALSE)</f>
        <v>90</v>
      </c>
      <c r="C769">
        <f t="shared" si="23"/>
        <v>92.5</v>
      </c>
      <c r="D769" s="162" t="s">
        <v>57</v>
      </c>
      <c r="E769" s="162">
        <v>5</v>
      </c>
      <c r="F769" s="162">
        <v>10</v>
      </c>
      <c r="G769" s="164">
        <v>0.70630000000000004</v>
      </c>
      <c r="H769" s="164">
        <v>0.36499999999999999</v>
      </c>
      <c r="I769" s="164">
        <v>0.57350000000000001</v>
      </c>
      <c r="J769" s="1" t="str">
        <f>HYPERLINK(SetRGB(J769,G769*255,H769*255,I769*255),"HOVER!")</f>
        <v>HOVER!</v>
      </c>
      <c r="K769">
        <f t="shared" si="24"/>
        <v>0.5</v>
      </c>
    </row>
    <row r="770" spans="1:11" x14ac:dyDescent="0.3">
      <c r="A770">
        <f>LOOKUP(9E+307,--MID(D770,1,{1,2,3,4,5}))</f>
        <v>2.5</v>
      </c>
      <c r="B770">
        <f>VLOOKUP(MID(D770,LOOKUP(2,1/ISNUMBER(-MID(D770,1,{1,2,3,4,5})),{1,2,3,4,5})+1,9),'Hue codes'!$A$1:$B$10,2,FALSE)</f>
        <v>90</v>
      </c>
      <c r="C770">
        <f t="shared" si="23"/>
        <v>92.5</v>
      </c>
      <c r="D770" s="162" t="s">
        <v>57</v>
      </c>
      <c r="E770" s="162">
        <v>5</v>
      </c>
      <c r="F770" s="162">
        <v>12</v>
      </c>
      <c r="G770" s="164">
        <v>0.747</v>
      </c>
      <c r="H770" s="164">
        <v>0.32969999999999999</v>
      </c>
      <c r="I770" s="164">
        <v>0.59360000000000002</v>
      </c>
      <c r="J770" s="1" t="str">
        <f>HYPERLINK(SetRGB(J770,G770*255,H770*255,I770*255),"HOVER!")</f>
        <v>HOVER!</v>
      </c>
      <c r="K770">
        <f t="shared" si="24"/>
        <v>0.41666666666666669</v>
      </c>
    </row>
    <row r="771" spans="1:11" x14ac:dyDescent="0.3">
      <c r="A771">
        <f>LOOKUP(9E+307,--MID(D771,1,{1,2,3,4,5}))</f>
        <v>2.5</v>
      </c>
      <c r="B771">
        <f>VLOOKUP(MID(D771,LOOKUP(2,1/ISNUMBER(-MID(D771,1,{1,2,3,4,5})),{1,2,3,4,5})+1,9),'Hue codes'!$A$1:$B$10,2,FALSE)</f>
        <v>90</v>
      </c>
      <c r="C771">
        <f t="shared" ref="C771:C834" si="25">IF(A771+B771=100,0,A771+B771)</f>
        <v>92.5</v>
      </c>
      <c r="D771" s="162" t="s">
        <v>57</v>
      </c>
      <c r="E771" s="162">
        <v>5</v>
      </c>
      <c r="F771" s="162">
        <v>14</v>
      </c>
      <c r="G771" s="164">
        <v>0.78490000000000004</v>
      </c>
      <c r="H771" s="164">
        <v>0.2893</v>
      </c>
      <c r="I771" s="164">
        <v>0.61280000000000001</v>
      </c>
      <c r="J771" s="1" t="str">
        <f>HYPERLINK(SetRGB(J771,G771*255,H771*255,I771*255),"HOVER!")</f>
        <v>HOVER!</v>
      </c>
      <c r="K771">
        <f t="shared" si="24"/>
        <v>0.35714285714285715</v>
      </c>
    </row>
    <row r="772" spans="1:11" x14ac:dyDescent="0.3">
      <c r="A772">
        <f>LOOKUP(9E+307,--MID(D772,1,{1,2,3,4,5}))</f>
        <v>2.5</v>
      </c>
      <c r="B772">
        <f>VLOOKUP(MID(D772,LOOKUP(2,1/ISNUMBER(-MID(D772,1,{1,2,3,4,5})),{1,2,3,4,5})+1,9),'Hue codes'!$A$1:$B$10,2,FALSE)</f>
        <v>90</v>
      </c>
      <c r="C772">
        <f t="shared" si="25"/>
        <v>92.5</v>
      </c>
      <c r="D772" s="162" t="s">
        <v>57</v>
      </c>
      <c r="E772" s="162">
        <v>5</v>
      </c>
      <c r="F772" s="162">
        <v>16</v>
      </c>
      <c r="G772" s="164">
        <v>0.82020000000000004</v>
      </c>
      <c r="H772" s="164">
        <v>0.2414</v>
      </c>
      <c r="I772" s="164">
        <v>0.63129999999999997</v>
      </c>
      <c r="J772" s="1" t="str">
        <f>HYPERLINK(SetRGB(J772,G772*255,H772*255,I772*255),"HOVER!")</f>
        <v>HOVER!</v>
      </c>
      <c r="K772">
        <f t="shared" si="24"/>
        <v>0.3125</v>
      </c>
    </row>
    <row r="773" spans="1:11" x14ac:dyDescent="0.3">
      <c r="A773">
        <f>LOOKUP(9E+307,--MID(D773,1,{1,2,3,4,5}))</f>
        <v>2.5</v>
      </c>
      <c r="B773">
        <f>VLOOKUP(MID(D773,LOOKUP(2,1/ISNUMBER(-MID(D773,1,{1,2,3,4,5})),{1,2,3,4,5})+1,9),'Hue codes'!$A$1:$B$10,2,FALSE)</f>
        <v>90</v>
      </c>
      <c r="C773">
        <f t="shared" si="25"/>
        <v>92.5</v>
      </c>
      <c r="D773" s="162" t="s">
        <v>57</v>
      </c>
      <c r="E773" s="162">
        <v>5</v>
      </c>
      <c r="F773" s="162">
        <v>18</v>
      </c>
      <c r="G773" s="164">
        <v>0.85599999999999998</v>
      </c>
      <c r="H773" s="164">
        <v>0.17330000000000001</v>
      </c>
      <c r="I773" s="164">
        <v>0.65049999999999997</v>
      </c>
      <c r="J773" s="1" t="str">
        <f>HYPERLINK(SetRGB(J773,G773*255,H773*255,I773*255),"HOVER!")</f>
        <v>HOVER!</v>
      </c>
      <c r="K773">
        <f t="shared" si="24"/>
        <v>0.27777777777777779</v>
      </c>
    </row>
    <row r="774" spans="1:11" x14ac:dyDescent="0.3">
      <c r="A774">
        <f>LOOKUP(9E+307,--MID(D774,1,{1,2,3,4,5}))</f>
        <v>2.5</v>
      </c>
      <c r="B774">
        <f>VLOOKUP(MID(D774,LOOKUP(2,1/ISNUMBER(-MID(D774,1,{1,2,3,4,5})),{1,2,3,4,5})+1,9),'Hue codes'!$A$1:$B$10,2,FALSE)</f>
        <v>90</v>
      </c>
      <c r="C774">
        <f t="shared" si="25"/>
        <v>92.5</v>
      </c>
      <c r="D774" s="162" t="s">
        <v>57</v>
      </c>
      <c r="E774" s="162">
        <v>5</v>
      </c>
      <c r="F774" s="162">
        <v>20</v>
      </c>
      <c r="G774" s="164">
        <v>0.89149999999999996</v>
      </c>
      <c r="H774" s="164">
        <v>2.6200000000000001E-2</v>
      </c>
      <c r="I774" s="164">
        <v>0.67069999999999996</v>
      </c>
      <c r="J774" s="1" t="str">
        <f>HYPERLINK(SetRGB(J774,G774*255,H774*255,I774*255),"HOVER!")</f>
        <v>HOVER!</v>
      </c>
      <c r="K774">
        <f t="shared" si="24"/>
        <v>0.25</v>
      </c>
    </row>
    <row r="775" spans="1:11" x14ac:dyDescent="0.3">
      <c r="A775">
        <f>LOOKUP(9E+307,--MID(D775,1,{1,2,3,4,5}))</f>
        <v>5</v>
      </c>
      <c r="B775">
        <f>VLOOKUP(MID(D775,LOOKUP(2,1/ISNUMBER(-MID(D775,1,{1,2,3,4,5})),{1,2,3,4,5})+1,9),'Hue codes'!$A$1:$B$10,2,FALSE)</f>
        <v>90</v>
      </c>
      <c r="C775">
        <f t="shared" si="25"/>
        <v>95</v>
      </c>
      <c r="D775" s="162" t="s">
        <v>58</v>
      </c>
      <c r="E775" s="162">
        <v>5</v>
      </c>
      <c r="F775" s="162">
        <v>2</v>
      </c>
      <c r="G775" s="164">
        <v>0.53549999999999998</v>
      </c>
      <c r="H775" s="164">
        <v>0.4637</v>
      </c>
      <c r="I775" s="164">
        <v>0.48670000000000002</v>
      </c>
      <c r="J775" s="1" t="str">
        <f>HYPERLINK(SetRGB(J775,G775*255,H775*255,I775*255),"HOVER!")</f>
        <v>HOVER!</v>
      </c>
      <c r="K775">
        <f t="shared" si="24"/>
        <v>2.5</v>
      </c>
    </row>
    <row r="776" spans="1:11" x14ac:dyDescent="0.3">
      <c r="A776">
        <f>LOOKUP(9E+307,--MID(D776,1,{1,2,3,4,5}))</f>
        <v>5</v>
      </c>
      <c r="B776">
        <f>VLOOKUP(MID(D776,LOOKUP(2,1/ISNUMBER(-MID(D776,1,{1,2,3,4,5})),{1,2,3,4,5})+1,9),'Hue codes'!$A$1:$B$10,2,FALSE)</f>
        <v>90</v>
      </c>
      <c r="C776">
        <f t="shared" si="25"/>
        <v>95</v>
      </c>
      <c r="D776" s="162" t="s">
        <v>58</v>
      </c>
      <c r="E776" s="162">
        <v>5</v>
      </c>
      <c r="F776" s="162">
        <v>4</v>
      </c>
      <c r="G776" s="164">
        <v>0.59019999999999995</v>
      </c>
      <c r="H776" s="164">
        <v>0.44109999999999999</v>
      </c>
      <c r="I776" s="164">
        <v>0.49370000000000003</v>
      </c>
      <c r="J776" s="1" t="str">
        <f>HYPERLINK(SetRGB(J776,G776*255,H776*255,I776*255),"HOVER!")</f>
        <v>HOVER!</v>
      </c>
      <c r="K776">
        <f t="shared" si="24"/>
        <v>1.25</v>
      </c>
    </row>
    <row r="777" spans="1:11" x14ac:dyDescent="0.3">
      <c r="A777">
        <f>LOOKUP(9E+307,--MID(D777,1,{1,2,3,4,5}))</f>
        <v>5</v>
      </c>
      <c r="B777">
        <f>VLOOKUP(MID(D777,LOOKUP(2,1/ISNUMBER(-MID(D777,1,{1,2,3,4,5})),{1,2,3,4,5})+1,9),'Hue codes'!$A$1:$B$10,2,FALSE)</f>
        <v>90</v>
      </c>
      <c r="C777">
        <f t="shared" si="25"/>
        <v>95</v>
      </c>
      <c r="D777" s="162" t="s">
        <v>58</v>
      </c>
      <c r="E777" s="162">
        <v>5</v>
      </c>
      <c r="F777" s="162">
        <v>6</v>
      </c>
      <c r="G777" s="164">
        <v>0.64270000000000005</v>
      </c>
      <c r="H777" s="164">
        <v>0.41510000000000002</v>
      </c>
      <c r="I777" s="164">
        <v>0.50119999999999998</v>
      </c>
      <c r="J777" s="1" t="str">
        <f>HYPERLINK(SetRGB(J777,G777*255,H777*255,I777*255),"HOVER!")</f>
        <v>HOVER!</v>
      </c>
      <c r="K777">
        <f t="shared" si="24"/>
        <v>0.83333333333333337</v>
      </c>
    </row>
    <row r="778" spans="1:11" x14ac:dyDescent="0.3">
      <c r="A778">
        <f>LOOKUP(9E+307,--MID(D778,1,{1,2,3,4,5}))</f>
        <v>5</v>
      </c>
      <c r="B778">
        <f>VLOOKUP(MID(D778,LOOKUP(2,1/ISNUMBER(-MID(D778,1,{1,2,3,4,5})),{1,2,3,4,5})+1,9),'Hue codes'!$A$1:$B$10,2,FALSE)</f>
        <v>90</v>
      </c>
      <c r="C778">
        <f t="shared" si="25"/>
        <v>95</v>
      </c>
      <c r="D778" s="162" t="s">
        <v>58</v>
      </c>
      <c r="E778" s="162">
        <v>5</v>
      </c>
      <c r="F778" s="162">
        <v>8</v>
      </c>
      <c r="G778" s="164">
        <v>0.69389999999999996</v>
      </c>
      <c r="H778" s="164">
        <v>0.38440000000000002</v>
      </c>
      <c r="I778" s="164">
        <v>0.50949999999999995</v>
      </c>
      <c r="J778" s="1" t="str">
        <f>HYPERLINK(SetRGB(J778,G778*255,H778*255,I778*255),"HOVER!")</f>
        <v>HOVER!</v>
      </c>
      <c r="K778">
        <f t="shared" si="24"/>
        <v>0.625</v>
      </c>
    </row>
    <row r="779" spans="1:11" x14ac:dyDescent="0.3">
      <c r="A779">
        <f>LOOKUP(9E+307,--MID(D779,1,{1,2,3,4,5}))</f>
        <v>5</v>
      </c>
      <c r="B779">
        <f>VLOOKUP(MID(D779,LOOKUP(2,1/ISNUMBER(-MID(D779,1,{1,2,3,4,5})),{1,2,3,4,5})+1,9),'Hue codes'!$A$1:$B$10,2,FALSE)</f>
        <v>90</v>
      </c>
      <c r="C779">
        <f t="shared" si="25"/>
        <v>95</v>
      </c>
      <c r="D779" s="162" t="s">
        <v>58</v>
      </c>
      <c r="E779" s="162">
        <v>5</v>
      </c>
      <c r="F779" s="162">
        <v>10</v>
      </c>
      <c r="G779" s="164">
        <v>0.73619999999999997</v>
      </c>
      <c r="H779" s="164">
        <v>0.35360000000000003</v>
      </c>
      <c r="I779" s="164">
        <v>0.51800000000000002</v>
      </c>
      <c r="J779" s="1" t="str">
        <f>HYPERLINK(SetRGB(J779,G779*255,H779*255,I779*255),"HOVER!")</f>
        <v>HOVER!</v>
      </c>
      <c r="K779">
        <f t="shared" si="24"/>
        <v>0.5</v>
      </c>
    </row>
    <row r="780" spans="1:11" x14ac:dyDescent="0.3">
      <c r="A780">
        <f>LOOKUP(9E+307,--MID(D780,1,{1,2,3,4,5}))</f>
        <v>5</v>
      </c>
      <c r="B780">
        <f>VLOOKUP(MID(D780,LOOKUP(2,1/ISNUMBER(-MID(D780,1,{1,2,3,4,5})),{1,2,3,4,5})+1,9),'Hue codes'!$A$1:$B$10,2,FALSE)</f>
        <v>90</v>
      </c>
      <c r="C780">
        <f t="shared" si="25"/>
        <v>95</v>
      </c>
      <c r="D780" s="162" t="s">
        <v>58</v>
      </c>
      <c r="E780" s="162">
        <v>5</v>
      </c>
      <c r="F780" s="162">
        <v>12</v>
      </c>
      <c r="G780" s="164">
        <v>0.78180000000000005</v>
      </c>
      <c r="H780" s="164">
        <v>0.313</v>
      </c>
      <c r="I780" s="164">
        <v>0.52769999999999995</v>
      </c>
      <c r="J780" s="1" t="str">
        <f>HYPERLINK(SetRGB(J780,G780*255,H780*255,I780*255),"HOVER!")</f>
        <v>HOVER!</v>
      </c>
      <c r="K780">
        <f t="shared" si="24"/>
        <v>0.41666666666666669</v>
      </c>
    </row>
    <row r="781" spans="1:11" x14ac:dyDescent="0.3">
      <c r="A781">
        <f>LOOKUP(9E+307,--MID(D781,1,{1,2,3,4,5}))</f>
        <v>5</v>
      </c>
      <c r="B781">
        <f>VLOOKUP(MID(D781,LOOKUP(2,1/ISNUMBER(-MID(D781,1,{1,2,3,4,5})),{1,2,3,4,5})+1,9),'Hue codes'!$A$1:$B$10,2,FALSE)</f>
        <v>90</v>
      </c>
      <c r="C781">
        <f t="shared" si="25"/>
        <v>95</v>
      </c>
      <c r="D781" s="162" t="s">
        <v>58</v>
      </c>
      <c r="E781" s="162">
        <v>5</v>
      </c>
      <c r="F781" s="162">
        <v>14</v>
      </c>
      <c r="G781" s="164">
        <v>0.8216</v>
      </c>
      <c r="H781" s="164">
        <v>0.2681</v>
      </c>
      <c r="I781" s="164">
        <v>0.5373</v>
      </c>
      <c r="J781" s="1" t="str">
        <f>HYPERLINK(SetRGB(J781,G781*255,H781*255,I781*255),"HOVER!")</f>
        <v>HOVER!</v>
      </c>
      <c r="K781">
        <f t="shared" si="24"/>
        <v>0.35714285714285715</v>
      </c>
    </row>
    <row r="782" spans="1:11" x14ac:dyDescent="0.3">
      <c r="A782">
        <f>LOOKUP(9E+307,--MID(D782,1,{1,2,3,4,5}))</f>
        <v>5</v>
      </c>
      <c r="B782">
        <f>VLOOKUP(MID(D782,LOOKUP(2,1/ISNUMBER(-MID(D782,1,{1,2,3,4,5})),{1,2,3,4,5})+1,9),'Hue codes'!$A$1:$B$10,2,FALSE)</f>
        <v>90</v>
      </c>
      <c r="C782">
        <f t="shared" si="25"/>
        <v>95</v>
      </c>
      <c r="D782" s="162" t="s">
        <v>58</v>
      </c>
      <c r="E782" s="162">
        <v>5</v>
      </c>
      <c r="F782" s="162">
        <v>16</v>
      </c>
      <c r="G782" s="164">
        <v>0.86219999999999997</v>
      </c>
      <c r="H782" s="164">
        <v>0.20630000000000001</v>
      </c>
      <c r="I782" s="164">
        <v>0.54790000000000005</v>
      </c>
      <c r="J782" s="1" t="str">
        <f>HYPERLINK(SetRGB(J782,G782*255,H782*255,I782*255),"HOVER!")</f>
        <v>HOVER!</v>
      </c>
      <c r="K782">
        <f t="shared" si="24"/>
        <v>0.3125</v>
      </c>
    </row>
    <row r="783" spans="1:11" x14ac:dyDescent="0.3">
      <c r="A783">
        <f>LOOKUP(9E+307,--MID(D783,1,{1,2,3,4,5}))</f>
        <v>5</v>
      </c>
      <c r="B783">
        <f>VLOOKUP(MID(D783,LOOKUP(2,1/ISNUMBER(-MID(D783,1,{1,2,3,4,5})),{1,2,3,4,5})+1,9),'Hue codes'!$A$1:$B$10,2,FALSE)</f>
        <v>90</v>
      </c>
      <c r="C783">
        <f t="shared" si="25"/>
        <v>95</v>
      </c>
      <c r="D783" s="162" t="s">
        <v>58</v>
      </c>
      <c r="E783" s="162">
        <v>5</v>
      </c>
      <c r="F783" s="162">
        <v>18</v>
      </c>
      <c r="G783" s="164">
        <v>0.90049999999999997</v>
      </c>
      <c r="H783" s="164">
        <v>0.1105</v>
      </c>
      <c r="I783" s="164">
        <v>0.55810000000000004</v>
      </c>
      <c r="J783" s="1" t="str">
        <f>HYPERLINK(SetRGB(J783,G783*255,H783*255,I783*255),"HOVER!")</f>
        <v>HOVER!</v>
      </c>
      <c r="K783">
        <f t="shared" si="24"/>
        <v>0.27777777777777779</v>
      </c>
    </row>
    <row r="784" spans="1:11" x14ac:dyDescent="0.3">
      <c r="A784">
        <f>LOOKUP(9E+307,--MID(D784,1,{1,2,3,4,5}))</f>
        <v>7.5</v>
      </c>
      <c r="B784">
        <f>VLOOKUP(MID(D784,LOOKUP(2,1/ISNUMBER(-MID(D784,1,{1,2,3,4,5})),{1,2,3,4,5})+1,9),'Hue codes'!$A$1:$B$10,2,FALSE)</f>
        <v>90</v>
      </c>
      <c r="C784">
        <f t="shared" si="25"/>
        <v>97.5</v>
      </c>
      <c r="D784" s="162" t="s">
        <v>59</v>
      </c>
      <c r="E784" s="162">
        <v>5</v>
      </c>
      <c r="F784" s="162">
        <v>2</v>
      </c>
      <c r="G784" s="164">
        <v>0.54</v>
      </c>
      <c r="H784" s="164">
        <v>0.46300000000000002</v>
      </c>
      <c r="I784" s="164">
        <v>0.47889999999999999</v>
      </c>
      <c r="J784" s="1" t="str">
        <f>HYPERLINK(SetRGB(J784,G784*255,H784*255,I784*255),"HOVER!")</f>
        <v>HOVER!</v>
      </c>
      <c r="K784">
        <f t="shared" si="24"/>
        <v>2.5</v>
      </c>
    </row>
    <row r="785" spans="1:11" x14ac:dyDescent="0.3">
      <c r="A785">
        <f>LOOKUP(9E+307,--MID(D785,1,{1,2,3,4,5}))</f>
        <v>7.5</v>
      </c>
      <c r="B785">
        <f>VLOOKUP(MID(D785,LOOKUP(2,1/ISNUMBER(-MID(D785,1,{1,2,3,4,5})),{1,2,3,4,5})+1,9),'Hue codes'!$A$1:$B$10,2,FALSE)</f>
        <v>90</v>
      </c>
      <c r="C785">
        <f t="shared" si="25"/>
        <v>97.5</v>
      </c>
      <c r="D785" s="162" t="s">
        <v>59</v>
      </c>
      <c r="E785" s="162">
        <v>5</v>
      </c>
      <c r="F785" s="162">
        <v>4</v>
      </c>
      <c r="G785" s="164">
        <v>0.59960000000000002</v>
      </c>
      <c r="H785" s="164">
        <v>0.43919999999999998</v>
      </c>
      <c r="I785" s="164">
        <v>0.4758</v>
      </c>
      <c r="J785" s="1" t="str">
        <f>HYPERLINK(SetRGB(J785,G785*255,H785*255,I785*255),"HOVER!")</f>
        <v>HOVER!</v>
      </c>
      <c r="K785">
        <f t="shared" si="24"/>
        <v>1.25</v>
      </c>
    </row>
    <row r="786" spans="1:11" x14ac:dyDescent="0.3">
      <c r="A786">
        <f>LOOKUP(9E+307,--MID(D786,1,{1,2,3,4,5}))</f>
        <v>7.5</v>
      </c>
      <c r="B786">
        <f>VLOOKUP(MID(D786,LOOKUP(2,1/ISNUMBER(-MID(D786,1,{1,2,3,4,5})),{1,2,3,4,5})+1,9),'Hue codes'!$A$1:$B$10,2,FALSE)</f>
        <v>90</v>
      </c>
      <c r="C786">
        <f t="shared" si="25"/>
        <v>97.5</v>
      </c>
      <c r="D786" s="162" t="s">
        <v>59</v>
      </c>
      <c r="E786" s="162">
        <v>5</v>
      </c>
      <c r="F786" s="162">
        <v>6</v>
      </c>
      <c r="G786" s="164">
        <v>0.65480000000000005</v>
      </c>
      <c r="H786" s="164">
        <v>0.41220000000000001</v>
      </c>
      <c r="I786" s="164">
        <v>0.47470000000000001</v>
      </c>
      <c r="J786" s="1" t="str">
        <f>HYPERLINK(SetRGB(J786,G786*255,H786*255,I786*255),"HOVER!")</f>
        <v>HOVER!</v>
      </c>
      <c r="K786">
        <f t="shared" si="24"/>
        <v>0.83333333333333337</v>
      </c>
    </row>
    <row r="787" spans="1:11" x14ac:dyDescent="0.3">
      <c r="A787">
        <f>LOOKUP(9E+307,--MID(D787,1,{1,2,3,4,5}))</f>
        <v>7.5</v>
      </c>
      <c r="B787">
        <f>VLOOKUP(MID(D787,LOOKUP(2,1/ISNUMBER(-MID(D787,1,{1,2,3,4,5})),{1,2,3,4,5})+1,9),'Hue codes'!$A$1:$B$10,2,FALSE)</f>
        <v>90</v>
      </c>
      <c r="C787">
        <f t="shared" si="25"/>
        <v>97.5</v>
      </c>
      <c r="D787" s="162" t="s">
        <v>59</v>
      </c>
      <c r="E787" s="162">
        <v>5</v>
      </c>
      <c r="F787" s="162">
        <v>8</v>
      </c>
      <c r="G787" s="164">
        <v>0.70740000000000003</v>
      </c>
      <c r="H787" s="164">
        <v>0.38080000000000003</v>
      </c>
      <c r="I787" s="164">
        <v>0.47489999999999999</v>
      </c>
      <c r="J787" s="1" t="str">
        <f>HYPERLINK(SetRGB(J787,G787*255,H787*255,I787*255),"HOVER!")</f>
        <v>HOVER!</v>
      </c>
      <c r="K787">
        <f t="shared" si="24"/>
        <v>0.625</v>
      </c>
    </row>
    <row r="788" spans="1:11" x14ac:dyDescent="0.3">
      <c r="A788">
        <f>LOOKUP(9E+307,--MID(D788,1,{1,2,3,4,5}))</f>
        <v>7.5</v>
      </c>
      <c r="B788">
        <f>VLOOKUP(MID(D788,LOOKUP(2,1/ISNUMBER(-MID(D788,1,{1,2,3,4,5})),{1,2,3,4,5})+1,9),'Hue codes'!$A$1:$B$10,2,FALSE)</f>
        <v>90</v>
      </c>
      <c r="C788">
        <f t="shared" si="25"/>
        <v>97.5</v>
      </c>
      <c r="D788" s="162" t="s">
        <v>59</v>
      </c>
      <c r="E788" s="162">
        <v>5</v>
      </c>
      <c r="F788" s="162">
        <v>10</v>
      </c>
      <c r="G788" s="164">
        <v>0.75149999999999995</v>
      </c>
      <c r="H788" s="164">
        <v>0.3488</v>
      </c>
      <c r="I788" s="164">
        <v>0.47560000000000002</v>
      </c>
      <c r="J788" s="1" t="str">
        <f>HYPERLINK(SetRGB(J788,G788*255,H788*255,I788*255),"HOVER!")</f>
        <v>HOVER!</v>
      </c>
      <c r="K788">
        <f t="shared" si="24"/>
        <v>0.5</v>
      </c>
    </row>
    <row r="789" spans="1:11" x14ac:dyDescent="0.3">
      <c r="A789">
        <f>LOOKUP(9E+307,--MID(D789,1,{1,2,3,4,5}))</f>
        <v>7.5</v>
      </c>
      <c r="B789">
        <f>VLOOKUP(MID(D789,LOOKUP(2,1/ISNUMBER(-MID(D789,1,{1,2,3,4,5})),{1,2,3,4,5})+1,9),'Hue codes'!$A$1:$B$10,2,FALSE)</f>
        <v>90</v>
      </c>
      <c r="C789">
        <f t="shared" si="25"/>
        <v>97.5</v>
      </c>
      <c r="D789" s="162" t="s">
        <v>59</v>
      </c>
      <c r="E789" s="162">
        <v>5</v>
      </c>
      <c r="F789" s="162">
        <v>12</v>
      </c>
      <c r="G789" s="164">
        <v>0.8014</v>
      </c>
      <c r="H789" s="164">
        <v>0.30370000000000003</v>
      </c>
      <c r="I789" s="164">
        <v>0.47839999999999999</v>
      </c>
      <c r="J789" s="1" t="str">
        <f>HYPERLINK(SetRGB(J789,G789*255,H789*255,I789*255),"HOVER!")</f>
        <v>HOVER!</v>
      </c>
      <c r="K789">
        <f t="shared" si="24"/>
        <v>0.41666666666666669</v>
      </c>
    </row>
    <row r="790" spans="1:11" x14ac:dyDescent="0.3">
      <c r="A790">
        <f>LOOKUP(9E+307,--MID(D790,1,{1,2,3,4,5}))</f>
        <v>7.5</v>
      </c>
      <c r="B790">
        <f>VLOOKUP(MID(D790,LOOKUP(2,1/ISNUMBER(-MID(D790,1,{1,2,3,4,5})),{1,2,3,4,5})+1,9),'Hue codes'!$A$1:$B$10,2,FALSE)</f>
        <v>90</v>
      </c>
      <c r="C790">
        <f t="shared" si="25"/>
        <v>97.5</v>
      </c>
      <c r="D790" s="162" t="s">
        <v>59</v>
      </c>
      <c r="E790" s="162">
        <v>5</v>
      </c>
      <c r="F790" s="162">
        <v>14</v>
      </c>
      <c r="G790" s="164">
        <v>0.84019999999999995</v>
      </c>
      <c r="H790" s="164">
        <v>0.25829999999999997</v>
      </c>
      <c r="I790" s="164">
        <v>0.48120000000000002</v>
      </c>
      <c r="J790" s="1" t="str">
        <f>HYPERLINK(SetRGB(J790,G790*255,H790*255,I790*255),"HOVER!")</f>
        <v>HOVER!</v>
      </c>
      <c r="K790">
        <f t="shared" si="24"/>
        <v>0.35714285714285715</v>
      </c>
    </row>
    <row r="791" spans="1:11" x14ac:dyDescent="0.3">
      <c r="A791">
        <f>LOOKUP(9E+307,--MID(D791,1,{1,2,3,4,5}))</f>
        <v>7.5</v>
      </c>
      <c r="B791">
        <f>VLOOKUP(MID(D791,LOOKUP(2,1/ISNUMBER(-MID(D791,1,{1,2,3,4,5})),{1,2,3,4,5})+1,9),'Hue codes'!$A$1:$B$10,2,FALSE)</f>
        <v>90</v>
      </c>
      <c r="C791">
        <f t="shared" si="25"/>
        <v>97.5</v>
      </c>
      <c r="D791" s="162" t="s">
        <v>59</v>
      </c>
      <c r="E791" s="162">
        <v>5</v>
      </c>
      <c r="F791" s="162">
        <v>16</v>
      </c>
      <c r="G791" s="164">
        <v>0.88319999999999999</v>
      </c>
      <c r="H791" s="164">
        <v>0.1888</v>
      </c>
      <c r="I791" s="164">
        <v>0.4854</v>
      </c>
      <c r="J791" s="1" t="str">
        <f>HYPERLINK(SetRGB(J791,G791*255,H791*255,I791*255),"HOVER!")</f>
        <v>HOVER!</v>
      </c>
      <c r="K791">
        <f t="shared" si="24"/>
        <v>0.3125</v>
      </c>
    </row>
    <row r="792" spans="1:11" x14ac:dyDescent="0.3">
      <c r="A792">
        <f>LOOKUP(9E+307,--MID(D792,1,{1,2,3,4,5}))</f>
        <v>7.5</v>
      </c>
      <c r="B792">
        <f>VLOOKUP(MID(D792,LOOKUP(2,1/ISNUMBER(-MID(D792,1,{1,2,3,4,5})),{1,2,3,4,5})+1,9),'Hue codes'!$A$1:$B$10,2,FALSE)</f>
        <v>90</v>
      </c>
      <c r="C792">
        <f t="shared" si="25"/>
        <v>97.5</v>
      </c>
      <c r="D792" s="162" t="s">
        <v>59</v>
      </c>
      <c r="E792" s="162">
        <v>5</v>
      </c>
      <c r="F792" s="162">
        <v>18</v>
      </c>
      <c r="G792" s="164">
        <v>0.92249999999999999</v>
      </c>
      <c r="H792" s="164">
        <v>6.7400000000000002E-2</v>
      </c>
      <c r="I792" s="164">
        <v>0.4904</v>
      </c>
      <c r="J792" s="1" t="str">
        <f>HYPERLINK(SetRGB(J792,G792*255,H792*255,I792*255),"HOVER!")</f>
        <v>HOVER!</v>
      </c>
      <c r="K792">
        <f t="shared" si="24"/>
        <v>0.27777777777777779</v>
      </c>
    </row>
    <row r="793" spans="1:11" x14ac:dyDescent="0.3">
      <c r="A793">
        <f>LOOKUP(9E+307,--MID(D793,1,{1,2,3,4,5}))</f>
        <v>10</v>
      </c>
      <c r="B793">
        <f>VLOOKUP(MID(D793,LOOKUP(2,1/ISNUMBER(-MID(D793,1,{1,2,3,4,5})),{1,2,3,4,5})+1,9),'Hue codes'!$A$1:$B$10,2,FALSE)</f>
        <v>90</v>
      </c>
      <c r="C793">
        <f t="shared" si="25"/>
        <v>0</v>
      </c>
      <c r="D793" s="162" t="s">
        <v>20</v>
      </c>
      <c r="E793" s="162">
        <v>6</v>
      </c>
      <c r="F793" s="162">
        <v>2</v>
      </c>
      <c r="G793" s="164">
        <v>0.64470000000000005</v>
      </c>
      <c r="H793" s="164">
        <v>0.56569999999999998</v>
      </c>
      <c r="I793" s="164">
        <v>0.57289999999999996</v>
      </c>
      <c r="J793" s="2" t="str">
        <f>HYPERLINK(SetRGB(J793,G793*255,H793*255,I793*255),"HOVER!")</f>
        <v>HOVER!</v>
      </c>
      <c r="K793">
        <f t="shared" si="24"/>
        <v>3</v>
      </c>
    </row>
    <row r="794" spans="1:11" x14ac:dyDescent="0.3">
      <c r="A794">
        <f>LOOKUP(9E+307,--MID(D794,1,{1,2,3,4,5}))</f>
        <v>10</v>
      </c>
      <c r="B794">
        <f>VLOOKUP(MID(D794,LOOKUP(2,1/ISNUMBER(-MID(D794,1,{1,2,3,4,5})),{1,2,3,4,5})+1,9),'Hue codes'!$A$1:$B$10,2,FALSE)</f>
        <v>90</v>
      </c>
      <c r="C794">
        <f t="shared" si="25"/>
        <v>0</v>
      </c>
      <c r="D794" s="162" t="s">
        <v>20</v>
      </c>
      <c r="E794" s="162">
        <v>6</v>
      </c>
      <c r="F794" s="162">
        <v>4</v>
      </c>
      <c r="G794" s="164">
        <v>0.70689999999999997</v>
      </c>
      <c r="H794" s="164">
        <v>0.54290000000000005</v>
      </c>
      <c r="I794" s="164">
        <v>0.56079999999999997</v>
      </c>
      <c r="J794" s="2" t="str">
        <f>HYPERLINK(SetRGB(J794,G794*255,H794*255,I794*255),"HOVER!")</f>
        <v>HOVER!</v>
      </c>
      <c r="K794">
        <f t="shared" si="24"/>
        <v>1.5</v>
      </c>
    </row>
    <row r="795" spans="1:11" x14ac:dyDescent="0.3">
      <c r="A795">
        <f>LOOKUP(9E+307,--MID(D795,1,{1,2,3,4,5}))</f>
        <v>10</v>
      </c>
      <c r="B795">
        <f>VLOOKUP(MID(D795,LOOKUP(2,1/ISNUMBER(-MID(D795,1,{1,2,3,4,5})),{1,2,3,4,5})+1,9),'Hue codes'!$A$1:$B$10,2,FALSE)</f>
        <v>90</v>
      </c>
      <c r="C795">
        <f t="shared" si="25"/>
        <v>0</v>
      </c>
      <c r="D795" s="162" t="s">
        <v>20</v>
      </c>
      <c r="E795" s="162">
        <v>6</v>
      </c>
      <c r="F795" s="162">
        <v>6</v>
      </c>
      <c r="G795" s="164">
        <v>0.76890000000000003</v>
      </c>
      <c r="H795" s="164">
        <v>0.51570000000000005</v>
      </c>
      <c r="I795" s="164">
        <v>0.54849999999999999</v>
      </c>
      <c r="J795" s="2" t="str">
        <f>HYPERLINK(SetRGB(J795,G795*255,H795*255,I795*255),"HOVER!")</f>
        <v>HOVER!</v>
      </c>
      <c r="K795">
        <f t="shared" si="24"/>
        <v>1</v>
      </c>
    </row>
    <row r="796" spans="1:11" x14ac:dyDescent="0.3">
      <c r="A796">
        <f>LOOKUP(9E+307,--MID(D796,1,{1,2,3,4,5}))</f>
        <v>10</v>
      </c>
      <c r="B796">
        <f>VLOOKUP(MID(D796,LOOKUP(2,1/ISNUMBER(-MID(D796,1,{1,2,3,4,5})),{1,2,3,4,5})+1,9),'Hue codes'!$A$1:$B$10,2,FALSE)</f>
        <v>90</v>
      </c>
      <c r="C796">
        <f t="shared" si="25"/>
        <v>0</v>
      </c>
      <c r="D796" s="162" t="s">
        <v>20</v>
      </c>
      <c r="E796" s="162">
        <v>6</v>
      </c>
      <c r="F796" s="162">
        <v>8</v>
      </c>
      <c r="G796" s="164">
        <v>0.81720000000000004</v>
      </c>
      <c r="H796" s="164">
        <v>0.49080000000000001</v>
      </c>
      <c r="I796" s="164">
        <v>0.53879999999999995</v>
      </c>
      <c r="J796" s="2" t="str">
        <f>HYPERLINK(SetRGB(J796,G796*255,H796*255,I796*255),"HOVER!")</f>
        <v>HOVER!</v>
      </c>
      <c r="K796">
        <f t="shared" si="24"/>
        <v>0.75</v>
      </c>
    </row>
    <row r="797" spans="1:11" x14ac:dyDescent="0.3">
      <c r="A797">
        <f>LOOKUP(9E+307,--MID(D797,1,{1,2,3,4,5}))</f>
        <v>10</v>
      </c>
      <c r="B797">
        <f>VLOOKUP(MID(D797,LOOKUP(2,1/ISNUMBER(-MID(D797,1,{1,2,3,4,5})),{1,2,3,4,5})+1,9),'Hue codes'!$A$1:$B$10,2,FALSE)</f>
        <v>90</v>
      </c>
      <c r="C797">
        <f t="shared" si="25"/>
        <v>0</v>
      </c>
      <c r="D797" s="162" t="s">
        <v>20</v>
      </c>
      <c r="E797" s="162">
        <v>6</v>
      </c>
      <c r="F797" s="162">
        <v>10</v>
      </c>
      <c r="G797" s="164">
        <v>0.87139999999999995</v>
      </c>
      <c r="H797" s="164">
        <v>0.45789999999999997</v>
      </c>
      <c r="I797" s="164">
        <v>0.52849999999999997</v>
      </c>
      <c r="J797" s="2" t="str">
        <f>HYPERLINK(SetRGB(J797,G797*255,H797*255,I797*255),"HOVER!")</f>
        <v>HOVER!</v>
      </c>
      <c r="K797">
        <f t="shared" si="24"/>
        <v>0.6</v>
      </c>
    </row>
    <row r="798" spans="1:11" x14ac:dyDescent="0.3">
      <c r="A798">
        <f>LOOKUP(9E+307,--MID(D798,1,{1,2,3,4,5}))</f>
        <v>10</v>
      </c>
      <c r="B798">
        <f>VLOOKUP(MID(D798,LOOKUP(2,1/ISNUMBER(-MID(D798,1,{1,2,3,4,5})),{1,2,3,4,5})+1,9),'Hue codes'!$A$1:$B$10,2,FALSE)</f>
        <v>90</v>
      </c>
      <c r="C798">
        <f t="shared" si="25"/>
        <v>0</v>
      </c>
      <c r="D798" s="162" t="s">
        <v>20</v>
      </c>
      <c r="E798" s="162">
        <v>6</v>
      </c>
      <c r="F798" s="162">
        <v>12</v>
      </c>
      <c r="G798" s="164">
        <v>0.92200000000000004</v>
      </c>
      <c r="H798" s="164">
        <v>0.42099999999999999</v>
      </c>
      <c r="I798" s="164">
        <v>0.51939999999999997</v>
      </c>
      <c r="J798" s="2" t="str">
        <f>HYPERLINK(SetRGB(J798,G798*255,H798*255,I798*255),"HOVER!")</f>
        <v>HOVER!</v>
      </c>
      <c r="K798">
        <f t="shared" si="24"/>
        <v>0.5</v>
      </c>
    </row>
    <row r="799" spans="1:11" x14ac:dyDescent="0.3">
      <c r="A799">
        <f>LOOKUP(9E+307,--MID(D799,1,{1,2,3,4,5}))</f>
        <v>10</v>
      </c>
      <c r="B799">
        <f>VLOOKUP(MID(D799,LOOKUP(2,1/ISNUMBER(-MID(D799,1,{1,2,3,4,5})),{1,2,3,4,5})+1,9),'Hue codes'!$A$1:$B$10,2,FALSE)</f>
        <v>90</v>
      </c>
      <c r="C799">
        <f t="shared" si="25"/>
        <v>0</v>
      </c>
      <c r="D799" s="162" t="s">
        <v>20</v>
      </c>
      <c r="E799" s="162">
        <v>6</v>
      </c>
      <c r="F799" s="162">
        <v>14</v>
      </c>
      <c r="G799" s="164">
        <v>0.96799999999999997</v>
      </c>
      <c r="H799" s="164">
        <v>0.3805</v>
      </c>
      <c r="I799" s="164">
        <v>0.51200000000000001</v>
      </c>
      <c r="J799" s="2" t="str">
        <f>HYPERLINK(SetRGB(J799,G799*255,H799*255,I799*255),"HOVER!")</f>
        <v>HOVER!</v>
      </c>
      <c r="K799">
        <f t="shared" si="24"/>
        <v>0.42857142857142855</v>
      </c>
    </row>
    <row r="800" spans="1:11" x14ac:dyDescent="0.3">
      <c r="A800">
        <f>LOOKUP(9E+307,--MID(D800,1,{1,2,3,4,5}))</f>
        <v>10</v>
      </c>
      <c r="B800">
        <f>VLOOKUP(MID(D800,LOOKUP(2,1/ISNUMBER(-MID(D800,1,{1,2,3,4,5})),{1,2,3,4,5})+1,9),'Hue codes'!$A$1:$B$10,2,FALSE)</f>
        <v>90</v>
      </c>
      <c r="C800">
        <f t="shared" si="25"/>
        <v>0</v>
      </c>
      <c r="D800" s="162" t="s">
        <v>20</v>
      </c>
      <c r="E800" s="162">
        <v>6</v>
      </c>
      <c r="F800" s="162">
        <v>16</v>
      </c>
      <c r="G800" s="164">
        <v>1</v>
      </c>
      <c r="H800" s="164">
        <v>0.3201</v>
      </c>
      <c r="I800" s="164">
        <v>0.50329999999999997</v>
      </c>
      <c r="J800" s="2" t="str">
        <f>HYPERLINK(SetRGB(J800,G800*255,H800*255,I800*255),"HOVER!")</f>
        <v>HOVER!</v>
      </c>
      <c r="K800">
        <f t="shared" si="24"/>
        <v>0.375</v>
      </c>
    </row>
    <row r="801" spans="1:11" x14ac:dyDescent="0.3">
      <c r="A801">
        <f>LOOKUP(9E+307,--MID(D801,1,{1,2,3,4,5}))</f>
        <v>10</v>
      </c>
      <c r="B801">
        <f>VLOOKUP(MID(D801,LOOKUP(2,1/ISNUMBER(-MID(D801,1,{1,2,3,4,5})),{1,2,3,4,5})+1,9),'Hue codes'!$A$1:$B$10,2,FALSE)</f>
        <v>90</v>
      </c>
      <c r="C801">
        <f t="shared" si="25"/>
        <v>0</v>
      </c>
      <c r="D801" s="162" t="s">
        <v>20</v>
      </c>
      <c r="E801" s="162">
        <v>6</v>
      </c>
      <c r="F801" s="162">
        <v>18</v>
      </c>
      <c r="G801" s="164">
        <v>1</v>
      </c>
      <c r="H801" s="164">
        <v>0.25469999999999998</v>
      </c>
      <c r="I801" s="164">
        <v>0.49759999999999999</v>
      </c>
      <c r="J801" s="2" t="str">
        <f>HYPERLINK(SetRGB(J801,G801*255,H801*255,I801*255),"HOVER!")</f>
        <v>HOVER!</v>
      </c>
      <c r="K801">
        <f t="shared" si="24"/>
        <v>0.33333333333333331</v>
      </c>
    </row>
    <row r="802" spans="1:11" x14ac:dyDescent="0.3">
      <c r="A802">
        <f>LOOKUP(9E+307,--MID(D802,1,{1,2,3,4,5}))</f>
        <v>2.5</v>
      </c>
      <c r="B802">
        <f>VLOOKUP(MID(D802,LOOKUP(2,1/ISNUMBER(-MID(D802,1,{1,2,3,4,5})),{1,2,3,4,5})+1,9),'Hue codes'!$A$1:$B$10,2,FALSE)</f>
        <v>0</v>
      </c>
      <c r="C802">
        <f t="shared" si="25"/>
        <v>2.5</v>
      </c>
      <c r="D802" s="162" t="s">
        <v>21</v>
      </c>
      <c r="E802" s="162">
        <v>6</v>
      </c>
      <c r="F802" s="162">
        <v>2</v>
      </c>
      <c r="G802" s="164">
        <v>0.64749999999999996</v>
      </c>
      <c r="H802" s="164">
        <v>0.5655</v>
      </c>
      <c r="I802" s="164">
        <v>0.56620000000000004</v>
      </c>
      <c r="J802" s="2" t="str">
        <f>HYPERLINK(SetRGB(J802,G802*255,H802*255,I802*255),"HOVER!")</f>
        <v>HOVER!</v>
      </c>
      <c r="K802">
        <f t="shared" si="24"/>
        <v>3</v>
      </c>
    </row>
    <row r="803" spans="1:11" x14ac:dyDescent="0.3">
      <c r="A803">
        <f>LOOKUP(9E+307,--MID(D803,1,{1,2,3,4,5}))</f>
        <v>2.5</v>
      </c>
      <c r="B803">
        <f>VLOOKUP(MID(D803,LOOKUP(2,1/ISNUMBER(-MID(D803,1,{1,2,3,4,5})),{1,2,3,4,5})+1,9),'Hue codes'!$A$1:$B$10,2,FALSE)</f>
        <v>0</v>
      </c>
      <c r="C803">
        <f t="shared" si="25"/>
        <v>2.5</v>
      </c>
      <c r="D803" s="162" t="s">
        <v>21</v>
      </c>
      <c r="E803" s="162">
        <v>6</v>
      </c>
      <c r="F803" s="162">
        <v>4</v>
      </c>
      <c r="G803" s="164">
        <v>0.71230000000000004</v>
      </c>
      <c r="H803" s="164">
        <v>0.5423</v>
      </c>
      <c r="I803" s="164">
        <v>0.54630000000000001</v>
      </c>
      <c r="J803" s="2" t="str">
        <f>HYPERLINK(SetRGB(J803,G803*255,H803*255,I803*255),"HOVER!")</f>
        <v>HOVER!</v>
      </c>
      <c r="K803">
        <f t="shared" si="24"/>
        <v>1.5</v>
      </c>
    </row>
    <row r="804" spans="1:11" x14ac:dyDescent="0.3">
      <c r="A804">
        <f>LOOKUP(9E+307,--MID(D804,1,{1,2,3,4,5}))</f>
        <v>2.5</v>
      </c>
      <c r="B804">
        <f>VLOOKUP(MID(D804,LOOKUP(2,1/ISNUMBER(-MID(D804,1,{1,2,3,4,5})),{1,2,3,4,5})+1,9),'Hue codes'!$A$1:$B$10,2,FALSE)</f>
        <v>0</v>
      </c>
      <c r="C804">
        <f t="shared" si="25"/>
        <v>2.5</v>
      </c>
      <c r="D804" s="162" t="s">
        <v>21</v>
      </c>
      <c r="E804" s="162">
        <v>6</v>
      </c>
      <c r="F804" s="162">
        <v>6</v>
      </c>
      <c r="G804" s="164">
        <v>0.77459999999999996</v>
      </c>
      <c r="H804" s="164">
        <v>0.51570000000000005</v>
      </c>
      <c r="I804" s="164">
        <v>0.52429999999999999</v>
      </c>
      <c r="J804" s="2" t="str">
        <f>HYPERLINK(SetRGB(J804,G804*255,H804*255,I804*255),"HOVER!")</f>
        <v>HOVER!</v>
      </c>
      <c r="K804">
        <f t="shared" si="24"/>
        <v>1</v>
      </c>
    </row>
    <row r="805" spans="1:11" x14ac:dyDescent="0.3">
      <c r="A805">
        <f>LOOKUP(9E+307,--MID(D805,1,{1,2,3,4,5}))</f>
        <v>2.5</v>
      </c>
      <c r="B805">
        <f>VLOOKUP(MID(D805,LOOKUP(2,1/ISNUMBER(-MID(D805,1,{1,2,3,4,5})),{1,2,3,4,5})+1,9),'Hue codes'!$A$1:$B$10,2,FALSE)</f>
        <v>0</v>
      </c>
      <c r="C805">
        <f t="shared" si="25"/>
        <v>2.5</v>
      </c>
      <c r="D805" s="162" t="s">
        <v>21</v>
      </c>
      <c r="E805" s="162">
        <v>6</v>
      </c>
      <c r="F805" s="162">
        <v>8</v>
      </c>
      <c r="G805" s="164">
        <v>0.82609999999999995</v>
      </c>
      <c r="H805" s="164">
        <v>0.48949999999999999</v>
      </c>
      <c r="I805" s="164">
        <v>0.50580000000000003</v>
      </c>
      <c r="J805" s="2" t="str">
        <f>HYPERLINK(SetRGB(J805,G805*255,H805*255,I805*255),"HOVER!")</f>
        <v>HOVER!</v>
      </c>
      <c r="K805">
        <f t="shared" si="24"/>
        <v>0.75</v>
      </c>
    </row>
    <row r="806" spans="1:11" x14ac:dyDescent="0.3">
      <c r="A806">
        <f>LOOKUP(9E+307,--MID(D806,1,{1,2,3,4,5}))</f>
        <v>2.5</v>
      </c>
      <c r="B806">
        <f>VLOOKUP(MID(D806,LOOKUP(2,1/ISNUMBER(-MID(D806,1,{1,2,3,4,5})),{1,2,3,4,5})+1,9),'Hue codes'!$A$1:$B$10,2,FALSE)</f>
        <v>0</v>
      </c>
      <c r="C806">
        <f t="shared" si="25"/>
        <v>2.5</v>
      </c>
      <c r="D806" s="162" t="s">
        <v>21</v>
      </c>
      <c r="E806" s="162">
        <v>6</v>
      </c>
      <c r="F806" s="162">
        <v>10</v>
      </c>
      <c r="G806" s="164">
        <v>0.88039999999999996</v>
      </c>
      <c r="H806" s="164">
        <v>0.45689999999999997</v>
      </c>
      <c r="I806" s="164">
        <v>0.4864</v>
      </c>
      <c r="J806" s="2" t="str">
        <f>HYPERLINK(SetRGB(J806,G806*255,H806*255,I806*255),"HOVER!")</f>
        <v>HOVER!</v>
      </c>
      <c r="K806">
        <f t="shared" si="24"/>
        <v>0.6</v>
      </c>
    </row>
    <row r="807" spans="1:11" x14ac:dyDescent="0.3">
      <c r="A807">
        <f>LOOKUP(9E+307,--MID(D807,1,{1,2,3,4,5}))</f>
        <v>2.5</v>
      </c>
      <c r="B807">
        <f>VLOOKUP(MID(D807,LOOKUP(2,1/ISNUMBER(-MID(D807,1,{1,2,3,4,5})),{1,2,3,4,5})+1,9),'Hue codes'!$A$1:$B$10,2,FALSE)</f>
        <v>0</v>
      </c>
      <c r="C807">
        <f t="shared" si="25"/>
        <v>2.5</v>
      </c>
      <c r="D807" s="162" t="s">
        <v>21</v>
      </c>
      <c r="E807" s="162">
        <v>6</v>
      </c>
      <c r="F807" s="162">
        <v>12</v>
      </c>
      <c r="G807" s="164">
        <v>0.93200000000000005</v>
      </c>
      <c r="H807" s="164">
        <v>0.41949999999999998</v>
      </c>
      <c r="I807" s="164">
        <v>0.46850000000000003</v>
      </c>
      <c r="J807" s="2" t="str">
        <f>HYPERLINK(SetRGB(J807,G807*255,H807*255,I807*255),"HOVER!")</f>
        <v>HOVER!</v>
      </c>
      <c r="K807">
        <f t="shared" si="24"/>
        <v>0.5</v>
      </c>
    </row>
    <row r="808" spans="1:11" x14ac:dyDescent="0.3">
      <c r="A808">
        <f>LOOKUP(9E+307,--MID(D808,1,{1,2,3,4,5}))</f>
        <v>2.5</v>
      </c>
      <c r="B808">
        <f>VLOOKUP(MID(D808,LOOKUP(2,1/ISNUMBER(-MID(D808,1,{1,2,3,4,5})),{1,2,3,4,5})+1,9),'Hue codes'!$A$1:$B$10,2,FALSE)</f>
        <v>0</v>
      </c>
      <c r="C808">
        <f t="shared" si="25"/>
        <v>2.5</v>
      </c>
      <c r="D808" s="162" t="s">
        <v>21</v>
      </c>
      <c r="E808" s="162">
        <v>6</v>
      </c>
      <c r="F808" s="162">
        <v>14</v>
      </c>
      <c r="G808" s="164">
        <v>0.97789999999999999</v>
      </c>
      <c r="H808" s="164">
        <v>0.37930000000000003</v>
      </c>
      <c r="I808" s="164">
        <v>0.4531</v>
      </c>
      <c r="J808" s="2" t="str">
        <f>HYPERLINK(SetRGB(J808,G808*255,H808*255,I808*255),"HOVER!")</f>
        <v>HOVER!</v>
      </c>
      <c r="K808">
        <f t="shared" si="24"/>
        <v>0.42857142857142855</v>
      </c>
    </row>
    <row r="809" spans="1:11" x14ac:dyDescent="0.3">
      <c r="A809">
        <f>LOOKUP(9E+307,--MID(D809,1,{1,2,3,4,5}))</f>
        <v>2.5</v>
      </c>
      <c r="B809">
        <f>VLOOKUP(MID(D809,LOOKUP(2,1/ISNUMBER(-MID(D809,1,{1,2,3,4,5})),{1,2,3,4,5})+1,9),'Hue codes'!$A$1:$B$10,2,FALSE)</f>
        <v>0</v>
      </c>
      <c r="C809">
        <f t="shared" si="25"/>
        <v>2.5</v>
      </c>
      <c r="D809" s="162" t="s">
        <v>21</v>
      </c>
      <c r="E809" s="162">
        <v>6</v>
      </c>
      <c r="F809" s="162">
        <v>16</v>
      </c>
      <c r="G809" s="164">
        <v>1</v>
      </c>
      <c r="H809" s="164">
        <v>0.32129999999999997</v>
      </c>
      <c r="I809" s="164">
        <v>0.437</v>
      </c>
      <c r="J809" s="2" t="str">
        <f>HYPERLINK(SetRGB(J809,G809*255,H809*255,I809*255),"HOVER!")</f>
        <v>HOVER!</v>
      </c>
      <c r="K809">
        <f t="shared" si="24"/>
        <v>0.375</v>
      </c>
    </row>
    <row r="810" spans="1:11" x14ac:dyDescent="0.3">
      <c r="A810">
        <f>LOOKUP(9E+307,--MID(D810,1,{1,2,3,4,5}))</f>
        <v>2.5</v>
      </c>
      <c r="B810">
        <f>VLOOKUP(MID(D810,LOOKUP(2,1/ISNUMBER(-MID(D810,1,{1,2,3,4,5})),{1,2,3,4,5})+1,9),'Hue codes'!$A$1:$B$10,2,FALSE)</f>
        <v>0</v>
      </c>
      <c r="C810">
        <f t="shared" si="25"/>
        <v>2.5</v>
      </c>
      <c r="D810" s="162" t="s">
        <v>21</v>
      </c>
      <c r="E810" s="162">
        <v>6</v>
      </c>
      <c r="F810" s="162">
        <v>18</v>
      </c>
      <c r="G810" s="164">
        <v>1</v>
      </c>
      <c r="H810" s="164">
        <v>0.25269999999999998</v>
      </c>
      <c r="I810" s="164">
        <v>0.42249999999999999</v>
      </c>
      <c r="J810" s="1" t="str">
        <f>HYPERLINK(SetRGB(J810,G810*255,H810*255,I810*255),"HOVER!")</f>
        <v>HOVER!</v>
      </c>
      <c r="K810">
        <f t="shared" si="24"/>
        <v>0.33333333333333331</v>
      </c>
    </row>
    <row r="811" spans="1:11" x14ac:dyDescent="0.3">
      <c r="A811">
        <f>LOOKUP(9E+307,--MID(D811,1,{1,2,3,4,5}))</f>
        <v>5</v>
      </c>
      <c r="B811">
        <f>VLOOKUP(MID(D811,LOOKUP(2,1/ISNUMBER(-MID(D811,1,{1,2,3,4,5})),{1,2,3,4,5})+1,9),'Hue codes'!$A$1:$B$10,2,FALSE)</f>
        <v>0</v>
      </c>
      <c r="C811">
        <f t="shared" si="25"/>
        <v>5</v>
      </c>
      <c r="D811" s="162" t="s">
        <v>22</v>
      </c>
      <c r="E811" s="162">
        <v>6</v>
      </c>
      <c r="F811" s="162">
        <v>2</v>
      </c>
      <c r="G811" s="164">
        <v>0.6502</v>
      </c>
      <c r="H811" s="164">
        <v>0.56520000000000004</v>
      </c>
      <c r="I811" s="164">
        <v>0.55969999999999998</v>
      </c>
      <c r="J811" s="2" t="str">
        <f>HYPERLINK(SetRGB(J811,G811*255,H811*255,I811*255),"HOVER!")</f>
        <v>HOVER!</v>
      </c>
      <c r="K811">
        <f t="shared" si="24"/>
        <v>3</v>
      </c>
    </row>
    <row r="812" spans="1:11" x14ac:dyDescent="0.3">
      <c r="A812">
        <f>LOOKUP(9E+307,--MID(D812,1,{1,2,3,4,5}))</f>
        <v>5</v>
      </c>
      <c r="B812">
        <f>VLOOKUP(MID(D812,LOOKUP(2,1/ISNUMBER(-MID(D812,1,{1,2,3,4,5})),{1,2,3,4,5})+1,9),'Hue codes'!$A$1:$B$10,2,FALSE)</f>
        <v>0</v>
      </c>
      <c r="C812">
        <f t="shared" si="25"/>
        <v>5</v>
      </c>
      <c r="D812" s="162" t="s">
        <v>22</v>
      </c>
      <c r="E812" s="162">
        <v>6</v>
      </c>
      <c r="F812" s="162">
        <v>4</v>
      </c>
      <c r="G812" s="164">
        <v>0.71730000000000005</v>
      </c>
      <c r="H812" s="164">
        <v>0.54190000000000005</v>
      </c>
      <c r="I812" s="164">
        <v>0.5302</v>
      </c>
      <c r="J812" s="2" t="str">
        <f>HYPERLINK(SetRGB(J812,G812*255,H812*255,I812*255),"HOVER!")</f>
        <v>HOVER!</v>
      </c>
      <c r="K812">
        <f t="shared" si="24"/>
        <v>1.5</v>
      </c>
    </row>
    <row r="813" spans="1:11" x14ac:dyDescent="0.3">
      <c r="A813">
        <f>LOOKUP(9E+307,--MID(D813,1,{1,2,3,4,5}))</f>
        <v>5</v>
      </c>
      <c r="B813">
        <f>VLOOKUP(MID(D813,LOOKUP(2,1/ISNUMBER(-MID(D813,1,{1,2,3,4,5})),{1,2,3,4,5})+1,9),'Hue codes'!$A$1:$B$10,2,FALSE)</f>
        <v>0</v>
      </c>
      <c r="C813">
        <f t="shared" si="25"/>
        <v>5</v>
      </c>
      <c r="D813" s="162" t="s">
        <v>22</v>
      </c>
      <c r="E813" s="162">
        <v>6</v>
      </c>
      <c r="F813" s="162">
        <v>6</v>
      </c>
      <c r="G813" s="164">
        <v>0.77900000000000003</v>
      </c>
      <c r="H813" s="164">
        <v>0.5161</v>
      </c>
      <c r="I813" s="164">
        <v>0.49990000000000001</v>
      </c>
      <c r="J813" s="21" t="str">
        <f>HYPERLINK(SetRGB(J813,G813*255,H813*255,I813*255),"HOVER!")</f>
        <v>HOVER!</v>
      </c>
      <c r="K813">
        <f t="shared" si="24"/>
        <v>1</v>
      </c>
    </row>
    <row r="814" spans="1:11" x14ac:dyDescent="0.3">
      <c r="A814">
        <f>LOOKUP(9E+307,--MID(D814,1,{1,2,3,4,5}))</f>
        <v>5</v>
      </c>
      <c r="B814">
        <f>VLOOKUP(MID(D814,LOOKUP(2,1/ISNUMBER(-MID(D814,1,{1,2,3,4,5})),{1,2,3,4,5})+1,9),'Hue codes'!$A$1:$B$10,2,FALSE)</f>
        <v>0</v>
      </c>
      <c r="C814">
        <f t="shared" si="25"/>
        <v>5</v>
      </c>
      <c r="D814" s="162" t="s">
        <v>22</v>
      </c>
      <c r="E814" s="162">
        <v>6</v>
      </c>
      <c r="F814" s="162">
        <v>8</v>
      </c>
      <c r="G814" s="164">
        <v>0.83169999999999999</v>
      </c>
      <c r="H814" s="164">
        <v>0.48980000000000001</v>
      </c>
      <c r="I814" s="164">
        <v>0.4733</v>
      </c>
      <c r="J814" s="20" t="str">
        <f>HYPERLINK(SetRGB(J814,G814*255,H814*255,I814*255),"HOVER!")</f>
        <v>HOVER!</v>
      </c>
      <c r="K814">
        <f t="shared" si="24"/>
        <v>0.75</v>
      </c>
    </row>
    <row r="815" spans="1:11" x14ac:dyDescent="0.3">
      <c r="A815">
        <f>LOOKUP(9E+307,--MID(D815,1,{1,2,3,4,5}))</f>
        <v>5</v>
      </c>
      <c r="B815">
        <f>VLOOKUP(MID(D815,LOOKUP(2,1/ISNUMBER(-MID(D815,1,{1,2,3,4,5})),{1,2,3,4,5})+1,9),'Hue codes'!$A$1:$B$10,2,FALSE)</f>
        <v>0</v>
      </c>
      <c r="C815">
        <f t="shared" si="25"/>
        <v>5</v>
      </c>
      <c r="D815" s="162" t="s">
        <v>22</v>
      </c>
      <c r="E815" s="162">
        <v>6</v>
      </c>
      <c r="F815" s="162">
        <v>10</v>
      </c>
      <c r="G815" s="164">
        <v>0.88629999999999998</v>
      </c>
      <c r="H815" s="164">
        <v>0.45750000000000002</v>
      </c>
      <c r="I815" s="164">
        <v>0.44359999999999999</v>
      </c>
      <c r="J815" s="19" t="str">
        <f>HYPERLINK(SetRGB(J815,G815*255,H815*255,I815*255),"HOVER!")</f>
        <v>HOVER!</v>
      </c>
      <c r="K815">
        <f t="shared" si="24"/>
        <v>0.6</v>
      </c>
    </row>
    <row r="816" spans="1:11" x14ac:dyDescent="0.3">
      <c r="A816">
        <f>LOOKUP(9E+307,--MID(D816,1,{1,2,3,4,5}))</f>
        <v>5</v>
      </c>
      <c r="B816">
        <f>VLOOKUP(MID(D816,LOOKUP(2,1/ISNUMBER(-MID(D816,1,{1,2,3,4,5})),{1,2,3,4,5})+1,9),'Hue codes'!$A$1:$B$10,2,FALSE)</f>
        <v>0</v>
      </c>
      <c r="C816">
        <f t="shared" si="25"/>
        <v>5</v>
      </c>
      <c r="D816" s="162" t="s">
        <v>22</v>
      </c>
      <c r="E816" s="162">
        <v>6</v>
      </c>
      <c r="F816" s="162">
        <v>12</v>
      </c>
      <c r="G816" s="164">
        <v>0.93740000000000001</v>
      </c>
      <c r="H816" s="164">
        <v>0.42120000000000002</v>
      </c>
      <c r="I816" s="164">
        <v>0.4158</v>
      </c>
      <c r="J816" s="2" t="str">
        <f>HYPERLINK(SetRGB(J816,G816*255,H816*255,I816*255),"HOVER!")</f>
        <v>HOVER!</v>
      </c>
      <c r="K816">
        <f t="shared" si="24"/>
        <v>0.5</v>
      </c>
    </row>
    <row r="817" spans="1:11" x14ac:dyDescent="0.3">
      <c r="A817">
        <f>LOOKUP(9E+307,--MID(D817,1,{1,2,3,4,5}))</f>
        <v>5</v>
      </c>
      <c r="B817">
        <f>VLOOKUP(MID(D817,LOOKUP(2,1/ISNUMBER(-MID(D817,1,{1,2,3,4,5})),{1,2,3,4,5})+1,9),'Hue codes'!$A$1:$B$10,2,FALSE)</f>
        <v>0</v>
      </c>
      <c r="C817">
        <f t="shared" si="25"/>
        <v>5</v>
      </c>
      <c r="D817" s="162" t="s">
        <v>22</v>
      </c>
      <c r="E817" s="162">
        <v>6</v>
      </c>
      <c r="F817" s="162">
        <v>14</v>
      </c>
      <c r="G817" s="164">
        <v>0.98340000000000005</v>
      </c>
      <c r="H817" s="164">
        <v>0.38169999999999998</v>
      </c>
      <c r="I817" s="164">
        <v>0.38900000000000001</v>
      </c>
      <c r="J817" s="2" t="str">
        <f>HYPERLINK(SetRGB(J817,G817*255,H817*255,I817*255),"HOVER!")</f>
        <v>HOVER!</v>
      </c>
      <c r="K817">
        <f t="shared" si="24"/>
        <v>0.42857142857142855</v>
      </c>
    </row>
    <row r="818" spans="1:11" x14ac:dyDescent="0.3">
      <c r="A818">
        <f>LOOKUP(9E+307,--MID(D818,1,{1,2,3,4,5}))</f>
        <v>5</v>
      </c>
      <c r="B818">
        <f>VLOOKUP(MID(D818,LOOKUP(2,1/ISNUMBER(-MID(D818,1,{1,2,3,4,5})),{1,2,3,4,5})+1,9),'Hue codes'!$A$1:$B$10,2,FALSE)</f>
        <v>0</v>
      </c>
      <c r="C818">
        <f t="shared" si="25"/>
        <v>5</v>
      </c>
      <c r="D818" s="162" t="s">
        <v>22</v>
      </c>
      <c r="E818" s="162">
        <v>6</v>
      </c>
      <c r="F818" s="162">
        <v>16</v>
      </c>
      <c r="G818" s="164">
        <v>1</v>
      </c>
      <c r="H818" s="164">
        <v>0.33</v>
      </c>
      <c r="I818" s="164">
        <v>0.35959999999999998</v>
      </c>
      <c r="J818" s="2" t="str">
        <f>HYPERLINK(SetRGB(J818,G818*255,H818*255,I818*255),"HOVER!")</f>
        <v>HOVER!</v>
      </c>
      <c r="K818">
        <f t="shared" si="24"/>
        <v>0.375</v>
      </c>
    </row>
    <row r="819" spans="1:11" x14ac:dyDescent="0.3">
      <c r="A819">
        <f>LOOKUP(9E+307,--MID(D819,1,{1,2,3,4,5}))</f>
        <v>5</v>
      </c>
      <c r="B819">
        <f>VLOOKUP(MID(D819,LOOKUP(2,1/ISNUMBER(-MID(D819,1,{1,2,3,4,5})),{1,2,3,4,5})+1,9),'Hue codes'!$A$1:$B$10,2,FALSE)</f>
        <v>0</v>
      </c>
      <c r="C819">
        <f t="shared" si="25"/>
        <v>5</v>
      </c>
      <c r="D819" s="162" t="s">
        <v>22</v>
      </c>
      <c r="E819" s="162">
        <v>6</v>
      </c>
      <c r="F819" s="162">
        <v>18</v>
      </c>
      <c r="G819" s="164">
        <v>1</v>
      </c>
      <c r="H819" s="164">
        <v>0.26650000000000001</v>
      </c>
      <c r="I819" s="164">
        <v>0.33169999999999999</v>
      </c>
      <c r="J819" s="1" t="str">
        <f>HYPERLINK(SetRGB(J819,G819*255,H819*255,I819*255),"HOVER!")</f>
        <v>HOVER!</v>
      </c>
      <c r="K819">
        <f t="shared" si="24"/>
        <v>0.33333333333333331</v>
      </c>
    </row>
    <row r="820" spans="1:11" x14ac:dyDescent="0.3">
      <c r="A820">
        <f>LOOKUP(9E+307,--MID(D820,1,{1,2,3,4,5}))</f>
        <v>7.5</v>
      </c>
      <c r="B820">
        <f>VLOOKUP(MID(D820,LOOKUP(2,1/ISNUMBER(-MID(D820,1,{1,2,3,4,5})),{1,2,3,4,5})+1,9),'Hue codes'!$A$1:$B$10,2,FALSE)</f>
        <v>0</v>
      </c>
      <c r="C820">
        <f t="shared" si="25"/>
        <v>7.5</v>
      </c>
      <c r="D820" s="162" t="s">
        <v>23</v>
      </c>
      <c r="E820" s="162">
        <v>6</v>
      </c>
      <c r="F820" s="162">
        <v>2</v>
      </c>
      <c r="G820" s="164">
        <v>0.65390000000000004</v>
      </c>
      <c r="H820" s="164">
        <v>0.56489999999999996</v>
      </c>
      <c r="I820" s="164">
        <v>0.54959999999999998</v>
      </c>
      <c r="J820" s="2" t="str">
        <f>HYPERLINK(SetRGB(J820,G820*255,H820*255,I820*255),"HOVER!")</f>
        <v>HOVER!</v>
      </c>
      <c r="K820">
        <f t="shared" si="24"/>
        <v>3</v>
      </c>
    </row>
    <row r="821" spans="1:11" x14ac:dyDescent="0.3">
      <c r="A821">
        <f>LOOKUP(9E+307,--MID(D821,1,{1,2,3,4,5}))</f>
        <v>7.5</v>
      </c>
      <c r="B821">
        <f>VLOOKUP(MID(D821,LOOKUP(2,1/ISNUMBER(-MID(D821,1,{1,2,3,4,5})),{1,2,3,4,5})+1,9),'Hue codes'!$A$1:$B$10,2,FALSE)</f>
        <v>0</v>
      </c>
      <c r="C821">
        <f t="shared" si="25"/>
        <v>7.5</v>
      </c>
      <c r="D821" s="162" t="s">
        <v>23</v>
      </c>
      <c r="E821" s="162">
        <v>6</v>
      </c>
      <c r="F821" s="162">
        <v>4</v>
      </c>
      <c r="G821" s="164">
        <v>0.72050000000000003</v>
      </c>
      <c r="H821" s="164">
        <v>0.54249999999999998</v>
      </c>
      <c r="I821" s="164">
        <v>0.51160000000000005</v>
      </c>
      <c r="J821" s="2" t="str">
        <f>HYPERLINK(SetRGB(J821,G821*255,H821*255,I821*255),"HOVER!")</f>
        <v>HOVER!</v>
      </c>
      <c r="K821">
        <f t="shared" si="24"/>
        <v>1.5</v>
      </c>
    </row>
    <row r="822" spans="1:11" x14ac:dyDescent="0.3">
      <c r="A822">
        <f>LOOKUP(9E+307,--MID(D822,1,{1,2,3,4,5}))</f>
        <v>7.5</v>
      </c>
      <c r="B822">
        <f>VLOOKUP(MID(D822,LOOKUP(2,1/ISNUMBER(-MID(D822,1,{1,2,3,4,5})),{1,2,3,4,5})+1,9),'Hue codes'!$A$1:$B$10,2,FALSE)</f>
        <v>0</v>
      </c>
      <c r="C822">
        <f t="shared" si="25"/>
        <v>7.5</v>
      </c>
      <c r="D822" s="162" t="s">
        <v>23</v>
      </c>
      <c r="E822" s="162">
        <v>6</v>
      </c>
      <c r="F822" s="162">
        <v>6</v>
      </c>
      <c r="G822" s="164">
        <v>0.77939999999999998</v>
      </c>
      <c r="H822" s="164">
        <v>0.51849999999999996</v>
      </c>
      <c r="I822" s="164">
        <v>0.4743</v>
      </c>
      <c r="J822" s="2" t="str">
        <f>HYPERLINK(SetRGB(J822,G822*255,H822*255,I822*255),"HOVER!")</f>
        <v>HOVER!</v>
      </c>
      <c r="K822">
        <f t="shared" si="24"/>
        <v>1</v>
      </c>
    </row>
    <row r="823" spans="1:11" x14ac:dyDescent="0.3">
      <c r="A823">
        <f>LOOKUP(9E+307,--MID(D823,1,{1,2,3,4,5}))</f>
        <v>7.5</v>
      </c>
      <c r="B823">
        <f>VLOOKUP(MID(D823,LOOKUP(2,1/ISNUMBER(-MID(D823,1,{1,2,3,4,5})),{1,2,3,4,5})+1,9),'Hue codes'!$A$1:$B$10,2,FALSE)</f>
        <v>0</v>
      </c>
      <c r="C823">
        <f t="shared" si="25"/>
        <v>7.5</v>
      </c>
      <c r="D823" s="162" t="s">
        <v>23</v>
      </c>
      <c r="E823" s="162">
        <v>6</v>
      </c>
      <c r="F823" s="162">
        <v>8</v>
      </c>
      <c r="G823" s="164">
        <v>0.83440000000000003</v>
      </c>
      <c r="H823" s="164">
        <v>0.49209999999999998</v>
      </c>
      <c r="I823" s="164">
        <v>0.43430000000000002</v>
      </c>
      <c r="J823" s="2" t="str">
        <f>HYPERLINK(SetRGB(J823,G823*255,H823*255,I823*255),"HOVER!")</f>
        <v>HOVER!</v>
      </c>
      <c r="K823">
        <f t="shared" ref="K823:K886" si="26">E823/F823</f>
        <v>0.75</v>
      </c>
    </row>
    <row r="824" spans="1:11" x14ac:dyDescent="0.3">
      <c r="A824">
        <f>LOOKUP(9E+307,--MID(D824,1,{1,2,3,4,5}))</f>
        <v>7.5</v>
      </c>
      <c r="B824">
        <f>VLOOKUP(MID(D824,LOOKUP(2,1/ISNUMBER(-MID(D824,1,{1,2,3,4,5})),{1,2,3,4,5})+1,9),'Hue codes'!$A$1:$B$10,2,FALSE)</f>
        <v>0</v>
      </c>
      <c r="C824">
        <f t="shared" si="25"/>
        <v>7.5</v>
      </c>
      <c r="D824" s="162" t="s">
        <v>23</v>
      </c>
      <c r="E824" s="162">
        <v>6</v>
      </c>
      <c r="F824" s="162">
        <v>10</v>
      </c>
      <c r="G824" s="164">
        <v>0.88929999999999998</v>
      </c>
      <c r="H824" s="164">
        <v>0.46060000000000001</v>
      </c>
      <c r="I824" s="164">
        <v>0.39090000000000003</v>
      </c>
      <c r="J824" s="2" t="str">
        <f>HYPERLINK(SetRGB(J824,G824*255,H824*255,I824*255),"HOVER!")</f>
        <v>HOVER!</v>
      </c>
      <c r="K824">
        <f t="shared" si="26"/>
        <v>0.6</v>
      </c>
    </row>
    <row r="825" spans="1:11" x14ac:dyDescent="0.3">
      <c r="A825">
        <f>LOOKUP(9E+307,--MID(D825,1,{1,2,3,4,5}))</f>
        <v>7.5</v>
      </c>
      <c r="B825">
        <f>VLOOKUP(MID(D825,LOOKUP(2,1/ISNUMBER(-MID(D825,1,{1,2,3,4,5})),{1,2,3,4,5})+1,9),'Hue codes'!$A$1:$B$10,2,FALSE)</f>
        <v>0</v>
      </c>
      <c r="C825">
        <f t="shared" si="25"/>
        <v>7.5</v>
      </c>
      <c r="D825" s="162" t="s">
        <v>23</v>
      </c>
      <c r="E825" s="162">
        <v>6</v>
      </c>
      <c r="F825" s="162">
        <v>12</v>
      </c>
      <c r="G825" s="164">
        <v>0.9365</v>
      </c>
      <c r="H825" s="164">
        <v>0.4284</v>
      </c>
      <c r="I825" s="164">
        <v>0.3488</v>
      </c>
      <c r="J825" s="2" t="str">
        <f>HYPERLINK(SetRGB(J825,G825*255,H825*255,I825*255),"HOVER!")</f>
        <v>HOVER!</v>
      </c>
      <c r="K825">
        <f t="shared" si="26"/>
        <v>0.5</v>
      </c>
    </row>
    <row r="826" spans="1:11" x14ac:dyDescent="0.3">
      <c r="A826">
        <f>LOOKUP(9E+307,--MID(D826,1,{1,2,3,4,5}))</f>
        <v>7.5</v>
      </c>
      <c r="B826">
        <f>VLOOKUP(MID(D826,LOOKUP(2,1/ISNUMBER(-MID(D826,1,{1,2,3,4,5})),{1,2,3,4,5})+1,9),'Hue codes'!$A$1:$B$10,2,FALSE)</f>
        <v>0</v>
      </c>
      <c r="C826">
        <f t="shared" si="25"/>
        <v>7.5</v>
      </c>
      <c r="D826" s="162" t="s">
        <v>23</v>
      </c>
      <c r="E826" s="162">
        <v>6</v>
      </c>
      <c r="F826" s="162">
        <v>14</v>
      </c>
      <c r="G826" s="164">
        <v>0.98229999999999995</v>
      </c>
      <c r="H826" s="164">
        <v>0.3911</v>
      </c>
      <c r="I826" s="164">
        <v>0.3034</v>
      </c>
      <c r="J826" s="2" t="str">
        <f>HYPERLINK(SetRGB(J826,G826*255,H826*255,I826*255),"HOVER!")</f>
        <v>HOVER!</v>
      </c>
      <c r="K826">
        <f t="shared" si="26"/>
        <v>0.42857142857142855</v>
      </c>
    </row>
    <row r="827" spans="1:11" x14ac:dyDescent="0.3">
      <c r="A827">
        <f>LOOKUP(9E+307,--MID(D827,1,{1,2,3,4,5}))</f>
        <v>7.5</v>
      </c>
      <c r="B827">
        <f>VLOOKUP(MID(D827,LOOKUP(2,1/ISNUMBER(-MID(D827,1,{1,2,3,4,5})),{1,2,3,4,5})+1,9),'Hue codes'!$A$1:$B$10,2,FALSE)</f>
        <v>0</v>
      </c>
      <c r="C827">
        <f t="shared" si="25"/>
        <v>7.5</v>
      </c>
      <c r="D827" s="162" t="s">
        <v>23</v>
      </c>
      <c r="E827" s="162">
        <v>6</v>
      </c>
      <c r="F827" s="162">
        <v>16</v>
      </c>
      <c r="G827" s="164">
        <v>1</v>
      </c>
      <c r="H827" s="164">
        <v>0.34699999999999998</v>
      </c>
      <c r="I827" s="164">
        <v>0.25409999999999999</v>
      </c>
      <c r="J827" s="2" t="str">
        <f>HYPERLINK(SetRGB(J827,G827*255,H827*255,I827*255),"HOVER!")</f>
        <v>HOVER!</v>
      </c>
      <c r="K827">
        <f t="shared" si="26"/>
        <v>0.375</v>
      </c>
    </row>
    <row r="828" spans="1:11" x14ac:dyDescent="0.3">
      <c r="A828">
        <f>LOOKUP(9E+307,--MID(D828,1,{1,2,3,4,5}))</f>
        <v>7.5</v>
      </c>
      <c r="B828">
        <f>VLOOKUP(MID(D828,LOOKUP(2,1/ISNUMBER(-MID(D828,1,{1,2,3,4,5})),{1,2,3,4,5})+1,9),'Hue codes'!$A$1:$B$10,2,FALSE)</f>
        <v>0</v>
      </c>
      <c r="C828">
        <f t="shared" si="25"/>
        <v>7.5</v>
      </c>
      <c r="D828" s="162" t="s">
        <v>23</v>
      </c>
      <c r="E828" s="162">
        <v>6</v>
      </c>
      <c r="F828" s="162">
        <v>18</v>
      </c>
      <c r="G828" s="164">
        <v>1</v>
      </c>
      <c r="H828" s="164">
        <v>0.2954</v>
      </c>
      <c r="I828" s="164">
        <v>0.20150000000000001</v>
      </c>
      <c r="J828" s="1" t="str">
        <f>HYPERLINK(SetRGB(J828,G828*255,H828*255,I828*255),"HOVER!")</f>
        <v>HOVER!</v>
      </c>
      <c r="K828">
        <f t="shared" si="26"/>
        <v>0.33333333333333331</v>
      </c>
    </row>
    <row r="829" spans="1:11" x14ac:dyDescent="0.3">
      <c r="A829">
        <f>LOOKUP(9E+307,--MID(D829,1,{1,2,3,4,5}))</f>
        <v>10</v>
      </c>
      <c r="B829">
        <f>VLOOKUP(MID(D829,LOOKUP(2,1/ISNUMBER(-MID(D829,1,{1,2,3,4,5})),{1,2,3,4,5})+1,9),'Hue codes'!$A$1:$B$10,2,FALSE)</f>
        <v>0</v>
      </c>
      <c r="C829">
        <f t="shared" si="25"/>
        <v>10</v>
      </c>
      <c r="D829" s="162" t="s">
        <v>24</v>
      </c>
      <c r="E829" s="162">
        <v>6</v>
      </c>
      <c r="F829" s="162">
        <v>2</v>
      </c>
      <c r="G829" s="164">
        <v>0.65669999999999995</v>
      </c>
      <c r="H829" s="164">
        <v>0.56499999999999995</v>
      </c>
      <c r="I829" s="164">
        <v>0.5393</v>
      </c>
      <c r="J829" s="2" t="str">
        <f>HYPERLINK(SetRGB(J829,G829*255,H829*255,I829*255),"HOVER!")</f>
        <v>HOVER!</v>
      </c>
      <c r="K829">
        <f t="shared" si="26"/>
        <v>3</v>
      </c>
    </row>
    <row r="830" spans="1:11" x14ac:dyDescent="0.3">
      <c r="A830">
        <f>LOOKUP(9E+307,--MID(D830,1,{1,2,3,4,5}))</f>
        <v>10</v>
      </c>
      <c r="B830">
        <f>VLOOKUP(MID(D830,LOOKUP(2,1/ISNUMBER(-MID(D830,1,{1,2,3,4,5})),{1,2,3,4,5})+1,9),'Hue codes'!$A$1:$B$10,2,FALSE)</f>
        <v>0</v>
      </c>
      <c r="C830">
        <f t="shared" si="25"/>
        <v>10</v>
      </c>
      <c r="D830" s="162" t="s">
        <v>24</v>
      </c>
      <c r="E830" s="162">
        <v>6</v>
      </c>
      <c r="F830" s="162">
        <v>4</v>
      </c>
      <c r="G830" s="164">
        <v>0.72299999999999998</v>
      </c>
      <c r="H830" s="164">
        <v>0.54369999999999996</v>
      </c>
      <c r="I830" s="164">
        <v>0.48820000000000002</v>
      </c>
      <c r="J830" s="2" t="str">
        <f>HYPERLINK(SetRGB(J830,G830*255,H830*255,I830*255),"HOVER!")</f>
        <v>HOVER!</v>
      </c>
      <c r="K830">
        <f t="shared" si="26"/>
        <v>1.5</v>
      </c>
    </row>
    <row r="831" spans="1:11" x14ac:dyDescent="0.3">
      <c r="A831">
        <f>LOOKUP(9E+307,--MID(D831,1,{1,2,3,4,5}))</f>
        <v>10</v>
      </c>
      <c r="B831">
        <f>VLOOKUP(MID(D831,LOOKUP(2,1/ISNUMBER(-MID(D831,1,{1,2,3,4,5})),{1,2,3,4,5})+1,9),'Hue codes'!$A$1:$B$10,2,FALSE)</f>
        <v>0</v>
      </c>
      <c r="C831">
        <f t="shared" si="25"/>
        <v>10</v>
      </c>
      <c r="D831" s="162" t="s">
        <v>24</v>
      </c>
      <c r="E831" s="162">
        <v>6</v>
      </c>
      <c r="F831" s="162">
        <v>6</v>
      </c>
      <c r="G831" s="164">
        <v>0.77869999999999995</v>
      </c>
      <c r="H831" s="164">
        <v>0.5222</v>
      </c>
      <c r="I831" s="164">
        <v>0.43909999999999999</v>
      </c>
      <c r="J831" s="2" t="str">
        <f>HYPERLINK(SetRGB(J831,G831*255,H831*255,I831*255),"HOVER!")</f>
        <v>HOVER!</v>
      </c>
      <c r="K831">
        <f t="shared" si="26"/>
        <v>1</v>
      </c>
    </row>
    <row r="832" spans="1:11" x14ac:dyDescent="0.3">
      <c r="A832">
        <f>LOOKUP(9E+307,--MID(D832,1,{1,2,3,4,5}))</f>
        <v>10</v>
      </c>
      <c r="B832">
        <f>VLOOKUP(MID(D832,LOOKUP(2,1/ISNUMBER(-MID(D832,1,{1,2,3,4,5})),{1,2,3,4,5})+1,9),'Hue codes'!$A$1:$B$10,2,FALSE)</f>
        <v>0</v>
      </c>
      <c r="C832">
        <f t="shared" si="25"/>
        <v>10</v>
      </c>
      <c r="D832" s="162" t="s">
        <v>24</v>
      </c>
      <c r="E832" s="162">
        <v>6</v>
      </c>
      <c r="F832" s="162">
        <v>8</v>
      </c>
      <c r="G832" s="164">
        <v>0.83130000000000004</v>
      </c>
      <c r="H832" s="164">
        <v>0.498</v>
      </c>
      <c r="I832" s="164">
        <v>0.38690000000000002</v>
      </c>
      <c r="J832" s="2" t="str">
        <f>HYPERLINK(SetRGB(J832,G832*255,H832*255,I832*255),"HOVER!")</f>
        <v>HOVER!</v>
      </c>
      <c r="K832">
        <f t="shared" si="26"/>
        <v>0.75</v>
      </c>
    </row>
    <row r="833" spans="1:11" x14ac:dyDescent="0.3">
      <c r="A833">
        <f>LOOKUP(9E+307,--MID(D833,1,{1,2,3,4,5}))</f>
        <v>10</v>
      </c>
      <c r="B833">
        <f>VLOOKUP(MID(D833,LOOKUP(2,1/ISNUMBER(-MID(D833,1,{1,2,3,4,5})),{1,2,3,4,5})+1,9),'Hue codes'!$A$1:$B$10,2,FALSE)</f>
        <v>0</v>
      </c>
      <c r="C833">
        <f t="shared" si="25"/>
        <v>10</v>
      </c>
      <c r="D833" s="162" t="s">
        <v>24</v>
      </c>
      <c r="E833" s="162">
        <v>6</v>
      </c>
      <c r="F833" s="162">
        <v>10</v>
      </c>
      <c r="G833" s="164">
        <v>0.88200000000000001</v>
      </c>
      <c r="H833" s="164">
        <v>0.4708</v>
      </c>
      <c r="I833" s="164">
        <v>0.32650000000000001</v>
      </c>
      <c r="J833" s="2" t="str">
        <f>HYPERLINK(SetRGB(J833,G833*255,H833*255,I833*255),"HOVER!")</f>
        <v>HOVER!</v>
      </c>
      <c r="K833">
        <f t="shared" si="26"/>
        <v>0.6</v>
      </c>
    </row>
    <row r="834" spans="1:11" x14ac:dyDescent="0.3">
      <c r="A834">
        <f>LOOKUP(9E+307,--MID(D834,1,{1,2,3,4,5}))</f>
        <v>10</v>
      </c>
      <c r="B834">
        <f>VLOOKUP(MID(D834,LOOKUP(2,1/ISNUMBER(-MID(D834,1,{1,2,3,4,5})),{1,2,3,4,5})+1,9),'Hue codes'!$A$1:$B$10,2,FALSE)</f>
        <v>0</v>
      </c>
      <c r="C834">
        <f t="shared" si="25"/>
        <v>10</v>
      </c>
      <c r="D834" s="162" t="s">
        <v>24</v>
      </c>
      <c r="E834" s="162">
        <v>6</v>
      </c>
      <c r="F834" s="162">
        <v>12</v>
      </c>
      <c r="G834" s="164">
        <v>0.92689999999999995</v>
      </c>
      <c r="H834" s="164">
        <v>0.44230000000000003</v>
      </c>
      <c r="I834" s="164">
        <v>0.2621</v>
      </c>
      <c r="J834" s="2" t="str">
        <f>HYPERLINK(SetRGB(J834,G834*255,H834*255,I834*255),"HOVER!")</f>
        <v>HOVER!</v>
      </c>
      <c r="K834">
        <f t="shared" si="26"/>
        <v>0.5</v>
      </c>
    </row>
    <row r="835" spans="1:11" x14ac:dyDescent="0.3">
      <c r="A835">
        <f>LOOKUP(9E+307,--MID(D835,1,{1,2,3,4,5}))</f>
        <v>10</v>
      </c>
      <c r="B835">
        <f>VLOOKUP(MID(D835,LOOKUP(2,1/ISNUMBER(-MID(D835,1,{1,2,3,4,5})),{1,2,3,4,5})+1,9),'Hue codes'!$A$1:$B$10,2,FALSE)</f>
        <v>0</v>
      </c>
      <c r="C835">
        <f t="shared" ref="C835:C898" si="27">IF(A835+B835=100,0,A835+B835)</f>
        <v>10</v>
      </c>
      <c r="D835" s="162" t="s">
        <v>24</v>
      </c>
      <c r="E835" s="162">
        <v>6</v>
      </c>
      <c r="F835" s="162">
        <v>14</v>
      </c>
      <c r="G835" s="164">
        <v>0.96809999999999996</v>
      </c>
      <c r="H835" s="164">
        <v>0.41170000000000001</v>
      </c>
      <c r="I835" s="164">
        <v>0.18559999999999999</v>
      </c>
      <c r="J835" s="2" t="str">
        <f>HYPERLINK(SetRGB(J835,G835*255,H835*255,I835*255),"HOVER!")</f>
        <v>HOVER!</v>
      </c>
      <c r="K835">
        <f t="shared" si="26"/>
        <v>0.42857142857142855</v>
      </c>
    </row>
    <row r="836" spans="1:11" x14ac:dyDescent="0.3">
      <c r="A836">
        <f>LOOKUP(9E+307,--MID(D836,1,{1,2,3,4,5}))</f>
        <v>10</v>
      </c>
      <c r="B836">
        <f>VLOOKUP(MID(D836,LOOKUP(2,1/ISNUMBER(-MID(D836,1,{1,2,3,4,5})),{1,2,3,4,5})+1,9),'Hue codes'!$A$1:$B$10,2,FALSE)</f>
        <v>0</v>
      </c>
      <c r="C836">
        <f t="shared" si="27"/>
        <v>10</v>
      </c>
      <c r="D836" s="162" t="s">
        <v>24</v>
      </c>
      <c r="E836" s="162">
        <v>6</v>
      </c>
      <c r="F836" s="162">
        <v>16</v>
      </c>
      <c r="G836" s="164">
        <v>1</v>
      </c>
      <c r="H836" s="164">
        <v>0.38159999999999999</v>
      </c>
      <c r="I836" s="164">
        <v>7.7499999999999999E-2</v>
      </c>
      <c r="J836" s="2" t="str">
        <f>HYPERLINK(SetRGB(J836,G836*255,H836*255,I836*255),"HOVER!")</f>
        <v>HOVER!</v>
      </c>
      <c r="K836">
        <f t="shared" si="26"/>
        <v>0.375</v>
      </c>
    </row>
    <row r="837" spans="1:11" x14ac:dyDescent="0.3">
      <c r="A837">
        <f>LOOKUP(9E+307,--MID(D837,1,{1,2,3,4,5}))</f>
        <v>2.5</v>
      </c>
      <c r="B837">
        <f>VLOOKUP(MID(D837,LOOKUP(2,1/ISNUMBER(-MID(D837,1,{1,2,3,4,5})),{1,2,3,4,5})+1,9),'Hue codes'!$A$1:$B$10,2,FALSE)</f>
        <v>10</v>
      </c>
      <c r="C837">
        <f t="shared" si="27"/>
        <v>12.5</v>
      </c>
      <c r="D837" s="162" t="s">
        <v>25</v>
      </c>
      <c r="E837" s="162">
        <v>6</v>
      </c>
      <c r="F837" s="162">
        <v>2</v>
      </c>
      <c r="G837" s="164">
        <v>0.65720000000000001</v>
      </c>
      <c r="H837" s="164">
        <v>0.56610000000000005</v>
      </c>
      <c r="I837" s="164">
        <v>0.52669999999999995</v>
      </c>
      <c r="J837" s="2" t="str">
        <f>HYPERLINK(SetRGB(J837,G837*255,H837*255,I837*255),"HOVER!")</f>
        <v>HOVER!</v>
      </c>
      <c r="K837">
        <f t="shared" si="26"/>
        <v>3</v>
      </c>
    </row>
    <row r="838" spans="1:11" x14ac:dyDescent="0.3">
      <c r="A838">
        <f>LOOKUP(9E+307,--MID(D838,1,{1,2,3,4,5}))</f>
        <v>2.5</v>
      </c>
      <c r="B838">
        <f>VLOOKUP(MID(D838,LOOKUP(2,1/ISNUMBER(-MID(D838,1,{1,2,3,4,5})),{1,2,3,4,5})+1,9),'Hue codes'!$A$1:$B$10,2,FALSE)</f>
        <v>10</v>
      </c>
      <c r="C838">
        <f t="shared" si="27"/>
        <v>12.5</v>
      </c>
      <c r="D838" s="162" t="s">
        <v>25</v>
      </c>
      <c r="E838" s="162">
        <v>6</v>
      </c>
      <c r="F838" s="162">
        <v>4</v>
      </c>
      <c r="G838" s="164">
        <v>0.71760000000000002</v>
      </c>
      <c r="H838" s="164">
        <v>0.54779999999999995</v>
      </c>
      <c r="I838" s="164">
        <v>0.46899999999999997</v>
      </c>
      <c r="J838" s="18" t="str">
        <f>HYPERLINK(SetRGB(J838,G838*255,H838*255,I838*255),"HOVER!")</f>
        <v>HOVER!</v>
      </c>
      <c r="K838">
        <f t="shared" si="26"/>
        <v>1.5</v>
      </c>
    </row>
    <row r="839" spans="1:11" x14ac:dyDescent="0.3">
      <c r="A839">
        <f>LOOKUP(9E+307,--MID(D839,1,{1,2,3,4,5}))</f>
        <v>2.5</v>
      </c>
      <c r="B839">
        <f>VLOOKUP(MID(D839,LOOKUP(2,1/ISNUMBER(-MID(D839,1,{1,2,3,4,5})),{1,2,3,4,5})+1,9),'Hue codes'!$A$1:$B$10,2,FALSE)</f>
        <v>10</v>
      </c>
      <c r="C839">
        <f t="shared" si="27"/>
        <v>12.5</v>
      </c>
      <c r="D839" s="162" t="s">
        <v>25</v>
      </c>
      <c r="E839" s="162">
        <v>6</v>
      </c>
      <c r="F839" s="162">
        <v>6</v>
      </c>
      <c r="G839" s="164">
        <v>0.77390000000000003</v>
      </c>
      <c r="H839" s="164">
        <v>0.5272</v>
      </c>
      <c r="I839" s="164">
        <v>0.40689999999999998</v>
      </c>
      <c r="J839" s="17" t="str">
        <f>HYPERLINK(SetRGB(J839,G839*255,H839*255,I839*255),"HOVER!")</f>
        <v>HOVER!</v>
      </c>
      <c r="K839">
        <f t="shared" si="26"/>
        <v>1</v>
      </c>
    </row>
    <row r="840" spans="1:11" x14ac:dyDescent="0.3">
      <c r="A840">
        <f>LOOKUP(9E+307,--MID(D840,1,{1,2,3,4,5}))</f>
        <v>2.5</v>
      </c>
      <c r="B840">
        <f>VLOOKUP(MID(D840,LOOKUP(2,1/ISNUMBER(-MID(D840,1,{1,2,3,4,5})),{1,2,3,4,5})+1,9),'Hue codes'!$A$1:$B$10,2,FALSE)</f>
        <v>10</v>
      </c>
      <c r="C840">
        <f t="shared" si="27"/>
        <v>12.5</v>
      </c>
      <c r="D840" s="162" t="s">
        <v>25</v>
      </c>
      <c r="E840" s="162">
        <v>6</v>
      </c>
      <c r="F840" s="162">
        <v>8</v>
      </c>
      <c r="G840" s="164">
        <v>0.82189999999999996</v>
      </c>
      <c r="H840" s="164">
        <v>0.50660000000000005</v>
      </c>
      <c r="I840" s="164">
        <v>0.34439999999999998</v>
      </c>
      <c r="J840" s="16" t="str">
        <f>HYPERLINK(SetRGB(J840,G840*255,H840*255,I840*255),"HOVER!")</f>
        <v>HOVER!</v>
      </c>
      <c r="K840">
        <f t="shared" si="26"/>
        <v>0.75</v>
      </c>
    </row>
    <row r="841" spans="1:11" x14ac:dyDescent="0.3">
      <c r="A841">
        <f>LOOKUP(9E+307,--MID(D841,1,{1,2,3,4,5}))</f>
        <v>2.5</v>
      </c>
      <c r="B841">
        <f>VLOOKUP(MID(D841,LOOKUP(2,1/ISNUMBER(-MID(D841,1,{1,2,3,4,5})),{1,2,3,4,5})+1,9),'Hue codes'!$A$1:$B$10,2,FALSE)</f>
        <v>10</v>
      </c>
      <c r="C841">
        <f t="shared" si="27"/>
        <v>12.5</v>
      </c>
      <c r="D841" s="162" t="s">
        <v>25</v>
      </c>
      <c r="E841" s="162">
        <v>6</v>
      </c>
      <c r="F841" s="162">
        <v>10</v>
      </c>
      <c r="G841" s="164">
        <v>0.86619999999999997</v>
      </c>
      <c r="H841" s="164">
        <v>0.48459999999999998</v>
      </c>
      <c r="I841" s="164">
        <v>0.2707</v>
      </c>
      <c r="J841" s="2" t="str">
        <f>HYPERLINK(SetRGB(J841,G841*255,H841*255,I841*255),"HOVER!")</f>
        <v>HOVER!</v>
      </c>
      <c r="K841">
        <f t="shared" si="26"/>
        <v>0.6</v>
      </c>
    </row>
    <row r="842" spans="1:11" x14ac:dyDescent="0.3">
      <c r="A842">
        <f>LOOKUP(9E+307,--MID(D842,1,{1,2,3,4,5}))</f>
        <v>2.5</v>
      </c>
      <c r="B842">
        <f>VLOOKUP(MID(D842,LOOKUP(2,1/ISNUMBER(-MID(D842,1,{1,2,3,4,5})),{1,2,3,4,5})+1,9),'Hue codes'!$A$1:$B$10,2,FALSE)</f>
        <v>10</v>
      </c>
      <c r="C842">
        <f t="shared" si="27"/>
        <v>12.5</v>
      </c>
      <c r="D842" s="162" t="s">
        <v>25</v>
      </c>
      <c r="E842" s="162">
        <v>6</v>
      </c>
      <c r="F842" s="162">
        <v>12</v>
      </c>
      <c r="G842" s="164">
        <v>0.90329999999999999</v>
      </c>
      <c r="H842" s="164">
        <v>0.46360000000000001</v>
      </c>
      <c r="I842" s="164">
        <v>0.18260000000000001</v>
      </c>
      <c r="J842" s="2" t="str">
        <f>HYPERLINK(SetRGB(J842,G842*255,H842*255,I842*255),"HOVER!")</f>
        <v>HOVER!</v>
      </c>
      <c r="K842">
        <f t="shared" si="26"/>
        <v>0.5</v>
      </c>
    </row>
    <row r="843" spans="1:11" x14ac:dyDescent="0.3">
      <c r="A843">
        <f>LOOKUP(9E+307,--MID(D843,1,{1,2,3,4,5}))</f>
        <v>2.5</v>
      </c>
      <c r="B843">
        <f>VLOOKUP(MID(D843,LOOKUP(2,1/ISNUMBER(-MID(D843,1,{1,2,3,4,5})),{1,2,3,4,5})+1,9),'Hue codes'!$A$1:$B$10,2,FALSE)</f>
        <v>10</v>
      </c>
      <c r="C843">
        <f t="shared" si="27"/>
        <v>12.5</v>
      </c>
      <c r="D843" s="162" t="s">
        <v>25</v>
      </c>
      <c r="E843" s="162">
        <v>6</v>
      </c>
      <c r="F843" s="162">
        <v>14</v>
      </c>
      <c r="G843" s="164">
        <v>0.93320000000000003</v>
      </c>
      <c r="H843" s="164">
        <v>0.44469999999999998</v>
      </c>
      <c r="I843" s="164">
        <v>3.95E-2</v>
      </c>
      <c r="J843" s="2" t="str">
        <f>HYPERLINK(SetRGB(J843,G843*255,H843*255,I843*255),"HOVER!")</f>
        <v>HOVER!</v>
      </c>
      <c r="K843">
        <f t="shared" si="26"/>
        <v>0.42857142857142855</v>
      </c>
    </row>
    <row r="844" spans="1:11" x14ac:dyDescent="0.3">
      <c r="A844">
        <f>LOOKUP(9E+307,--MID(D844,1,{1,2,3,4,5}))</f>
        <v>5</v>
      </c>
      <c r="B844">
        <f>VLOOKUP(MID(D844,LOOKUP(2,1/ISNUMBER(-MID(D844,1,{1,2,3,4,5})),{1,2,3,4,5})+1,9),'Hue codes'!$A$1:$B$10,2,FALSE)</f>
        <v>10</v>
      </c>
      <c r="C844">
        <f t="shared" si="27"/>
        <v>15</v>
      </c>
      <c r="D844" s="162" t="s">
        <v>26</v>
      </c>
      <c r="E844" s="162">
        <v>6</v>
      </c>
      <c r="F844" s="162">
        <v>2</v>
      </c>
      <c r="G844" s="164">
        <v>0.65400000000000003</v>
      </c>
      <c r="H844" s="164">
        <v>0.56840000000000002</v>
      </c>
      <c r="I844" s="164">
        <v>0.51549999999999996</v>
      </c>
      <c r="J844" s="2" t="str">
        <f>HYPERLINK(SetRGB(J844,G844*255,H844*255,I844*255),"HOVER!")</f>
        <v>HOVER!</v>
      </c>
      <c r="K844">
        <f t="shared" si="26"/>
        <v>3</v>
      </c>
    </row>
    <row r="845" spans="1:11" x14ac:dyDescent="0.3">
      <c r="A845">
        <f>LOOKUP(9E+307,--MID(D845,1,{1,2,3,4,5}))</f>
        <v>5</v>
      </c>
      <c r="B845">
        <f>VLOOKUP(MID(D845,LOOKUP(2,1/ISNUMBER(-MID(D845,1,{1,2,3,4,5})),{1,2,3,4,5})+1,9),'Hue codes'!$A$1:$B$10,2,FALSE)</f>
        <v>10</v>
      </c>
      <c r="C845">
        <f t="shared" si="27"/>
        <v>15</v>
      </c>
      <c r="D845" s="162" t="s">
        <v>26</v>
      </c>
      <c r="E845" s="162">
        <v>6</v>
      </c>
      <c r="F845" s="162">
        <v>4</v>
      </c>
      <c r="G845" s="164">
        <v>0.70989999999999998</v>
      </c>
      <c r="H845" s="164">
        <v>0.55279999999999996</v>
      </c>
      <c r="I845" s="164">
        <v>0.44800000000000001</v>
      </c>
      <c r="J845" s="2" t="str">
        <f>HYPERLINK(SetRGB(J845,G845*255,H845*255,I845*255),"HOVER!")</f>
        <v>HOVER!</v>
      </c>
      <c r="K845">
        <f t="shared" si="26"/>
        <v>1.5</v>
      </c>
    </row>
    <row r="846" spans="1:11" x14ac:dyDescent="0.3">
      <c r="A846">
        <f>LOOKUP(9E+307,--MID(D846,1,{1,2,3,4,5}))</f>
        <v>5</v>
      </c>
      <c r="B846">
        <f>VLOOKUP(MID(D846,LOOKUP(2,1/ISNUMBER(-MID(D846,1,{1,2,3,4,5})),{1,2,3,4,5})+1,9),'Hue codes'!$A$1:$B$10,2,FALSE)</f>
        <v>10</v>
      </c>
      <c r="C846">
        <f t="shared" si="27"/>
        <v>15</v>
      </c>
      <c r="D846" s="162" t="s">
        <v>26</v>
      </c>
      <c r="E846" s="162">
        <v>6</v>
      </c>
      <c r="F846" s="162">
        <v>6</v>
      </c>
      <c r="G846" s="164">
        <v>0.76080000000000003</v>
      </c>
      <c r="H846" s="164">
        <v>0.53610000000000002</v>
      </c>
      <c r="I846" s="164">
        <v>0.3725</v>
      </c>
      <c r="J846" s="2" t="str">
        <f>HYPERLINK(SetRGB(J846,G846*255,H846*255,I846*255),"HOVER!")</f>
        <v>HOVER!</v>
      </c>
      <c r="K846">
        <f t="shared" si="26"/>
        <v>1</v>
      </c>
    </row>
    <row r="847" spans="1:11" x14ac:dyDescent="0.3">
      <c r="A847">
        <f>LOOKUP(9E+307,--MID(D847,1,{1,2,3,4,5}))</f>
        <v>5</v>
      </c>
      <c r="B847">
        <f>VLOOKUP(MID(D847,LOOKUP(2,1/ISNUMBER(-MID(D847,1,{1,2,3,4,5})),{1,2,3,4,5})+1,9),'Hue codes'!$A$1:$B$10,2,FALSE)</f>
        <v>10</v>
      </c>
      <c r="C847">
        <f t="shared" si="27"/>
        <v>15</v>
      </c>
      <c r="D847" s="162" t="s">
        <v>26</v>
      </c>
      <c r="E847" s="162">
        <v>6</v>
      </c>
      <c r="F847" s="162">
        <v>8</v>
      </c>
      <c r="G847" s="164">
        <v>0.80400000000000005</v>
      </c>
      <c r="H847" s="164">
        <v>0.51939999999999997</v>
      </c>
      <c r="I847" s="164">
        <v>0.29480000000000001</v>
      </c>
      <c r="J847" s="2" t="str">
        <f>HYPERLINK(SetRGB(J847,G847*255,H847*255,I847*255),"HOVER!")</f>
        <v>HOVER!</v>
      </c>
      <c r="K847">
        <f t="shared" si="26"/>
        <v>0.75</v>
      </c>
    </row>
    <row r="848" spans="1:11" x14ac:dyDescent="0.3">
      <c r="A848">
        <f>LOOKUP(9E+307,--MID(D848,1,{1,2,3,4,5}))</f>
        <v>5</v>
      </c>
      <c r="B848">
        <f>VLOOKUP(MID(D848,LOOKUP(2,1/ISNUMBER(-MID(D848,1,{1,2,3,4,5})),{1,2,3,4,5})+1,9),'Hue codes'!$A$1:$B$10,2,FALSE)</f>
        <v>10</v>
      </c>
      <c r="C848">
        <f t="shared" si="27"/>
        <v>15</v>
      </c>
      <c r="D848" s="162" t="s">
        <v>26</v>
      </c>
      <c r="E848" s="162">
        <v>6</v>
      </c>
      <c r="F848" s="162">
        <v>10</v>
      </c>
      <c r="G848" s="164">
        <v>0.84</v>
      </c>
      <c r="H848" s="164">
        <v>0.50339999999999996</v>
      </c>
      <c r="I848" s="164">
        <v>0.20669999999999999</v>
      </c>
      <c r="J848" s="2" t="str">
        <f>HYPERLINK(SetRGB(J848,G848*255,H848*255,I848*255),"HOVER!")</f>
        <v>HOVER!</v>
      </c>
      <c r="K848">
        <f t="shared" si="26"/>
        <v>0.6</v>
      </c>
    </row>
    <row r="849" spans="1:11" x14ac:dyDescent="0.3">
      <c r="A849">
        <f>LOOKUP(9E+307,--MID(D849,1,{1,2,3,4,5}))</f>
        <v>5</v>
      </c>
      <c r="B849">
        <f>VLOOKUP(MID(D849,LOOKUP(2,1/ISNUMBER(-MID(D849,1,{1,2,3,4,5})),{1,2,3,4,5})+1,9),'Hue codes'!$A$1:$B$10,2,FALSE)</f>
        <v>10</v>
      </c>
      <c r="C849">
        <f t="shared" si="27"/>
        <v>15</v>
      </c>
      <c r="D849" s="162" t="s">
        <v>26</v>
      </c>
      <c r="E849" s="162">
        <v>6</v>
      </c>
      <c r="F849" s="162">
        <v>12</v>
      </c>
      <c r="G849" s="164">
        <v>0.86829999999999996</v>
      </c>
      <c r="H849" s="164">
        <v>0.48970000000000002</v>
      </c>
      <c r="I849" s="164">
        <v>8.1699999999999995E-2</v>
      </c>
      <c r="J849" s="2" t="str">
        <f>HYPERLINK(SetRGB(J849,G849*255,H849*255,I849*255),"HOVER!")</f>
        <v>HOVER!</v>
      </c>
      <c r="K849">
        <f t="shared" si="26"/>
        <v>0.5</v>
      </c>
    </row>
    <row r="850" spans="1:11" x14ac:dyDescent="0.3">
      <c r="A850">
        <f>LOOKUP(9E+307,--MID(D850,1,{1,2,3,4,5}))</f>
        <v>7.5</v>
      </c>
      <c r="B850">
        <f>VLOOKUP(MID(D850,LOOKUP(2,1/ISNUMBER(-MID(D850,1,{1,2,3,4,5})),{1,2,3,4,5})+1,9),'Hue codes'!$A$1:$B$10,2,FALSE)</f>
        <v>10</v>
      </c>
      <c r="C850">
        <f t="shared" si="27"/>
        <v>17.5</v>
      </c>
      <c r="D850" s="162" t="s">
        <v>27</v>
      </c>
      <c r="E850" s="162">
        <v>6</v>
      </c>
      <c r="F850" s="162">
        <v>2</v>
      </c>
      <c r="G850" s="164">
        <v>0.64959999999999996</v>
      </c>
      <c r="H850" s="164">
        <v>0.57089999999999996</v>
      </c>
      <c r="I850" s="164">
        <v>0.50580000000000003</v>
      </c>
      <c r="J850" s="2" t="str">
        <f>HYPERLINK(SetRGB(J850,G850*255,H850*255,I850*255),"HOVER!")</f>
        <v>HOVER!</v>
      </c>
      <c r="K850">
        <f t="shared" si="26"/>
        <v>3</v>
      </c>
    </row>
    <row r="851" spans="1:11" x14ac:dyDescent="0.3">
      <c r="A851">
        <f>LOOKUP(9E+307,--MID(D851,1,{1,2,3,4,5}))</f>
        <v>7.5</v>
      </c>
      <c r="B851">
        <f>VLOOKUP(MID(D851,LOOKUP(2,1/ISNUMBER(-MID(D851,1,{1,2,3,4,5})),{1,2,3,4,5})+1,9),'Hue codes'!$A$1:$B$10,2,FALSE)</f>
        <v>10</v>
      </c>
      <c r="C851">
        <f t="shared" si="27"/>
        <v>17.5</v>
      </c>
      <c r="D851" s="162" t="s">
        <v>27</v>
      </c>
      <c r="E851" s="162">
        <v>6</v>
      </c>
      <c r="F851" s="162">
        <v>4</v>
      </c>
      <c r="G851" s="164">
        <v>0.70089999999999997</v>
      </c>
      <c r="H851" s="164">
        <v>0.55800000000000005</v>
      </c>
      <c r="I851" s="164">
        <v>0.43</v>
      </c>
      <c r="J851" s="2" t="str">
        <f>HYPERLINK(SetRGB(J851,G851*255,H851*255,I851*255),"HOVER!")</f>
        <v>HOVER!</v>
      </c>
      <c r="K851">
        <f t="shared" si="26"/>
        <v>1.5</v>
      </c>
    </row>
    <row r="852" spans="1:11" x14ac:dyDescent="0.3">
      <c r="A852">
        <f>LOOKUP(9E+307,--MID(D852,1,{1,2,3,4,5}))</f>
        <v>7.5</v>
      </c>
      <c r="B852">
        <f>VLOOKUP(MID(D852,LOOKUP(2,1/ISNUMBER(-MID(D852,1,{1,2,3,4,5})),{1,2,3,4,5})+1,9),'Hue codes'!$A$1:$B$10,2,FALSE)</f>
        <v>10</v>
      </c>
      <c r="C852">
        <f t="shared" si="27"/>
        <v>17.5</v>
      </c>
      <c r="D852" s="162" t="s">
        <v>27</v>
      </c>
      <c r="E852" s="162">
        <v>6</v>
      </c>
      <c r="F852" s="162">
        <v>6</v>
      </c>
      <c r="G852" s="164">
        <v>0.74509999999999998</v>
      </c>
      <c r="H852" s="164">
        <v>0.54510000000000003</v>
      </c>
      <c r="I852" s="164">
        <v>0.34620000000000001</v>
      </c>
      <c r="J852" s="2" t="str">
        <f>HYPERLINK(SetRGB(J852,G852*255,H852*255,I852*255),"HOVER!")</f>
        <v>HOVER!</v>
      </c>
      <c r="K852">
        <f t="shared" si="26"/>
        <v>1</v>
      </c>
    </row>
    <row r="853" spans="1:11" x14ac:dyDescent="0.3">
      <c r="A853">
        <f>LOOKUP(9E+307,--MID(D853,1,{1,2,3,4,5}))</f>
        <v>7.5</v>
      </c>
      <c r="B853">
        <f>VLOOKUP(MID(D853,LOOKUP(2,1/ISNUMBER(-MID(D853,1,{1,2,3,4,5})),{1,2,3,4,5})+1,9),'Hue codes'!$A$1:$B$10,2,FALSE)</f>
        <v>10</v>
      </c>
      <c r="C853">
        <f t="shared" si="27"/>
        <v>17.5</v>
      </c>
      <c r="D853" s="162" t="s">
        <v>27</v>
      </c>
      <c r="E853" s="162">
        <v>6</v>
      </c>
      <c r="F853" s="162">
        <v>8</v>
      </c>
      <c r="G853" s="164">
        <v>0.78190000000000004</v>
      </c>
      <c r="H853" s="164">
        <v>0.53259999999999996</v>
      </c>
      <c r="I853" s="164">
        <v>0.25580000000000003</v>
      </c>
      <c r="J853" s="2" t="str">
        <f>HYPERLINK(SetRGB(J853,G853*255,H853*255,I853*255),"HOVER!")</f>
        <v>HOVER!</v>
      </c>
      <c r="K853">
        <f t="shared" si="26"/>
        <v>0.75</v>
      </c>
    </row>
    <row r="854" spans="1:11" x14ac:dyDescent="0.3">
      <c r="A854">
        <f>LOOKUP(9E+307,--MID(D854,1,{1,2,3,4,5}))</f>
        <v>7.5</v>
      </c>
      <c r="B854">
        <f>VLOOKUP(MID(D854,LOOKUP(2,1/ISNUMBER(-MID(D854,1,{1,2,3,4,5})),{1,2,3,4,5})+1,9),'Hue codes'!$A$1:$B$10,2,FALSE)</f>
        <v>10</v>
      </c>
      <c r="C854">
        <f t="shared" si="27"/>
        <v>17.5</v>
      </c>
      <c r="D854" s="162" t="s">
        <v>27</v>
      </c>
      <c r="E854" s="162">
        <v>6</v>
      </c>
      <c r="F854" s="162">
        <v>10</v>
      </c>
      <c r="G854" s="164">
        <v>0.81069999999999998</v>
      </c>
      <c r="H854" s="164">
        <v>0.52180000000000004</v>
      </c>
      <c r="I854" s="164">
        <v>0.14280000000000001</v>
      </c>
      <c r="J854" s="2" t="str">
        <f>HYPERLINK(SetRGB(J854,G854*255,H854*255,I854*255),"HOVER!")</f>
        <v>HOVER!</v>
      </c>
      <c r="K854">
        <f t="shared" si="26"/>
        <v>0.6</v>
      </c>
    </row>
    <row r="855" spans="1:11" x14ac:dyDescent="0.3">
      <c r="A855">
        <f>LOOKUP(9E+307,--MID(D855,1,{1,2,3,4,5}))</f>
        <v>10</v>
      </c>
      <c r="B855">
        <f>VLOOKUP(MID(D855,LOOKUP(2,1/ISNUMBER(-MID(D855,1,{1,2,3,4,5})),{1,2,3,4,5})+1,9),'Hue codes'!$A$1:$B$10,2,FALSE)</f>
        <v>10</v>
      </c>
      <c r="C855">
        <f t="shared" si="27"/>
        <v>20</v>
      </c>
      <c r="D855" s="162" t="s">
        <v>28</v>
      </c>
      <c r="E855" s="162">
        <v>6</v>
      </c>
      <c r="F855" s="162">
        <v>2</v>
      </c>
      <c r="G855" s="164">
        <v>0.64070000000000005</v>
      </c>
      <c r="H855" s="164">
        <v>0.57509999999999994</v>
      </c>
      <c r="I855" s="164">
        <v>0.49440000000000001</v>
      </c>
      <c r="J855" s="2" t="str">
        <f>HYPERLINK(SetRGB(J855,G855*255,H855*255,I855*255),"HOVER!")</f>
        <v>HOVER!</v>
      </c>
      <c r="K855">
        <f t="shared" si="26"/>
        <v>3</v>
      </c>
    </row>
    <row r="856" spans="1:11" x14ac:dyDescent="0.3">
      <c r="A856">
        <f>LOOKUP(9E+307,--MID(D856,1,{1,2,3,4,5}))</f>
        <v>10</v>
      </c>
      <c r="B856">
        <f>VLOOKUP(MID(D856,LOOKUP(2,1/ISNUMBER(-MID(D856,1,{1,2,3,4,5})),{1,2,3,4,5})+1,9),'Hue codes'!$A$1:$B$10,2,FALSE)</f>
        <v>10</v>
      </c>
      <c r="C856">
        <f t="shared" si="27"/>
        <v>20</v>
      </c>
      <c r="D856" s="162" t="s">
        <v>28</v>
      </c>
      <c r="E856" s="162">
        <v>6</v>
      </c>
      <c r="F856" s="162">
        <v>4</v>
      </c>
      <c r="G856" s="164">
        <v>0.68410000000000004</v>
      </c>
      <c r="H856" s="164">
        <v>0.56620000000000004</v>
      </c>
      <c r="I856" s="164">
        <v>0.40899999999999997</v>
      </c>
      <c r="J856" s="2" t="str">
        <f>HYPERLINK(SetRGB(J856,G856*255,H856*255,I856*255),"HOVER!")</f>
        <v>HOVER!</v>
      </c>
      <c r="K856">
        <f t="shared" si="26"/>
        <v>1.5</v>
      </c>
    </row>
    <row r="857" spans="1:11" x14ac:dyDescent="0.3">
      <c r="A857">
        <f>LOOKUP(9E+307,--MID(D857,1,{1,2,3,4,5}))</f>
        <v>10</v>
      </c>
      <c r="B857">
        <f>VLOOKUP(MID(D857,LOOKUP(2,1/ISNUMBER(-MID(D857,1,{1,2,3,4,5})),{1,2,3,4,5})+1,9),'Hue codes'!$A$1:$B$10,2,FALSE)</f>
        <v>10</v>
      </c>
      <c r="C857">
        <f t="shared" si="27"/>
        <v>20</v>
      </c>
      <c r="D857" s="162" t="s">
        <v>28</v>
      </c>
      <c r="E857" s="162">
        <v>6</v>
      </c>
      <c r="F857" s="162">
        <v>6</v>
      </c>
      <c r="G857" s="164">
        <v>0.72330000000000005</v>
      </c>
      <c r="H857" s="164">
        <v>0.55640000000000001</v>
      </c>
      <c r="I857" s="164">
        <v>0.31519999999999998</v>
      </c>
      <c r="J857" s="2" t="str">
        <f>HYPERLINK(SetRGB(J857,G857*255,H857*255,I857*255),"HOVER!")</f>
        <v>HOVER!</v>
      </c>
      <c r="K857">
        <f t="shared" si="26"/>
        <v>1</v>
      </c>
    </row>
    <row r="858" spans="1:11" x14ac:dyDescent="0.3">
      <c r="A858">
        <f>LOOKUP(9E+307,--MID(D858,1,{1,2,3,4,5}))</f>
        <v>10</v>
      </c>
      <c r="B858">
        <f>VLOOKUP(MID(D858,LOOKUP(2,1/ISNUMBER(-MID(D858,1,{1,2,3,4,5})),{1,2,3,4,5})+1,9),'Hue codes'!$A$1:$B$10,2,FALSE)</f>
        <v>10</v>
      </c>
      <c r="C858">
        <f t="shared" si="27"/>
        <v>20</v>
      </c>
      <c r="D858" s="162" t="s">
        <v>28</v>
      </c>
      <c r="E858" s="162">
        <v>6</v>
      </c>
      <c r="F858" s="162">
        <v>8</v>
      </c>
      <c r="G858" s="164">
        <v>0.753</v>
      </c>
      <c r="H858" s="164">
        <v>0.54800000000000004</v>
      </c>
      <c r="I858" s="164">
        <v>0.21240000000000001</v>
      </c>
      <c r="J858" s="2" t="str">
        <f>HYPERLINK(SetRGB(J858,G858*255,H858*255,I858*255),"HOVER!")</f>
        <v>HOVER!</v>
      </c>
      <c r="K858">
        <f t="shared" si="26"/>
        <v>0.75</v>
      </c>
    </row>
    <row r="859" spans="1:11" x14ac:dyDescent="0.3">
      <c r="A859">
        <f>LOOKUP(9E+307,--MID(D859,1,{1,2,3,4,5}))</f>
        <v>10</v>
      </c>
      <c r="B859">
        <f>VLOOKUP(MID(D859,LOOKUP(2,1/ISNUMBER(-MID(D859,1,{1,2,3,4,5})),{1,2,3,4,5})+1,9),'Hue codes'!$A$1:$B$10,2,FALSE)</f>
        <v>10</v>
      </c>
      <c r="C859">
        <f t="shared" si="27"/>
        <v>20</v>
      </c>
      <c r="D859" s="162" t="s">
        <v>28</v>
      </c>
      <c r="E859" s="162">
        <v>6</v>
      </c>
      <c r="F859" s="162">
        <v>10</v>
      </c>
      <c r="G859" s="164">
        <v>0.7762</v>
      </c>
      <c r="H859" s="164">
        <v>0.54059999999999997</v>
      </c>
      <c r="I859" s="164">
        <v>6.3E-2</v>
      </c>
      <c r="J859" s="253" t="str">
        <f>HYPERLINK(SetRGB(J859,G859*255,H859*255,I859*255),"HOVER!")</f>
        <v>HOVER!</v>
      </c>
      <c r="K859">
        <f t="shared" si="26"/>
        <v>0.6</v>
      </c>
    </row>
    <row r="860" spans="1:11" x14ac:dyDescent="0.3">
      <c r="A860">
        <f>LOOKUP(9E+307,--MID(D860,1,{1,2,3,4,5}))</f>
        <v>2.5</v>
      </c>
      <c r="B860">
        <f>VLOOKUP(MID(D860,LOOKUP(2,1/ISNUMBER(-MID(D860,1,{1,2,3,4,5})),{1,2,3,4,5})+1,9),'Hue codes'!$A$1:$B$10,2,FALSE)</f>
        <v>20</v>
      </c>
      <c r="C860">
        <f t="shared" si="27"/>
        <v>22.5</v>
      </c>
      <c r="D860" s="162" t="s">
        <v>29</v>
      </c>
      <c r="E860" s="162">
        <v>6</v>
      </c>
      <c r="F860" s="162">
        <v>2</v>
      </c>
      <c r="G860" s="164">
        <v>0.62890000000000001</v>
      </c>
      <c r="H860" s="164">
        <v>0.57989999999999997</v>
      </c>
      <c r="I860" s="164">
        <v>0.48520000000000002</v>
      </c>
      <c r="J860" s="2" t="str">
        <f>HYPERLINK(SetRGB(J860,G860*255,H860*255,I860*255),"HOVER!")</f>
        <v>HOVER!</v>
      </c>
      <c r="K860">
        <f t="shared" si="26"/>
        <v>3</v>
      </c>
    </row>
    <row r="861" spans="1:11" x14ac:dyDescent="0.3">
      <c r="A861">
        <f>LOOKUP(9E+307,--MID(D861,1,{1,2,3,4,5}))</f>
        <v>2.5</v>
      </c>
      <c r="B861">
        <f>VLOOKUP(MID(D861,LOOKUP(2,1/ISNUMBER(-MID(D861,1,{1,2,3,4,5})),{1,2,3,4,5})+1,9),'Hue codes'!$A$1:$B$10,2,FALSE)</f>
        <v>20</v>
      </c>
      <c r="C861">
        <f t="shared" si="27"/>
        <v>22.5</v>
      </c>
      <c r="D861" s="162" t="s">
        <v>29</v>
      </c>
      <c r="E861" s="162">
        <v>6</v>
      </c>
      <c r="F861" s="162">
        <v>4</v>
      </c>
      <c r="G861" s="164">
        <v>0.66510000000000002</v>
      </c>
      <c r="H861" s="164">
        <v>0.57450000000000001</v>
      </c>
      <c r="I861" s="164">
        <v>0.39290000000000003</v>
      </c>
      <c r="J861" s="2" t="str">
        <f>HYPERLINK(SetRGB(J861,G861*255,H861*255,I861*255),"HOVER!")</f>
        <v>HOVER!</v>
      </c>
      <c r="K861">
        <f t="shared" si="26"/>
        <v>1.5</v>
      </c>
    </row>
    <row r="862" spans="1:11" x14ac:dyDescent="0.3">
      <c r="A862">
        <f>LOOKUP(9E+307,--MID(D862,1,{1,2,3,4,5}))</f>
        <v>2.5</v>
      </c>
      <c r="B862">
        <f>VLOOKUP(MID(D862,LOOKUP(2,1/ISNUMBER(-MID(D862,1,{1,2,3,4,5})),{1,2,3,4,5})+1,9),'Hue codes'!$A$1:$B$10,2,FALSE)</f>
        <v>20</v>
      </c>
      <c r="C862">
        <f t="shared" si="27"/>
        <v>22.5</v>
      </c>
      <c r="D862" s="162" t="s">
        <v>29</v>
      </c>
      <c r="E862" s="162">
        <v>6</v>
      </c>
      <c r="F862" s="162">
        <v>6</v>
      </c>
      <c r="G862" s="164">
        <v>0.69679999999999997</v>
      </c>
      <c r="H862" s="164">
        <v>0.56850000000000001</v>
      </c>
      <c r="I862" s="164">
        <v>0.28960000000000002</v>
      </c>
      <c r="J862" s="3" t="str">
        <f>HYPERLINK(SetRGB(J862,G862*255,H862*255,I862*255),"HOVER!")</f>
        <v>HOVER!</v>
      </c>
      <c r="K862">
        <f t="shared" si="26"/>
        <v>1</v>
      </c>
    </row>
    <row r="863" spans="1:11" x14ac:dyDescent="0.3">
      <c r="A863">
        <f>LOOKUP(9E+307,--MID(D863,1,{1,2,3,4,5}))</f>
        <v>2.5</v>
      </c>
      <c r="B863">
        <f>VLOOKUP(MID(D863,LOOKUP(2,1/ISNUMBER(-MID(D863,1,{1,2,3,4,5})),{1,2,3,4,5})+1,9),'Hue codes'!$A$1:$B$10,2,FALSE)</f>
        <v>20</v>
      </c>
      <c r="C863">
        <f t="shared" si="27"/>
        <v>22.5</v>
      </c>
      <c r="D863" s="162" t="s">
        <v>29</v>
      </c>
      <c r="E863" s="162">
        <v>6</v>
      </c>
      <c r="F863" s="162">
        <v>8</v>
      </c>
      <c r="G863" s="164">
        <v>0.72219999999999995</v>
      </c>
      <c r="H863" s="164">
        <v>0.56259999999999999</v>
      </c>
      <c r="I863" s="164">
        <v>0.17230000000000001</v>
      </c>
      <c r="J863" s="4" t="str">
        <f>HYPERLINK(SetRGB(J863,G863*255,H863*255,I863*255),"HOVER!")</f>
        <v>HOVER!</v>
      </c>
      <c r="K863">
        <f t="shared" si="26"/>
        <v>0.75</v>
      </c>
    </row>
    <row r="864" spans="1:11" x14ac:dyDescent="0.3">
      <c r="A864">
        <f>LOOKUP(9E+307,--MID(D864,1,{1,2,3,4,5}))</f>
        <v>5</v>
      </c>
      <c r="B864">
        <f>VLOOKUP(MID(D864,LOOKUP(2,1/ISNUMBER(-MID(D864,1,{1,2,3,4,5})),{1,2,3,4,5})+1,9),'Hue codes'!$A$1:$B$10,2,FALSE)</f>
        <v>20</v>
      </c>
      <c r="C864">
        <f t="shared" si="27"/>
        <v>25</v>
      </c>
      <c r="D864" s="162" t="s">
        <v>30</v>
      </c>
      <c r="E864" s="162">
        <v>6</v>
      </c>
      <c r="F864" s="162">
        <v>2</v>
      </c>
      <c r="G864" s="164">
        <v>0.61670000000000003</v>
      </c>
      <c r="H864" s="164">
        <v>0.58430000000000004</v>
      </c>
      <c r="I864" s="164">
        <v>0.48020000000000002</v>
      </c>
      <c r="J864" s="5" t="str">
        <f>HYPERLINK(SetRGB(J864,G864*255,H864*255,I864*255),"HOVER!")</f>
        <v>HOVER!</v>
      </c>
      <c r="K864">
        <f t="shared" si="26"/>
        <v>3</v>
      </c>
    </row>
    <row r="865" spans="1:11" x14ac:dyDescent="0.3">
      <c r="A865">
        <f>LOOKUP(9E+307,--MID(D865,1,{1,2,3,4,5}))</f>
        <v>5</v>
      </c>
      <c r="B865">
        <f>VLOOKUP(MID(D865,LOOKUP(2,1/ISNUMBER(-MID(D865,1,{1,2,3,4,5})),{1,2,3,4,5})+1,9),'Hue codes'!$A$1:$B$10,2,FALSE)</f>
        <v>20</v>
      </c>
      <c r="C865">
        <f t="shared" si="27"/>
        <v>25</v>
      </c>
      <c r="D865" s="162" t="s">
        <v>30</v>
      </c>
      <c r="E865" s="162">
        <v>6</v>
      </c>
      <c r="F865" s="162">
        <v>4</v>
      </c>
      <c r="G865" s="164">
        <v>0.64259999999999995</v>
      </c>
      <c r="H865" s="164">
        <v>0.58309999999999995</v>
      </c>
      <c r="I865" s="164">
        <v>0.38169999999999998</v>
      </c>
      <c r="J865" s="2" t="str">
        <f>HYPERLINK(SetRGB(J865,G865*255,H865*255,I865*255),"HOVER!")</f>
        <v>HOVER!</v>
      </c>
      <c r="K865">
        <f t="shared" si="26"/>
        <v>1.5</v>
      </c>
    </row>
    <row r="866" spans="1:11" x14ac:dyDescent="0.3">
      <c r="A866">
        <f>LOOKUP(9E+307,--MID(D866,1,{1,2,3,4,5}))</f>
        <v>5</v>
      </c>
      <c r="B866">
        <f>VLOOKUP(MID(D866,LOOKUP(2,1/ISNUMBER(-MID(D866,1,{1,2,3,4,5})),{1,2,3,4,5})+1,9),'Hue codes'!$A$1:$B$10,2,FALSE)</f>
        <v>20</v>
      </c>
      <c r="C866">
        <f t="shared" si="27"/>
        <v>25</v>
      </c>
      <c r="D866" s="162" t="s">
        <v>30</v>
      </c>
      <c r="E866" s="162">
        <v>6</v>
      </c>
      <c r="F866" s="162">
        <v>6</v>
      </c>
      <c r="G866" s="164">
        <v>0.66800000000000004</v>
      </c>
      <c r="H866" s="164">
        <v>0.58020000000000005</v>
      </c>
      <c r="I866" s="164">
        <v>0.27060000000000001</v>
      </c>
      <c r="J866" s="2" t="str">
        <f>HYPERLINK(SetRGB(J866,G866*255,H866*255,I866*255),"HOVER!")</f>
        <v>HOVER!</v>
      </c>
      <c r="K866">
        <f t="shared" si="26"/>
        <v>1</v>
      </c>
    </row>
    <row r="867" spans="1:11" x14ac:dyDescent="0.3">
      <c r="A867">
        <f>LOOKUP(9E+307,--MID(D867,1,{1,2,3,4,5}))</f>
        <v>5</v>
      </c>
      <c r="B867">
        <f>VLOOKUP(MID(D867,LOOKUP(2,1/ISNUMBER(-MID(D867,1,{1,2,3,4,5})),{1,2,3,4,5})+1,9),'Hue codes'!$A$1:$B$10,2,FALSE)</f>
        <v>20</v>
      </c>
      <c r="C867">
        <f t="shared" si="27"/>
        <v>25</v>
      </c>
      <c r="D867" s="162" t="s">
        <v>30</v>
      </c>
      <c r="E867" s="162">
        <v>6</v>
      </c>
      <c r="F867" s="162">
        <v>8</v>
      </c>
      <c r="G867" s="164">
        <v>0.68600000000000005</v>
      </c>
      <c r="H867" s="164">
        <v>0.57779999999999998</v>
      </c>
      <c r="I867" s="164">
        <v>0.13689999999999999</v>
      </c>
      <c r="J867" s="2" t="str">
        <f>HYPERLINK(SetRGB(J867,G867*255,H867*255,I867*255),"HOVER!")</f>
        <v>HOVER!</v>
      </c>
      <c r="K867">
        <f t="shared" si="26"/>
        <v>0.75</v>
      </c>
    </row>
    <row r="868" spans="1:11" x14ac:dyDescent="0.3">
      <c r="A868">
        <f>LOOKUP(9E+307,--MID(D868,1,{1,2,3,4,5}))</f>
        <v>7.5</v>
      </c>
      <c r="B868">
        <f>VLOOKUP(MID(D868,LOOKUP(2,1/ISNUMBER(-MID(D868,1,{1,2,3,4,5})),{1,2,3,4,5})+1,9),'Hue codes'!$A$1:$B$10,2,FALSE)</f>
        <v>20</v>
      </c>
      <c r="C868">
        <f t="shared" si="27"/>
        <v>27.5</v>
      </c>
      <c r="D868" s="162" t="s">
        <v>31</v>
      </c>
      <c r="E868" s="162">
        <v>6</v>
      </c>
      <c r="F868" s="162">
        <v>2</v>
      </c>
      <c r="G868" s="164">
        <v>0.60670000000000002</v>
      </c>
      <c r="H868" s="164">
        <v>0.58760000000000001</v>
      </c>
      <c r="I868" s="164">
        <v>0.4788</v>
      </c>
      <c r="J868" s="2" t="str">
        <f>HYPERLINK(SetRGB(J868,G868*255,H868*255,I868*255),"HOVER!")</f>
        <v>HOVER!</v>
      </c>
      <c r="K868">
        <f t="shared" si="26"/>
        <v>3</v>
      </c>
    </row>
    <row r="869" spans="1:11" x14ac:dyDescent="0.3">
      <c r="A869">
        <f>LOOKUP(9E+307,--MID(D869,1,{1,2,3,4,5}))</f>
        <v>7.5</v>
      </c>
      <c r="B869">
        <f>VLOOKUP(MID(D869,LOOKUP(2,1/ISNUMBER(-MID(D869,1,{1,2,3,4,5})),{1,2,3,4,5})+1,9),'Hue codes'!$A$1:$B$10,2,FALSE)</f>
        <v>20</v>
      </c>
      <c r="C869">
        <f t="shared" si="27"/>
        <v>27.5</v>
      </c>
      <c r="D869" s="162" t="s">
        <v>31</v>
      </c>
      <c r="E869" s="162">
        <v>6</v>
      </c>
      <c r="F869" s="162">
        <v>4</v>
      </c>
      <c r="G869" s="164">
        <v>0.62470000000000003</v>
      </c>
      <c r="H869" s="164">
        <v>0.58930000000000005</v>
      </c>
      <c r="I869" s="164">
        <v>0.37790000000000001</v>
      </c>
      <c r="J869" s="2" t="str">
        <f>HYPERLINK(SetRGB(J869,G869*255,H869*255,I869*255),"HOVER!")</f>
        <v>HOVER!</v>
      </c>
      <c r="K869">
        <f t="shared" si="26"/>
        <v>1.5</v>
      </c>
    </row>
    <row r="870" spans="1:11" x14ac:dyDescent="0.3">
      <c r="A870">
        <f>LOOKUP(9E+307,--MID(D870,1,{1,2,3,4,5}))</f>
        <v>7.5</v>
      </c>
      <c r="B870">
        <f>VLOOKUP(MID(D870,LOOKUP(2,1/ISNUMBER(-MID(D870,1,{1,2,3,4,5})),{1,2,3,4,5})+1,9),'Hue codes'!$A$1:$B$10,2,FALSE)</f>
        <v>20</v>
      </c>
      <c r="C870">
        <f t="shared" si="27"/>
        <v>27.5</v>
      </c>
      <c r="D870" s="162" t="s">
        <v>31</v>
      </c>
      <c r="E870" s="162">
        <v>6</v>
      </c>
      <c r="F870" s="162">
        <v>6</v>
      </c>
      <c r="G870" s="164">
        <v>0.6401</v>
      </c>
      <c r="H870" s="164">
        <v>0.59030000000000005</v>
      </c>
      <c r="I870" s="164">
        <v>0.26140000000000002</v>
      </c>
      <c r="J870" s="2" t="str">
        <f>HYPERLINK(SetRGB(J870,G870*255,H870*255,I870*255),"HOVER!")</f>
        <v>HOVER!</v>
      </c>
      <c r="K870">
        <f t="shared" si="26"/>
        <v>1</v>
      </c>
    </row>
    <row r="871" spans="1:11" x14ac:dyDescent="0.3">
      <c r="A871">
        <f>LOOKUP(9E+307,--MID(D871,1,{1,2,3,4,5}))</f>
        <v>7.5</v>
      </c>
      <c r="B871">
        <f>VLOOKUP(MID(D871,LOOKUP(2,1/ISNUMBER(-MID(D871,1,{1,2,3,4,5})),{1,2,3,4,5})+1,9),'Hue codes'!$A$1:$B$10,2,FALSE)</f>
        <v>20</v>
      </c>
      <c r="C871">
        <f t="shared" si="27"/>
        <v>27.5</v>
      </c>
      <c r="D871" s="162" t="s">
        <v>31</v>
      </c>
      <c r="E871" s="162">
        <v>6</v>
      </c>
      <c r="F871" s="162">
        <v>8</v>
      </c>
      <c r="G871" s="164">
        <v>0.65159999999999996</v>
      </c>
      <c r="H871" s="164">
        <v>0.59050000000000002</v>
      </c>
      <c r="I871" s="164">
        <v>0.11509999999999999</v>
      </c>
      <c r="J871" s="2" t="str">
        <f>HYPERLINK(SetRGB(J871,G871*255,H871*255,I871*255),"HOVER!")</f>
        <v>HOVER!</v>
      </c>
      <c r="K871">
        <f t="shared" si="26"/>
        <v>0.75</v>
      </c>
    </row>
    <row r="872" spans="1:11" x14ac:dyDescent="0.3">
      <c r="A872">
        <f>LOOKUP(9E+307,--MID(D872,1,{1,2,3,4,5}))</f>
        <v>10</v>
      </c>
      <c r="B872">
        <f>VLOOKUP(MID(D872,LOOKUP(2,1/ISNUMBER(-MID(D872,1,{1,2,3,4,5})),{1,2,3,4,5})+1,9),'Hue codes'!$A$1:$B$10,2,FALSE)</f>
        <v>20</v>
      </c>
      <c r="C872">
        <f t="shared" si="27"/>
        <v>30</v>
      </c>
      <c r="D872" s="162" t="s">
        <v>32</v>
      </c>
      <c r="E872" s="162">
        <v>6</v>
      </c>
      <c r="F872" s="162">
        <v>2</v>
      </c>
      <c r="G872" s="164">
        <v>0.59630000000000005</v>
      </c>
      <c r="H872" s="164">
        <v>0.5907</v>
      </c>
      <c r="I872" s="164">
        <v>0.48</v>
      </c>
      <c r="J872" s="2" t="str">
        <f>HYPERLINK(SetRGB(J872,G872*255,H872*255,I872*255),"HOVER!")</f>
        <v>HOVER!</v>
      </c>
      <c r="K872">
        <f t="shared" si="26"/>
        <v>3</v>
      </c>
    </row>
    <row r="873" spans="1:11" x14ac:dyDescent="0.3">
      <c r="A873">
        <f>LOOKUP(9E+307,--MID(D873,1,{1,2,3,4,5}))</f>
        <v>10</v>
      </c>
      <c r="B873">
        <f>VLOOKUP(MID(D873,LOOKUP(2,1/ISNUMBER(-MID(D873,1,{1,2,3,4,5})),{1,2,3,4,5})+1,9),'Hue codes'!$A$1:$B$10,2,FALSE)</f>
        <v>20</v>
      </c>
      <c r="C873">
        <f t="shared" si="27"/>
        <v>30</v>
      </c>
      <c r="D873" s="162" t="s">
        <v>32</v>
      </c>
      <c r="E873" s="162">
        <v>6</v>
      </c>
      <c r="F873" s="162">
        <v>4</v>
      </c>
      <c r="G873" s="164">
        <v>0.60540000000000005</v>
      </c>
      <c r="H873" s="164">
        <v>0.59530000000000005</v>
      </c>
      <c r="I873" s="164">
        <v>0.37959999999999999</v>
      </c>
      <c r="J873" s="2" t="str">
        <f>HYPERLINK(SetRGB(J873,G873*255,H873*255,I873*255),"HOVER!")</f>
        <v>HOVER!</v>
      </c>
      <c r="K873">
        <f t="shared" si="26"/>
        <v>1.5</v>
      </c>
    </row>
    <row r="874" spans="1:11" x14ac:dyDescent="0.3">
      <c r="A874">
        <f>LOOKUP(9E+307,--MID(D874,1,{1,2,3,4,5}))</f>
        <v>10</v>
      </c>
      <c r="B874">
        <f>VLOOKUP(MID(D874,LOOKUP(2,1/ISNUMBER(-MID(D874,1,{1,2,3,4,5})),{1,2,3,4,5})+1,9),'Hue codes'!$A$1:$B$10,2,FALSE)</f>
        <v>20</v>
      </c>
      <c r="C874">
        <f t="shared" si="27"/>
        <v>30</v>
      </c>
      <c r="D874" s="162" t="s">
        <v>32</v>
      </c>
      <c r="E874" s="162">
        <v>6</v>
      </c>
      <c r="F874" s="162">
        <v>6</v>
      </c>
      <c r="G874" s="164">
        <v>0.61299999999999999</v>
      </c>
      <c r="H874" s="164">
        <v>0.59889999999999999</v>
      </c>
      <c r="I874" s="164">
        <v>0.26469999999999999</v>
      </c>
      <c r="J874" s="2" t="str">
        <f>HYPERLINK(SetRGB(J874,G874*255,H874*255,I874*255),"HOVER!")</f>
        <v>HOVER!</v>
      </c>
      <c r="K874">
        <f t="shared" si="26"/>
        <v>1</v>
      </c>
    </row>
    <row r="875" spans="1:11" x14ac:dyDescent="0.3">
      <c r="A875">
        <f>LOOKUP(9E+307,--MID(D875,1,{1,2,3,4,5}))</f>
        <v>10</v>
      </c>
      <c r="B875">
        <f>VLOOKUP(MID(D875,LOOKUP(2,1/ISNUMBER(-MID(D875,1,{1,2,3,4,5})),{1,2,3,4,5})+1,9),'Hue codes'!$A$1:$B$10,2,FALSE)</f>
        <v>20</v>
      </c>
      <c r="C875">
        <f t="shared" si="27"/>
        <v>30</v>
      </c>
      <c r="D875" s="162" t="s">
        <v>32</v>
      </c>
      <c r="E875" s="162">
        <v>6</v>
      </c>
      <c r="F875" s="162">
        <v>8</v>
      </c>
      <c r="G875" s="164">
        <v>0.61829999999999996</v>
      </c>
      <c r="H875" s="164">
        <v>0.60140000000000005</v>
      </c>
      <c r="I875" s="164">
        <v>0.1137</v>
      </c>
      <c r="J875" s="2" t="str">
        <f>HYPERLINK(SetRGB(J875,G875*255,H875*255,I875*255),"HOVER!")</f>
        <v>HOVER!</v>
      </c>
      <c r="K875">
        <f t="shared" si="26"/>
        <v>0.75</v>
      </c>
    </row>
    <row r="876" spans="1:11" x14ac:dyDescent="0.3">
      <c r="A876">
        <f>LOOKUP(9E+307,--MID(D876,1,{1,2,3,4,5}))</f>
        <v>2.5</v>
      </c>
      <c r="B876">
        <f>VLOOKUP(MID(D876,LOOKUP(2,1/ISNUMBER(-MID(D876,1,{1,2,3,4,5})),{1,2,3,4,5})+1,9),'Hue codes'!$A$1:$B$10,2,FALSE)</f>
        <v>30</v>
      </c>
      <c r="C876">
        <f t="shared" si="27"/>
        <v>32.5</v>
      </c>
      <c r="D876" s="162" t="s">
        <v>33</v>
      </c>
      <c r="E876" s="162">
        <v>6</v>
      </c>
      <c r="F876" s="162">
        <v>2</v>
      </c>
      <c r="G876" s="164">
        <v>0.58160000000000001</v>
      </c>
      <c r="H876" s="164">
        <v>0.59470000000000001</v>
      </c>
      <c r="I876" s="164">
        <v>0.48549999999999999</v>
      </c>
      <c r="J876" s="2" t="str">
        <f>HYPERLINK(SetRGB(J876,G876*255,H876*255,I876*255),"HOVER!")</f>
        <v>HOVER!</v>
      </c>
      <c r="K876">
        <f t="shared" si="26"/>
        <v>3</v>
      </c>
    </row>
    <row r="877" spans="1:11" x14ac:dyDescent="0.3">
      <c r="A877">
        <f>LOOKUP(9E+307,--MID(D877,1,{1,2,3,4,5}))</f>
        <v>2.5</v>
      </c>
      <c r="B877">
        <f>VLOOKUP(MID(D877,LOOKUP(2,1/ISNUMBER(-MID(D877,1,{1,2,3,4,5})),{1,2,3,4,5})+1,9),'Hue codes'!$A$1:$B$10,2,FALSE)</f>
        <v>30</v>
      </c>
      <c r="C877">
        <f t="shared" si="27"/>
        <v>32.5</v>
      </c>
      <c r="D877" s="162" t="s">
        <v>33</v>
      </c>
      <c r="E877" s="162">
        <v>6</v>
      </c>
      <c r="F877" s="162">
        <v>4</v>
      </c>
      <c r="G877" s="164">
        <v>0.57869999999999999</v>
      </c>
      <c r="H877" s="164">
        <v>0.60260000000000002</v>
      </c>
      <c r="I877" s="164">
        <v>0.38969999999999999</v>
      </c>
      <c r="J877" s="2" t="str">
        <f>HYPERLINK(SetRGB(J877,G877*255,H877*255,I877*255),"HOVER!")</f>
        <v>HOVER!</v>
      </c>
      <c r="K877">
        <f t="shared" si="26"/>
        <v>1.5</v>
      </c>
    </row>
    <row r="878" spans="1:11" x14ac:dyDescent="0.3">
      <c r="A878">
        <f>LOOKUP(9E+307,--MID(D878,1,{1,2,3,4,5}))</f>
        <v>2.5</v>
      </c>
      <c r="B878">
        <f>VLOOKUP(MID(D878,LOOKUP(2,1/ISNUMBER(-MID(D878,1,{1,2,3,4,5})),{1,2,3,4,5})+1,9),'Hue codes'!$A$1:$B$10,2,FALSE)</f>
        <v>30</v>
      </c>
      <c r="C878">
        <f t="shared" si="27"/>
        <v>32.5</v>
      </c>
      <c r="D878" s="162" t="s">
        <v>33</v>
      </c>
      <c r="E878" s="162">
        <v>6</v>
      </c>
      <c r="F878" s="162">
        <v>6</v>
      </c>
      <c r="G878" s="164">
        <v>0.57550000000000001</v>
      </c>
      <c r="H878" s="164">
        <v>0.60909999999999997</v>
      </c>
      <c r="I878" s="164">
        <v>0.2833</v>
      </c>
      <c r="J878" s="2" t="str">
        <f>HYPERLINK(SetRGB(J878,G878*255,H878*255,I878*255),"HOVER!")</f>
        <v>HOVER!</v>
      </c>
      <c r="K878">
        <f t="shared" si="26"/>
        <v>1</v>
      </c>
    </row>
    <row r="879" spans="1:11" x14ac:dyDescent="0.3">
      <c r="A879">
        <f>LOOKUP(9E+307,--MID(D879,1,{1,2,3,4,5}))</f>
        <v>2.5</v>
      </c>
      <c r="B879">
        <f>VLOOKUP(MID(D879,LOOKUP(2,1/ISNUMBER(-MID(D879,1,{1,2,3,4,5})),{1,2,3,4,5})+1,9),'Hue codes'!$A$1:$B$10,2,FALSE)</f>
        <v>30</v>
      </c>
      <c r="C879">
        <f t="shared" si="27"/>
        <v>32.5</v>
      </c>
      <c r="D879" s="162" t="s">
        <v>33</v>
      </c>
      <c r="E879" s="162">
        <v>6</v>
      </c>
      <c r="F879" s="162">
        <v>8</v>
      </c>
      <c r="G879" s="164">
        <v>0.57069999999999999</v>
      </c>
      <c r="H879" s="164">
        <v>0.6149</v>
      </c>
      <c r="I879" s="164">
        <v>0.14180000000000001</v>
      </c>
      <c r="J879" s="2" t="str">
        <f>HYPERLINK(SetRGB(J879,G879*255,H879*255,I879*255),"HOVER!")</f>
        <v>HOVER!</v>
      </c>
      <c r="K879">
        <f t="shared" si="26"/>
        <v>0.75</v>
      </c>
    </row>
    <row r="880" spans="1:11" x14ac:dyDescent="0.3">
      <c r="A880">
        <f>LOOKUP(9E+307,--MID(D880,1,{1,2,3,4,5}))</f>
        <v>5</v>
      </c>
      <c r="B880">
        <f>VLOOKUP(MID(D880,LOOKUP(2,1/ISNUMBER(-MID(D880,1,{1,2,3,4,5})),{1,2,3,4,5})+1,9),'Hue codes'!$A$1:$B$10,2,FALSE)</f>
        <v>30</v>
      </c>
      <c r="C880">
        <f t="shared" si="27"/>
        <v>35</v>
      </c>
      <c r="D880" s="162" t="s">
        <v>34</v>
      </c>
      <c r="E880" s="162">
        <v>6</v>
      </c>
      <c r="F880" s="162">
        <v>2</v>
      </c>
      <c r="G880" s="164">
        <v>0.56869999999999998</v>
      </c>
      <c r="H880" s="164">
        <v>0.5978</v>
      </c>
      <c r="I880" s="164">
        <v>0.49270000000000003</v>
      </c>
      <c r="J880" s="2" t="str">
        <f>HYPERLINK(SetRGB(J880,G880*255,H880*255,I880*255),"HOVER!")</f>
        <v>HOVER!</v>
      </c>
      <c r="K880">
        <f t="shared" si="26"/>
        <v>3</v>
      </c>
    </row>
    <row r="881" spans="1:11" x14ac:dyDescent="0.3">
      <c r="A881">
        <f>LOOKUP(9E+307,--MID(D881,1,{1,2,3,4,5}))</f>
        <v>5</v>
      </c>
      <c r="B881">
        <f>VLOOKUP(MID(D881,LOOKUP(2,1/ISNUMBER(-MID(D881,1,{1,2,3,4,5})),{1,2,3,4,5})+1,9),'Hue codes'!$A$1:$B$10,2,FALSE)</f>
        <v>30</v>
      </c>
      <c r="C881">
        <f t="shared" si="27"/>
        <v>35</v>
      </c>
      <c r="D881" s="162" t="s">
        <v>34</v>
      </c>
      <c r="E881" s="162">
        <v>6</v>
      </c>
      <c r="F881" s="162">
        <v>4</v>
      </c>
      <c r="G881" s="164">
        <v>0.55430000000000001</v>
      </c>
      <c r="H881" s="164">
        <v>0.60829999999999995</v>
      </c>
      <c r="I881" s="164">
        <v>0.40579999999999999</v>
      </c>
      <c r="J881" s="2" t="str">
        <f>HYPERLINK(SetRGB(J881,G881*255,H881*255,I881*255),"HOVER!")</f>
        <v>HOVER!</v>
      </c>
      <c r="K881">
        <f t="shared" si="26"/>
        <v>1.5</v>
      </c>
    </row>
    <row r="882" spans="1:11" x14ac:dyDescent="0.3">
      <c r="A882">
        <f>LOOKUP(9E+307,--MID(D882,1,{1,2,3,4,5}))</f>
        <v>5</v>
      </c>
      <c r="B882">
        <f>VLOOKUP(MID(D882,LOOKUP(2,1/ISNUMBER(-MID(D882,1,{1,2,3,4,5})),{1,2,3,4,5})+1,9),'Hue codes'!$A$1:$B$10,2,FALSE)</f>
        <v>30</v>
      </c>
      <c r="C882">
        <f t="shared" si="27"/>
        <v>35</v>
      </c>
      <c r="D882" s="162" t="s">
        <v>34</v>
      </c>
      <c r="E882" s="162">
        <v>6</v>
      </c>
      <c r="F882" s="162">
        <v>6</v>
      </c>
      <c r="G882" s="164">
        <v>0.53749999999999998</v>
      </c>
      <c r="H882" s="164">
        <v>0.61799999999999999</v>
      </c>
      <c r="I882" s="164">
        <v>0.31190000000000001</v>
      </c>
      <c r="J882" s="2" t="str">
        <f>HYPERLINK(SetRGB(J882,G882*255,H882*255,I882*255),"HOVER!")</f>
        <v>HOVER!</v>
      </c>
      <c r="K882">
        <f t="shared" si="26"/>
        <v>1</v>
      </c>
    </row>
    <row r="883" spans="1:11" x14ac:dyDescent="0.3">
      <c r="A883">
        <f>LOOKUP(9E+307,--MID(D883,1,{1,2,3,4,5}))</f>
        <v>5</v>
      </c>
      <c r="B883">
        <f>VLOOKUP(MID(D883,LOOKUP(2,1/ISNUMBER(-MID(D883,1,{1,2,3,4,5})),{1,2,3,4,5})+1,9),'Hue codes'!$A$1:$B$10,2,FALSE)</f>
        <v>30</v>
      </c>
      <c r="C883">
        <f t="shared" si="27"/>
        <v>35</v>
      </c>
      <c r="D883" s="162" t="s">
        <v>34</v>
      </c>
      <c r="E883" s="162">
        <v>6</v>
      </c>
      <c r="F883" s="162">
        <v>8</v>
      </c>
      <c r="G883" s="164">
        <v>0.51900000000000002</v>
      </c>
      <c r="H883" s="164">
        <v>0.62680000000000002</v>
      </c>
      <c r="I883" s="164">
        <v>0.19439999999999999</v>
      </c>
      <c r="J883" s="2" t="str">
        <f>HYPERLINK(SetRGB(J883,G883*255,H883*255,I883*255),"HOVER!")</f>
        <v>HOVER!</v>
      </c>
      <c r="K883">
        <f t="shared" si="26"/>
        <v>0.75</v>
      </c>
    </row>
    <row r="884" spans="1:11" x14ac:dyDescent="0.3">
      <c r="A884">
        <f>LOOKUP(9E+307,--MID(D884,1,{1,2,3,4,5}))</f>
        <v>7.5</v>
      </c>
      <c r="B884">
        <f>VLOOKUP(MID(D884,LOOKUP(2,1/ISNUMBER(-MID(D884,1,{1,2,3,4,5})),{1,2,3,4,5})+1,9),'Hue codes'!$A$1:$B$10,2,FALSE)</f>
        <v>30</v>
      </c>
      <c r="C884">
        <f t="shared" si="27"/>
        <v>37.5</v>
      </c>
      <c r="D884" s="162" t="s">
        <v>35</v>
      </c>
      <c r="E884" s="162">
        <v>6</v>
      </c>
      <c r="F884" s="162">
        <v>2</v>
      </c>
      <c r="G884" s="164">
        <v>0.54730000000000001</v>
      </c>
      <c r="H884" s="164">
        <v>0.60229999999999995</v>
      </c>
      <c r="I884" s="164">
        <v>0.50780000000000003</v>
      </c>
      <c r="J884" s="2" t="str">
        <f>HYPERLINK(SetRGB(J884,G884*255,H884*255,I884*255),"HOVER!")</f>
        <v>HOVER!</v>
      </c>
      <c r="K884">
        <f t="shared" si="26"/>
        <v>3</v>
      </c>
    </row>
    <row r="885" spans="1:11" x14ac:dyDescent="0.3">
      <c r="A885">
        <f>LOOKUP(9E+307,--MID(D885,1,{1,2,3,4,5}))</f>
        <v>7.5</v>
      </c>
      <c r="B885">
        <f>VLOOKUP(MID(D885,LOOKUP(2,1/ISNUMBER(-MID(D885,1,{1,2,3,4,5})),{1,2,3,4,5})+1,9),'Hue codes'!$A$1:$B$10,2,FALSE)</f>
        <v>30</v>
      </c>
      <c r="C885">
        <f t="shared" si="27"/>
        <v>37.5</v>
      </c>
      <c r="D885" s="162" t="s">
        <v>35</v>
      </c>
      <c r="E885" s="162">
        <v>6</v>
      </c>
      <c r="F885" s="162">
        <v>4</v>
      </c>
      <c r="G885" s="164">
        <v>0.51439999999999997</v>
      </c>
      <c r="H885" s="164">
        <v>0.61619999999999997</v>
      </c>
      <c r="I885" s="164">
        <v>0.43769999999999998</v>
      </c>
      <c r="J885" s="2" t="str">
        <f>HYPERLINK(SetRGB(J885,G885*255,H885*255,I885*255),"HOVER!")</f>
        <v>HOVER!</v>
      </c>
      <c r="K885">
        <f t="shared" si="26"/>
        <v>1.5</v>
      </c>
    </row>
    <row r="886" spans="1:11" x14ac:dyDescent="0.3">
      <c r="A886">
        <f>LOOKUP(9E+307,--MID(D886,1,{1,2,3,4,5}))</f>
        <v>7.5</v>
      </c>
      <c r="B886">
        <f>VLOOKUP(MID(D886,LOOKUP(2,1/ISNUMBER(-MID(D886,1,{1,2,3,4,5})),{1,2,3,4,5})+1,9),'Hue codes'!$A$1:$B$10,2,FALSE)</f>
        <v>30</v>
      </c>
      <c r="C886">
        <f t="shared" si="27"/>
        <v>37.5</v>
      </c>
      <c r="D886" s="162" t="s">
        <v>35</v>
      </c>
      <c r="E886" s="162">
        <v>6</v>
      </c>
      <c r="F886" s="162">
        <v>6</v>
      </c>
      <c r="G886" s="164">
        <v>0.47960000000000003</v>
      </c>
      <c r="H886" s="164">
        <v>0.62880000000000003</v>
      </c>
      <c r="I886" s="164">
        <v>0.3629</v>
      </c>
      <c r="J886" s="6" t="str">
        <f>HYPERLINK(SetRGB(J886,G886*255,H886*255,I886*255),"HOVER!")</f>
        <v>HOVER!</v>
      </c>
      <c r="K886">
        <f t="shared" si="26"/>
        <v>1</v>
      </c>
    </row>
    <row r="887" spans="1:11" x14ac:dyDescent="0.3">
      <c r="A887">
        <f>LOOKUP(9E+307,--MID(D887,1,{1,2,3,4,5}))</f>
        <v>7.5</v>
      </c>
      <c r="B887">
        <f>VLOOKUP(MID(D887,LOOKUP(2,1/ISNUMBER(-MID(D887,1,{1,2,3,4,5})),{1,2,3,4,5})+1,9),'Hue codes'!$A$1:$B$10,2,FALSE)</f>
        <v>30</v>
      </c>
      <c r="C887">
        <f t="shared" si="27"/>
        <v>37.5</v>
      </c>
      <c r="D887" s="162" t="s">
        <v>35</v>
      </c>
      <c r="E887" s="162">
        <v>6</v>
      </c>
      <c r="F887" s="162">
        <v>8</v>
      </c>
      <c r="G887" s="164">
        <v>0.439</v>
      </c>
      <c r="H887" s="164">
        <v>0.6411</v>
      </c>
      <c r="I887" s="164">
        <v>0.27379999999999999</v>
      </c>
      <c r="J887" s="7" t="str">
        <f>HYPERLINK(SetRGB(J887,G887*255,H887*255,I887*255),"HOVER!")</f>
        <v>HOVER!</v>
      </c>
      <c r="K887">
        <f t="shared" ref="K887:K950" si="28">E887/F887</f>
        <v>0.75</v>
      </c>
    </row>
    <row r="888" spans="1:11" x14ac:dyDescent="0.3">
      <c r="A888">
        <f>LOOKUP(9E+307,--MID(D888,1,{1,2,3,4,5}))</f>
        <v>7.5</v>
      </c>
      <c r="B888">
        <f>VLOOKUP(MID(D888,LOOKUP(2,1/ISNUMBER(-MID(D888,1,{1,2,3,4,5})),{1,2,3,4,5})+1,9),'Hue codes'!$A$1:$B$10,2,FALSE)</f>
        <v>30</v>
      </c>
      <c r="C888">
        <f t="shared" si="27"/>
        <v>37.5</v>
      </c>
      <c r="D888" s="162" t="s">
        <v>35</v>
      </c>
      <c r="E888" s="162">
        <v>6</v>
      </c>
      <c r="F888" s="162">
        <v>10</v>
      </c>
      <c r="G888" s="164">
        <v>0.39700000000000002</v>
      </c>
      <c r="H888" s="164">
        <v>0.65149999999999997</v>
      </c>
      <c r="I888" s="164">
        <v>0.16889999999999999</v>
      </c>
      <c r="J888" s="8" t="str">
        <f>HYPERLINK(SetRGB(J888,G888*255,H888*255,I888*255),"HOVER!")</f>
        <v>HOVER!</v>
      </c>
      <c r="K888">
        <f t="shared" si="28"/>
        <v>0.6</v>
      </c>
    </row>
    <row r="889" spans="1:11" x14ac:dyDescent="0.3">
      <c r="A889">
        <f>LOOKUP(9E+307,--MID(D889,1,{1,2,3,4,5}))</f>
        <v>10</v>
      </c>
      <c r="B889">
        <f>VLOOKUP(MID(D889,LOOKUP(2,1/ISNUMBER(-MID(D889,1,{1,2,3,4,5})),{1,2,3,4,5})+1,9),'Hue codes'!$A$1:$B$10,2,FALSE)</f>
        <v>30</v>
      </c>
      <c r="C889">
        <f t="shared" si="27"/>
        <v>40</v>
      </c>
      <c r="D889" s="162" t="s">
        <v>36</v>
      </c>
      <c r="E889" s="162">
        <v>6</v>
      </c>
      <c r="F889" s="162">
        <v>2</v>
      </c>
      <c r="G889" s="164">
        <v>0.53069999999999995</v>
      </c>
      <c r="H889" s="164">
        <v>0.60519999999999996</v>
      </c>
      <c r="I889" s="164">
        <v>0.52370000000000005</v>
      </c>
      <c r="J889" s="2" t="str">
        <f>HYPERLINK(SetRGB(J889,G889*255,H889*255,I889*255),"HOVER!")</f>
        <v>HOVER!</v>
      </c>
      <c r="K889">
        <f t="shared" si="28"/>
        <v>3</v>
      </c>
    </row>
    <row r="890" spans="1:11" x14ac:dyDescent="0.3">
      <c r="A890">
        <f>LOOKUP(9E+307,--MID(D890,1,{1,2,3,4,5}))</f>
        <v>10</v>
      </c>
      <c r="B890">
        <f>VLOOKUP(MID(D890,LOOKUP(2,1/ISNUMBER(-MID(D890,1,{1,2,3,4,5})),{1,2,3,4,5})+1,9),'Hue codes'!$A$1:$B$10,2,FALSE)</f>
        <v>30</v>
      </c>
      <c r="C890">
        <f t="shared" si="27"/>
        <v>40</v>
      </c>
      <c r="D890" s="162" t="s">
        <v>36</v>
      </c>
      <c r="E890" s="162">
        <v>6</v>
      </c>
      <c r="F890" s="162">
        <v>4</v>
      </c>
      <c r="G890" s="164">
        <v>0.48220000000000002</v>
      </c>
      <c r="H890" s="164">
        <v>0.62139999999999995</v>
      </c>
      <c r="I890" s="164">
        <v>0.46760000000000002</v>
      </c>
      <c r="J890" s="2" t="str">
        <f>HYPERLINK(SetRGB(J890,G890*255,H890*255,I890*255),"HOVER!")</f>
        <v>HOVER!</v>
      </c>
      <c r="K890">
        <f t="shared" si="28"/>
        <v>1.5</v>
      </c>
    </row>
    <row r="891" spans="1:11" x14ac:dyDescent="0.3">
      <c r="A891">
        <f>LOOKUP(9E+307,--MID(D891,1,{1,2,3,4,5}))</f>
        <v>10</v>
      </c>
      <c r="B891">
        <f>VLOOKUP(MID(D891,LOOKUP(2,1/ISNUMBER(-MID(D891,1,{1,2,3,4,5})),{1,2,3,4,5})+1,9),'Hue codes'!$A$1:$B$10,2,FALSE)</f>
        <v>30</v>
      </c>
      <c r="C891">
        <f t="shared" si="27"/>
        <v>40</v>
      </c>
      <c r="D891" s="162" t="s">
        <v>36</v>
      </c>
      <c r="E891" s="162">
        <v>6</v>
      </c>
      <c r="F891" s="162">
        <v>6</v>
      </c>
      <c r="G891" s="164">
        <v>0.4289</v>
      </c>
      <c r="H891" s="164">
        <v>0.6361</v>
      </c>
      <c r="I891" s="164">
        <v>0.40899999999999997</v>
      </c>
      <c r="J891" s="2" t="str">
        <f>HYPERLINK(SetRGB(J891,G891*255,H891*255,I891*255),"HOVER!")</f>
        <v>HOVER!</v>
      </c>
      <c r="K891">
        <f t="shared" si="28"/>
        <v>1</v>
      </c>
    </row>
    <row r="892" spans="1:11" x14ac:dyDescent="0.3">
      <c r="A892">
        <f>LOOKUP(9E+307,--MID(D892,1,{1,2,3,4,5}))</f>
        <v>10</v>
      </c>
      <c r="B892">
        <f>VLOOKUP(MID(D892,LOOKUP(2,1/ISNUMBER(-MID(D892,1,{1,2,3,4,5})),{1,2,3,4,5})+1,9),'Hue codes'!$A$1:$B$10,2,FALSE)</f>
        <v>30</v>
      </c>
      <c r="C892">
        <f t="shared" si="27"/>
        <v>40</v>
      </c>
      <c r="D892" s="162" t="s">
        <v>36</v>
      </c>
      <c r="E892" s="162">
        <v>6</v>
      </c>
      <c r="F892" s="162">
        <v>8</v>
      </c>
      <c r="G892" s="164">
        <v>0.36499999999999999</v>
      </c>
      <c r="H892" s="164">
        <v>0.65010000000000001</v>
      </c>
      <c r="I892" s="164">
        <v>0.34560000000000002</v>
      </c>
      <c r="J892" s="2" t="str">
        <f>HYPERLINK(SetRGB(J892,G892*255,H892*255,I892*255),"HOVER!")</f>
        <v>HOVER!</v>
      </c>
      <c r="K892">
        <f t="shared" si="28"/>
        <v>0.75</v>
      </c>
    </row>
    <row r="893" spans="1:11" x14ac:dyDescent="0.3">
      <c r="A893">
        <f>LOOKUP(9E+307,--MID(D893,1,{1,2,3,4,5}))</f>
        <v>10</v>
      </c>
      <c r="B893">
        <f>VLOOKUP(MID(D893,LOOKUP(2,1/ISNUMBER(-MID(D893,1,{1,2,3,4,5})),{1,2,3,4,5})+1,9),'Hue codes'!$A$1:$B$10,2,FALSE)</f>
        <v>30</v>
      </c>
      <c r="C893">
        <f t="shared" si="27"/>
        <v>40</v>
      </c>
      <c r="D893" s="162" t="s">
        <v>36</v>
      </c>
      <c r="E893" s="162">
        <v>6</v>
      </c>
      <c r="F893" s="162">
        <v>10</v>
      </c>
      <c r="G893" s="164">
        <v>0.2898</v>
      </c>
      <c r="H893" s="164">
        <v>0.66249999999999998</v>
      </c>
      <c r="I893" s="164">
        <v>0.28100000000000003</v>
      </c>
      <c r="J893" s="2" t="str">
        <f>HYPERLINK(SetRGB(J893,G893*255,H893*255,I893*255),"HOVER!")</f>
        <v>HOVER!</v>
      </c>
      <c r="K893">
        <f t="shared" si="28"/>
        <v>0.6</v>
      </c>
    </row>
    <row r="894" spans="1:11" x14ac:dyDescent="0.3">
      <c r="A894">
        <f>LOOKUP(9E+307,--MID(D894,1,{1,2,3,4,5}))</f>
        <v>10</v>
      </c>
      <c r="B894">
        <f>VLOOKUP(MID(D894,LOOKUP(2,1/ISNUMBER(-MID(D894,1,{1,2,3,4,5})),{1,2,3,4,5})+1,9),'Hue codes'!$A$1:$B$10,2,FALSE)</f>
        <v>30</v>
      </c>
      <c r="C894">
        <f t="shared" si="27"/>
        <v>40</v>
      </c>
      <c r="D894" s="162" t="s">
        <v>36</v>
      </c>
      <c r="E894" s="162">
        <v>6</v>
      </c>
      <c r="F894" s="162">
        <v>12</v>
      </c>
      <c r="G894" s="164">
        <v>0.18060000000000001</v>
      </c>
      <c r="H894" s="164">
        <v>0.67410000000000003</v>
      </c>
      <c r="I894" s="164">
        <v>0.2049</v>
      </c>
      <c r="J894" s="1" t="str">
        <f>HYPERLINK(SetRGB(J894,G894*255,H894*255,I894*255),"HOVER!")</f>
        <v>HOVER!</v>
      </c>
      <c r="K894">
        <f t="shared" si="28"/>
        <v>0.5</v>
      </c>
    </row>
    <row r="895" spans="1:11" x14ac:dyDescent="0.3">
      <c r="A895">
        <f>LOOKUP(9E+307,--MID(D895,1,{1,2,3,4,5}))</f>
        <v>2.5</v>
      </c>
      <c r="B895">
        <f>VLOOKUP(MID(D895,LOOKUP(2,1/ISNUMBER(-MID(D895,1,{1,2,3,4,5})),{1,2,3,4,5})+1,9),'Hue codes'!$A$1:$B$10,2,FALSE)</f>
        <v>40</v>
      </c>
      <c r="C895">
        <f t="shared" si="27"/>
        <v>42.5</v>
      </c>
      <c r="D895" s="162" t="s">
        <v>37</v>
      </c>
      <c r="E895" s="162">
        <v>6</v>
      </c>
      <c r="F895" s="162">
        <v>2</v>
      </c>
      <c r="G895" s="164">
        <v>0.51639999999999997</v>
      </c>
      <c r="H895" s="164">
        <v>0.60729999999999995</v>
      </c>
      <c r="I895" s="164">
        <v>0.53969999999999996</v>
      </c>
      <c r="J895" s="2" t="str">
        <f>HYPERLINK(SetRGB(J895,G895*255,H895*255,I895*255),"HOVER!")</f>
        <v>HOVER!</v>
      </c>
      <c r="K895">
        <f t="shared" si="28"/>
        <v>3</v>
      </c>
    </row>
    <row r="896" spans="1:11" x14ac:dyDescent="0.3">
      <c r="A896">
        <f>LOOKUP(9E+307,--MID(D896,1,{1,2,3,4,5}))</f>
        <v>2.5</v>
      </c>
      <c r="B896">
        <f>VLOOKUP(MID(D896,LOOKUP(2,1/ISNUMBER(-MID(D896,1,{1,2,3,4,5})),{1,2,3,4,5})+1,9),'Hue codes'!$A$1:$B$10,2,FALSE)</f>
        <v>40</v>
      </c>
      <c r="C896">
        <f t="shared" si="27"/>
        <v>42.5</v>
      </c>
      <c r="D896" s="162" t="s">
        <v>37</v>
      </c>
      <c r="E896" s="162">
        <v>6</v>
      </c>
      <c r="F896" s="162">
        <v>4</v>
      </c>
      <c r="G896" s="164">
        <v>0.44719999999999999</v>
      </c>
      <c r="H896" s="164">
        <v>0.62590000000000001</v>
      </c>
      <c r="I896" s="164">
        <v>0.50160000000000005</v>
      </c>
      <c r="J896" s="2" t="str">
        <f>HYPERLINK(SetRGB(J896,G896*255,H896*255,I896*255),"HOVER!")</f>
        <v>HOVER!</v>
      </c>
      <c r="K896">
        <f t="shared" si="28"/>
        <v>1.5</v>
      </c>
    </row>
    <row r="897" spans="1:11" x14ac:dyDescent="0.3">
      <c r="A897">
        <f>LOOKUP(9E+307,--MID(D897,1,{1,2,3,4,5}))</f>
        <v>2.5</v>
      </c>
      <c r="B897">
        <f>VLOOKUP(MID(D897,LOOKUP(2,1/ISNUMBER(-MID(D897,1,{1,2,3,4,5})),{1,2,3,4,5})+1,9),'Hue codes'!$A$1:$B$10,2,FALSE)</f>
        <v>40</v>
      </c>
      <c r="C897">
        <f t="shared" si="27"/>
        <v>42.5</v>
      </c>
      <c r="D897" s="162" t="s">
        <v>37</v>
      </c>
      <c r="E897" s="162">
        <v>6</v>
      </c>
      <c r="F897" s="162">
        <v>6</v>
      </c>
      <c r="G897" s="164">
        <v>0.37059999999999998</v>
      </c>
      <c r="H897" s="164">
        <v>0.6421</v>
      </c>
      <c r="I897" s="164">
        <v>0.46389999999999998</v>
      </c>
      <c r="J897" s="2" t="str">
        <f>HYPERLINK(SetRGB(J897,G897*255,H897*255,I897*255),"HOVER!")</f>
        <v>HOVER!</v>
      </c>
      <c r="K897">
        <f t="shared" si="28"/>
        <v>1</v>
      </c>
    </row>
    <row r="898" spans="1:11" x14ac:dyDescent="0.3">
      <c r="A898">
        <f>LOOKUP(9E+307,--MID(D898,1,{1,2,3,4,5}))</f>
        <v>2.5</v>
      </c>
      <c r="B898">
        <f>VLOOKUP(MID(D898,LOOKUP(2,1/ISNUMBER(-MID(D898,1,{1,2,3,4,5})),{1,2,3,4,5})+1,9),'Hue codes'!$A$1:$B$10,2,FALSE)</f>
        <v>40</v>
      </c>
      <c r="C898">
        <f t="shared" si="27"/>
        <v>42.5</v>
      </c>
      <c r="D898" s="162" t="s">
        <v>37</v>
      </c>
      <c r="E898" s="162">
        <v>6</v>
      </c>
      <c r="F898" s="162">
        <v>8</v>
      </c>
      <c r="G898" s="164">
        <v>0.27039999999999997</v>
      </c>
      <c r="H898" s="164">
        <v>0.65710000000000002</v>
      </c>
      <c r="I898" s="164">
        <v>0.42780000000000001</v>
      </c>
      <c r="J898" s="2" t="str">
        <f>HYPERLINK(SetRGB(J898,G898*255,H898*255,I898*255),"HOVER!")</f>
        <v>HOVER!</v>
      </c>
      <c r="K898">
        <f t="shared" si="28"/>
        <v>0.75</v>
      </c>
    </row>
    <row r="899" spans="1:11" x14ac:dyDescent="0.3">
      <c r="A899">
        <f>LOOKUP(9E+307,--MID(D899,1,{1,2,3,4,5}))</f>
        <v>2.5</v>
      </c>
      <c r="B899">
        <f>VLOOKUP(MID(D899,LOOKUP(2,1/ISNUMBER(-MID(D899,1,{1,2,3,4,5})),{1,2,3,4,5})+1,9),'Hue codes'!$A$1:$B$10,2,FALSE)</f>
        <v>40</v>
      </c>
      <c r="C899">
        <f t="shared" ref="C899:C962" si="29">IF(A899+B899=100,0,A899+B899)</f>
        <v>42.5</v>
      </c>
      <c r="D899" s="162" t="s">
        <v>37</v>
      </c>
      <c r="E899" s="162">
        <v>6</v>
      </c>
      <c r="F899" s="162">
        <v>10</v>
      </c>
      <c r="G899" s="164">
        <v>7.9600000000000004E-2</v>
      </c>
      <c r="H899" s="164">
        <v>0.67110000000000003</v>
      </c>
      <c r="I899" s="164">
        <v>0.39169999999999999</v>
      </c>
      <c r="J899" s="1" t="str">
        <f>HYPERLINK(SetRGB(J899,G899*255,H899*255,I899*255),"HOVER!")</f>
        <v>HOVER!</v>
      </c>
      <c r="K899">
        <f t="shared" si="28"/>
        <v>0.6</v>
      </c>
    </row>
    <row r="900" spans="1:11" x14ac:dyDescent="0.3">
      <c r="A900">
        <f>LOOKUP(9E+307,--MID(D900,1,{1,2,3,4,5}))</f>
        <v>5</v>
      </c>
      <c r="B900">
        <f>VLOOKUP(MID(D900,LOOKUP(2,1/ISNUMBER(-MID(D900,1,{1,2,3,4,5})),{1,2,3,4,5})+1,9),'Hue codes'!$A$1:$B$10,2,FALSE)</f>
        <v>40</v>
      </c>
      <c r="C900">
        <f t="shared" si="29"/>
        <v>45</v>
      </c>
      <c r="D900" s="162" t="s">
        <v>38</v>
      </c>
      <c r="E900" s="162">
        <v>6</v>
      </c>
      <c r="F900" s="162">
        <v>2</v>
      </c>
      <c r="G900" s="164">
        <v>0.50829999999999997</v>
      </c>
      <c r="H900" s="164">
        <v>0.60799999999999998</v>
      </c>
      <c r="I900" s="164">
        <v>0.55330000000000001</v>
      </c>
      <c r="J900" s="2" t="str">
        <f>HYPERLINK(SetRGB(J900,G900*255,H900*255,I900*255),"HOVER!")</f>
        <v>HOVER!</v>
      </c>
      <c r="K900">
        <f t="shared" si="28"/>
        <v>3</v>
      </c>
    </row>
    <row r="901" spans="1:11" x14ac:dyDescent="0.3">
      <c r="A901">
        <f>LOOKUP(9E+307,--MID(D901,1,{1,2,3,4,5}))</f>
        <v>5</v>
      </c>
      <c r="B901">
        <f>VLOOKUP(MID(D901,LOOKUP(2,1/ISNUMBER(-MID(D901,1,{1,2,3,4,5})),{1,2,3,4,5})+1,9),'Hue codes'!$A$1:$B$10,2,FALSE)</f>
        <v>40</v>
      </c>
      <c r="C901">
        <f t="shared" si="29"/>
        <v>45</v>
      </c>
      <c r="D901" s="162" t="s">
        <v>38</v>
      </c>
      <c r="E901" s="162">
        <v>6</v>
      </c>
      <c r="F901" s="162">
        <v>4</v>
      </c>
      <c r="G901" s="164">
        <v>0.4254</v>
      </c>
      <c r="H901" s="164">
        <v>0.628</v>
      </c>
      <c r="I901" s="164">
        <v>0.52610000000000001</v>
      </c>
      <c r="J901" s="2" t="str">
        <f>HYPERLINK(SetRGB(J901,G901*255,H901*255,I901*255),"HOVER!")</f>
        <v>HOVER!</v>
      </c>
      <c r="K901">
        <f t="shared" si="28"/>
        <v>1.5</v>
      </c>
    </row>
    <row r="902" spans="1:11" x14ac:dyDescent="0.3">
      <c r="A902">
        <f>LOOKUP(9E+307,--MID(D902,1,{1,2,3,4,5}))</f>
        <v>5</v>
      </c>
      <c r="B902">
        <f>VLOOKUP(MID(D902,LOOKUP(2,1/ISNUMBER(-MID(D902,1,{1,2,3,4,5})),{1,2,3,4,5})+1,9),'Hue codes'!$A$1:$B$10,2,FALSE)</f>
        <v>40</v>
      </c>
      <c r="C902">
        <f t="shared" si="29"/>
        <v>45</v>
      </c>
      <c r="D902" s="162" t="s">
        <v>38</v>
      </c>
      <c r="E902" s="162">
        <v>6</v>
      </c>
      <c r="F902" s="162">
        <v>6</v>
      </c>
      <c r="G902" s="164">
        <v>0.33229999999999998</v>
      </c>
      <c r="H902" s="164">
        <v>0.64459999999999995</v>
      </c>
      <c r="I902" s="164">
        <v>0.50260000000000005</v>
      </c>
      <c r="J902" s="2" t="str">
        <f>HYPERLINK(SetRGB(J902,G902*255,H902*255,I902*255),"HOVER!")</f>
        <v>HOVER!</v>
      </c>
      <c r="K902">
        <f t="shared" si="28"/>
        <v>1</v>
      </c>
    </row>
    <row r="903" spans="1:11" x14ac:dyDescent="0.3">
      <c r="A903">
        <f>LOOKUP(9E+307,--MID(D903,1,{1,2,3,4,5}))</f>
        <v>5</v>
      </c>
      <c r="B903">
        <f>VLOOKUP(MID(D903,LOOKUP(2,1/ISNUMBER(-MID(D903,1,{1,2,3,4,5})),{1,2,3,4,5})+1,9),'Hue codes'!$A$1:$B$10,2,FALSE)</f>
        <v>40</v>
      </c>
      <c r="C903">
        <f t="shared" si="29"/>
        <v>45</v>
      </c>
      <c r="D903" s="162" t="s">
        <v>38</v>
      </c>
      <c r="E903" s="162">
        <v>6</v>
      </c>
      <c r="F903" s="162">
        <v>8</v>
      </c>
      <c r="G903" s="164">
        <v>0.19389999999999999</v>
      </c>
      <c r="H903" s="164">
        <v>0.65980000000000005</v>
      </c>
      <c r="I903" s="164">
        <v>0.48209999999999997</v>
      </c>
      <c r="J903" s="1" t="str">
        <f>HYPERLINK(SetRGB(J903,G903*255,H903*255,I903*255),"HOVER!")</f>
        <v>HOVER!</v>
      </c>
      <c r="K903">
        <f t="shared" si="28"/>
        <v>0.75</v>
      </c>
    </row>
    <row r="904" spans="1:11" x14ac:dyDescent="0.3">
      <c r="A904">
        <f>LOOKUP(9E+307,--MID(D904,1,{1,2,3,4,5}))</f>
        <v>7.5</v>
      </c>
      <c r="B904">
        <f>VLOOKUP(MID(D904,LOOKUP(2,1/ISNUMBER(-MID(D904,1,{1,2,3,4,5})),{1,2,3,4,5})+1,9),'Hue codes'!$A$1:$B$10,2,FALSE)</f>
        <v>40</v>
      </c>
      <c r="C904">
        <f t="shared" si="29"/>
        <v>47.5</v>
      </c>
      <c r="D904" s="162" t="s">
        <v>39</v>
      </c>
      <c r="E904" s="162">
        <v>6</v>
      </c>
      <c r="F904" s="162">
        <v>2</v>
      </c>
      <c r="G904" s="164">
        <v>0.50429999999999997</v>
      </c>
      <c r="H904" s="164">
        <v>0.60799999999999998</v>
      </c>
      <c r="I904" s="164">
        <v>0.56230000000000002</v>
      </c>
      <c r="J904" s="2" t="str">
        <f>HYPERLINK(SetRGB(J904,G904*255,H904*255,I904*255),"HOVER!")</f>
        <v>HOVER!</v>
      </c>
      <c r="K904">
        <f t="shared" si="28"/>
        <v>3</v>
      </c>
    </row>
    <row r="905" spans="1:11" x14ac:dyDescent="0.3">
      <c r="A905">
        <f>LOOKUP(9E+307,--MID(D905,1,{1,2,3,4,5}))</f>
        <v>7.5</v>
      </c>
      <c r="B905">
        <f>VLOOKUP(MID(D905,LOOKUP(2,1/ISNUMBER(-MID(D905,1,{1,2,3,4,5})),{1,2,3,4,5})+1,9),'Hue codes'!$A$1:$B$10,2,FALSE)</f>
        <v>40</v>
      </c>
      <c r="C905">
        <f t="shared" si="29"/>
        <v>47.5</v>
      </c>
      <c r="D905" s="162" t="s">
        <v>39</v>
      </c>
      <c r="E905" s="162">
        <v>6</v>
      </c>
      <c r="F905" s="162">
        <v>4</v>
      </c>
      <c r="G905" s="164">
        <v>0.41270000000000001</v>
      </c>
      <c r="H905" s="164">
        <v>0.62870000000000004</v>
      </c>
      <c r="I905" s="164">
        <v>0.54310000000000003</v>
      </c>
      <c r="J905" s="2" t="str">
        <f>HYPERLINK(SetRGB(J905,G905*255,H905*255,I905*255),"HOVER!")</f>
        <v>HOVER!</v>
      </c>
      <c r="K905">
        <f t="shared" si="28"/>
        <v>1.5</v>
      </c>
    </row>
    <row r="906" spans="1:11" x14ac:dyDescent="0.3">
      <c r="A906">
        <f>LOOKUP(9E+307,--MID(D906,1,{1,2,3,4,5}))</f>
        <v>7.5</v>
      </c>
      <c r="B906">
        <f>VLOOKUP(MID(D906,LOOKUP(2,1/ISNUMBER(-MID(D906,1,{1,2,3,4,5})),{1,2,3,4,5})+1,9),'Hue codes'!$A$1:$B$10,2,FALSE)</f>
        <v>40</v>
      </c>
      <c r="C906">
        <f t="shared" si="29"/>
        <v>47.5</v>
      </c>
      <c r="D906" s="162" t="s">
        <v>39</v>
      </c>
      <c r="E906" s="162">
        <v>6</v>
      </c>
      <c r="F906" s="162">
        <v>6</v>
      </c>
      <c r="G906" s="164">
        <v>0.30959999999999999</v>
      </c>
      <c r="H906" s="164">
        <v>0.6452</v>
      </c>
      <c r="I906" s="164">
        <v>0.5292</v>
      </c>
      <c r="J906" s="2" t="str">
        <f>HYPERLINK(SetRGB(J906,G906*255,H906*255,I906*255),"HOVER!")</f>
        <v>HOVER!</v>
      </c>
      <c r="K906">
        <f t="shared" si="28"/>
        <v>1</v>
      </c>
    </row>
    <row r="907" spans="1:11" x14ac:dyDescent="0.3">
      <c r="A907">
        <f>LOOKUP(9E+307,--MID(D907,1,{1,2,3,4,5}))</f>
        <v>7.5</v>
      </c>
      <c r="B907">
        <f>VLOOKUP(MID(D907,LOOKUP(2,1/ISNUMBER(-MID(D907,1,{1,2,3,4,5})),{1,2,3,4,5})+1,9),'Hue codes'!$A$1:$B$10,2,FALSE)</f>
        <v>40</v>
      </c>
      <c r="C907">
        <f t="shared" si="29"/>
        <v>47.5</v>
      </c>
      <c r="D907" s="162" t="s">
        <v>39</v>
      </c>
      <c r="E907" s="162">
        <v>6</v>
      </c>
      <c r="F907" s="162">
        <v>8</v>
      </c>
      <c r="G907" s="164">
        <v>0.13619999999999999</v>
      </c>
      <c r="H907" s="164">
        <v>0.66059999999999997</v>
      </c>
      <c r="I907" s="164">
        <v>0.51529999999999998</v>
      </c>
      <c r="J907" s="1" t="str">
        <f>HYPERLINK(SetRGB(J907,G907*255,H907*255,I907*255),"HOVER!")</f>
        <v>HOVER!</v>
      </c>
      <c r="K907">
        <f t="shared" si="28"/>
        <v>0.75</v>
      </c>
    </row>
    <row r="908" spans="1:11" x14ac:dyDescent="0.3">
      <c r="A908">
        <f>LOOKUP(9E+307,--MID(D908,1,{1,2,3,4,5}))</f>
        <v>10</v>
      </c>
      <c r="B908">
        <f>VLOOKUP(MID(D908,LOOKUP(2,1/ISNUMBER(-MID(D908,1,{1,2,3,4,5})),{1,2,3,4,5})+1,9),'Hue codes'!$A$1:$B$10,2,FALSE)</f>
        <v>40</v>
      </c>
      <c r="C908">
        <f t="shared" si="29"/>
        <v>50</v>
      </c>
      <c r="D908" s="162" t="s">
        <v>40</v>
      </c>
      <c r="E908" s="162">
        <v>6</v>
      </c>
      <c r="F908" s="162">
        <v>2</v>
      </c>
      <c r="G908" s="164">
        <v>0.501</v>
      </c>
      <c r="H908" s="164">
        <v>0.6079</v>
      </c>
      <c r="I908" s="164">
        <v>0.57169999999999999</v>
      </c>
      <c r="J908" s="2" t="str">
        <f>HYPERLINK(SetRGB(J908,G908*255,H908*255,I908*255),"HOVER!")</f>
        <v>HOVER!</v>
      </c>
      <c r="K908">
        <f t="shared" si="28"/>
        <v>3</v>
      </c>
    </row>
    <row r="909" spans="1:11" x14ac:dyDescent="0.3">
      <c r="A909">
        <f>LOOKUP(9E+307,--MID(D909,1,{1,2,3,4,5}))</f>
        <v>10</v>
      </c>
      <c r="B909">
        <f>VLOOKUP(MID(D909,LOOKUP(2,1/ISNUMBER(-MID(D909,1,{1,2,3,4,5})),{1,2,3,4,5})+1,9),'Hue codes'!$A$1:$B$10,2,FALSE)</f>
        <v>40</v>
      </c>
      <c r="C909">
        <f t="shared" si="29"/>
        <v>50</v>
      </c>
      <c r="D909" s="162" t="s">
        <v>40</v>
      </c>
      <c r="E909" s="162">
        <v>6</v>
      </c>
      <c r="F909" s="162">
        <v>4</v>
      </c>
      <c r="G909" s="164">
        <v>0.40139999999999998</v>
      </c>
      <c r="H909" s="164">
        <v>0.629</v>
      </c>
      <c r="I909" s="164">
        <v>0.56089999999999995</v>
      </c>
      <c r="J909" s="9" t="str">
        <f>HYPERLINK(SetRGB(J909,G909*255,H909*255,I909*255),"HOVER!")</f>
        <v>HOVER!</v>
      </c>
      <c r="K909">
        <f t="shared" si="28"/>
        <v>1.5</v>
      </c>
    </row>
    <row r="910" spans="1:11" x14ac:dyDescent="0.3">
      <c r="A910">
        <f>LOOKUP(9E+307,--MID(D910,1,{1,2,3,4,5}))</f>
        <v>10</v>
      </c>
      <c r="B910">
        <f>VLOOKUP(MID(D910,LOOKUP(2,1/ISNUMBER(-MID(D910,1,{1,2,3,4,5})),{1,2,3,4,5})+1,9),'Hue codes'!$A$1:$B$10,2,FALSE)</f>
        <v>40</v>
      </c>
      <c r="C910">
        <f t="shared" si="29"/>
        <v>50</v>
      </c>
      <c r="D910" s="162" t="s">
        <v>40</v>
      </c>
      <c r="E910" s="162">
        <v>6</v>
      </c>
      <c r="F910" s="162">
        <v>6</v>
      </c>
      <c r="G910" s="164">
        <v>0.29099999999999998</v>
      </c>
      <c r="H910" s="164">
        <v>0.64529999999999998</v>
      </c>
      <c r="I910" s="164">
        <v>0.55330000000000001</v>
      </c>
      <c r="J910" s="10" t="str">
        <f>HYPERLINK(SetRGB(J910,G910*255,H910*255,I910*255),"HOVER!")</f>
        <v>HOVER!</v>
      </c>
      <c r="K910">
        <f t="shared" si="28"/>
        <v>1</v>
      </c>
    </row>
    <row r="911" spans="1:11" x14ac:dyDescent="0.3">
      <c r="A911">
        <f>LOOKUP(9E+307,--MID(D911,1,{1,2,3,4,5}))</f>
        <v>10</v>
      </c>
      <c r="B911">
        <f>VLOOKUP(MID(D911,LOOKUP(2,1/ISNUMBER(-MID(D911,1,{1,2,3,4,5})),{1,2,3,4,5})+1,9),'Hue codes'!$A$1:$B$10,2,FALSE)</f>
        <v>40</v>
      </c>
      <c r="C911">
        <f t="shared" si="29"/>
        <v>50</v>
      </c>
      <c r="D911" s="162" t="s">
        <v>40</v>
      </c>
      <c r="E911" s="162">
        <v>6</v>
      </c>
      <c r="F911" s="162">
        <v>8</v>
      </c>
      <c r="G911" s="164">
        <v>4.3099999999999999E-2</v>
      </c>
      <c r="H911" s="164">
        <v>0.66110000000000002</v>
      </c>
      <c r="I911" s="164">
        <v>0.54590000000000005</v>
      </c>
      <c r="J911" s="224" t="str">
        <f>HYPERLINK(SetRGB(J911,G911*255,H911*255,I911*255),"HOVER!")</f>
        <v>HOVER!</v>
      </c>
      <c r="K911">
        <f t="shared" si="28"/>
        <v>0.75</v>
      </c>
    </row>
    <row r="912" spans="1:11" x14ac:dyDescent="0.3">
      <c r="A912">
        <f>LOOKUP(9E+307,--MID(D912,1,{1,2,3,4,5}))</f>
        <v>2.5</v>
      </c>
      <c r="B912">
        <f>VLOOKUP(MID(D912,LOOKUP(2,1/ISNUMBER(-MID(D912,1,{1,2,3,4,5})),{1,2,3,4,5})+1,9),'Hue codes'!$A$1:$B$10,2,FALSE)</f>
        <v>50</v>
      </c>
      <c r="C912">
        <f t="shared" si="29"/>
        <v>52.5</v>
      </c>
      <c r="D912" s="162" t="s">
        <v>41</v>
      </c>
      <c r="E912" s="162">
        <v>6</v>
      </c>
      <c r="F912" s="162">
        <v>2</v>
      </c>
      <c r="G912" s="164">
        <v>0.49730000000000002</v>
      </c>
      <c r="H912" s="164">
        <v>0.6079</v>
      </c>
      <c r="I912" s="164">
        <v>0.57999999999999996</v>
      </c>
      <c r="J912" s="2" t="str">
        <f>HYPERLINK(SetRGB(J912,G912*255,H912*255,I912*255),"HOVER!")</f>
        <v>HOVER!</v>
      </c>
      <c r="K912">
        <f t="shared" si="28"/>
        <v>3</v>
      </c>
    </row>
    <row r="913" spans="1:11" x14ac:dyDescent="0.3">
      <c r="A913">
        <f>LOOKUP(9E+307,--MID(D913,1,{1,2,3,4,5}))</f>
        <v>2.5</v>
      </c>
      <c r="B913">
        <f>VLOOKUP(MID(D913,LOOKUP(2,1/ISNUMBER(-MID(D913,1,{1,2,3,4,5})),{1,2,3,4,5})+1,9),'Hue codes'!$A$1:$B$10,2,FALSE)</f>
        <v>50</v>
      </c>
      <c r="C913">
        <f t="shared" si="29"/>
        <v>52.5</v>
      </c>
      <c r="D913" s="162" t="s">
        <v>41</v>
      </c>
      <c r="E913" s="162">
        <v>6</v>
      </c>
      <c r="F913" s="162">
        <v>4</v>
      </c>
      <c r="G913" s="164">
        <v>0.39360000000000001</v>
      </c>
      <c r="H913" s="164">
        <v>0.62880000000000003</v>
      </c>
      <c r="I913" s="164">
        <v>0.57709999999999995</v>
      </c>
      <c r="J913" s="2" t="str">
        <f>HYPERLINK(SetRGB(J913,G913*255,H913*255,I913*255),"HOVER!")</f>
        <v>HOVER!</v>
      </c>
      <c r="K913">
        <f t="shared" si="28"/>
        <v>1.5</v>
      </c>
    </row>
    <row r="914" spans="1:11" x14ac:dyDescent="0.3">
      <c r="A914">
        <f>LOOKUP(9E+307,--MID(D914,1,{1,2,3,4,5}))</f>
        <v>2.5</v>
      </c>
      <c r="B914">
        <f>VLOOKUP(MID(D914,LOOKUP(2,1/ISNUMBER(-MID(D914,1,{1,2,3,4,5})),{1,2,3,4,5})+1,9),'Hue codes'!$A$1:$B$10,2,FALSE)</f>
        <v>50</v>
      </c>
      <c r="C914">
        <f t="shared" si="29"/>
        <v>52.5</v>
      </c>
      <c r="D914" s="162" t="s">
        <v>41</v>
      </c>
      <c r="E914" s="162">
        <v>6</v>
      </c>
      <c r="F914" s="162">
        <v>6</v>
      </c>
      <c r="G914" s="164">
        <v>0.27279999999999999</v>
      </c>
      <c r="H914" s="164">
        <v>0.64510000000000001</v>
      </c>
      <c r="I914" s="164">
        <v>0.57640000000000002</v>
      </c>
      <c r="J914" s="2" t="str">
        <f>HYPERLINK(SetRGB(J914,G914*255,H914*255,I914*255),"HOVER!")</f>
        <v>HOVER!</v>
      </c>
      <c r="K914">
        <f t="shared" si="28"/>
        <v>1</v>
      </c>
    </row>
    <row r="915" spans="1:11" x14ac:dyDescent="0.3">
      <c r="A915">
        <f>LOOKUP(9E+307,--MID(D915,1,{1,2,3,4,5}))</f>
        <v>5</v>
      </c>
      <c r="B915">
        <f>VLOOKUP(MID(D915,LOOKUP(2,1/ISNUMBER(-MID(D915,1,{1,2,3,4,5})),{1,2,3,4,5})+1,9),'Hue codes'!$A$1:$B$10,2,FALSE)</f>
        <v>50</v>
      </c>
      <c r="C915">
        <f t="shared" si="29"/>
        <v>55</v>
      </c>
      <c r="D915" s="162" t="s">
        <v>42</v>
      </c>
      <c r="E915" s="162">
        <v>6</v>
      </c>
      <c r="F915" s="162">
        <v>2</v>
      </c>
      <c r="G915" s="164">
        <v>0.49490000000000001</v>
      </c>
      <c r="H915" s="164">
        <v>0.60729999999999995</v>
      </c>
      <c r="I915" s="164">
        <v>0.59099999999999997</v>
      </c>
      <c r="J915" s="2" t="str">
        <f>HYPERLINK(SetRGB(J915,G915*255,H915*255,I915*255),"HOVER!")</f>
        <v>HOVER!</v>
      </c>
      <c r="K915">
        <f t="shared" si="28"/>
        <v>3</v>
      </c>
    </row>
    <row r="916" spans="1:11" x14ac:dyDescent="0.3">
      <c r="A916">
        <f>LOOKUP(9E+307,--MID(D916,1,{1,2,3,4,5}))</f>
        <v>5</v>
      </c>
      <c r="B916">
        <f>VLOOKUP(MID(D916,LOOKUP(2,1/ISNUMBER(-MID(D916,1,{1,2,3,4,5})),{1,2,3,4,5})+1,9),'Hue codes'!$A$1:$B$10,2,FALSE)</f>
        <v>50</v>
      </c>
      <c r="C916">
        <f t="shared" si="29"/>
        <v>55</v>
      </c>
      <c r="D916" s="162" t="s">
        <v>42</v>
      </c>
      <c r="E916" s="162">
        <v>6</v>
      </c>
      <c r="F916" s="162">
        <v>4</v>
      </c>
      <c r="G916" s="164">
        <v>0.38850000000000001</v>
      </c>
      <c r="H916" s="164">
        <v>0.62729999999999997</v>
      </c>
      <c r="I916" s="164">
        <v>0.5998</v>
      </c>
      <c r="J916" s="2" t="str">
        <f>HYPERLINK(SetRGB(J916,G916*255,H916*255,I916*255),"HOVER!")</f>
        <v>HOVER!</v>
      </c>
      <c r="K916">
        <f t="shared" si="28"/>
        <v>1.5</v>
      </c>
    </row>
    <row r="917" spans="1:11" x14ac:dyDescent="0.3">
      <c r="A917">
        <f>LOOKUP(9E+307,--MID(D917,1,{1,2,3,4,5}))</f>
        <v>5</v>
      </c>
      <c r="B917">
        <f>VLOOKUP(MID(D917,LOOKUP(2,1/ISNUMBER(-MID(D917,1,{1,2,3,4,5})),{1,2,3,4,5})+1,9),'Hue codes'!$A$1:$B$10,2,FALSE)</f>
        <v>50</v>
      </c>
      <c r="C917">
        <f t="shared" si="29"/>
        <v>55</v>
      </c>
      <c r="D917" s="162" t="s">
        <v>42</v>
      </c>
      <c r="E917" s="162">
        <v>6</v>
      </c>
      <c r="F917" s="162">
        <v>6</v>
      </c>
      <c r="G917" s="164">
        <v>0.24859999999999999</v>
      </c>
      <c r="H917" s="164">
        <v>0.64419999999999999</v>
      </c>
      <c r="I917" s="164">
        <v>0.60970000000000002</v>
      </c>
      <c r="J917" s="2" t="str">
        <f>HYPERLINK(SetRGB(J917,G917*255,H917*255,I917*255),"HOVER!")</f>
        <v>HOVER!</v>
      </c>
      <c r="K917">
        <f t="shared" si="28"/>
        <v>1</v>
      </c>
    </row>
    <row r="918" spans="1:11" x14ac:dyDescent="0.3">
      <c r="A918">
        <f>LOOKUP(9E+307,--MID(D918,1,{1,2,3,4,5}))</f>
        <v>7.5</v>
      </c>
      <c r="B918">
        <f>VLOOKUP(MID(D918,LOOKUP(2,1/ISNUMBER(-MID(D918,1,{1,2,3,4,5})),{1,2,3,4,5})+1,9),'Hue codes'!$A$1:$B$10,2,FALSE)</f>
        <v>50</v>
      </c>
      <c r="C918">
        <f t="shared" si="29"/>
        <v>57.5</v>
      </c>
      <c r="D918" s="162" t="s">
        <v>43</v>
      </c>
      <c r="E918" s="162">
        <v>6</v>
      </c>
      <c r="F918" s="162">
        <v>2</v>
      </c>
      <c r="G918" s="164">
        <v>0.49480000000000002</v>
      </c>
      <c r="H918" s="164">
        <v>0.60619999999999996</v>
      </c>
      <c r="I918" s="164">
        <v>0.60129999999999995</v>
      </c>
      <c r="J918" s="2" t="str">
        <f>HYPERLINK(SetRGB(J918,G918*255,H918*255,I918*255),"HOVER!")</f>
        <v>HOVER!</v>
      </c>
      <c r="K918">
        <f t="shared" si="28"/>
        <v>3</v>
      </c>
    </row>
    <row r="919" spans="1:11" x14ac:dyDescent="0.3">
      <c r="A919">
        <f>LOOKUP(9E+307,--MID(D919,1,{1,2,3,4,5}))</f>
        <v>7.5</v>
      </c>
      <c r="B919">
        <f>VLOOKUP(MID(D919,LOOKUP(2,1/ISNUMBER(-MID(D919,1,{1,2,3,4,5})),{1,2,3,4,5})+1,9),'Hue codes'!$A$1:$B$10,2,FALSE)</f>
        <v>50</v>
      </c>
      <c r="C919">
        <f t="shared" si="29"/>
        <v>57.5</v>
      </c>
      <c r="D919" s="162" t="s">
        <v>43</v>
      </c>
      <c r="E919" s="162">
        <v>6</v>
      </c>
      <c r="F919" s="162">
        <v>4</v>
      </c>
      <c r="G919" s="164">
        <v>0.38529999999999998</v>
      </c>
      <c r="H919" s="164">
        <v>0.62580000000000002</v>
      </c>
      <c r="I919" s="164">
        <v>0.61960000000000004</v>
      </c>
      <c r="J919" s="2" t="str">
        <f>HYPERLINK(SetRGB(J919,G919*255,H919*255,I919*255),"HOVER!")</f>
        <v>HOVER!</v>
      </c>
      <c r="K919">
        <f t="shared" si="28"/>
        <v>1.5</v>
      </c>
    </row>
    <row r="920" spans="1:11" x14ac:dyDescent="0.3">
      <c r="A920">
        <f>LOOKUP(9E+307,--MID(D920,1,{1,2,3,4,5}))</f>
        <v>7.5</v>
      </c>
      <c r="B920">
        <f>VLOOKUP(MID(D920,LOOKUP(2,1/ISNUMBER(-MID(D920,1,{1,2,3,4,5})),{1,2,3,4,5})+1,9),'Hue codes'!$A$1:$B$10,2,FALSE)</f>
        <v>50</v>
      </c>
      <c r="C920">
        <f t="shared" si="29"/>
        <v>57.5</v>
      </c>
      <c r="D920" s="162" t="s">
        <v>43</v>
      </c>
      <c r="E920" s="162">
        <v>6</v>
      </c>
      <c r="F920" s="162">
        <v>6</v>
      </c>
      <c r="G920" s="164">
        <v>0.23860000000000001</v>
      </c>
      <c r="H920" s="164">
        <v>0.64219999999999999</v>
      </c>
      <c r="I920" s="164">
        <v>0.63759999999999994</v>
      </c>
      <c r="J920" s="2" t="str">
        <f>HYPERLINK(SetRGB(J920,G920*255,H920*255,I920*255),"HOVER!")</f>
        <v>HOVER!</v>
      </c>
      <c r="K920">
        <f t="shared" si="28"/>
        <v>1</v>
      </c>
    </row>
    <row r="921" spans="1:11" x14ac:dyDescent="0.3">
      <c r="A921">
        <f>LOOKUP(9E+307,--MID(D921,1,{1,2,3,4,5}))</f>
        <v>10</v>
      </c>
      <c r="B921">
        <f>VLOOKUP(MID(D921,LOOKUP(2,1/ISNUMBER(-MID(D921,1,{1,2,3,4,5})),{1,2,3,4,5})+1,9),'Hue codes'!$A$1:$B$10,2,FALSE)</f>
        <v>50</v>
      </c>
      <c r="C921">
        <f t="shared" si="29"/>
        <v>60</v>
      </c>
      <c r="D921" s="162" t="s">
        <v>44</v>
      </c>
      <c r="E921" s="162">
        <v>6</v>
      </c>
      <c r="F921" s="162">
        <v>2</v>
      </c>
      <c r="G921" s="164">
        <v>0.49759999999999999</v>
      </c>
      <c r="H921" s="164">
        <v>0.60460000000000003</v>
      </c>
      <c r="I921" s="164">
        <v>0.60950000000000004</v>
      </c>
      <c r="J921" s="2" t="str">
        <f>HYPERLINK(SetRGB(J921,G921*255,H921*255,I921*255),"HOVER!")</f>
        <v>HOVER!</v>
      </c>
      <c r="K921">
        <f t="shared" si="28"/>
        <v>3</v>
      </c>
    </row>
    <row r="922" spans="1:11" x14ac:dyDescent="0.3">
      <c r="A922">
        <f>LOOKUP(9E+307,--MID(D922,1,{1,2,3,4,5}))</f>
        <v>10</v>
      </c>
      <c r="B922">
        <f>VLOOKUP(MID(D922,LOOKUP(2,1/ISNUMBER(-MID(D922,1,{1,2,3,4,5})),{1,2,3,4,5})+1,9),'Hue codes'!$A$1:$B$10,2,FALSE)</f>
        <v>50</v>
      </c>
      <c r="C922">
        <f t="shared" si="29"/>
        <v>60</v>
      </c>
      <c r="D922" s="162" t="s">
        <v>44</v>
      </c>
      <c r="E922" s="162">
        <v>6</v>
      </c>
      <c r="F922" s="162">
        <v>4</v>
      </c>
      <c r="G922" s="164">
        <v>0.39119999999999999</v>
      </c>
      <c r="H922" s="164">
        <v>0.62270000000000003</v>
      </c>
      <c r="I922" s="164">
        <v>0.63819999999999999</v>
      </c>
      <c r="J922" s="2" t="str">
        <f>HYPERLINK(SetRGB(J922,G922*255,H922*255,I922*255),"HOVER!")</f>
        <v>HOVER!</v>
      </c>
      <c r="K922">
        <f t="shared" si="28"/>
        <v>1.5</v>
      </c>
    </row>
    <row r="923" spans="1:11" x14ac:dyDescent="0.3">
      <c r="A923">
        <f>LOOKUP(9E+307,--MID(D923,1,{1,2,3,4,5}))</f>
        <v>10</v>
      </c>
      <c r="B923">
        <f>VLOOKUP(MID(D923,LOOKUP(2,1/ISNUMBER(-MID(D923,1,{1,2,3,4,5})),{1,2,3,4,5})+1,9),'Hue codes'!$A$1:$B$10,2,FALSE)</f>
        <v>50</v>
      </c>
      <c r="C923">
        <f t="shared" si="29"/>
        <v>60</v>
      </c>
      <c r="D923" s="162" t="s">
        <v>44</v>
      </c>
      <c r="E923" s="162">
        <v>6</v>
      </c>
      <c r="F923" s="162">
        <v>6</v>
      </c>
      <c r="G923" s="164">
        <v>0.2369</v>
      </c>
      <c r="H923" s="164">
        <v>0.63900000000000001</v>
      </c>
      <c r="I923" s="164">
        <v>0.66679999999999995</v>
      </c>
      <c r="J923" s="2" t="str">
        <f>HYPERLINK(SetRGB(J923,G923*255,H923*255,I923*255),"HOVER!")</f>
        <v>HOVER!</v>
      </c>
      <c r="K923">
        <f t="shared" si="28"/>
        <v>1</v>
      </c>
    </row>
    <row r="924" spans="1:11" x14ac:dyDescent="0.3">
      <c r="A924">
        <f>LOOKUP(9E+307,--MID(D924,1,{1,2,3,4,5}))</f>
        <v>2.5</v>
      </c>
      <c r="B924">
        <f>VLOOKUP(MID(D924,LOOKUP(2,1/ISNUMBER(-MID(D924,1,{1,2,3,4,5})),{1,2,3,4,5})+1,9),'Hue codes'!$A$1:$B$10,2,FALSE)</f>
        <v>60</v>
      </c>
      <c r="C924">
        <f t="shared" si="29"/>
        <v>62.5</v>
      </c>
      <c r="D924" s="162" t="s">
        <v>45</v>
      </c>
      <c r="E924" s="162">
        <v>6</v>
      </c>
      <c r="F924" s="162">
        <v>2</v>
      </c>
      <c r="G924" s="164">
        <v>0.50349999999999995</v>
      </c>
      <c r="H924" s="164">
        <v>0.60250000000000004</v>
      </c>
      <c r="I924" s="164">
        <v>0.61609999999999998</v>
      </c>
      <c r="J924" s="2" t="str">
        <f>HYPERLINK(SetRGB(J924,G924*255,H924*255,I924*255),"HOVER!")</f>
        <v>HOVER!</v>
      </c>
      <c r="K924">
        <f t="shared" si="28"/>
        <v>3</v>
      </c>
    </row>
    <row r="925" spans="1:11" x14ac:dyDescent="0.3">
      <c r="A925">
        <f>LOOKUP(9E+307,--MID(D925,1,{1,2,3,4,5}))</f>
        <v>2.5</v>
      </c>
      <c r="B925">
        <f>VLOOKUP(MID(D925,LOOKUP(2,1/ISNUMBER(-MID(D925,1,{1,2,3,4,5})),{1,2,3,4,5})+1,9),'Hue codes'!$A$1:$B$10,2,FALSE)</f>
        <v>60</v>
      </c>
      <c r="C925">
        <f t="shared" si="29"/>
        <v>62.5</v>
      </c>
      <c r="D925" s="162" t="s">
        <v>45</v>
      </c>
      <c r="E925" s="162">
        <v>6</v>
      </c>
      <c r="F925" s="162">
        <v>4</v>
      </c>
      <c r="G925" s="164">
        <v>0.40289999999999998</v>
      </c>
      <c r="H925" s="164">
        <v>0.61919999999999997</v>
      </c>
      <c r="I925" s="164">
        <v>0.65169999999999995</v>
      </c>
      <c r="J925" s="2" t="str">
        <f>HYPERLINK(SetRGB(J925,G925*255,H925*255,I925*255),"HOVER!")</f>
        <v>HOVER!</v>
      </c>
      <c r="K925">
        <f t="shared" si="28"/>
        <v>1.5</v>
      </c>
    </row>
    <row r="926" spans="1:11" x14ac:dyDescent="0.3">
      <c r="A926">
        <f>LOOKUP(9E+307,--MID(D926,1,{1,2,3,4,5}))</f>
        <v>2.5</v>
      </c>
      <c r="B926">
        <f>VLOOKUP(MID(D926,LOOKUP(2,1/ISNUMBER(-MID(D926,1,{1,2,3,4,5})),{1,2,3,4,5})+1,9),'Hue codes'!$A$1:$B$10,2,FALSE)</f>
        <v>60</v>
      </c>
      <c r="C926">
        <f t="shared" si="29"/>
        <v>62.5</v>
      </c>
      <c r="D926" s="162" t="s">
        <v>45</v>
      </c>
      <c r="E926" s="162">
        <v>6</v>
      </c>
      <c r="F926" s="162">
        <v>6</v>
      </c>
      <c r="G926" s="164">
        <v>0.25280000000000002</v>
      </c>
      <c r="H926" s="164">
        <v>0.63470000000000004</v>
      </c>
      <c r="I926" s="164">
        <v>0.69059999999999999</v>
      </c>
      <c r="J926" s="2" t="str">
        <f>HYPERLINK(SetRGB(J926,G926*255,H926*255,I926*255),"HOVER!")</f>
        <v>HOVER!</v>
      </c>
      <c r="K926">
        <f t="shared" si="28"/>
        <v>1</v>
      </c>
    </row>
    <row r="927" spans="1:11" x14ac:dyDescent="0.3">
      <c r="A927">
        <f>LOOKUP(9E+307,--MID(D927,1,{1,2,3,4,5}))</f>
        <v>5</v>
      </c>
      <c r="B927">
        <f>VLOOKUP(MID(D927,LOOKUP(2,1/ISNUMBER(-MID(D927,1,{1,2,3,4,5})),{1,2,3,4,5})+1,9),'Hue codes'!$A$1:$B$10,2,FALSE)</f>
        <v>60</v>
      </c>
      <c r="C927">
        <f t="shared" si="29"/>
        <v>65</v>
      </c>
      <c r="D927" s="162" t="s">
        <v>46</v>
      </c>
      <c r="E927" s="162">
        <v>6</v>
      </c>
      <c r="F927" s="162">
        <v>2</v>
      </c>
      <c r="G927" s="164">
        <v>0.51270000000000004</v>
      </c>
      <c r="H927" s="164">
        <v>0.59960000000000002</v>
      </c>
      <c r="I927" s="164">
        <v>0.62190000000000001</v>
      </c>
      <c r="J927" s="2" t="str">
        <f>HYPERLINK(SetRGB(J927,G927*255,H927*255,I927*255),"HOVER!")</f>
        <v>HOVER!</v>
      </c>
      <c r="K927">
        <f t="shared" si="28"/>
        <v>3</v>
      </c>
    </row>
    <row r="928" spans="1:11" x14ac:dyDescent="0.3">
      <c r="A928">
        <f>LOOKUP(9E+307,--MID(D928,1,{1,2,3,4,5}))</f>
        <v>5</v>
      </c>
      <c r="B928">
        <f>VLOOKUP(MID(D928,LOOKUP(2,1/ISNUMBER(-MID(D928,1,{1,2,3,4,5})),{1,2,3,4,5})+1,9),'Hue codes'!$A$1:$B$10,2,FALSE)</f>
        <v>60</v>
      </c>
      <c r="C928">
        <f t="shared" si="29"/>
        <v>65</v>
      </c>
      <c r="D928" s="162" t="s">
        <v>46</v>
      </c>
      <c r="E928" s="162">
        <v>6</v>
      </c>
      <c r="F928" s="162">
        <v>4</v>
      </c>
      <c r="G928" s="164">
        <v>0.4224</v>
      </c>
      <c r="H928" s="164">
        <v>0.61409999999999998</v>
      </c>
      <c r="I928" s="164">
        <v>0.66459999999999997</v>
      </c>
      <c r="J928" s="2" t="str">
        <f>HYPERLINK(SetRGB(J928,G928*255,H928*255,I928*255),"HOVER!")</f>
        <v>HOVER!</v>
      </c>
      <c r="K928">
        <f t="shared" si="28"/>
        <v>1.5</v>
      </c>
    </row>
    <row r="929" spans="1:11" x14ac:dyDescent="0.3">
      <c r="A929">
        <f>LOOKUP(9E+307,--MID(D929,1,{1,2,3,4,5}))</f>
        <v>5</v>
      </c>
      <c r="B929">
        <f>VLOOKUP(MID(D929,LOOKUP(2,1/ISNUMBER(-MID(D929,1,{1,2,3,4,5})),{1,2,3,4,5})+1,9),'Hue codes'!$A$1:$B$10,2,FALSE)</f>
        <v>60</v>
      </c>
      <c r="C929">
        <f t="shared" si="29"/>
        <v>65</v>
      </c>
      <c r="D929" s="162" t="s">
        <v>46</v>
      </c>
      <c r="E929" s="162">
        <v>6</v>
      </c>
      <c r="F929" s="162">
        <v>6</v>
      </c>
      <c r="G929" s="164">
        <v>0.29430000000000001</v>
      </c>
      <c r="H929" s="164">
        <v>0.62760000000000005</v>
      </c>
      <c r="I929" s="164">
        <v>0.71189999999999998</v>
      </c>
      <c r="J929" s="2" t="str">
        <f>HYPERLINK(SetRGB(J929,G929*255,H929*255,I929*255),"HOVER!")</f>
        <v>HOVER!</v>
      </c>
      <c r="K929">
        <f t="shared" si="28"/>
        <v>1</v>
      </c>
    </row>
    <row r="930" spans="1:11" x14ac:dyDescent="0.3">
      <c r="A930">
        <f>LOOKUP(9E+307,--MID(D930,1,{1,2,3,4,5}))</f>
        <v>7.5</v>
      </c>
      <c r="B930">
        <f>VLOOKUP(MID(D930,LOOKUP(2,1/ISNUMBER(-MID(D930,1,{1,2,3,4,5})),{1,2,3,4,5})+1,9),'Hue codes'!$A$1:$B$10,2,FALSE)</f>
        <v>60</v>
      </c>
      <c r="C930">
        <f t="shared" si="29"/>
        <v>67.5</v>
      </c>
      <c r="D930" s="162" t="s">
        <v>47</v>
      </c>
      <c r="E930" s="162">
        <v>6</v>
      </c>
      <c r="F930" s="162">
        <v>2</v>
      </c>
      <c r="G930" s="164">
        <v>0.5222</v>
      </c>
      <c r="H930" s="164">
        <v>0.59670000000000001</v>
      </c>
      <c r="I930" s="164">
        <v>0.62590000000000001</v>
      </c>
      <c r="J930" s="2" t="str">
        <f>HYPERLINK(SetRGB(J930,G930*255,H930*255,I930*255),"HOVER!")</f>
        <v>HOVER!</v>
      </c>
      <c r="K930">
        <f t="shared" si="28"/>
        <v>3</v>
      </c>
    </row>
    <row r="931" spans="1:11" x14ac:dyDescent="0.3">
      <c r="A931">
        <f>LOOKUP(9E+307,--MID(D931,1,{1,2,3,4,5}))</f>
        <v>7.5</v>
      </c>
      <c r="B931">
        <f>VLOOKUP(MID(D931,LOOKUP(2,1/ISNUMBER(-MID(D931,1,{1,2,3,4,5})),{1,2,3,4,5})+1,9),'Hue codes'!$A$1:$B$10,2,FALSE)</f>
        <v>60</v>
      </c>
      <c r="C931">
        <f t="shared" si="29"/>
        <v>67.5</v>
      </c>
      <c r="D931" s="162" t="s">
        <v>47</v>
      </c>
      <c r="E931" s="162">
        <v>6</v>
      </c>
      <c r="F931" s="162">
        <v>4</v>
      </c>
      <c r="G931" s="164">
        <v>0.44629999999999997</v>
      </c>
      <c r="H931" s="164">
        <v>0.60819999999999996</v>
      </c>
      <c r="I931" s="164">
        <v>0.67400000000000004</v>
      </c>
      <c r="J931" s="11" t="str">
        <f>HYPERLINK(SetRGB(J931,G931*255,H931*255,I931*255),"HOVER!")</f>
        <v>HOVER!</v>
      </c>
      <c r="K931">
        <f t="shared" si="28"/>
        <v>1.5</v>
      </c>
    </row>
    <row r="932" spans="1:11" x14ac:dyDescent="0.3">
      <c r="A932">
        <f>LOOKUP(9E+307,--MID(D932,1,{1,2,3,4,5}))</f>
        <v>7.5</v>
      </c>
      <c r="B932">
        <f>VLOOKUP(MID(D932,LOOKUP(2,1/ISNUMBER(-MID(D932,1,{1,2,3,4,5})),{1,2,3,4,5})+1,9),'Hue codes'!$A$1:$B$10,2,FALSE)</f>
        <v>60</v>
      </c>
      <c r="C932">
        <f t="shared" si="29"/>
        <v>67.5</v>
      </c>
      <c r="D932" s="162" t="s">
        <v>47</v>
      </c>
      <c r="E932" s="162">
        <v>6</v>
      </c>
      <c r="F932" s="162">
        <v>6</v>
      </c>
      <c r="G932" s="164">
        <v>0.34200000000000003</v>
      </c>
      <c r="H932" s="164">
        <v>0.61939999999999995</v>
      </c>
      <c r="I932" s="164">
        <v>0.72629999999999995</v>
      </c>
      <c r="J932" s="12" t="str">
        <f>HYPERLINK(SetRGB(J932,G932*255,H932*255,I932*255),"HOVER!")</f>
        <v>HOVER!</v>
      </c>
      <c r="K932">
        <f t="shared" si="28"/>
        <v>1</v>
      </c>
    </row>
    <row r="933" spans="1:11" x14ac:dyDescent="0.3">
      <c r="A933">
        <f>LOOKUP(9E+307,--MID(D933,1,{1,2,3,4,5}))</f>
        <v>7.5</v>
      </c>
      <c r="B933">
        <f>VLOOKUP(MID(D933,LOOKUP(2,1/ISNUMBER(-MID(D933,1,{1,2,3,4,5})),{1,2,3,4,5})+1,9),'Hue codes'!$A$1:$B$10,2,FALSE)</f>
        <v>60</v>
      </c>
      <c r="C933">
        <f t="shared" si="29"/>
        <v>67.5</v>
      </c>
      <c r="D933" s="162" t="s">
        <v>47</v>
      </c>
      <c r="E933" s="162">
        <v>6</v>
      </c>
      <c r="F933" s="162">
        <v>8</v>
      </c>
      <c r="G933" s="164">
        <v>0.18</v>
      </c>
      <c r="H933" s="164">
        <v>0.629</v>
      </c>
      <c r="I933" s="164">
        <v>0.77790000000000004</v>
      </c>
      <c r="J933" s="13" t="str">
        <f>HYPERLINK(SetRGB(J933,G933*255,H933*255,I933*255),"HOVER!")</f>
        <v>HOVER!</v>
      </c>
      <c r="K933">
        <f t="shared" si="28"/>
        <v>0.75</v>
      </c>
    </row>
    <row r="934" spans="1:11" x14ac:dyDescent="0.3">
      <c r="A934">
        <f>LOOKUP(9E+307,--MID(D934,1,{1,2,3,4,5}))</f>
        <v>10</v>
      </c>
      <c r="B934">
        <f>VLOOKUP(MID(D934,LOOKUP(2,1/ISNUMBER(-MID(D934,1,{1,2,3,4,5})),{1,2,3,4,5})+1,9),'Hue codes'!$A$1:$B$10,2,FALSE)</f>
        <v>60</v>
      </c>
      <c r="C934">
        <f t="shared" si="29"/>
        <v>70</v>
      </c>
      <c r="D934" s="162" t="s">
        <v>48</v>
      </c>
      <c r="E934" s="162">
        <v>6</v>
      </c>
      <c r="F934" s="162">
        <v>2</v>
      </c>
      <c r="G934" s="164">
        <v>0.53339999999999999</v>
      </c>
      <c r="H934" s="164">
        <v>0.59340000000000004</v>
      </c>
      <c r="I934" s="164">
        <v>0.62939999999999996</v>
      </c>
      <c r="J934" s="2" t="str">
        <f>HYPERLINK(SetRGB(J934,G934*255,H934*255,I934*255),"HOVER!")</f>
        <v>HOVER!</v>
      </c>
      <c r="K934">
        <f t="shared" si="28"/>
        <v>3</v>
      </c>
    </row>
    <row r="935" spans="1:11" x14ac:dyDescent="0.3">
      <c r="A935">
        <f>LOOKUP(9E+307,--MID(D935,1,{1,2,3,4,5}))</f>
        <v>10</v>
      </c>
      <c r="B935">
        <f>VLOOKUP(MID(D935,LOOKUP(2,1/ISNUMBER(-MID(D935,1,{1,2,3,4,5})),{1,2,3,4,5})+1,9),'Hue codes'!$A$1:$B$10,2,FALSE)</f>
        <v>60</v>
      </c>
      <c r="C935">
        <f t="shared" si="29"/>
        <v>70</v>
      </c>
      <c r="D935" s="162" t="s">
        <v>48</v>
      </c>
      <c r="E935" s="162">
        <v>6</v>
      </c>
      <c r="F935" s="162">
        <v>4</v>
      </c>
      <c r="G935" s="164">
        <v>0.47160000000000002</v>
      </c>
      <c r="H935" s="164">
        <v>0.60209999999999997</v>
      </c>
      <c r="I935" s="164">
        <v>0.67969999999999997</v>
      </c>
      <c r="J935" s="2" t="str">
        <f>HYPERLINK(SetRGB(J935,G935*255,H935*255,I935*255),"HOVER!")</f>
        <v>HOVER!</v>
      </c>
      <c r="K935">
        <f t="shared" si="28"/>
        <v>1.5</v>
      </c>
    </row>
    <row r="936" spans="1:11" x14ac:dyDescent="0.3">
      <c r="A936">
        <f>LOOKUP(9E+307,--MID(D936,1,{1,2,3,4,5}))</f>
        <v>10</v>
      </c>
      <c r="B936">
        <f>VLOOKUP(MID(D936,LOOKUP(2,1/ISNUMBER(-MID(D936,1,{1,2,3,4,5})),{1,2,3,4,5})+1,9),'Hue codes'!$A$1:$B$10,2,FALSE)</f>
        <v>60</v>
      </c>
      <c r="C936">
        <f t="shared" si="29"/>
        <v>70</v>
      </c>
      <c r="D936" s="162" t="s">
        <v>48</v>
      </c>
      <c r="E936" s="162">
        <v>6</v>
      </c>
      <c r="F936" s="162">
        <v>6</v>
      </c>
      <c r="G936" s="164">
        <v>0.38879999999999998</v>
      </c>
      <c r="H936" s="164">
        <v>0.6109</v>
      </c>
      <c r="I936" s="164">
        <v>0.73529999999999995</v>
      </c>
      <c r="J936" s="2" t="str">
        <f>HYPERLINK(SetRGB(J936,G936*255,H936*255,I936*255),"HOVER!")</f>
        <v>HOVER!</v>
      </c>
      <c r="K936">
        <f t="shared" si="28"/>
        <v>1</v>
      </c>
    </row>
    <row r="937" spans="1:11" x14ac:dyDescent="0.3">
      <c r="A937">
        <f>LOOKUP(9E+307,--MID(D937,1,{1,2,3,4,5}))</f>
        <v>10</v>
      </c>
      <c r="B937">
        <f>VLOOKUP(MID(D937,LOOKUP(2,1/ISNUMBER(-MID(D937,1,{1,2,3,4,5})),{1,2,3,4,5})+1,9),'Hue codes'!$A$1:$B$10,2,FALSE)</f>
        <v>60</v>
      </c>
      <c r="C937">
        <f t="shared" si="29"/>
        <v>70</v>
      </c>
      <c r="D937" s="162" t="s">
        <v>48</v>
      </c>
      <c r="E937" s="162">
        <v>6</v>
      </c>
      <c r="F937" s="162">
        <v>8</v>
      </c>
      <c r="G937" s="164">
        <v>0.27900000000000003</v>
      </c>
      <c r="H937" s="164">
        <v>0.61839999999999995</v>
      </c>
      <c r="I937" s="164">
        <v>0.78969999999999996</v>
      </c>
      <c r="J937" s="2" t="str">
        <f>HYPERLINK(SetRGB(J937,G937*255,H937*255,I937*255),"HOVER!")</f>
        <v>HOVER!</v>
      </c>
      <c r="K937">
        <f t="shared" si="28"/>
        <v>0.75</v>
      </c>
    </row>
    <row r="938" spans="1:11" x14ac:dyDescent="0.3">
      <c r="A938">
        <f>LOOKUP(9E+307,--MID(D938,1,{1,2,3,4,5}))</f>
        <v>2.5</v>
      </c>
      <c r="B938">
        <f>VLOOKUP(MID(D938,LOOKUP(2,1/ISNUMBER(-MID(D938,1,{1,2,3,4,5})),{1,2,3,4,5})+1,9),'Hue codes'!$A$1:$B$10,2,FALSE)</f>
        <v>70</v>
      </c>
      <c r="C938">
        <f t="shared" si="29"/>
        <v>72.5</v>
      </c>
      <c r="D938" s="162" t="s">
        <v>49</v>
      </c>
      <c r="E938" s="162">
        <v>6</v>
      </c>
      <c r="F938" s="162">
        <v>2</v>
      </c>
      <c r="G938" s="164">
        <v>0.54700000000000004</v>
      </c>
      <c r="H938" s="164">
        <v>0.58960000000000001</v>
      </c>
      <c r="I938" s="164">
        <v>0.63139999999999996</v>
      </c>
      <c r="J938" s="2" t="str">
        <f>HYPERLINK(SetRGB(J938,G938*255,H938*255,I938*255),"HOVER!")</f>
        <v>HOVER!</v>
      </c>
      <c r="K938">
        <f t="shared" si="28"/>
        <v>3</v>
      </c>
    </row>
    <row r="939" spans="1:11" x14ac:dyDescent="0.3">
      <c r="A939">
        <f>LOOKUP(9E+307,--MID(D939,1,{1,2,3,4,5}))</f>
        <v>2.5</v>
      </c>
      <c r="B939">
        <f>VLOOKUP(MID(D939,LOOKUP(2,1/ISNUMBER(-MID(D939,1,{1,2,3,4,5})),{1,2,3,4,5})+1,9),'Hue codes'!$A$1:$B$10,2,FALSE)</f>
        <v>70</v>
      </c>
      <c r="C939">
        <f t="shared" si="29"/>
        <v>72.5</v>
      </c>
      <c r="D939" s="162" t="s">
        <v>49</v>
      </c>
      <c r="E939" s="162">
        <v>6</v>
      </c>
      <c r="F939" s="162">
        <v>4</v>
      </c>
      <c r="G939" s="164">
        <v>0.50019999999999998</v>
      </c>
      <c r="H939" s="164">
        <v>0.59499999999999997</v>
      </c>
      <c r="I939" s="164">
        <v>0.6835</v>
      </c>
      <c r="J939" s="2" t="str">
        <f>HYPERLINK(SetRGB(J939,G939*255,H939*255,I939*255),"HOVER!")</f>
        <v>HOVER!</v>
      </c>
      <c r="K939">
        <f t="shared" si="28"/>
        <v>1.5</v>
      </c>
    </row>
    <row r="940" spans="1:11" x14ac:dyDescent="0.3">
      <c r="A940">
        <f>LOOKUP(9E+307,--MID(D940,1,{1,2,3,4,5}))</f>
        <v>2.5</v>
      </c>
      <c r="B940">
        <f>VLOOKUP(MID(D940,LOOKUP(2,1/ISNUMBER(-MID(D940,1,{1,2,3,4,5})),{1,2,3,4,5})+1,9),'Hue codes'!$A$1:$B$10,2,FALSE)</f>
        <v>70</v>
      </c>
      <c r="C940">
        <f t="shared" si="29"/>
        <v>72.5</v>
      </c>
      <c r="D940" s="162" t="s">
        <v>49</v>
      </c>
      <c r="E940" s="162">
        <v>6</v>
      </c>
      <c r="F940" s="162">
        <v>6</v>
      </c>
      <c r="G940" s="164">
        <v>0.44009999999999999</v>
      </c>
      <c r="H940" s="164">
        <v>0.60040000000000004</v>
      </c>
      <c r="I940" s="164">
        <v>0.74170000000000003</v>
      </c>
      <c r="J940" s="2" t="str">
        <f>HYPERLINK(SetRGB(J940,G940*255,H940*255,I940*255),"HOVER!")</f>
        <v>HOVER!</v>
      </c>
      <c r="K940">
        <f t="shared" si="28"/>
        <v>1</v>
      </c>
    </row>
    <row r="941" spans="1:11" x14ac:dyDescent="0.3">
      <c r="A941">
        <f>LOOKUP(9E+307,--MID(D941,1,{1,2,3,4,5}))</f>
        <v>2.5</v>
      </c>
      <c r="B941">
        <f>VLOOKUP(MID(D941,LOOKUP(2,1/ISNUMBER(-MID(D941,1,{1,2,3,4,5})),{1,2,3,4,5})+1,9),'Hue codes'!$A$1:$B$10,2,FALSE)</f>
        <v>70</v>
      </c>
      <c r="C941">
        <f t="shared" si="29"/>
        <v>72.5</v>
      </c>
      <c r="D941" s="162" t="s">
        <v>49</v>
      </c>
      <c r="E941" s="162">
        <v>6</v>
      </c>
      <c r="F941" s="162">
        <v>8</v>
      </c>
      <c r="G941" s="164">
        <v>0.37059999999999998</v>
      </c>
      <c r="H941" s="164">
        <v>0.60450000000000004</v>
      </c>
      <c r="I941" s="164">
        <v>0.79830000000000001</v>
      </c>
      <c r="J941" s="2" t="str">
        <f>HYPERLINK(SetRGB(J941,G941*255,H941*255,I941*255),"HOVER!")</f>
        <v>HOVER!</v>
      </c>
      <c r="K941">
        <f t="shared" si="28"/>
        <v>0.75</v>
      </c>
    </row>
    <row r="942" spans="1:11" x14ac:dyDescent="0.3">
      <c r="A942">
        <f>LOOKUP(9E+307,--MID(D942,1,{1,2,3,4,5}))</f>
        <v>2.5</v>
      </c>
      <c r="B942">
        <f>VLOOKUP(MID(D942,LOOKUP(2,1/ISNUMBER(-MID(D942,1,{1,2,3,4,5})),{1,2,3,4,5})+1,9),'Hue codes'!$A$1:$B$10,2,FALSE)</f>
        <v>70</v>
      </c>
      <c r="C942">
        <f t="shared" si="29"/>
        <v>72.5</v>
      </c>
      <c r="D942" s="162" t="s">
        <v>49</v>
      </c>
      <c r="E942" s="162">
        <v>6</v>
      </c>
      <c r="F942" s="162">
        <v>10</v>
      </c>
      <c r="G942" s="164">
        <v>0.26950000000000002</v>
      </c>
      <c r="H942" s="164">
        <v>0.60899999999999999</v>
      </c>
      <c r="I942" s="164">
        <v>0.8548</v>
      </c>
      <c r="J942" s="2" t="str">
        <f>HYPERLINK(SetRGB(J942,G942*255,H942*255,I942*255),"HOVER!")</f>
        <v>HOVER!</v>
      </c>
      <c r="K942">
        <f t="shared" si="28"/>
        <v>0.6</v>
      </c>
    </row>
    <row r="943" spans="1:11" x14ac:dyDescent="0.3">
      <c r="A943">
        <f>LOOKUP(9E+307,--MID(D943,1,{1,2,3,4,5}))</f>
        <v>5</v>
      </c>
      <c r="B943">
        <f>VLOOKUP(MID(D943,LOOKUP(2,1/ISNUMBER(-MID(D943,1,{1,2,3,4,5})),{1,2,3,4,5})+1,9),'Hue codes'!$A$1:$B$10,2,FALSE)</f>
        <v>70</v>
      </c>
      <c r="C943">
        <f t="shared" si="29"/>
        <v>75</v>
      </c>
      <c r="D943" s="162" t="s">
        <v>50</v>
      </c>
      <c r="E943" s="162">
        <v>6</v>
      </c>
      <c r="F943" s="162">
        <v>2</v>
      </c>
      <c r="G943" s="164">
        <v>0.55879999999999996</v>
      </c>
      <c r="H943" s="164">
        <v>0.58620000000000005</v>
      </c>
      <c r="I943" s="164">
        <v>0.63200000000000001</v>
      </c>
      <c r="J943" s="2" t="str">
        <f>HYPERLINK(SetRGB(J943,G943*255,H943*255,I943*255),"HOVER!")</f>
        <v>HOVER!</v>
      </c>
      <c r="K943">
        <f t="shared" si="28"/>
        <v>3</v>
      </c>
    </row>
    <row r="944" spans="1:11" x14ac:dyDescent="0.3">
      <c r="A944">
        <f>LOOKUP(9E+307,--MID(D944,1,{1,2,3,4,5}))</f>
        <v>5</v>
      </c>
      <c r="B944">
        <f>VLOOKUP(MID(D944,LOOKUP(2,1/ISNUMBER(-MID(D944,1,{1,2,3,4,5})),{1,2,3,4,5})+1,9),'Hue codes'!$A$1:$B$10,2,FALSE)</f>
        <v>70</v>
      </c>
      <c r="C944">
        <f t="shared" si="29"/>
        <v>75</v>
      </c>
      <c r="D944" s="162" t="s">
        <v>50</v>
      </c>
      <c r="E944" s="162">
        <v>6</v>
      </c>
      <c r="F944" s="162">
        <v>4</v>
      </c>
      <c r="G944" s="164">
        <v>0.52669999999999995</v>
      </c>
      <c r="H944" s="164">
        <v>0.58809999999999996</v>
      </c>
      <c r="I944" s="164">
        <v>0.68520000000000003</v>
      </c>
      <c r="J944" s="2" t="str">
        <f>HYPERLINK(SetRGB(J944,G944*255,H944*255,I944*255),"HOVER!")</f>
        <v>HOVER!</v>
      </c>
      <c r="K944">
        <f t="shared" si="28"/>
        <v>1.5</v>
      </c>
    </row>
    <row r="945" spans="1:11" x14ac:dyDescent="0.3">
      <c r="A945">
        <f>LOOKUP(9E+307,--MID(D945,1,{1,2,3,4,5}))</f>
        <v>5</v>
      </c>
      <c r="B945">
        <f>VLOOKUP(MID(D945,LOOKUP(2,1/ISNUMBER(-MID(D945,1,{1,2,3,4,5})),{1,2,3,4,5})+1,9),'Hue codes'!$A$1:$B$10,2,FALSE)</f>
        <v>70</v>
      </c>
      <c r="C945">
        <f t="shared" si="29"/>
        <v>75</v>
      </c>
      <c r="D945" s="162" t="s">
        <v>50</v>
      </c>
      <c r="E945" s="162">
        <v>6</v>
      </c>
      <c r="F945" s="162">
        <v>6</v>
      </c>
      <c r="G945" s="164">
        <v>0.48509999999999998</v>
      </c>
      <c r="H945" s="164">
        <v>0.58989999999999998</v>
      </c>
      <c r="I945" s="164">
        <v>0.746</v>
      </c>
      <c r="J945" s="2" t="str">
        <f>HYPERLINK(SetRGB(J945,G945*255,H945*255,I945*255),"HOVER!")</f>
        <v>HOVER!</v>
      </c>
      <c r="K945">
        <f t="shared" si="28"/>
        <v>1</v>
      </c>
    </row>
    <row r="946" spans="1:11" x14ac:dyDescent="0.3">
      <c r="A946">
        <f>LOOKUP(9E+307,--MID(D946,1,{1,2,3,4,5}))</f>
        <v>5</v>
      </c>
      <c r="B946">
        <f>VLOOKUP(MID(D946,LOOKUP(2,1/ISNUMBER(-MID(D946,1,{1,2,3,4,5})),{1,2,3,4,5})+1,9),'Hue codes'!$A$1:$B$10,2,FALSE)</f>
        <v>70</v>
      </c>
      <c r="C946">
        <f t="shared" si="29"/>
        <v>75</v>
      </c>
      <c r="D946" s="162" t="s">
        <v>50</v>
      </c>
      <c r="E946" s="162">
        <v>6</v>
      </c>
      <c r="F946" s="162">
        <v>8</v>
      </c>
      <c r="G946" s="164">
        <v>0.439</v>
      </c>
      <c r="H946" s="164">
        <v>0.59130000000000005</v>
      </c>
      <c r="I946" s="164">
        <v>0.80220000000000002</v>
      </c>
      <c r="J946" s="2" t="str">
        <f>HYPERLINK(SetRGB(J946,G946*255,H946*255,I946*255),"HOVER!")</f>
        <v>HOVER!</v>
      </c>
      <c r="K946">
        <f t="shared" si="28"/>
        <v>0.75</v>
      </c>
    </row>
    <row r="947" spans="1:11" x14ac:dyDescent="0.3">
      <c r="A947">
        <f>LOOKUP(9E+307,--MID(D947,1,{1,2,3,4,5}))</f>
        <v>5</v>
      </c>
      <c r="B947">
        <f>VLOOKUP(MID(D947,LOOKUP(2,1/ISNUMBER(-MID(D947,1,{1,2,3,4,5})),{1,2,3,4,5})+1,9),'Hue codes'!$A$1:$B$10,2,FALSE)</f>
        <v>70</v>
      </c>
      <c r="C947">
        <f t="shared" si="29"/>
        <v>75</v>
      </c>
      <c r="D947" s="162" t="s">
        <v>50</v>
      </c>
      <c r="E947" s="162">
        <v>6</v>
      </c>
      <c r="F947" s="162">
        <v>10</v>
      </c>
      <c r="G947" s="164">
        <v>0.37819999999999998</v>
      </c>
      <c r="H947" s="164">
        <v>0.59330000000000005</v>
      </c>
      <c r="I947" s="164">
        <v>0.85760000000000003</v>
      </c>
      <c r="J947" s="2" t="str">
        <f>HYPERLINK(SetRGB(J947,G947*255,H947*255,I947*255),"HOVER!")</f>
        <v>HOVER!</v>
      </c>
      <c r="K947">
        <f t="shared" si="28"/>
        <v>0.6</v>
      </c>
    </row>
    <row r="948" spans="1:11" x14ac:dyDescent="0.3">
      <c r="A948">
        <f>LOOKUP(9E+307,--MID(D948,1,{1,2,3,4,5}))</f>
        <v>5</v>
      </c>
      <c r="B948">
        <f>VLOOKUP(MID(D948,LOOKUP(2,1/ISNUMBER(-MID(D948,1,{1,2,3,4,5})),{1,2,3,4,5})+1,9),'Hue codes'!$A$1:$B$10,2,FALSE)</f>
        <v>70</v>
      </c>
      <c r="C948">
        <f t="shared" si="29"/>
        <v>75</v>
      </c>
      <c r="D948" s="162" t="s">
        <v>50</v>
      </c>
      <c r="E948" s="162">
        <v>6</v>
      </c>
      <c r="F948" s="162">
        <v>12</v>
      </c>
      <c r="G948" s="164">
        <v>0.28189999999999998</v>
      </c>
      <c r="H948" s="164">
        <v>0.59550000000000003</v>
      </c>
      <c r="I948" s="164">
        <v>0.92120000000000002</v>
      </c>
      <c r="J948" s="2" t="str">
        <f>HYPERLINK(SetRGB(J948,G948*255,H948*255,I948*255),"HOVER!")</f>
        <v>HOVER!</v>
      </c>
      <c r="K948">
        <f t="shared" si="28"/>
        <v>0.5</v>
      </c>
    </row>
    <row r="949" spans="1:11" x14ac:dyDescent="0.3">
      <c r="A949">
        <f>LOOKUP(9E+307,--MID(D949,1,{1,2,3,4,5}))</f>
        <v>5</v>
      </c>
      <c r="B949">
        <f>VLOOKUP(MID(D949,LOOKUP(2,1/ISNUMBER(-MID(D949,1,{1,2,3,4,5})),{1,2,3,4,5})+1,9),'Hue codes'!$A$1:$B$10,2,FALSE)</f>
        <v>70</v>
      </c>
      <c r="C949">
        <f t="shared" si="29"/>
        <v>75</v>
      </c>
      <c r="D949" s="162" t="s">
        <v>50</v>
      </c>
      <c r="E949" s="162">
        <v>6</v>
      </c>
      <c r="F949" s="162">
        <v>14</v>
      </c>
      <c r="G949" s="164">
        <v>9.1800000000000007E-2</v>
      </c>
      <c r="H949" s="164">
        <v>0.5968</v>
      </c>
      <c r="I949" s="164">
        <v>0.9859</v>
      </c>
      <c r="J949" s="1" t="str">
        <f>HYPERLINK(SetRGB(J949,G949*255,H949*255,I949*255),"HOVER!")</f>
        <v>HOVER!</v>
      </c>
      <c r="K949">
        <f t="shared" si="28"/>
        <v>0.42857142857142855</v>
      </c>
    </row>
    <row r="950" spans="1:11" x14ac:dyDescent="0.3">
      <c r="A950">
        <f>LOOKUP(9E+307,--MID(D950,1,{1,2,3,4,5}))</f>
        <v>7.5</v>
      </c>
      <c r="B950">
        <f>VLOOKUP(MID(D950,LOOKUP(2,1/ISNUMBER(-MID(D950,1,{1,2,3,4,5})),{1,2,3,4,5})+1,9),'Hue codes'!$A$1:$B$10,2,FALSE)</f>
        <v>70</v>
      </c>
      <c r="C950">
        <f t="shared" si="29"/>
        <v>77.5</v>
      </c>
      <c r="D950" s="162" t="s">
        <v>51</v>
      </c>
      <c r="E950" s="162">
        <v>6</v>
      </c>
      <c r="F950" s="162">
        <v>2</v>
      </c>
      <c r="G950" s="164">
        <v>0.57279999999999998</v>
      </c>
      <c r="H950" s="164">
        <v>0.58209999999999995</v>
      </c>
      <c r="I950" s="164">
        <v>0.63249999999999995</v>
      </c>
      <c r="J950" s="2" t="str">
        <f>HYPERLINK(SetRGB(J950,G950*255,H950*255,I950*255),"HOVER!")</f>
        <v>HOVER!</v>
      </c>
      <c r="K950">
        <f t="shared" si="28"/>
        <v>3</v>
      </c>
    </row>
    <row r="951" spans="1:11" x14ac:dyDescent="0.3">
      <c r="A951">
        <f>LOOKUP(9E+307,--MID(D951,1,{1,2,3,4,5}))</f>
        <v>7.5</v>
      </c>
      <c r="B951">
        <f>VLOOKUP(MID(D951,LOOKUP(2,1/ISNUMBER(-MID(D951,1,{1,2,3,4,5})),{1,2,3,4,5})+1,9),'Hue codes'!$A$1:$B$10,2,FALSE)</f>
        <v>70</v>
      </c>
      <c r="C951">
        <f t="shared" si="29"/>
        <v>77.5</v>
      </c>
      <c r="D951" s="162" t="s">
        <v>51</v>
      </c>
      <c r="E951" s="162">
        <v>6</v>
      </c>
      <c r="F951" s="162">
        <v>4</v>
      </c>
      <c r="G951" s="164">
        <v>0.5575</v>
      </c>
      <c r="H951" s="164">
        <v>0.5796</v>
      </c>
      <c r="I951" s="164">
        <v>0.68600000000000005</v>
      </c>
      <c r="J951" s="2" t="str">
        <f>HYPERLINK(SetRGB(J951,G951*255,H951*255,I951*255),"HOVER!")</f>
        <v>HOVER!</v>
      </c>
      <c r="K951">
        <f t="shared" ref="K951:K1014" si="30">E951/F951</f>
        <v>1.5</v>
      </c>
    </row>
    <row r="952" spans="1:11" x14ac:dyDescent="0.3">
      <c r="A952">
        <f>LOOKUP(9E+307,--MID(D952,1,{1,2,3,4,5}))</f>
        <v>7.5</v>
      </c>
      <c r="B952">
        <f>VLOOKUP(MID(D952,LOOKUP(2,1/ISNUMBER(-MID(D952,1,{1,2,3,4,5})),{1,2,3,4,5})+1,9),'Hue codes'!$A$1:$B$10,2,FALSE)</f>
        <v>70</v>
      </c>
      <c r="C952">
        <f t="shared" si="29"/>
        <v>77.5</v>
      </c>
      <c r="D952" s="162" t="s">
        <v>51</v>
      </c>
      <c r="E952" s="162">
        <v>6</v>
      </c>
      <c r="F952" s="162">
        <v>6</v>
      </c>
      <c r="G952" s="164">
        <v>0.53990000000000005</v>
      </c>
      <c r="H952" s="164">
        <v>0.57609999999999995</v>
      </c>
      <c r="I952" s="164">
        <v>0.74460000000000004</v>
      </c>
      <c r="J952" s="2" t="str">
        <f>HYPERLINK(SetRGB(J952,G952*255,H952*255,I952*255),"HOVER!")</f>
        <v>HOVER!</v>
      </c>
      <c r="K952">
        <f t="shared" si="30"/>
        <v>1</v>
      </c>
    </row>
    <row r="953" spans="1:11" x14ac:dyDescent="0.3">
      <c r="A953">
        <f>LOOKUP(9E+307,--MID(D953,1,{1,2,3,4,5}))</f>
        <v>7.5</v>
      </c>
      <c r="B953">
        <f>VLOOKUP(MID(D953,LOOKUP(2,1/ISNUMBER(-MID(D953,1,{1,2,3,4,5})),{1,2,3,4,5})+1,9),'Hue codes'!$A$1:$B$10,2,FALSE)</f>
        <v>70</v>
      </c>
      <c r="C953">
        <f t="shared" si="29"/>
        <v>77.5</v>
      </c>
      <c r="D953" s="162" t="s">
        <v>51</v>
      </c>
      <c r="E953" s="162">
        <v>6</v>
      </c>
      <c r="F953" s="162">
        <v>8</v>
      </c>
      <c r="G953" s="164">
        <v>0.52210000000000001</v>
      </c>
      <c r="H953" s="164">
        <v>0.5726</v>
      </c>
      <c r="I953" s="164">
        <v>0.79649999999999999</v>
      </c>
      <c r="J953" s="2" t="str">
        <f>HYPERLINK(SetRGB(J953,G953*255,H953*255,I953*255),"HOVER!")</f>
        <v>HOVER!</v>
      </c>
      <c r="K953">
        <f t="shared" si="30"/>
        <v>0.75</v>
      </c>
    </row>
    <row r="954" spans="1:11" x14ac:dyDescent="0.3">
      <c r="A954">
        <f>LOOKUP(9E+307,--MID(D954,1,{1,2,3,4,5}))</f>
        <v>7.5</v>
      </c>
      <c r="B954">
        <f>VLOOKUP(MID(D954,LOOKUP(2,1/ISNUMBER(-MID(D954,1,{1,2,3,4,5})),{1,2,3,4,5})+1,9),'Hue codes'!$A$1:$B$10,2,FALSE)</f>
        <v>70</v>
      </c>
      <c r="C954">
        <f t="shared" si="29"/>
        <v>77.5</v>
      </c>
      <c r="D954" s="162" t="s">
        <v>51</v>
      </c>
      <c r="E954" s="162">
        <v>6</v>
      </c>
      <c r="F954" s="162">
        <v>10</v>
      </c>
      <c r="G954" s="164">
        <v>0.50229999999999997</v>
      </c>
      <c r="H954" s="164">
        <v>0.56820000000000004</v>
      </c>
      <c r="I954" s="164">
        <v>0.85040000000000004</v>
      </c>
      <c r="J954" s="2" t="str">
        <f>HYPERLINK(SetRGB(J954,G954*255,H954*255,I954*255),"HOVER!")</f>
        <v>HOVER!</v>
      </c>
      <c r="K954">
        <f t="shared" si="30"/>
        <v>0.6</v>
      </c>
    </row>
    <row r="955" spans="1:11" x14ac:dyDescent="0.3">
      <c r="A955">
        <f>LOOKUP(9E+307,--MID(D955,1,{1,2,3,4,5}))</f>
        <v>7.5</v>
      </c>
      <c r="B955">
        <f>VLOOKUP(MID(D955,LOOKUP(2,1/ISNUMBER(-MID(D955,1,{1,2,3,4,5})),{1,2,3,4,5})+1,9),'Hue codes'!$A$1:$B$10,2,FALSE)</f>
        <v>70</v>
      </c>
      <c r="C955">
        <f t="shared" si="29"/>
        <v>77.5</v>
      </c>
      <c r="D955" s="162" t="s">
        <v>51</v>
      </c>
      <c r="E955" s="162">
        <v>6</v>
      </c>
      <c r="F955" s="162">
        <v>12</v>
      </c>
      <c r="G955" s="164">
        <v>0.4753</v>
      </c>
      <c r="H955" s="164">
        <v>0.56269999999999998</v>
      </c>
      <c r="I955" s="164">
        <v>0.91349999999999998</v>
      </c>
      <c r="J955" s="14" t="str">
        <f>HYPERLINK(SetRGB(J955,G955*255,H955*255,I955*255),"HOVER!")</f>
        <v>HOVER!</v>
      </c>
      <c r="K955">
        <f t="shared" si="30"/>
        <v>0.5</v>
      </c>
    </row>
    <row r="956" spans="1:11" x14ac:dyDescent="0.3">
      <c r="A956">
        <f>LOOKUP(9E+307,--MID(D956,1,{1,2,3,4,5}))</f>
        <v>7.5</v>
      </c>
      <c r="B956">
        <f>VLOOKUP(MID(D956,LOOKUP(2,1/ISNUMBER(-MID(D956,1,{1,2,3,4,5})),{1,2,3,4,5})+1,9),'Hue codes'!$A$1:$B$10,2,FALSE)</f>
        <v>70</v>
      </c>
      <c r="C956">
        <f t="shared" si="29"/>
        <v>77.5</v>
      </c>
      <c r="D956" s="162" t="s">
        <v>51</v>
      </c>
      <c r="E956" s="162">
        <v>6</v>
      </c>
      <c r="F956" s="162">
        <v>14</v>
      </c>
      <c r="G956" s="164">
        <v>0.44540000000000002</v>
      </c>
      <c r="H956" s="164">
        <v>0.55589999999999995</v>
      </c>
      <c r="I956" s="164">
        <v>0.97660000000000002</v>
      </c>
      <c r="J956" s="15" t="str">
        <f>HYPERLINK(SetRGB(J956,G956*255,H956*255,I956*255),"HOVER!")</f>
        <v>HOVER!</v>
      </c>
      <c r="K956">
        <f t="shared" si="30"/>
        <v>0.42857142857142855</v>
      </c>
    </row>
    <row r="957" spans="1:11" x14ac:dyDescent="0.3">
      <c r="A957">
        <f>LOOKUP(9E+307,--MID(D957,1,{1,2,3,4,5}))</f>
        <v>10</v>
      </c>
      <c r="B957">
        <f>VLOOKUP(MID(D957,LOOKUP(2,1/ISNUMBER(-MID(D957,1,{1,2,3,4,5})),{1,2,3,4,5})+1,9),'Hue codes'!$A$1:$B$10,2,FALSE)</f>
        <v>70</v>
      </c>
      <c r="C957">
        <f t="shared" si="29"/>
        <v>80</v>
      </c>
      <c r="D957" s="162" t="s">
        <v>52</v>
      </c>
      <c r="E957" s="162">
        <v>6</v>
      </c>
      <c r="F957" s="162">
        <v>2</v>
      </c>
      <c r="G957" s="164">
        <v>0.58440000000000003</v>
      </c>
      <c r="H957" s="164">
        <v>0.57889999999999997</v>
      </c>
      <c r="I957" s="164">
        <v>0.63039999999999996</v>
      </c>
      <c r="J957" s="2" t="str">
        <f>HYPERLINK(SetRGB(J957,G957*255,H957*255,I957*255),"HOVER!")</f>
        <v>HOVER!</v>
      </c>
      <c r="K957">
        <f t="shared" si="30"/>
        <v>3</v>
      </c>
    </row>
    <row r="958" spans="1:11" x14ac:dyDescent="0.3">
      <c r="A958">
        <f>LOOKUP(9E+307,--MID(D958,1,{1,2,3,4,5}))</f>
        <v>10</v>
      </c>
      <c r="B958">
        <f>VLOOKUP(MID(D958,LOOKUP(2,1/ISNUMBER(-MID(D958,1,{1,2,3,4,5})),{1,2,3,4,5})+1,9),'Hue codes'!$A$1:$B$10,2,FALSE)</f>
        <v>70</v>
      </c>
      <c r="C958">
        <f t="shared" si="29"/>
        <v>80</v>
      </c>
      <c r="D958" s="162" t="s">
        <v>52</v>
      </c>
      <c r="E958" s="162">
        <v>6</v>
      </c>
      <c r="F958" s="162">
        <v>4</v>
      </c>
      <c r="G958" s="164">
        <v>0.58289999999999997</v>
      </c>
      <c r="H958" s="164">
        <v>0.5726</v>
      </c>
      <c r="I958" s="164">
        <v>0.68230000000000002</v>
      </c>
      <c r="J958" s="2" t="str">
        <f>HYPERLINK(SetRGB(J958,G958*255,H958*255,I958*255),"HOVER!")</f>
        <v>HOVER!</v>
      </c>
      <c r="K958">
        <f t="shared" si="30"/>
        <v>1.5</v>
      </c>
    </row>
    <row r="959" spans="1:11" x14ac:dyDescent="0.3">
      <c r="A959">
        <f>LOOKUP(9E+307,--MID(D959,1,{1,2,3,4,5}))</f>
        <v>10</v>
      </c>
      <c r="B959">
        <f>VLOOKUP(MID(D959,LOOKUP(2,1/ISNUMBER(-MID(D959,1,{1,2,3,4,5})),{1,2,3,4,5})+1,9),'Hue codes'!$A$1:$B$10,2,FALSE)</f>
        <v>70</v>
      </c>
      <c r="C959">
        <f t="shared" si="29"/>
        <v>80</v>
      </c>
      <c r="D959" s="162" t="s">
        <v>52</v>
      </c>
      <c r="E959" s="162">
        <v>6</v>
      </c>
      <c r="F959" s="162">
        <v>6</v>
      </c>
      <c r="G959" s="164">
        <v>0.58179999999999998</v>
      </c>
      <c r="H959" s="164">
        <v>0.56489999999999996</v>
      </c>
      <c r="I959" s="164">
        <v>0.7369</v>
      </c>
      <c r="J959" s="2" t="str">
        <f>HYPERLINK(SetRGB(J959,G959*255,H959*255,I959*255),"HOVER!")</f>
        <v>HOVER!</v>
      </c>
      <c r="K959">
        <f t="shared" si="30"/>
        <v>1</v>
      </c>
    </row>
    <row r="960" spans="1:11" x14ac:dyDescent="0.3">
      <c r="A960">
        <f>LOOKUP(9E+307,--MID(D960,1,{1,2,3,4,5}))</f>
        <v>10</v>
      </c>
      <c r="B960">
        <f>VLOOKUP(MID(D960,LOOKUP(2,1/ISNUMBER(-MID(D960,1,{1,2,3,4,5})),{1,2,3,4,5})+1,9),'Hue codes'!$A$1:$B$10,2,FALSE)</f>
        <v>70</v>
      </c>
      <c r="C960">
        <f t="shared" si="29"/>
        <v>80</v>
      </c>
      <c r="D960" s="162" t="s">
        <v>52</v>
      </c>
      <c r="E960" s="162">
        <v>6</v>
      </c>
      <c r="F960" s="162">
        <v>8</v>
      </c>
      <c r="G960" s="164">
        <v>0.58120000000000005</v>
      </c>
      <c r="H960" s="164">
        <v>0.55710000000000004</v>
      </c>
      <c r="I960" s="164">
        <v>0.78600000000000003</v>
      </c>
      <c r="J960" s="2" t="str">
        <f>HYPERLINK(SetRGB(J960,G960*255,H960*255,I960*255),"HOVER!")</f>
        <v>HOVER!</v>
      </c>
      <c r="K960">
        <f t="shared" si="30"/>
        <v>0.75</v>
      </c>
    </row>
    <row r="961" spans="1:11" x14ac:dyDescent="0.3">
      <c r="A961">
        <f>LOOKUP(9E+307,--MID(D961,1,{1,2,3,4,5}))</f>
        <v>10</v>
      </c>
      <c r="B961">
        <f>VLOOKUP(MID(D961,LOOKUP(2,1/ISNUMBER(-MID(D961,1,{1,2,3,4,5})),{1,2,3,4,5})+1,9),'Hue codes'!$A$1:$B$10,2,FALSE)</f>
        <v>70</v>
      </c>
      <c r="C961">
        <f t="shared" si="29"/>
        <v>80</v>
      </c>
      <c r="D961" s="162" t="s">
        <v>52</v>
      </c>
      <c r="E961" s="162">
        <v>6</v>
      </c>
      <c r="F961" s="162">
        <v>10</v>
      </c>
      <c r="G961" s="164">
        <v>0.58189999999999997</v>
      </c>
      <c r="H961" s="164">
        <v>0.54759999999999998</v>
      </c>
      <c r="I961" s="164">
        <v>0.83699999999999997</v>
      </c>
      <c r="J961" s="2" t="str">
        <f>HYPERLINK(SetRGB(J961,G961*255,H961*255,I961*255),"HOVER!")</f>
        <v>HOVER!</v>
      </c>
      <c r="K961">
        <f t="shared" si="30"/>
        <v>0.6</v>
      </c>
    </row>
    <row r="962" spans="1:11" x14ac:dyDescent="0.3">
      <c r="A962">
        <f>LOOKUP(9E+307,--MID(D962,1,{1,2,3,4,5}))</f>
        <v>10</v>
      </c>
      <c r="B962">
        <f>VLOOKUP(MID(D962,LOOKUP(2,1/ISNUMBER(-MID(D962,1,{1,2,3,4,5})),{1,2,3,4,5})+1,9),'Hue codes'!$A$1:$B$10,2,FALSE)</f>
        <v>70</v>
      </c>
      <c r="C962">
        <f t="shared" si="29"/>
        <v>80</v>
      </c>
      <c r="D962" s="162" t="s">
        <v>52</v>
      </c>
      <c r="E962" s="162">
        <v>6</v>
      </c>
      <c r="F962" s="162">
        <v>12</v>
      </c>
      <c r="G962" s="164">
        <v>0.58189999999999997</v>
      </c>
      <c r="H962" s="164">
        <v>0.53639999999999999</v>
      </c>
      <c r="I962" s="164">
        <v>0.89290000000000003</v>
      </c>
      <c r="J962" s="2" t="str">
        <f>HYPERLINK(SetRGB(J962,G962*255,H962*255,I962*255),"HOVER!")</f>
        <v>HOVER!</v>
      </c>
      <c r="K962">
        <f t="shared" si="30"/>
        <v>0.5</v>
      </c>
    </row>
    <row r="963" spans="1:11" x14ac:dyDescent="0.3">
      <c r="A963">
        <f>LOOKUP(9E+307,--MID(D963,1,{1,2,3,4,5}))</f>
        <v>10</v>
      </c>
      <c r="B963">
        <f>VLOOKUP(MID(D963,LOOKUP(2,1/ISNUMBER(-MID(D963,1,{1,2,3,4,5})),{1,2,3,4,5})+1,9),'Hue codes'!$A$1:$B$10,2,FALSE)</f>
        <v>70</v>
      </c>
      <c r="C963">
        <f t="shared" ref="C963:C1026" si="31">IF(A963+B963=100,0,A963+B963)</f>
        <v>80</v>
      </c>
      <c r="D963" s="162" t="s">
        <v>52</v>
      </c>
      <c r="E963" s="162">
        <v>6</v>
      </c>
      <c r="F963" s="162">
        <v>14</v>
      </c>
      <c r="G963" s="164">
        <v>0.58260000000000001</v>
      </c>
      <c r="H963" s="164">
        <v>0.52390000000000003</v>
      </c>
      <c r="I963" s="164">
        <v>0.94730000000000003</v>
      </c>
      <c r="J963" s="2" t="str">
        <f>HYPERLINK(SetRGB(J963,G963*255,H963*255,I963*255),"HOVER!")</f>
        <v>HOVER!</v>
      </c>
      <c r="K963">
        <f t="shared" si="30"/>
        <v>0.42857142857142855</v>
      </c>
    </row>
    <row r="964" spans="1:11" x14ac:dyDescent="0.3">
      <c r="A964">
        <f>LOOKUP(9E+307,--MID(D964,1,{1,2,3,4,5}))</f>
        <v>10</v>
      </c>
      <c r="B964">
        <f>VLOOKUP(MID(D964,LOOKUP(2,1/ISNUMBER(-MID(D964,1,{1,2,3,4,5})),{1,2,3,4,5})+1,9),'Hue codes'!$A$1:$B$10,2,FALSE)</f>
        <v>70</v>
      </c>
      <c r="C964">
        <f t="shared" si="31"/>
        <v>80</v>
      </c>
      <c r="D964" s="162" t="s">
        <v>52</v>
      </c>
      <c r="E964" s="162">
        <v>6</v>
      </c>
      <c r="F964" s="162">
        <v>16</v>
      </c>
      <c r="G964" s="164">
        <v>0.58699999999999997</v>
      </c>
      <c r="H964" s="164">
        <v>0.50649999999999995</v>
      </c>
      <c r="I964" s="164">
        <v>1</v>
      </c>
      <c r="J964" s="2" t="str">
        <f>HYPERLINK(SetRGB(J964,G964*255,H964*255,I964*255),"HOVER!")</f>
        <v>HOVER!</v>
      </c>
      <c r="K964">
        <f t="shared" si="30"/>
        <v>0.375</v>
      </c>
    </row>
    <row r="965" spans="1:11" x14ac:dyDescent="0.3">
      <c r="A965">
        <f>LOOKUP(9E+307,--MID(D965,1,{1,2,3,4,5}))</f>
        <v>2.5</v>
      </c>
      <c r="B965">
        <f>VLOOKUP(MID(D965,LOOKUP(2,1/ISNUMBER(-MID(D965,1,{1,2,3,4,5})),{1,2,3,4,5})+1,9),'Hue codes'!$A$1:$B$10,2,FALSE)</f>
        <v>80</v>
      </c>
      <c r="C965">
        <f t="shared" si="31"/>
        <v>82.5</v>
      </c>
      <c r="D965" s="162" t="s">
        <v>53</v>
      </c>
      <c r="E965" s="162">
        <v>6</v>
      </c>
      <c r="F965" s="162">
        <v>2</v>
      </c>
      <c r="G965" s="164">
        <v>0.59399999999999997</v>
      </c>
      <c r="H965" s="164">
        <v>0.57609999999999995</v>
      </c>
      <c r="I965" s="164">
        <v>0.62849999999999995</v>
      </c>
      <c r="J965" s="2" t="str">
        <f>HYPERLINK(SetRGB(J965,G965*255,H965*255,I965*255),"HOVER!")</f>
        <v>HOVER!</v>
      </c>
      <c r="K965">
        <f t="shared" si="30"/>
        <v>3</v>
      </c>
    </row>
    <row r="966" spans="1:11" x14ac:dyDescent="0.3">
      <c r="A966">
        <f>LOOKUP(9E+307,--MID(D966,1,{1,2,3,4,5}))</f>
        <v>2.5</v>
      </c>
      <c r="B966">
        <f>VLOOKUP(MID(D966,LOOKUP(2,1/ISNUMBER(-MID(D966,1,{1,2,3,4,5})),{1,2,3,4,5})+1,9),'Hue codes'!$A$1:$B$10,2,FALSE)</f>
        <v>80</v>
      </c>
      <c r="C966">
        <f t="shared" si="31"/>
        <v>82.5</v>
      </c>
      <c r="D966" s="162" t="s">
        <v>53</v>
      </c>
      <c r="E966" s="162">
        <v>6</v>
      </c>
      <c r="F966" s="162">
        <v>4</v>
      </c>
      <c r="G966" s="164">
        <v>0.60489999999999999</v>
      </c>
      <c r="H966" s="164">
        <v>0.56659999999999999</v>
      </c>
      <c r="I966" s="164">
        <v>0.67469999999999997</v>
      </c>
      <c r="J966" s="2" t="str">
        <f>HYPERLINK(SetRGB(J966,G966*255,H966*255,I966*255),"HOVER!")</f>
        <v>HOVER!</v>
      </c>
      <c r="K966">
        <f t="shared" si="30"/>
        <v>1.5</v>
      </c>
    </row>
    <row r="967" spans="1:11" x14ac:dyDescent="0.3">
      <c r="A967">
        <f>LOOKUP(9E+307,--MID(D967,1,{1,2,3,4,5}))</f>
        <v>2.5</v>
      </c>
      <c r="B967">
        <f>VLOOKUP(MID(D967,LOOKUP(2,1/ISNUMBER(-MID(D967,1,{1,2,3,4,5})),{1,2,3,4,5})+1,9),'Hue codes'!$A$1:$B$10,2,FALSE)</f>
        <v>80</v>
      </c>
      <c r="C967">
        <f t="shared" si="31"/>
        <v>82.5</v>
      </c>
      <c r="D967" s="162" t="s">
        <v>53</v>
      </c>
      <c r="E967" s="162">
        <v>6</v>
      </c>
      <c r="F967" s="162">
        <v>6</v>
      </c>
      <c r="G967" s="164">
        <v>0.61680000000000001</v>
      </c>
      <c r="H967" s="164">
        <v>0.55520000000000003</v>
      </c>
      <c r="I967" s="164">
        <v>0.7258</v>
      </c>
      <c r="J967" s="2" t="str">
        <f>HYPERLINK(SetRGB(J967,G967*255,H967*255,I967*255),"HOVER!")</f>
        <v>HOVER!</v>
      </c>
      <c r="K967">
        <f t="shared" si="30"/>
        <v>1</v>
      </c>
    </row>
    <row r="968" spans="1:11" x14ac:dyDescent="0.3">
      <c r="A968">
        <f>LOOKUP(9E+307,--MID(D968,1,{1,2,3,4,5}))</f>
        <v>2.5</v>
      </c>
      <c r="B968">
        <f>VLOOKUP(MID(D968,LOOKUP(2,1/ISNUMBER(-MID(D968,1,{1,2,3,4,5})),{1,2,3,4,5})+1,9),'Hue codes'!$A$1:$B$10,2,FALSE)</f>
        <v>80</v>
      </c>
      <c r="C968">
        <f t="shared" si="31"/>
        <v>82.5</v>
      </c>
      <c r="D968" s="162" t="s">
        <v>53</v>
      </c>
      <c r="E968" s="162">
        <v>6</v>
      </c>
      <c r="F968" s="162">
        <v>8</v>
      </c>
      <c r="G968" s="164">
        <v>0.63009999999999999</v>
      </c>
      <c r="H968" s="164">
        <v>0.54290000000000005</v>
      </c>
      <c r="I968" s="164">
        <v>0.77180000000000004</v>
      </c>
      <c r="J968" s="2" t="str">
        <f>HYPERLINK(SetRGB(J968,G968*255,H968*255,I968*255),"HOVER!")</f>
        <v>HOVER!</v>
      </c>
      <c r="K968">
        <f t="shared" si="30"/>
        <v>0.75</v>
      </c>
    </row>
    <row r="969" spans="1:11" x14ac:dyDescent="0.3">
      <c r="A969">
        <f>LOOKUP(9E+307,--MID(D969,1,{1,2,3,4,5}))</f>
        <v>2.5</v>
      </c>
      <c r="B969">
        <f>VLOOKUP(MID(D969,LOOKUP(2,1/ISNUMBER(-MID(D969,1,{1,2,3,4,5})),{1,2,3,4,5})+1,9),'Hue codes'!$A$1:$B$10,2,FALSE)</f>
        <v>80</v>
      </c>
      <c r="C969">
        <f t="shared" si="31"/>
        <v>82.5</v>
      </c>
      <c r="D969" s="162" t="s">
        <v>53</v>
      </c>
      <c r="E969" s="162">
        <v>6</v>
      </c>
      <c r="F969" s="162">
        <v>10</v>
      </c>
      <c r="G969" s="164">
        <v>0.64449999999999996</v>
      </c>
      <c r="H969" s="164">
        <v>0.52900000000000003</v>
      </c>
      <c r="I969" s="164">
        <v>0.81810000000000005</v>
      </c>
      <c r="J969" s="2" t="str">
        <f>HYPERLINK(SetRGB(J969,G969*255,H969*255,I969*255),"HOVER!")</f>
        <v>HOVER!</v>
      </c>
      <c r="K969">
        <f t="shared" si="30"/>
        <v>0.6</v>
      </c>
    </row>
    <row r="970" spans="1:11" x14ac:dyDescent="0.3">
      <c r="A970">
        <f>LOOKUP(9E+307,--MID(D970,1,{1,2,3,4,5}))</f>
        <v>2.5</v>
      </c>
      <c r="B970">
        <f>VLOOKUP(MID(D970,LOOKUP(2,1/ISNUMBER(-MID(D970,1,{1,2,3,4,5})),{1,2,3,4,5})+1,9),'Hue codes'!$A$1:$B$10,2,FALSE)</f>
        <v>80</v>
      </c>
      <c r="C970">
        <f t="shared" si="31"/>
        <v>82.5</v>
      </c>
      <c r="D970" s="162" t="s">
        <v>53</v>
      </c>
      <c r="E970" s="162">
        <v>6</v>
      </c>
      <c r="F970" s="162">
        <v>12</v>
      </c>
      <c r="G970" s="164">
        <v>0.66120000000000001</v>
      </c>
      <c r="H970" s="164">
        <v>0.51319999999999999</v>
      </c>
      <c r="I970" s="164">
        <v>0.8629</v>
      </c>
      <c r="J970" s="2" t="str">
        <f>HYPERLINK(SetRGB(J970,G970*255,H970*255,I970*255),"HOVER!")</f>
        <v>HOVER!</v>
      </c>
      <c r="K970">
        <f t="shared" si="30"/>
        <v>0.5</v>
      </c>
    </row>
    <row r="971" spans="1:11" x14ac:dyDescent="0.3">
      <c r="A971">
        <f>LOOKUP(9E+307,--MID(D971,1,{1,2,3,4,5}))</f>
        <v>2.5</v>
      </c>
      <c r="B971">
        <f>VLOOKUP(MID(D971,LOOKUP(2,1/ISNUMBER(-MID(D971,1,{1,2,3,4,5})),{1,2,3,4,5})+1,9),'Hue codes'!$A$1:$B$10,2,FALSE)</f>
        <v>80</v>
      </c>
      <c r="C971">
        <f t="shared" si="31"/>
        <v>82.5</v>
      </c>
      <c r="D971" s="162" t="s">
        <v>53</v>
      </c>
      <c r="E971" s="162">
        <v>6</v>
      </c>
      <c r="F971" s="162">
        <v>14</v>
      </c>
      <c r="G971" s="164">
        <v>0.67800000000000005</v>
      </c>
      <c r="H971" s="164">
        <v>0.4955</v>
      </c>
      <c r="I971" s="164">
        <v>0.9083</v>
      </c>
      <c r="J971" s="2" t="str">
        <f>HYPERLINK(SetRGB(J971,G971*255,H971*255,I971*255),"HOVER!")</f>
        <v>HOVER!</v>
      </c>
      <c r="K971">
        <f t="shared" si="30"/>
        <v>0.42857142857142855</v>
      </c>
    </row>
    <row r="972" spans="1:11" x14ac:dyDescent="0.3">
      <c r="A972">
        <f>LOOKUP(9E+307,--MID(D972,1,{1,2,3,4,5}))</f>
        <v>2.5</v>
      </c>
      <c r="B972">
        <f>VLOOKUP(MID(D972,LOOKUP(2,1/ISNUMBER(-MID(D972,1,{1,2,3,4,5})),{1,2,3,4,5})+1,9),'Hue codes'!$A$1:$B$10,2,FALSE)</f>
        <v>80</v>
      </c>
      <c r="C972">
        <f t="shared" si="31"/>
        <v>82.5</v>
      </c>
      <c r="D972" s="162" t="s">
        <v>53</v>
      </c>
      <c r="E972" s="162">
        <v>6</v>
      </c>
      <c r="F972" s="162">
        <v>16</v>
      </c>
      <c r="G972" s="164">
        <v>0.70040000000000002</v>
      </c>
      <c r="H972" s="164">
        <v>0.47260000000000002</v>
      </c>
      <c r="I972" s="164">
        <v>0.95630000000000004</v>
      </c>
      <c r="J972" s="2" t="str">
        <f>HYPERLINK(SetRGB(J972,G972*255,H972*255,I972*255),"HOVER!")</f>
        <v>HOVER!</v>
      </c>
      <c r="K972">
        <f t="shared" si="30"/>
        <v>0.375</v>
      </c>
    </row>
    <row r="973" spans="1:11" x14ac:dyDescent="0.3">
      <c r="A973">
        <f>LOOKUP(9E+307,--MID(D973,1,{1,2,3,4,5}))</f>
        <v>2.5</v>
      </c>
      <c r="B973">
        <f>VLOOKUP(MID(D973,LOOKUP(2,1/ISNUMBER(-MID(D973,1,{1,2,3,4,5})),{1,2,3,4,5})+1,9),'Hue codes'!$A$1:$B$10,2,FALSE)</f>
        <v>80</v>
      </c>
      <c r="C973">
        <f t="shared" si="31"/>
        <v>82.5</v>
      </c>
      <c r="D973" s="162" t="s">
        <v>53</v>
      </c>
      <c r="E973" s="162">
        <v>6</v>
      </c>
      <c r="F973" s="162">
        <v>18</v>
      </c>
      <c r="G973" s="164">
        <v>0.7157</v>
      </c>
      <c r="H973" s="164">
        <v>0.45279999999999998</v>
      </c>
      <c r="I973" s="164">
        <v>0.99750000000000005</v>
      </c>
      <c r="J973" s="2" t="str">
        <f>HYPERLINK(SetRGB(J973,G973*255,H973*255,I973*255),"HOVER!")</f>
        <v>HOVER!</v>
      </c>
      <c r="K973">
        <f t="shared" si="30"/>
        <v>0.33333333333333331</v>
      </c>
    </row>
    <row r="974" spans="1:11" x14ac:dyDescent="0.3">
      <c r="A974">
        <f>LOOKUP(9E+307,--MID(D974,1,{1,2,3,4,5}))</f>
        <v>5</v>
      </c>
      <c r="B974">
        <f>VLOOKUP(MID(D974,LOOKUP(2,1/ISNUMBER(-MID(D974,1,{1,2,3,4,5})),{1,2,3,4,5})+1,9),'Hue codes'!$A$1:$B$10,2,FALSE)</f>
        <v>80</v>
      </c>
      <c r="C974">
        <f t="shared" si="31"/>
        <v>85</v>
      </c>
      <c r="D974" s="162" t="s">
        <v>54</v>
      </c>
      <c r="E974" s="162">
        <v>6</v>
      </c>
      <c r="F974" s="162">
        <v>2</v>
      </c>
      <c r="G974" s="164">
        <v>0.60370000000000001</v>
      </c>
      <c r="H974" s="164">
        <v>0.57350000000000001</v>
      </c>
      <c r="I974" s="164">
        <v>0.62460000000000004</v>
      </c>
      <c r="J974" s="2" t="str">
        <f>HYPERLINK(SetRGB(J974,G974*255,H974*255,I974*255),"HOVER!")</f>
        <v>HOVER!</v>
      </c>
      <c r="K974">
        <f t="shared" si="30"/>
        <v>3</v>
      </c>
    </row>
    <row r="975" spans="1:11" x14ac:dyDescent="0.3">
      <c r="A975">
        <f>LOOKUP(9E+307,--MID(D975,1,{1,2,3,4,5}))</f>
        <v>5</v>
      </c>
      <c r="B975">
        <f>VLOOKUP(MID(D975,LOOKUP(2,1/ISNUMBER(-MID(D975,1,{1,2,3,4,5})),{1,2,3,4,5})+1,9),'Hue codes'!$A$1:$B$10,2,FALSE)</f>
        <v>80</v>
      </c>
      <c r="C975">
        <f t="shared" si="31"/>
        <v>85</v>
      </c>
      <c r="D975" s="162" t="s">
        <v>54</v>
      </c>
      <c r="E975" s="162">
        <v>6</v>
      </c>
      <c r="F975" s="162">
        <v>4</v>
      </c>
      <c r="G975" s="164">
        <v>0.62439999999999996</v>
      </c>
      <c r="H975" s="164">
        <v>0.56130000000000002</v>
      </c>
      <c r="I975" s="164">
        <v>0.66579999999999995</v>
      </c>
      <c r="J975" s="2" t="str">
        <f>HYPERLINK(SetRGB(J975,G975*255,H975*255,I975*255),"HOVER!")</f>
        <v>HOVER!</v>
      </c>
      <c r="K975">
        <f t="shared" si="30"/>
        <v>1.5</v>
      </c>
    </row>
    <row r="976" spans="1:11" x14ac:dyDescent="0.3">
      <c r="A976">
        <f>LOOKUP(9E+307,--MID(D976,1,{1,2,3,4,5}))</f>
        <v>5</v>
      </c>
      <c r="B976">
        <f>VLOOKUP(MID(D976,LOOKUP(2,1/ISNUMBER(-MID(D976,1,{1,2,3,4,5})),{1,2,3,4,5})+1,9),'Hue codes'!$A$1:$B$10,2,FALSE)</f>
        <v>80</v>
      </c>
      <c r="C976">
        <f t="shared" si="31"/>
        <v>85</v>
      </c>
      <c r="D976" s="162" t="s">
        <v>54</v>
      </c>
      <c r="E976" s="162">
        <v>6</v>
      </c>
      <c r="F976" s="162">
        <v>6</v>
      </c>
      <c r="G976" s="164">
        <v>0.64710000000000001</v>
      </c>
      <c r="H976" s="164">
        <v>0.54669999999999996</v>
      </c>
      <c r="I976" s="164">
        <v>0.71020000000000005</v>
      </c>
      <c r="J976" s="2" t="str">
        <f>HYPERLINK(SetRGB(J976,G976*255,H976*255,I976*255),"HOVER!")</f>
        <v>HOVER!</v>
      </c>
      <c r="K976">
        <f t="shared" si="30"/>
        <v>1</v>
      </c>
    </row>
    <row r="977" spans="1:11" x14ac:dyDescent="0.3">
      <c r="A977">
        <f>LOOKUP(9E+307,--MID(D977,1,{1,2,3,4,5}))</f>
        <v>5</v>
      </c>
      <c r="B977">
        <f>VLOOKUP(MID(D977,LOOKUP(2,1/ISNUMBER(-MID(D977,1,{1,2,3,4,5})),{1,2,3,4,5})+1,9),'Hue codes'!$A$1:$B$10,2,FALSE)</f>
        <v>80</v>
      </c>
      <c r="C977">
        <f t="shared" si="31"/>
        <v>85</v>
      </c>
      <c r="D977" s="162" t="s">
        <v>54</v>
      </c>
      <c r="E977" s="162">
        <v>6</v>
      </c>
      <c r="F977" s="162">
        <v>8</v>
      </c>
      <c r="G977" s="164">
        <v>0.66779999999999995</v>
      </c>
      <c r="H977" s="164">
        <v>0.53210000000000002</v>
      </c>
      <c r="I977" s="164">
        <v>0.75049999999999994</v>
      </c>
      <c r="J977" s="2" t="str">
        <f>HYPERLINK(SetRGB(J977,G977*255,H977*255,I977*255),"HOVER!")</f>
        <v>HOVER!</v>
      </c>
      <c r="K977">
        <f t="shared" si="30"/>
        <v>0.75</v>
      </c>
    </row>
    <row r="978" spans="1:11" x14ac:dyDescent="0.3">
      <c r="A978">
        <f>LOOKUP(9E+307,--MID(D978,1,{1,2,3,4,5}))</f>
        <v>5</v>
      </c>
      <c r="B978">
        <f>VLOOKUP(MID(D978,LOOKUP(2,1/ISNUMBER(-MID(D978,1,{1,2,3,4,5})),{1,2,3,4,5})+1,9),'Hue codes'!$A$1:$B$10,2,FALSE)</f>
        <v>80</v>
      </c>
      <c r="C978">
        <f t="shared" si="31"/>
        <v>85</v>
      </c>
      <c r="D978" s="162" t="s">
        <v>54</v>
      </c>
      <c r="E978" s="162">
        <v>6</v>
      </c>
      <c r="F978" s="162">
        <v>10</v>
      </c>
      <c r="G978" s="164">
        <v>0.6905</v>
      </c>
      <c r="H978" s="164">
        <v>0.51500000000000001</v>
      </c>
      <c r="I978" s="164">
        <v>0.79239999999999999</v>
      </c>
      <c r="J978" s="2" t="str">
        <f>HYPERLINK(SetRGB(J978,G978*255,H978*255,I978*255),"HOVER!")</f>
        <v>HOVER!</v>
      </c>
      <c r="K978">
        <f t="shared" si="30"/>
        <v>0.6</v>
      </c>
    </row>
    <row r="979" spans="1:11" x14ac:dyDescent="0.3">
      <c r="A979">
        <f>LOOKUP(9E+307,--MID(D979,1,{1,2,3,4,5}))</f>
        <v>5</v>
      </c>
      <c r="B979">
        <f>VLOOKUP(MID(D979,LOOKUP(2,1/ISNUMBER(-MID(D979,1,{1,2,3,4,5})),{1,2,3,4,5})+1,9),'Hue codes'!$A$1:$B$10,2,FALSE)</f>
        <v>80</v>
      </c>
      <c r="C979">
        <f t="shared" si="31"/>
        <v>85</v>
      </c>
      <c r="D979" s="162" t="s">
        <v>54</v>
      </c>
      <c r="E979" s="162">
        <v>6</v>
      </c>
      <c r="F979" s="162">
        <v>12</v>
      </c>
      <c r="G979" s="164">
        <v>0.71350000000000002</v>
      </c>
      <c r="H979" s="164">
        <v>0.49669999999999997</v>
      </c>
      <c r="I979" s="164">
        <v>0.83079999999999998</v>
      </c>
      <c r="J979" s="2" t="str">
        <f>HYPERLINK(SetRGB(J979,G979*255,H979*255,I979*255),"HOVER!")</f>
        <v>HOVER!</v>
      </c>
      <c r="K979">
        <f t="shared" si="30"/>
        <v>0.5</v>
      </c>
    </row>
    <row r="980" spans="1:11" x14ac:dyDescent="0.3">
      <c r="A980">
        <f>LOOKUP(9E+307,--MID(D980,1,{1,2,3,4,5}))</f>
        <v>5</v>
      </c>
      <c r="B980">
        <f>VLOOKUP(MID(D980,LOOKUP(2,1/ISNUMBER(-MID(D980,1,{1,2,3,4,5})),{1,2,3,4,5})+1,9),'Hue codes'!$A$1:$B$10,2,FALSE)</f>
        <v>80</v>
      </c>
      <c r="C980">
        <f t="shared" si="31"/>
        <v>85</v>
      </c>
      <c r="D980" s="162" t="s">
        <v>54</v>
      </c>
      <c r="E980" s="162">
        <v>6</v>
      </c>
      <c r="F980" s="162">
        <v>14</v>
      </c>
      <c r="G980" s="164">
        <v>0.73870000000000002</v>
      </c>
      <c r="H980" s="164">
        <v>0.47439999999999999</v>
      </c>
      <c r="I980" s="164">
        <v>0.873</v>
      </c>
      <c r="J980" s="2" t="str">
        <f>HYPERLINK(SetRGB(J980,G980*255,H980*255,I980*255),"HOVER!")</f>
        <v>HOVER!</v>
      </c>
      <c r="K980">
        <f t="shared" si="30"/>
        <v>0.42857142857142855</v>
      </c>
    </row>
    <row r="981" spans="1:11" x14ac:dyDescent="0.3">
      <c r="A981">
        <f>LOOKUP(9E+307,--MID(D981,1,{1,2,3,4,5}))</f>
        <v>5</v>
      </c>
      <c r="B981">
        <f>VLOOKUP(MID(D981,LOOKUP(2,1/ISNUMBER(-MID(D981,1,{1,2,3,4,5})),{1,2,3,4,5})+1,9),'Hue codes'!$A$1:$B$10,2,FALSE)</f>
        <v>80</v>
      </c>
      <c r="C981">
        <f t="shared" si="31"/>
        <v>85</v>
      </c>
      <c r="D981" s="162" t="s">
        <v>54</v>
      </c>
      <c r="E981" s="162">
        <v>6</v>
      </c>
      <c r="F981" s="162">
        <v>16</v>
      </c>
      <c r="G981" s="164">
        <v>0.76270000000000004</v>
      </c>
      <c r="H981" s="164">
        <v>0.45050000000000001</v>
      </c>
      <c r="I981" s="164">
        <v>0.91369999999999996</v>
      </c>
      <c r="J981" s="2" t="str">
        <f>HYPERLINK(SetRGB(J981,G981*255,H981*255,I981*255),"HOVER!")</f>
        <v>HOVER!</v>
      </c>
      <c r="K981">
        <f t="shared" si="30"/>
        <v>0.375</v>
      </c>
    </row>
    <row r="982" spans="1:11" x14ac:dyDescent="0.3">
      <c r="A982">
        <f>LOOKUP(9E+307,--MID(D982,1,{1,2,3,4,5}))</f>
        <v>5</v>
      </c>
      <c r="B982">
        <f>VLOOKUP(MID(D982,LOOKUP(2,1/ISNUMBER(-MID(D982,1,{1,2,3,4,5})),{1,2,3,4,5})+1,9),'Hue codes'!$A$1:$B$10,2,FALSE)</f>
        <v>80</v>
      </c>
      <c r="C982">
        <f t="shared" si="31"/>
        <v>85</v>
      </c>
      <c r="D982" s="162" t="s">
        <v>54</v>
      </c>
      <c r="E982" s="162">
        <v>6</v>
      </c>
      <c r="F982" s="162">
        <v>18</v>
      </c>
      <c r="G982" s="164">
        <v>0.78610000000000002</v>
      </c>
      <c r="H982" s="164">
        <v>0.42449999999999999</v>
      </c>
      <c r="I982" s="164">
        <v>0.95289999999999997</v>
      </c>
      <c r="J982" s="2" t="str">
        <f>HYPERLINK(SetRGB(J982,G982*255,H982*255,I982*255),"HOVER!")</f>
        <v>HOVER!</v>
      </c>
      <c r="K982">
        <f t="shared" si="30"/>
        <v>0.33333333333333331</v>
      </c>
    </row>
    <row r="983" spans="1:11" x14ac:dyDescent="0.3">
      <c r="A983">
        <f>LOOKUP(9E+307,--MID(D983,1,{1,2,3,4,5}))</f>
        <v>5</v>
      </c>
      <c r="B983">
        <f>VLOOKUP(MID(D983,LOOKUP(2,1/ISNUMBER(-MID(D983,1,{1,2,3,4,5})),{1,2,3,4,5})+1,9),'Hue codes'!$A$1:$B$10,2,FALSE)</f>
        <v>80</v>
      </c>
      <c r="C983">
        <f t="shared" si="31"/>
        <v>85</v>
      </c>
      <c r="D983" s="162" t="s">
        <v>54</v>
      </c>
      <c r="E983" s="162">
        <v>6</v>
      </c>
      <c r="F983" s="162">
        <v>20</v>
      </c>
      <c r="G983" s="164">
        <v>0.81310000000000004</v>
      </c>
      <c r="H983" s="164">
        <v>0.3906</v>
      </c>
      <c r="I983" s="164">
        <v>0.99629999999999996</v>
      </c>
      <c r="J983" s="2" t="str">
        <f>HYPERLINK(SetRGB(J983,G983*255,H983*255,I983*255),"HOVER!")</f>
        <v>HOVER!</v>
      </c>
      <c r="K983">
        <f t="shared" si="30"/>
        <v>0.3</v>
      </c>
    </row>
    <row r="984" spans="1:11" x14ac:dyDescent="0.3">
      <c r="A984">
        <f>LOOKUP(9E+307,--MID(D984,1,{1,2,3,4,5}))</f>
        <v>7.5</v>
      </c>
      <c r="B984">
        <f>VLOOKUP(MID(D984,LOOKUP(2,1/ISNUMBER(-MID(D984,1,{1,2,3,4,5})),{1,2,3,4,5})+1,9),'Hue codes'!$A$1:$B$10,2,FALSE)</f>
        <v>80</v>
      </c>
      <c r="C984">
        <f t="shared" si="31"/>
        <v>87.5</v>
      </c>
      <c r="D984" s="162" t="s">
        <v>55</v>
      </c>
      <c r="E984" s="162">
        <v>6</v>
      </c>
      <c r="F984" s="162">
        <v>2</v>
      </c>
      <c r="G984" s="164">
        <v>0.6169</v>
      </c>
      <c r="H984" s="164">
        <v>0.57040000000000002</v>
      </c>
      <c r="I984" s="164">
        <v>0.61529999999999996</v>
      </c>
      <c r="J984" s="2" t="str">
        <f>HYPERLINK(SetRGB(J984,G984*255,H984*255,I984*255),"HOVER!")</f>
        <v>HOVER!</v>
      </c>
      <c r="K984">
        <f t="shared" si="30"/>
        <v>3</v>
      </c>
    </row>
    <row r="985" spans="1:11" x14ac:dyDescent="0.3">
      <c r="A985">
        <f>LOOKUP(9E+307,--MID(D985,1,{1,2,3,4,5}))</f>
        <v>7.5</v>
      </c>
      <c r="B985">
        <f>VLOOKUP(MID(D985,LOOKUP(2,1/ISNUMBER(-MID(D985,1,{1,2,3,4,5})),{1,2,3,4,5})+1,9),'Hue codes'!$A$1:$B$10,2,FALSE)</f>
        <v>80</v>
      </c>
      <c r="C985">
        <f t="shared" si="31"/>
        <v>87.5</v>
      </c>
      <c r="D985" s="162" t="s">
        <v>55</v>
      </c>
      <c r="E985" s="162">
        <v>6</v>
      </c>
      <c r="F985" s="162">
        <v>4</v>
      </c>
      <c r="G985" s="164">
        <v>0.64770000000000005</v>
      </c>
      <c r="H985" s="164">
        <v>0.55549999999999999</v>
      </c>
      <c r="I985" s="164">
        <v>0.64710000000000001</v>
      </c>
      <c r="J985" s="2" t="str">
        <f>HYPERLINK(SetRGB(J985,G985*255,H985*255,I985*255),"HOVER!")</f>
        <v>HOVER!</v>
      </c>
      <c r="K985">
        <f t="shared" si="30"/>
        <v>1.5</v>
      </c>
    </row>
    <row r="986" spans="1:11" x14ac:dyDescent="0.3">
      <c r="A986">
        <f>LOOKUP(9E+307,--MID(D986,1,{1,2,3,4,5}))</f>
        <v>7.5</v>
      </c>
      <c r="B986">
        <f>VLOOKUP(MID(D986,LOOKUP(2,1/ISNUMBER(-MID(D986,1,{1,2,3,4,5})),{1,2,3,4,5})+1,9),'Hue codes'!$A$1:$B$10,2,FALSE)</f>
        <v>80</v>
      </c>
      <c r="C986">
        <f t="shared" si="31"/>
        <v>87.5</v>
      </c>
      <c r="D986" s="162" t="s">
        <v>55</v>
      </c>
      <c r="E986" s="162">
        <v>6</v>
      </c>
      <c r="F986" s="162">
        <v>6</v>
      </c>
      <c r="G986" s="164">
        <v>0.68220000000000003</v>
      </c>
      <c r="H986" s="164">
        <v>0.53680000000000005</v>
      </c>
      <c r="I986" s="164">
        <v>0.68500000000000005</v>
      </c>
      <c r="J986" s="2" t="str">
        <f>HYPERLINK(SetRGB(J986,G986*255,H986*255,I986*255),"HOVER!")</f>
        <v>HOVER!</v>
      </c>
      <c r="K986">
        <f t="shared" si="30"/>
        <v>1</v>
      </c>
    </row>
    <row r="987" spans="1:11" x14ac:dyDescent="0.3">
      <c r="A987">
        <f>LOOKUP(9E+307,--MID(D987,1,{1,2,3,4,5}))</f>
        <v>7.5</v>
      </c>
      <c r="B987">
        <f>VLOOKUP(MID(D987,LOOKUP(2,1/ISNUMBER(-MID(D987,1,{1,2,3,4,5})),{1,2,3,4,5})+1,9),'Hue codes'!$A$1:$B$10,2,FALSE)</f>
        <v>80</v>
      </c>
      <c r="C987">
        <f t="shared" si="31"/>
        <v>87.5</v>
      </c>
      <c r="D987" s="162" t="s">
        <v>55</v>
      </c>
      <c r="E987" s="162">
        <v>6</v>
      </c>
      <c r="F987" s="162">
        <v>8</v>
      </c>
      <c r="G987" s="164">
        <v>0.71309999999999996</v>
      </c>
      <c r="H987" s="164">
        <v>0.51829999999999998</v>
      </c>
      <c r="I987" s="164">
        <v>0.71760000000000002</v>
      </c>
      <c r="J987" s="2" t="str">
        <f>HYPERLINK(SetRGB(J987,G987*255,H987*255,I987*255),"HOVER!")</f>
        <v>HOVER!</v>
      </c>
      <c r="K987">
        <f t="shared" si="30"/>
        <v>0.75</v>
      </c>
    </row>
    <row r="988" spans="1:11" x14ac:dyDescent="0.3">
      <c r="A988">
        <f>LOOKUP(9E+307,--MID(D988,1,{1,2,3,4,5}))</f>
        <v>7.5</v>
      </c>
      <c r="B988">
        <f>VLOOKUP(MID(D988,LOOKUP(2,1/ISNUMBER(-MID(D988,1,{1,2,3,4,5})),{1,2,3,4,5})+1,9),'Hue codes'!$A$1:$B$10,2,FALSE)</f>
        <v>80</v>
      </c>
      <c r="C988">
        <f t="shared" si="31"/>
        <v>87.5</v>
      </c>
      <c r="D988" s="162" t="s">
        <v>55</v>
      </c>
      <c r="E988" s="162">
        <v>6</v>
      </c>
      <c r="F988" s="162">
        <v>10</v>
      </c>
      <c r="G988" s="164">
        <v>0.74529999999999996</v>
      </c>
      <c r="H988" s="164">
        <v>0.4965</v>
      </c>
      <c r="I988" s="164">
        <v>0.75339999999999996</v>
      </c>
      <c r="J988" s="2" t="str">
        <f>HYPERLINK(SetRGB(J988,G988*255,H988*255,I988*255),"HOVER!")</f>
        <v>HOVER!</v>
      </c>
      <c r="K988">
        <f t="shared" si="30"/>
        <v>0.6</v>
      </c>
    </row>
    <row r="989" spans="1:11" x14ac:dyDescent="0.3">
      <c r="A989">
        <f>LOOKUP(9E+307,--MID(D989,1,{1,2,3,4,5}))</f>
        <v>7.5</v>
      </c>
      <c r="B989">
        <f>VLOOKUP(MID(D989,LOOKUP(2,1/ISNUMBER(-MID(D989,1,{1,2,3,4,5})),{1,2,3,4,5})+1,9),'Hue codes'!$A$1:$B$10,2,FALSE)</f>
        <v>80</v>
      </c>
      <c r="C989">
        <f t="shared" si="31"/>
        <v>87.5</v>
      </c>
      <c r="D989" s="162" t="s">
        <v>55</v>
      </c>
      <c r="E989" s="162">
        <v>6</v>
      </c>
      <c r="F989" s="162">
        <v>12</v>
      </c>
      <c r="G989" s="164">
        <v>0.77549999999999997</v>
      </c>
      <c r="H989" s="164">
        <v>0.47399999999999998</v>
      </c>
      <c r="I989" s="164">
        <v>0.78520000000000001</v>
      </c>
      <c r="J989" s="2" t="str">
        <f>HYPERLINK(SetRGB(J989,G989*255,H989*255,I989*255),"HOVER!")</f>
        <v>HOVER!</v>
      </c>
      <c r="K989">
        <f t="shared" si="30"/>
        <v>0.5</v>
      </c>
    </row>
    <row r="990" spans="1:11" x14ac:dyDescent="0.3">
      <c r="A990">
        <f>LOOKUP(9E+307,--MID(D990,1,{1,2,3,4,5}))</f>
        <v>7.5</v>
      </c>
      <c r="B990">
        <f>VLOOKUP(MID(D990,LOOKUP(2,1/ISNUMBER(-MID(D990,1,{1,2,3,4,5})),{1,2,3,4,5})+1,9),'Hue codes'!$A$1:$B$10,2,FALSE)</f>
        <v>80</v>
      </c>
      <c r="C990">
        <f t="shared" si="31"/>
        <v>87.5</v>
      </c>
      <c r="D990" s="162" t="s">
        <v>55</v>
      </c>
      <c r="E990" s="162">
        <v>6</v>
      </c>
      <c r="F990" s="162">
        <v>14</v>
      </c>
      <c r="G990" s="164">
        <v>0.80610000000000004</v>
      </c>
      <c r="H990" s="164">
        <v>0.44800000000000001</v>
      </c>
      <c r="I990" s="164">
        <v>0.81899999999999995</v>
      </c>
      <c r="J990" s="2" t="str">
        <f>HYPERLINK(SetRGB(J990,G990*255,H990*255,I990*255),"HOVER!")</f>
        <v>HOVER!</v>
      </c>
      <c r="K990">
        <f t="shared" si="30"/>
        <v>0.42857142857142855</v>
      </c>
    </row>
    <row r="991" spans="1:11" x14ac:dyDescent="0.3">
      <c r="A991">
        <f>LOOKUP(9E+307,--MID(D991,1,{1,2,3,4,5}))</f>
        <v>7.5</v>
      </c>
      <c r="B991">
        <f>VLOOKUP(MID(D991,LOOKUP(2,1/ISNUMBER(-MID(D991,1,{1,2,3,4,5})),{1,2,3,4,5})+1,9),'Hue codes'!$A$1:$B$10,2,FALSE)</f>
        <v>80</v>
      </c>
      <c r="C991">
        <f t="shared" si="31"/>
        <v>87.5</v>
      </c>
      <c r="D991" s="162" t="s">
        <v>55</v>
      </c>
      <c r="E991" s="162">
        <v>6</v>
      </c>
      <c r="F991" s="162">
        <v>16</v>
      </c>
      <c r="G991" s="164">
        <v>0.83730000000000004</v>
      </c>
      <c r="H991" s="164">
        <v>0.41810000000000003</v>
      </c>
      <c r="I991" s="164">
        <v>0.85260000000000002</v>
      </c>
      <c r="J991" s="2" t="str">
        <f>HYPERLINK(SetRGB(J991,G991*255,H991*255,I991*255),"HOVER!")</f>
        <v>HOVER!</v>
      </c>
      <c r="K991">
        <f t="shared" si="30"/>
        <v>0.375</v>
      </c>
    </row>
    <row r="992" spans="1:11" x14ac:dyDescent="0.3">
      <c r="A992">
        <f>LOOKUP(9E+307,--MID(D992,1,{1,2,3,4,5}))</f>
        <v>7.5</v>
      </c>
      <c r="B992">
        <f>VLOOKUP(MID(D992,LOOKUP(2,1/ISNUMBER(-MID(D992,1,{1,2,3,4,5})),{1,2,3,4,5})+1,9),'Hue codes'!$A$1:$B$10,2,FALSE)</f>
        <v>80</v>
      </c>
      <c r="C992">
        <f t="shared" si="31"/>
        <v>87.5</v>
      </c>
      <c r="D992" s="162" t="s">
        <v>55</v>
      </c>
      <c r="E992" s="162">
        <v>6</v>
      </c>
      <c r="F992" s="162">
        <v>18</v>
      </c>
      <c r="G992" s="164">
        <v>0.86660000000000004</v>
      </c>
      <c r="H992" s="164">
        <v>0.38569999999999999</v>
      </c>
      <c r="I992" s="164">
        <v>0.88449999999999995</v>
      </c>
      <c r="J992" s="2" t="str">
        <f>HYPERLINK(SetRGB(J992,G992*255,H992*255,I992*255),"HOVER!")</f>
        <v>HOVER!</v>
      </c>
      <c r="K992">
        <f t="shared" si="30"/>
        <v>0.33333333333333331</v>
      </c>
    </row>
    <row r="993" spans="1:11" x14ac:dyDescent="0.3">
      <c r="A993">
        <f>LOOKUP(9E+307,--MID(D993,1,{1,2,3,4,5}))</f>
        <v>7.5</v>
      </c>
      <c r="B993">
        <f>VLOOKUP(MID(D993,LOOKUP(2,1/ISNUMBER(-MID(D993,1,{1,2,3,4,5})),{1,2,3,4,5})+1,9),'Hue codes'!$A$1:$B$10,2,FALSE)</f>
        <v>80</v>
      </c>
      <c r="C993">
        <f t="shared" si="31"/>
        <v>87.5</v>
      </c>
      <c r="D993" s="162" t="s">
        <v>55</v>
      </c>
      <c r="E993" s="162">
        <v>6</v>
      </c>
      <c r="F993" s="162">
        <v>20</v>
      </c>
      <c r="G993" s="164">
        <v>0.90369999999999995</v>
      </c>
      <c r="H993" s="164">
        <v>0.33650000000000002</v>
      </c>
      <c r="I993" s="164">
        <v>0.92500000000000004</v>
      </c>
      <c r="J993" s="2" t="str">
        <f>HYPERLINK(SetRGB(J993,G993*255,H993*255,I993*255),"HOVER!")</f>
        <v>HOVER!</v>
      </c>
      <c r="K993">
        <f t="shared" si="30"/>
        <v>0.3</v>
      </c>
    </row>
    <row r="994" spans="1:11" x14ac:dyDescent="0.3">
      <c r="A994">
        <f>LOOKUP(9E+307,--MID(D994,1,{1,2,3,4,5}))</f>
        <v>7.5</v>
      </c>
      <c r="B994">
        <f>VLOOKUP(MID(D994,LOOKUP(2,1/ISNUMBER(-MID(D994,1,{1,2,3,4,5})),{1,2,3,4,5})+1,9),'Hue codes'!$A$1:$B$10,2,FALSE)</f>
        <v>80</v>
      </c>
      <c r="C994">
        <f t="shared" si="31"/>
        <v>87.5</v>
      </c>
      <c r="D994" s="162" t="s">
        <v>55</v>
      </c>
      <c r="E994" s="162">
        <v>6</v>
      </c>
      <c r="F994" s="162">
        <v>22</v>
      </c>
      <c r="G994" s="164">
        <v>0.93740000000000001</v>
      </c>
      <c r="H994" s="164">
        <v>0.27879999999999999</v>
      </c>
      <c r="I994" s="164">
        <v>0.96260000000000001</v>
      </c>
      <c r="J994" s="2" t="str">
        <f>HYPERLINK(SetRGB(J994,G994*255,H994*255,I994*255),"HOVER!")</f>
        <v>HOVER!</v>
      </c>
      <c r="K994">
        <f t="shared" si="30"/>
        <v>0.27272727272727271</v>
      </c>
    </row>
    <row r="995" spans="1:11" x14ac:dyDescent="0.3">
      <c r="A995">
        <f>LOOKUP(9E+307,--MID(D995,1,{1,2,3,4,5}))</f>
        <v>7.5</v>
      </c>
      <c r="B995">
        <f>VLOOKUP(MID(D995,LOOKUP(2,1/ISNUMBER(-MID(D995,1,{1,2,3,4,5})),{1,2,3,4,5})+1,9),'Hue codes'!$A$1:$B$10,2,FALSE)</f>
        <v>80</v>
      </c>
      <c r="C995">
        <f t="shared" si="31"/>
        <v>87.5</v>
      </c>
      <c r="D995" s="162" t="s">
        <v>55</v>
      </c>
      <c r="E995" s="162">
        <v>6</v>
      </c>
      <c r="F995" s="162">
        <v>24</v>
      </c>
      <c r="G995" s="164">
        <v>0.96909999999999996</v>
      </c>
      <c r="H995" s="164">
        <v>0.20449999999999999</v>
      </c>
      <c r="I995" s="164">
        <v>0.99670000000000003</v>
      </c>
      <c r="J995" s="2" t="str">
        <f>HYPERLINK(SetRGB(J995,G995*255,H995*255,I995*255),"HOVER!")</f>
        <v>HOVER!</v>
      </c>
      <c r="K995">
        <f t="shared" si="30"/>
        <v>0.25</v>
      </c>
    </row>
    <row r="996" spans="1:11" x14ac:dyDescent="0.3">
      <c r="A996">
        <f>LOOKUP(9E+307,--MID(D996,1,{1,2,3,4,5}))</f>
        <v>10</v>
      </c>
      <c r="B996">
        <f>VLOOKUP(MID(D996,LOOKUP(2,1/ISNUMBER(-MID(D996,1,{1,2,3,4,5})),{1,2,3,4,5})+1,9),'Hue codes'!$A$1:$B$10,2,FALSE)</f>
        <v>80</v>
      </c>
      <c r="C996">
        <f t="shared" si="31"/>
        <v>90</v>
      </c>
      <c r="D996" s="162" t="s">
        <v>56</v>
      </c>
      <c r="E996" s="162">
        <v>6</v>
      </c>
      <c r="F996" s="162">
        <v>2</v>
      </c>
      <c r="G996" s="164">
        <v>0.62429999999999997</v>
      </c>
      <c r="H996" s="164">
        <v>0.56879999999999997</v>
      </c>
      <c r="I996" s="164">
        <v>0.60750000000000004</v>
      </c>
      <c r="J996" s="2" t="str">
        <f>HYPERLINK(SetRGB(J996,G996*255,H996*255,I996*255),"HOVER!")</f>
        <v>HOVER!</v>
      </c>
      <c r="K996">
        <f t="shared" si="30"/>
        <v>3</v>
      </c>
    </row>
    <row r="997" spans="1:11" x14ac:dyDescent="0.3">
      <c r="A997">
        <f>LOOKUP(9E+307,--MID(D997,1,{1,2,3,4,5}))</f>
        <v>10</v>
      </c>
      <c r="B997">
        <f>VLOOKUP(MID(D997,LOOKUP(2,1/ISNUMBER(-MID(D997,1,{1,2,3,4,5})),{1,2,3,4,5})+1,9),'Hue codes'!$A$1:$B$10,2,FALSE)</f>
        <v>80</v>
      </c>
      <c r="C997">
        <f t="shared" si="31"/>
        <v>90</v>
      </c>
      <c r="D997" s="162" t="s">
        <v>56</v>
      </c>
      <c r="E997" s="162">
        <v>6</v>
      </c>
      <c r="F997" s="162">
        <v>4</v>
      </c>
      <c r="G997" s="164">
        <v>0.6623</v>
      </c>
      <c r="H997" s="164">
        <v>0.55189999999999995</v>
      </c>
      <c r="I997" s="164">
        <v>0.63339999999999996</v>
      </c>
      <c r="J997" s="2" t="str">
        <f>HYPERLINK(SetRGB(J997,G997*255,H997*255,I997*255),"HOVER!")</f>
        <v>HOVER!</v>
      </c>
      <c r="K997">
        <f t="shared" si="30"/>
        <v>1.5</v>
      </c>
    </row>
    <row r="998" spans="1:11" x14ac:dyDescent="0.3">
      <c r="A998">
        <f>LOOKUP(9E+307,--MID(D998,1,{1,2,3,4,5}))</f>
        <v>10</v>
      </c>
      <c r="B998">
        <f>VLOOKUP(MID(D998,LOOKUP(2,1/ISNUMBER(-MID(D998,1,{1,2,3,4,5})),{1,2,3,4,5})+1,9),'Hue codes'!$A$1:$B$10,2,FALSE)</f>
        <v>80</v>
      </c>
      <c r="C998">
        <f t="shared" si="31"/>
        <v>90</v>
      </c>
      <c r="D998" s="162" t="s">
        <v>56</v>
      </c>
      <c r="E998" s="162">
        <v>6</v>
      </c>
      <c r="F998" s="162">
        <v>6</v>
      </c>
      <c r="G998" s="164">
        <v>0.70589999999999997</v>
      </c>
      <c r="H998" s="164">
        <v>0.53029999999999999</v>
      </c>
      <c r="I998" s="164">
        <v>0.66159999999999997</v>
      </c>
      <c r="J998" s="2" t="str">
        <f>HYPERLINK(SetRGB(J998,G998*255,H998*255,I998*255),"HOVER!")</f>
        <v>HOVER!</v>
      </c>
      <c r="K998">
        <f t="shared" si="30"/>
        <v>1</v>
      </c>
    </row>
    <row r="999" spans="1:11" x14ac:dyDescent="0.3">
      <c r="A999">
        <f>LOOKUP(9E+307,--MID(D999,1,{1,2,3,4,5}))</f>
        <v>10</v>
      </c>
      <c r="B999">
        <f>VLOOKUP(MID(D999,LOOKUP(2,1/ISNUMBER(-MID(D999,1,{1,2,3,4,5})),{1,2,3,4,5})+1,9),'Hue codes'!$A$1:$B$10,2,FALSE)</f>
        <v>80</v>
      </c>
      <c r="C999">
        <f t="shared" si="31"/>
        <v>90</v>
      </c>
      <c r="D999" s="162" t="s">
        <v>56</v>
      </c>
      <c r="E999" s="162">
        <v>6</v>
      </c>
      <c r="F999" s="162">
        <v>8</v>
      </c>
      <c r="G999" s="164">
        <v>0.74260000000000004</v>
      </c>
      <c r="H999" s="164">
        <v>0.50939999999999996</v>
      </c>
      <c r="I999" s="164">
        <v>0.68720000000000003</v>
      </c>
      <c r="J999" s="2" t="str">
        <f>HYPERLINK(SetRGB(J999,G999*255,H999*255,I999*255),"HOVER!")</f>
        <v>HOVER!</v>
      </c>
      <c r="K999">
        <f t="shared" si="30"/>
        <v>0.75</v>
      </c>
    </row>
    <row r="1000" spans="1:11" x14ac:dyDescent="0.3">
      <c r="A1000">
        <f>LOOKUP(9E+307,--MID(D1000,1,{1,2,3,4,5}))</f>
        <v>10</v>
      </c>
      <c r="B1000">
        <f>VLOOKUP(MID(D1000,LOOKUP(2,1/ISNUMBER(-MID(D1000,1,{1,2,3,4,5})),{1,2,3,4,5})+1,9),'Hue codes'!$A$1:$B$10,2,FALSE)</f>
        <v>80</v>
      </c>
      <c r="C1000">
        <f t="shared" si="31"/>
        <v>90</v>
      </c>
      <c r="D1000" s="162" t="s">
        <v>56</v>
      </c>
      <c r="E1000" s="162">
        <v>6</v>
      </c>
      <c r="F1000" s="162">
        <v>10</v>
      </c>
      <c r="G1000" s="164">
        <v>0.78149999999999997</v>
      </c>
      <c r="H1000" s="164">
        <v>0.4844</v>
      </c>
      <c r="I1000" s="164">
        <v>0.7147</v>
      </c>
      <c r="J1000" s="2" t="str">
        <f>HYPERLINK(SetRGB(J1000,G1000*255,H1000*255,I1000*255),"HOVER!")</f>
        <v>HOVER!</v>
      </c>
      <c r="K1000">
        <f t="shared" si="30"/>
        <v>0.6</v>
      </c>
    </row>
    <row r="1001" spans="1:11" x14ac:dyDescent="0.3">
      <c r="A1001">
        <f>LOOKUP(9E+307,--MID(D1001,1,{1,2,3,4,5}))</f>
        <v>10</v>
      </c>
      <c r="B1001">
        <f>VLOOKUP(MID(D1001,LOOKUP(2,1/ISNUMBER(-MID(D1001,1,{1,2,3,4,5})),{1,2,3,4,5})+1,9),'Hue codes'!$A$1:$B$10,2,FALSE)</f>
        <v>80</v>
      </c>
      <c r="C1001">
        <f t="shared" si="31"/>
        <v>90</v>
      </c>
      <c r="D1001" s="162" t="s">
        <v>56</v>
      </c>
      <c r="E1001" s="162">
        <v>6</v>
      </c>
      <c r="F1001" s="162">
        <v>12</v>
      </c>
      <c r="G1001" s="164">
        <v>0.81730000000000003</v>
      </c>
      <c r="H1001" s="164">
        <v>0.45810000000000001</v>
      </c>
      <c r="I1001" s="164">
        <v>0.74109999999999998</v>
      </c>
      <c r="J1001" s="2" t="str">
        <f>HYPERLINK(SetRGB(J1001,G1001*255,H1001*255,I1001*255),"HOVER!")</f>
        <v>HOVER!</v>
      </c>
      <c r="K1001">
        <f t="shared" si="30"/>
        <v>0.5</v>
      </c>
    </row>
    <row r="1002" spans="1:11" x14ac:dyDescent="0.3">
      <c r="A1002">
        <f>LOOKUP(9E+307,--MID(D1002,1,{1,2,3,4,5}))</f>
        <v>10</v>
      </c>
      <c r="B1002">
        <f>VLOOKUP(MID(D1002,LOOKUP(2,1/ISNUMBER(-MID(D1002,1,{1,2,3,4,5})),{1,2,3,4,5})+1,9),'Hue codes'!$A$1:$B$10,2,FALSE)</f>
        <v>80</v>
      </c>
      <c r="C1002">
        <f t="shared" si="31"/>
        <v>90</v>
      </c>
      <c r="D1002" s="162" t="s">
        <v>56</v>
      </c>
      <c r="E1002" s="162">
        <v>6</v>
      </c>
      <c r="F1002" s="162">
        <v>14</v>
      </c>
      <c r="G1002" s="164">
        <v>0.85599999999999998</v>
      </c>
      <c r="H1002" s="164">
        <v>0.42530000000000001</v>
      </c>
      <c r="I1002" s="164">
        <v>0.77029999999999998</v>
      </c>
      <c r="J1002" s="2" t="str">
        <f>HYPERLINK(SetRGB(J1002,G1002*255,H1002*255,I1002*255),"HOVER!")</f>
        <v>HOVER!</v>
      </c>
      <c r="K1002">
        <f t="shared" si="30"/>
        <v>0.42857142857142855</v>
      </c>
    </row>
    <row r="1003" spans="1:11" x14ac:dyDescent="0.3">
      <c r="A1003">
        <f>LOOKUP(9E+307,--MID(D1003,1,{1,2,3,4,5}))</f>
        <v>10</v>
      </c>
      <c r="B1003">
        <f>VLOOKUP(MID(D1003,LOOKUP(2,1/ISNUMBER(-MID(D1003,1,{1,2,3,4,5})),{1,2,3,4,5})+1,9),'Hue codes'!$A$1:$B$10,2,FALSE)</f>
        <v>80</v>
      </c>
      <c r="C1003">
        <f t="shared" si="31"/>
        <v>90</v>
      </c>
      <c r="D1003" s="162" t="s">
        <v>56</v>
      </c>
      <c r="E1003" s="162">
        <v>6</v>
      </c>
      <c r="F1003" s="162">
        <v>16</v>
      </c>
      <c r="G1003" s="164">
        <v>0.89</v>
      </c>
      <c r="H1003" s="164">
        <v>0.39150000000000001</v>
      </c>
      <c r="I1003" s="164">
        <v>0.79700000000000004</v>
      </c>
      <c r="J1003" s="2" t="str">
        <f>HYPERLINK(SetRGB(J1003,G1003*255,H1003*255,I1003*255),"HOVER!")</f>
        <v>HOVER!</v>
      </c>
      <c r="K1003">
        <f t="shared" si="30"/>
        <v>0.375</v>
      </c>
    </row>
    <row r="1004" spans="1:11" x14ac:dyDescent="0.3">
      <c r="A1004">
        <f>LOOKUP(9E+307,--MID(D1004,1,{1,2,3,4,5}))</f>
        <v>10</v>
      </c>
      <c r="B1004">
        <f>VLOOKUP(MID(D1004,LOOKUP(2,1/ISNUMBER(-MID(D1004,1,{1,2,3,4,5})),{1,2,3,4,5})+1,9),'Hue codes'!$A$1:$B$10,2,FALSE)</f>
        <v>80</v>
      </c>
      <c r="C1004">
        <f t="shared" si="31"/>
        <v>90</v>
      </c>
      <c r="D1004" s="162" t="s">
        <v>56</v>
      </c>
      <c r="E1004" s="162">
        <v>6</v>
      </c>
      <c r="F1004" s="162">
        <v>18</v>
      </c>
      <c r="G1004" s="164">
        <v>0.92269999999999996</v>
      </c>
      <c r="H1004" s="164">
        <v>0.35310000000000002</v>
      </c>
      <c r="I1004" s="164">
        <v>0.82340000000000002</v>
      </c>
      <c r="J1004" s="2" t="str">
        <f>HYPERLINK(SetRGB(J1004,G1004*255,H1004*255,I1004*255),"HOVER!")</f>
        <v>HOVER!</v>
      </c>
      <c r="K1004">
        <f t="shared" si="30"/>
        <v>0.33333333333333331</v>
      </c>
    </row>
    <row r="1005" spans="1:11" x14ac:dyDescent="0.3">
      <c r="A1005">
        <f>LOOKUP(9E+307,--MID(D1005,1,{1,2,3,4,5}))</f>
        <v>10</v>
      </c>
      <c r="B1005">
        <f>VLOOKUP(MID(D1005,LOOKUP(2,1/ISNUMBER(-MID(D1005,1,{1,2,3,4,5})),{1,2,3,4,5})+1,9),'Hue codes'!$A$1:$B$10,2,FALSE)</f>
        <v>80</v>
      </c>
      <c r="C1005">
        <f t="shared" si="31"/>
        <v>90</v>
      </c>
      <c r="D1005" s="162" t="s">
        <v>56</v>
      </c>
      <c r="E1005" s="162">
        <v>6</v>
      </c>
      <c r="F1005" s="162">
        <v>20</v>
      </c>
      <c r="G1005" s="164">
        <v>0.96199999999999997</v>
      </c>
      <c r="H1005" s="164">
        <v>0.29580000000000001</v>
      </c>
      <c r="I1005" s="164">
        <v>0.85489999999999999</v>
      </c>
      <c r="J1005" s="2" t="str">
        <f>HYPERLINK(SetRGB(J1005,G1005*255,H1005*255,I1005*255),"HOVER!")</f>
        <v>HOVER!</v>
      </c>
      <c r="K1005">
        <f t="shared" si="30"/>
        <v>0.3</v>
      </c>
    </row>
    <row r="1006" spans="1:11" x14ac:dyDescent="0.3">
      <c r="A1006">
        <f>LOOKUP(9E+307,--MID(D1006,1,{1,2,3,4,5}))</f>
        <v>10</v>
      </c>
      <c r="B1006">
        <f>VLOOKUP(MID(D1006,LOOKUP(2,1/ISNUMBER(-MID(D1006,1,{1,2,3,4,5})),{1,2,3,4,5})+1,9),'Hue codes'!$A$1:$B$10,2,FALSE)</f>
        <v>80</v>
      </c>
      <c r="C1006">
        <f t="shared" si="31"/>
        <v>90</v>
      </c>
      <c r="D1006" s="162" t="s">
        <v>56</v>
      </c>
      <c r="E1006" s="162">
        <v>6</v>
      </c>
      <c r="F1006" s="162">
        <v>22</v>
      </c>
      <c r="G1006" s="164">
        <v>0.99750000000000005</v>
      </c>
      <c r="H1006" s="164">
        <v>0.22520000000000001</v>
      </c>
      <c r="I1006" s="164">
        <v>0.88390000000000002</v>
      </c>
      <c r="J1006" s="2" t="str">
        <f>HYPERLINK(SetRGB(J1006,G1006*255,H1006*255,I1006*255),"HOVER!")</f>
        <v>HOVER!</v>
      </c>
      <c r="K1006">
        <f t="shared" si="30"/>
        <v>0.27272727272727271</v>
      </c>
    </row>
    <row r="1007" spans="1:11" x14ac:dyDescent="0.3">
      <c r="A1007">
        <f>LOOKUP(9E+307,--MID(D1007,1,{1,2,3,4,5}))</f>
        <v>10</v>
      </c>
      <c r="B1007">
        <f>VLOOKUP(MID(D1007,LOOKUP(2,1/ISNUMBER(-MID(D1007,1,{1,2,3,4,5})),{1,2,3,4,5})+1,9),'Hue codes'!$A$1:$B$10,2,FALSE)</f>
        <v>80</v>
      </c>
      <c r="C1007">
        <f t="shared" si="31"/>
        <v>90</v>
      </c>
      <c r="D1007" s="162" t="s">
        <v>56</v>
      </c>
      <c r="E1007" s="162">
        <v>6</v>
      </c>
      <c r="F1007" s="162">
        <v>24</v>
      </c>
      <c r="G1007" s="164">
        <v>1</v>
      </c>
      <c r="H1007" s="164">
        <v>0.1123</v>
      </c>
      <c r="I1007" s="164">
        <v>0.91159999999999997</v>
      </c>
      <c r="J1007" s="1" t="str">
        <f>HYPERLINK(SetRGB(J1007,G1007*255,H1007*255,I1007*255),"HOVER!")</f>
        <v>HOVER!</v>
      </c>
      <c r="K1007">
        <f t="shared" si="30"/>
        <v>0.25</v>
      </c>
    </row>
    <row r="1008" spans="1:11" x14ac:dyDescent="0.3">
      <c r="A1008">
        <f>LOOKUP(9E+307,--MID(D1008,1,{1,2,3,4,5}))</f>
        <v>2.5</v>
      </c>
      <c r="B1008">
        <f>VLOOKUP(MID(D1008,LOOKUP(2,1/ISNUMBER(-MID(D1008,1,{1,2,3,4,5})),{1,2,3,4,5})+1,9),'Hue codes'!$A$1:$B$10,2,FALSE)</f>
        <v>90</v>
      </c>
      <c r="C1008">
        <f t="shared" si="31"/>
        <v>92.5</v>
      </c>
      <c r="D1008" s="162" t="s">
        <v>57</v>
      </c>
      <c r="E1008" s="162">
        <v>6</v>
      </c>
      <c r="F1008" s="162">
        <v>2</v>
      </c>
      <c r="G1008" s="164">
        <v>0.63139999999999996</v>
      </c>
      <c r="H1008" s="164">
        <v>0.5675</v>
      </c>
      <c r="I1008" s="164">
        <v>0.59850000000000003</v>
      </c>
      <c r="J1008" s="2" t="str">
        <f>HYPERLINK(SetRGB(J1008,G1008*255,H1008*255,I1008*255),"HOVER!")</f>
        <v>HOVER!</v>
      </c>
      <c r="K1008">
        <f t="shared" si="30"/>
        <v>3</v>
      </c>
    </row>
    <row r="1009" spans="1:11" x14ac:dyDescent="0.3">
      <c r="A1009">
        <f>LOOKUP(9E+307,--MID(D1009,1,{1,2,3,4,5}))</f>
        <v>2.5</v>
      </c>
      <c r="B1009">
        <f>VLOOKUP(MID(D1009,LOOKUP(2,1/ISNUMBER(-MID(D1009,1,{1,2,3,4,5})),{1,2,3,4,5})+1,9),'Hue codes'!$A$1:$B$10,2,FALSE)</f>
        <v>90</v>
      </c>
      <c r="C1009">
        <f t="shared" si="31"/>
        <v>92.5</v>
      </c>
      <c r="D1009" s="162" t="s">
        <v>57</v>
      </c>
      <c r="E1009" s="162">
        <v>6</v>
      </c>
      <c r="F1009" s="162">
        <v>4</v>
      </c>
      <c r="G1009" s="164">
        <v>0.67749999999999999</v>
      </c>
      <c r="H1009" s="164">
        <v>0.5484</v>
      </c>
      <c r="I1009" s="164">
        <v>0.6149</v>
      </c>
      <c r="J1009" s="2" t="str">
        <f>HYPERLINK(SetRGB(J1009,G1009*255,H1009*255,I1009*255),"HOVER!")</f>
        <v>HOVER!</v>
      </c>
      <c r="K1009">
        <f t="shared" si="30"/>
        <v>1.5</v>
      </c>
    </row>
    <row r="1010" spans="1:11" x14ac:dyDescent="0.3">
      <c r="A1010">
        <f>LOOKUP(9E+307,--MID(D1010,1,{1,2,3,4,5}))</f>
        <v>2.5</v>
      </c>
      <c r="B1010">
        <f>VLOOKUP(MID(D1010,LOOKUP(2,1/ISNUMBER(-MID(D1010,1,{1,2,3,4,5})),{1,2,3,4,5})+1,9),'Hue codes'!$A$1:$B$10,2,FALSE)</f>
        <v>90</v>
      </c>
      <c r="C1010">
        <f t="shared" si="31"/>
        <v>92.5</v>
      </c>
      <c r="D1010" s="162" t="s">
        <v>57</v>
      </c>
      <c r="E1010" s="162">
        <v>6</v>
      </c>
      <c r="F1010" s="162">
        <v>6</v>
      </c>
      <c r="G1010" s="164">
        <v>0.72719999999999996</v>
      </c>
      <c r="H1010" s="164">
        <v>0.52470000000000006</v>
      </c>
      <c r="I1010" s="164">
        <v>0.63390000000000002</v>
      </c>
      <c r="J1010" s="2" t="str">
        <f>HYPERLINK(SetRGB(J1010,G1010*255,H1010*255,I1010*255),"HOVER!")</f>
        <v>HOVER!</v>
      </c>
      <c r="K1010">
        <f t="shared" si="30"/>
        <v>1</v>
      </c>
    </row>
    <row r="1011" spans="1:11" x14ac:dyDescent="0.3">
      <c r="A1011">
        <f>LOOKUP(9E+307,--MID(D1011,1,{1,2,3,4,5}))</f>
        <v>2.5</v>
      </c>
      <c r="B1011">
        <f>VLOOKUP(MID(D1011,LOOKUP(2,1/ISNUMBER(-MID(D1011,1,{1,2,3,4,5})),{1,2,3,4,5})+1,9),'Hue codes'!$A$1:$B$10,2,FALSE)</f>
        <v>90</v>
      </c>
      <c r="C1011">
        <f t="shared" si="31"/>
        <v>92.5</v>
      </c>
      <c r="D1011" s="162" t="s">
        <v>57</v>
      </c>
      <c r="E1011" s="162">
        <v>6</v>
      </c>
      <c r="F1011" s="162">
        <v>8</v>
      </c>
      <c r="G1011" s="164">
        <v>0.76919999999999999</v>
      </c>
      <c r="H1011" s="164">
        <v>0.50170000000000003</v>
      </c>
      <c r="I1011" s="164">
        <v>0.65100000000000002</v>
      </c>
      <c r="J1011" s="2" t="str">
        <f>HYPERLINK(SetRGB(J1011,G1011*255,H1011*255,I1011*255),"HOVER!")</f>
        <v>HOVER!</v>
      </c>
      <c r="K1011">
        <f t="shared" si="30"/>
        <v>0.75</v>
      </c>
    </row>
    <row r="1012" spans="1:11" x14ac:dyDescent="0.3">
      <c r="A1012">
        <f>LOOKUP(9E+307,--MID(D1012,1,{1,2,3,4,5}))</f>
        <v>2.5</v>
      </c>
      <c r="B1012">
        <f>VLOOKUP(MID(D1012,LOOKUP(2,1/ISNUMBER(-MID(D1012,1,{1,2,3,4,5})),{1,2,3,4,5})+1,9),'Hue codes'!$A$1:$B$10,2,FALSE)</f>
        <v>90</v>
      </c>
      <c r="C1012">
        <f t="shared" si="31"/>
        <v>92.5</v>
      </c>
      <c r="D1012" s="162" t="s">
        <v>57</v>
      </c>
      <c r="E1012" s="162">
        <v>6</v>
      </c>
      <c r="F1012" s="162">
        <v>10</v>
      </c>
      <c r="G1012" s="164">
        <v>0.81069999999999998</v>
      </c>
      <c r="H1012" s="164">
        <v>0.47560000000000002</v>
      </c>
      <c r="I1012" s="164">
        <v>0.66900000000000004</v>
      </c>
      <c r="J1012" s="2" t="str">
        <f>HYPERLINK(SetRGB(J1012,G1012*255,H1012*255,I1012*255),"HOVER!")</f>
        <v>HOVER!</v>
      </c>
      <c r="K1012">
        <f t="shared" si="30"/>
        <v>0.6</v>
      </c>
    </row>
    <row r="1013" spans="1:11" x14ac:dyDescent="0.3">
      <c r="A1013">
        <f>LOOKUP(9E+307,--MID(D1013,1,{1,2,3,4,5}))</f>
        <v>2.5</v>
      </c>
      <c r="B1013">
        <f>VLOOKUP(MID(D1013,LOOKUP(2,1/ISNUMBER(-MID(D1013,1,{1,2,3,4,5})),{1,2,3,4,5})+1,9),'Hue codes'!$A$1:$B$10,2,FALSE)</f>
        <v>90</v>
      </c>
      <c r="C1013">
        <f t="shared" si="31"/>
        <v>92.5</v>
      </c>
      <c r="D1013" s="162" t="s">
        <v>57</v>
      </c>
      <c r="E1013" s="162">
        <v>6</v>
      </c>
      <c r="F1013" s="162">
        <v>12</v>
      </c>
      <c r="G1013" s="164">
        <v>0.85460000000000003</v>
      </c>
      <c r="H1013" s="164">
        <v>0.44359999999999999</v>
      </c>
      <c r="I1013" s="164">
        <v>0.68920000000000003</v>
      </c>
      <c r="J1013" s="2" t="str">
        <f>HYPERLINK(SetRGB(J1013,G1013*255,H1013*255,I1013*255),"HOVER!")</f>
        <v>HOVER!</v>
      </c>
      <c r="K1013">
        <f t="shared" si="30"/>
        <v>0.5</v>
      </c>
    </row>
    <row r="1014" spans="1:11" x14ac:dyDescent="0.3">
      <c r="A1014">
        <f>LOOKUP(9E+307,--MID(D1014,1,{1,2,3,4,5}))</f>
        <v>2.5</v>
      </c>
      <c r="B1014">
        <f>VLOOKUP(MID(D1014,LOOKUP(2,1/ISNUMBER(-MID(D1014,1,{1,2,3,4,5})),{1,2,3,4,5})+1,9),'Hue codes'!$A$1:$B$10,2,FALSE)</f>
        <v>90</v>
      </c>
      <c r="C1014">
        <f t="shared" si="31"/>
        <v>92.5</v>
      </c>
      <c r="D1014" s="162" t="s">
        <v>57</v>
      </c>
      <c r="E1014" s="162">
        <v>6</v>
      </c>
      <c r="F1014" s="162">
        <v>14</v>
      </c>
      <c r="G1014" s="164">
        <v>0.89670000000000005</v>
      </c>
      <c r="H1014" s="164">
        <v>0.40760000000000002</v>
      </c>
      <c r="I1014" s="164">
        <v>0.7087</v>
      </c>
      <c r="J1014" s="2" t="str">
        <f>HYPERLINK(SetRGB(J1014,G1014*255,H1014*255,I1014*255),"HOVER!")</f>
        <v>HOVER!</v>
      </c>
      <c r="K1014">
        <f t="shared" si="30"/>
        <v>0.42857142857142855</v>
      </c>
    </row>
    <row r="1015" spans="1:11" x14ac:dyDescent="0.3">
      <c r="A1015">
        <f>LOOKUP(9E+307,--MID(D1015,1,{1,2,3,4,5}))</f>
        <v>2.5</v>
      </c>
      <c r="B1015">
        <f>VLOOKUP(MID(D1015,LOOKUP(2,1/ISNUMBER(-MID(D1015,1,{1,2,3,4,5})),{1,2,3,4,5})+1,9),'Hue codes'!$A$1:$B$10,2,FALSE)</f>
        <v>90</v>
      </c>
      <c r="C1015">
        <f t="shared" si="31"/>
        <v>92.5</v>
      </c>
      <c r="D1015" s="162" t="s">
        <v>57</v>
      </c>
      <c r="E1015" s="162">
        <v>6</v>
      </c>
      <c r="F1015" s="162">
        <v>16</v>
      </c>
      <c r="G1015" s="164">
        <v>0.93830000000000002</v>
      </c>
      <c r="H1015" s="164">
        <v>0.3649</v>
      </c>
      <c r="I1015" s="164">
        <v>0.7288</v>
      </c>
      <c r="J1015" s="2" t="str">
        <f>HYPERLINK(SetRGB(J1015,G1015*255,H1015*255,I1015*255),"HOVER!")</f>
        <v>HOVER!</v>
      </c>
      <c r="K1015">
        <f t="shared" ref="K1015:K1078" si="32">E1015/F1015</f>
        <v>0.375</v>
      </c>
    </row>
    <row r="1016" spans="1:11" x14ac:dyDescent="0.3">
      <c r="A1016">
        <f>LOOKUP(9E+307,--MID(D1016,1,{1,2,3,4,5}))</f>
        <v>2.5</v>
      </c>
      <c r="B1016">
        <f>VLOOKUP(MID(D1016,LOOKUP(2,1/ISNUMBER(-MID(D1016,1,{1,2,3,4,5})),{1,2,3,4,5})+1,9),'Hue codes'!$A$1:$B$10,2,FALSE)</f>
        <v>90</v>
      </c>
      <c r="C1016">
        <f t="shared" si="31"/>
        <v>92.5</v>
      </c>
      <c r="D1016" s="162" t="s">
        <v>57</v>
      </c>
      <c r="E1016" s="162">
        <v>6</v>
      </c>
      <c r="F1016" s="162">
        <v>18</v>
      </c>
      <c r="G1016" s="164">
        <v>0.97570000000000001</v>
      </c>
      <c r="H1016" s="164">
        <v>0.31740000000000002</v>
      </c>
      <c r="I1016" s="164">
        <v>0.74809999999999999</v>
      </c>
      <c r="J1016" s="2" t="str">
        <f>HYPERLINK(SetRGB(J1016,G1016*255,H1016*255,I1016*255),"HOVER!")</f>
        <v>HOVER!</v>
      </c>
      <c r="K1016">
        <f t="shared" si="32"/>
        <v>0.33333333333333331</v>
      </c>
    </row>
    <row r="1017" spans="1:11" x14ac:dyDescent="0.3">
      <c r="A1017">
        <f>LOOKUP(9E+307,--MID(D1017,1,{1,2,3,4,5}))</f>
        <v>2.5</v>
      </c>
      <c r="B1017">
        <f>VLOOKUP(MID(D1017,LOOKUP(2,1/ISNUMBER(-MID(D1017,1,{1,2,3,4,5})),{1,2,3,4,5})+1,9),'Hue codes'!$A$1:$B$10,2,FALSE)</f>
        <v>90</v>
      </c>
      <c r="C1017">
        <f t="shared" si="31"/>
        <v>92.5</v>
      </c>
      <c r="D1017" s="162" t="s">
        <v>57</v>
      </c>
      <c r="E1017" s="162">
        <v>6</v>
      </c>
      <c r="F1017" s="162">
        <v>20</v>
      </c>
      <c r="G1017" s="164">
        <v>1</v>
      </c>
      <c r="H1017" s="164">
        <v>0.246</v>
      </c>
      <c r="I1017" s="164">
        <v>0.77039999999999997</v>
      </c>
      <c r="J1017" s="2" t="str">
        <f>HYPERLINK(SetRGB(J1017,G1017*255,H1017*255,I1017*255),"HOVER!")</f>
        <v>HOVER!</v>
      </c>
      <c r="K1017">
        <f t="shared" si="32"/>
        <v>0.3</v>
      </c>
    </row>
    <row r="1018" spans="1:11" x14ac:dyDescent="0.3">
      <c r="A1018">
        <f>LOOKUP(9E+307,--MID(D1018,1,{1,2,3,4,5}))</f>
        <v>2.5</v>
      </c>
      <c r="B1018">
        <f>VLOOKUP(MID(D1018,LOOKUP(2,1/ISNUMBER(-MID(D1018,1,{1,2,3,4,5})),{1,2,3,4,5})+1,9),'Hue codes'!$A$1:$B$10,2,FALSE)</f>
        <v>90</v>
      </c>
      <c r="C1018">
        <f t="shared" si="31"/>
        <v>92.5</v>
      </c>
      <c r="D1018" s="162" t="s">
        <v>57</v>
      </c>
      <c r="E1018" s="162">
        <v>6</v>
      </c>
      <c r="F1018" s="162">
        <v>22</v>
      </c>
      <c r="G1018" s="164">
        <v>1</v>
      </c>
      <c r="H1018" s="164">
        <v>0.16070000000000001</v>
      </c>
      <c r="I1018" s="164">
        <v>0.78859999999999997</v>
      </c>
      <c r="J1018" s="1" t="str">
        <f>HYPERLINK(SetRGB(J1018,G1018*255,H1018*255,I1018*255),"HOVER!")</f>
        <v>HOVER!</v>
      </c>
      <c r="K1018">
        <f t="shared" si="32"/>
        <v>0.27272727272727271</v>
      </c>
    </row>
    <row r="1019" spans="1:11" x14ac:dyDescent="0.3">
      <c r="A1019">
        <f>LOOKUP(9E+307,--MID(D1019,1,{1,2,3,4,5}))</f>
        <v>5</v>
      </c>
      <c r="B1019">
        <f>VLOOKUP(MID(D1019,LOOKUP(2,1/ISNUMBER(-MID(D1019,1,{1,2,3,4,5})),{1,2,3,4,5})+1,9),'Hue codes'!$A$1:$B$10,2,FALSE)</f>
        <v>90</v>
      </c>
      <c r="C1019">
        <f t="shared" si="31"/>
        <v>95</v>
      </c>
      <c r="D1019" s="162" t="s">
        <v>58</v>
      </c>
      <c r="E1019" s="162">
        <v>6</v>
      </c>
      <c r="F1019" s="162">
        <v>2</v>
      </c>
      <c r="G1019" s="164">
        <v>0.63759999999999994</v>
      </c>
      <c r="H1019" s="164">
        <v>0.5665</v>
      </c>
      <c r="I1019" s="164">
        <v>0.58809999999999996</v>
      </c>
      <c r="J1019" s="102" t="str">
        <f>HYPERLINK(SetRGB(J1019,G1019*255,H1019*255,I1019*255),"HOVER!")</f>
        <v>HOVER!</v>
      </c>
      <c r="K1019">
        <f t="shared" si="32"/>
        <v>3</v>
      </c>
    </row>
    <row r="1020" spans="1:11" x14ac:dyDescent="0.3">
      <c r="A1020">
        <f>LOOKUP(9E+307,--MID(D1020,1,{1,2,3,4,5}))</f>
        <v>5</v>
      </c>
      <c r="B1020">
        <f>VLOOKUP(MID(D1020,LOOKUP(2,1/ISNUMBER(-MID(D1020,1,{1,2,3,4,5})),{1,2,3,4,5})+1,9),'Hue codes'!$A$1:$B$10,2,FALSE)</f>
        <v>90</v>
      </c>
      <c r="C1020">
        <f t="shared" si="31"/>
        <v>95</v>
      </c>
      <c r="D1020" s="162" t="s">
        <v>58</v>
      </c>
      <c r="E1020" s="162">
        <v>6</v>
      </c>
      <c r="F1020" s="162">
        <v>4</v>
      </c>
      <c r="G1020" s="164">
        <v>0.69140000000000001</v>
      </c>
      <c r="H1020" s="164">
        <v>0.54559999999999997</v>
      </c>
      <c r="I1020" s="164">
        <v>0.59309999999999996</v>
      </c>
      <c r="J1020" s="2" t="str">
        <f>HYPERLINK(SetRGB(J1020,G1020*255,H1020*255,I1020*255),"HOVER!")</f>
        <v>HOVER!</v>
      </c>
      <c r="K1020">
        <f t="shared" si="32"/>
        <v>1.5</v>
      </c>
    </row>
    <row r="1021" spans="1:11" x14ac:dyDescent="0.3">
      <c r="A1021">
        <f>LOOKUP(9E+307,--MID(D1021,1,{1,2,3,4,5}))</f>
        <v>5</v>
      </c>
      <c r="B1021">
        <f>VLOOKUP(MID(D1021,LOOKUP(2,1/ISNUMBER(-MID(D1021,1,{1,2,3,4,5})),{1,2,3,4,5})+1,9),'Hue codes'!$A$1:$B$10,2,FALSE)</f>
        <v>90</v>
      </c>
      <c r="C1021">
        <f t="shared" si="31"/>
        <v>95</v>
      </c>
      <c r="D1021" s="162" t="s">
        <v>58</v>
      </c>
      <c r="E1021" s="162">
        <v>6</v>
      </c>
      <c r="F1021" s="162">
        <v>6</v>
      </c>
      <c r="G1021" s="164">
        <v>0.74780000000000002</v>
      </c>
      <c r="H1021" s="164">
        <v>0.51959999999999995</v>
      </c>
      <c r="I1021" s="164">
        <v>0.60009999999999997</v>
      </c>
      <c r="J1021" s="101" t="str">
        <f>HYPERLINK(SetRGB(J1021,G1021*255,H1021*255,I1021*255),"HOVER!")</f>
        <v>HOVER!</v>
      </c>
      <c r="K1021">
        <f t="shared" si="32"/>
        <v>1</v>
      </c>
    </row>
    <row r="1022" spans="1:11" x14ac:dyDescent="0.3">
      <c r="A1022">
        <f>LOOKUP(9E+307,--MID(D1022,1,{1,2,3,4,5}))</f>
        <v>5</v>
      </c>
      <c r="B1022">
        <f>VLOOKUP(MID(D1022,LOOKUP(2,1/ISNUMBER(-MID(D1022,1,{1,2,3,4,5})),{1,2,3,4,5})+1,9),'Hue codes'!$A$1:$B$10,2,FALSE)</f>
        <v>90</v>
      </c>
      <c r="C1022">
        <f t="shared" si="31"/>
        <v>95</v>
      </c>
      <c r="D1022" s="162" t="s">
        <v>58</v>
      </c>
      <c r="E1022" s="162">
        <v>6</v>
      </c>
      <c r="F1022" s="162">
        <v>8</v>
      </c>
      <c r="G1022" s="164">
        <v>0.79510000000000003</v>
      </c>
      <c r="H1022" s="164">
        <v>0.49430000000000002</v>
      </c>
      <c r="I1022" s="164">
        <v>0.60660000000000003</v>
      </c>
      <c r="J1022" s="2" t="str">
        <f>HYPERLINK(SetRGB(J1022,G1022*255,H1022*255,I1022*255),"HOVER!")</f>
        <v>HOVER!</v>
      </c>
      <c r="K1022">
        <f t="shared" si="32"/>
        <v>0.75</v>
      </c>
    </row>
    <row r="1023" spans="1:11" x14ac:dyDescent="0.3">
      <c r="A1023">
        <f>LOOKUP(9E+307,--MID(D1023,1,{1,2,3,4,5}))</f>
        <v>5</v>
      </c>
      <c r="B1023">
        <f>VLOOKUP(MID(D1023,LOOKUP(2,1/ISNUMBER(-MID(D1023,1,{1,2,3,4,5})),{1,2,3,4,5})+1,9),'Hue codes'!$A$1:$B$10,2,FALSE)</f>
        <v>90</v>
      </c>
      <c r="C1023">
        <f t="shared" si="31"/>
        <v>95</v>
      </c>
      <c r="D1023" s="162" t="s">
        <v>58</v>
      </c>
      <c r="E1023" s="162">
        <v>6</v>
      </c>
      <c r="F1023" s="162">
        <v>10</v>
      </c>
      <c r="G1023" s="164">
        <v>0.83960000000000001</v>
      </c>
      <c r="H1023" s="164">
        <v>0.46679999999999999</v>
      </c>
      <c r="I1023" s="164">
        <v>0.61350000000000005</v>
      </c>
      <c r="J1023" s="2" t="str">
        <f>HYPERLINK(SetRGB(J1023,G1023*255,H1023*255,I1023*255),"HOVER!")</f>
        <v>HOVER!</v>
      </c>
      <c r="K1023">
        <f t="shared" si="32"/>
        <v>0.6</v>
      </c>
    </row>
    <row r="1024" spans="1:11" x14ac:dyDescent="0.3">
      <c r="A1024">
        <f>LOOKUP(9E+307,--MID(D1024,1,{1,2,3,4,5}))</f>
        <v>5</v>
      </c>
      <c r="B1024">
        <f>VLOOKUP(MID(D1024,LOOKUP(2,1/ISNUMBER(-MID(D1024,1,{1,2,3,4,5})),{1,2,3,4,5})+1,9),'Hue codes'!$A$1:$B$10,2,FALSE)</f>
        <v>90</v>
      </c>
      <c r="C1024">
        <f t="shared" si="31"/>
        <v>95</v>
      </c>
      <c r="D1024" s="162" t="s">
        <v>58</v>
      </c>
      <c r="E1024" s="162">
        <v>6</v>
      </c>
      <c r="F1024" s="162">
        <v>12</v>
      </c>
      <c r="G1024" s="164">
        <v>0.88800000000000001</v>
      </c>
      <c r="H1024" s="164">
        <v>0.43159999999999998</v>
      </c>
      <c r="I1024" s="164">
        <v>0.622</v>
      </c>
      <c r="J1024" s="2" t="str">
        <f>HYPERLINK(SetRGB(J1024,G1024*255,H1024*255,I1024*255),"HOVER!")</f>
        <v>HOVER!</v>
      </c>
      <c r="K1024">
        <f t="shared" si="32"/>
        <v>0.5</v>
      </c>
    </row>
    <row r="1025" spans="1:11" x14ac:dyDescent="0.3">
      <c r="A1025">
        <f>LOOKUP(9E+307,--MID(D1025,1,{1,2,3,4,5}))</f>
        <v>5</v>
      </c>
      <c r="B1025">
        <f>VLOOKUP(MID(D1025,LOOKUP(2,1/ISNUMBER(-MID(D1025,1,{1,2,3,4,5})),{1,2,3,4,5})+1,9),'Hue codes'!$A$1:$B$10,2,FALSE)</f>
        <v>90</v>
      </c>
      <c r="C1025">
        <f t="shared" si="31"/>
        <v>95</v>
      </c>
      <c r="D1025" s="162" t="s">
        <v>58</v>
      </c>
      <c r="E1025" s="162">
        <v>6</v>
      </c>
      <c r="F1025" s="162">
        <v>14</v>
      </c>
      <c r="G1025" s="164">
        <v>0.93500000000000005</v>
      </c>
      <c r="H1025" s="164">
        <v>0.39050000000000001</v>
      </c>
      <c r="I1025" s="164">
        <v>0.63219999999999998</v>
      </c>
      <c r="J1025" s="2" t="str">
        <f>HYPERLINK(SetRGB(J1025,G1025*255,H1025*255,I1025*255),"HOVER!")</f>
        <v>HOVER!</v>
      </c>
      <c r="K1025">
        <f t="shared" si="32"/>
        <v>0.42857142857142855</v>
      </c>
    </row>
    <row r="1026" spans="1:11" x14ac:dyDescent="0.3">
      <c r="A1026">
        <f>LOOKUP(9E+307,--MID(D1026,1,{1,2,3,4,5}))</f>
        <v>5</v>
      </c>
      <c r="B1026">
        <f>VLOOKUP(MID(D1026,LOOKUP(2,1/ISNUMBER(-MID(D1026,1,{1,2,3,4,5})),{1,2,3,4,5})+1,9),'Hue codes'!$A$1:$B$10,2,FALSE)</f>
        <v>90</v>
      </c>
      <c r="C1026">
        <f t="shared" si="31"/>
        <v>95</v>
      </c>
      <c r="D1026" s="162" t="s">
        <v>58</v>
      </c>
      <c r="E1026" s="162">
        <v>6</v>
      </c>
      <c r="F1026" s="162">
        <v>16</v>
      </c>
      <c r="G1026" s="164">
        <v>0.97809999999999997</v>
      </c>
      <c r="H1026" s="164">
        <v>0.34420000000000001</v>
      </c>
      <c r="I1026" s="164">
        <v>0.64159999999999995</v>
      </c>
      <c r="J1026" s="2" t="str">
        <f>HYPERLINK(SetRGB(J1026,G1026*255,H1026*255,I1026*255),"HOVER!")</f>
        <v>HOVER!</v>
      </c>
      <c r="K1026">
        <f t="shared" si="32"/>
        <v>0.375</v>
      </c>
    </row>
    <row r="1027" spans="1:11" x14ac:dyDescent="0.3">
      <c r="A1027">
        <f>LOOKUP(9E+307,--MID(D1027,1,{1,2,3,4,5}))</f>
        <v>5</v>
      </c>
      <c r="B1027">
        <f>VLOOKUP(MID(D1027,LOOKUP(2,1/ISNUMBER(-MID(D1027,1,{1,2,3,4,5})),{1,2,3,4,5})+1,9),'Hue codes'!$A$1:$B$10,2,FALSE)</f>
        <v>90</v>
      </c>
      <c r="C1027">
        <f t="shared" ref="C1027:C1090" si="33">IF(A1027+B1027=100,0,A1027+B1027)</f>
        <v>95</v>
      </c>
      <c r="D1027" s="162" t="s">
        <v>58</v>
      </c>
      <c r="E1027" s="162">
        <v>6</v>
      </c>
      <c r="F1027" s="162">
        <v>18</v>
      </c>
      <c r="G1027" s="164">
        <v>1</v>
      </c>
      <c r="H1027" s="164">
        <v>0.28570000000000001</v>
      </c>
      <c r="I1027" s="164">
        <v>0.65190000000000003</v>
      </c>
      <c r="J1027" s="2" t="str">
        <f>HYPERLINK(SetRGB(J1027,G1027*255,H1027*255,I1027*255),"HOVER!")</f>
        <v>HOVER!</v>
      </c>
      <c r="K1027">
        <f t="shared" si="32"/>
        <v>0.33333333333333331</v>
      </c>
    </row>
    <row r="1028" spans="1:11" x14ac:dyDescent="0.3">
      <c r="A1028">
        <f>LOOKUP(9E+307,--MID(D1028,1,{1,2,3,4,5}))</f>
        <v>5</v>
      </c>
      <c r="B1028">
        <f>VLOOKUP(MID(D1028,LOOKUP(2,1/ISNUMBER(-MID(D1028,1,{1,2,3,4,5})),{1,2,3,4,5})+1,9),'Hue codes'!$A$1:$B$10,2,FALSE)</f>
        <v>90</v>
      </c>
      <c r="C1028">
        <f t="shared" si="33"/>
        <v>95</v>
      </c>
      <c r="D1028" s="162" t="s">
        <v>58</v>
      </c>
      <c r="E1028" s="162">
        <v>6</v>
      </c>
      <c r="F1028" s="162">
        <v>20</v>
      </c>
      <c r="G1028" s="164">
        <v>1</v>
      </c>
      <c r="H1028" s="164">
        <v>0.18340000000000001</v>
      </c>
      <c r="I1028" s="164">
        <v>0.66500000000000004</v>
      </c>
      <c r="J1028" s="1" t="str">
        <f>HYPERLINK(SetRGB(J1028,G1028*255,H1028*255,I1028*255),"HOVER!")</f>
        <v>HOVER!</v>
      </c>
      <c r="K1028">
        <f t="shared" si="32"/>
        <v>0.3</v>
      </c>
    </row>
    <row r="1029" spans="1:11" x14ac:dyDescent="0.3">
      <c r="A1029">
        <f>LOOKUP(9E+307,--MID(D1029,1,{1,2,3,4,5}))</f>
        <v>5</v>
      </c>
      <c r="B1029">
        <f>VLOOKUP(MID(D1029,LOOKUP(2,1/ISNUMBER(-MID(D1029,1,{1,2,3,4,5})),{1,2,3,4,5})+1,9),'Hue codes'!$A$1:$B$10,2,FALSE)</f>
        <v>90</v>
      </c>
      <c r="C1029">
        <f t="shared" si="33"/>
        <v>95</v>
      </c>
      <c r="D1029" s="162" t="s">
        <v>58</v>
      </c>
      <c r="E1029" s="162">
        <v>6</v>
      </c>
      <c r="F1029" s="162">
        <v>22</v>
      </c>
      <c r="G1029" s="164">
        <v>1</v>
      </c>
      <c r="H1029" s="164">
        <v>1.49E-2</v>
      </c>
      <c r="I1029" s="164">
        <v>0.67369999999999997</v>
      </c>
      <c r="J1029" s="1" t="str">
        <f>HYPERLINK(SetRGB(J1029,G1029*255,H1029*255,I1029*255),"HOVER!")</f>
        <v>HOVER!</v>
      </c>
      <c r="K1029">
        <f t="shared" si="32"/>
        <v>0.27272727272727271</v>
      </c>
    </row>
    <row r="1030" spans="1:11" x14ac:dyDescent="0.3">
      <c r="A1030">
        <f>LOOKUP(9E+307,--MID(D1030,1,{1,2,3,4,5}))</f>
        <v>7.5</v>
      </c>
      <c r="B1030">
        <f>VLOOKUP(MID(D1030,LOOKUP(2,1/ISNUMBER(-MID(D1030,1,{1,2,3,4,5})),{1,2,3,4,5})+1,9),'Hue codes'!$A$1:$B$10,2,FALSE)</f>
        <v>90</v>
      </c>
      <c r="C1030">
        <f t="shared" si="33"/>
        <v>97.5</v>
      </c>
      <c r="D1030" s="162" t="s">
        <v>59</v>
      </c>
      <c r="E1030" s="162">
        <v>6</v>
      </c>
      <c r="F1030" s="162">
        <v>2</v>
      </c>
      <c r="G1030" s="164">
        <v>0.64090000000000003</v>
      </c>
      <c r="H1030" s="164">
        <v>0.56620000000000004</v>
      </c>
      <c r="I1030" s="164">
        <v>0.5806</v>
      </c>
      <c r="J1030" s="2" t="str">
        <f>HYPERLINK(SetRGB(J1030,G1030*255,H1030*255,I1030*255),"HOVER!")</f>
        <v>HOVER!</v>
      </c>
      <c r="K1030">
        <f t="shared" si="32"/>
        <v>3</v>
      </c>
    </row>
    <row r="1031" spans="1:11" x14ac:dyDescent="0.3">
      <c r="A1031">
        <f>LOOKUP(9E+307,--MID(D1031,1,{1,2,3,4,5}))</f>
        <v>7.5</v>
      </c>
      <c r="B1031">
        <f>VLOOKUP(MID(D1031,LOOKUP(2,1/ISNUMBER(-MID(D1031,1,{1,2,3,4,5})),{1,2,3,4,5})+1,9),'Hue codes'!$A$1:$B$10,2,FALSE)</f>
        <v>90</v>
      </c>
      <c r="C1031">
        <f t="shared" si="33"/>
        <v>97.5</v>
      </c>
      <c r="D1031" s="162" t="s">
        <v>59</v>
      </c>
      <c r="E1031" s="162">
        <v>6</v>
      </c>
      <c r="F1031" s="162">
        <v>4</v>
      </c>
      <c r="G1031" s="164">
        <v>0.69930000000000003</v>
      </c>
      <c r="H1031" s="164">
        <v>0.54420000000000002</v>
      </c>
      <c r="I1031" s="164">
        <v>0.57709999999999995</v>
      </c>
      <c r="J1031" s="2" t="str">
        <f>HYPERLINK(SetRGB(J1031,G1031*255,H1031*255,I1031*255),"HOVER!")</f>
        <v>HOVER!</v>
      </c>
      <c r="K1031">
        <f t="shared" si="32"/>
        <v>1.5</v>
      </c>
    </row>
    <row r="1032" spans="1:11" x14ac:dyDescent="0.3">
      <c r="A1032">
        <f>LOOKUP(9E+307,--MID(D1032,1,{1,2,3,4,5}))</f>
        <v>7.5</v>
      </c>
      <c r="B1032">
        <f>VLOOKUP(MID(D1032,LOOKUP(2,1/ISNUMBER(-MID(D1032,1,{1,2,3,4,5})),{1,2,3,4,5})+1,9),'Hue codes'!$A$1:$B$10,2,FALSE)</f>
        <v>90</v>
      </c>
      <c r="C1032">
        <f t="shared" si="33"/>
        <v>97.5</v>
      </c>
      <c r="D1032" s="162" t="s">
        <v>59</v>
      </c>
      <c r="E1032" s="162">
        <v>6</v>
      </c>
      <c r="F1032" s="162">
        <v>6</v>
      </c>
      <c r="G1032" s="164">
        <v>0.76029999999999998</v>
      </c>
      <c r="H1032" s="164">
        <v>0.51690000000000003</v>
      </c>
      <c r="I1032" s="164">
        <v>0.57430000000000003</v>
      </c>
      <c r="J1032" s="2" t="str">
        <f>HYPERLINK(SetRGB(J1032,G1032*255,H1032*255,I1032*255),"HOVER!")</f>
        <v>HOVER!</v>
      </c>
      <c r="K1032">
        <f t="shared" si="32"/>
        <v>1</v>
      </c>
    </row>
    <row r="1033" spans="1:11" x14ac:dyDescent="0.3">
      <c r="A1033">
        <f>LOOKUP(9E+307,--MID(D1033,1,{1,2,3,4,5}))</f>
        <v>7.5</v>
      </c>
      <c r="B1033">
        <f>VLOOKUP(MID(D1033,LOOKUP(2,1/ISNUMBER(-MID(D1033,1,{1,2,3,4,5})),{1,2,3,4,5})+1,9),'Hue codes'!$A$1:$B$10,2,FALSE)</f>
        <v>90</v>
      </c>
      <c r="C1033">
        <f t="shared" si="33"/>
        <v>97.5</v>
      </c>
      <c r="D1033" s="162" t="s">
        <v>59</v>
      </c>
      <c r="E1033" s="162">
        <v>6</v>
      </c>
      <c r="F1033" s="162">
        <v>8</v>
      </c>
      <c r="G1033" s="164">
        <v>0.80710000000000004</v>
      </c>
      <c r="H1033" s="164">
        <v>0.49230000000000002</v>
      </c>
      <c r="I1033" s="164">
        <v>0.57250000000000001</v>
      </c>
      <c r="J1033" s="2" t="str">
        <f>HYPERLINK(SetRGB(J1033,G1033*255,H1033*255,I1033*255),"HOVER!")</f>
        <v>HOVER!</v>
      </c>
      <c r="K1033">
        <f t="shared" si="32"/>
        <v>0.75</v>
      </c>
    </row>
    <row r="1034" spans="1:11" x14ac:dyDescent="0.3">
      <c r="A1034">
        <f>LOOKUP(9E+307,--MID(D1034,1,{1,2,3,4,5}))</f>
        <v>7.5</v>
      </c>
      <c r="B1034">
        <f>VLOOKUP(MID(D1034,LOOKUP(2,1/ISNUMBER(-MID(D1034,1,{1,2,3,4,5})),{1,2,3,4,5})+1,9),'Hue codes'!$A$1:$B$10,2,FALSE)</f>
        <v>90</v>
      </c>
      <c r="C1034">
        <f t="shared" si="33"/>
        <v>97.5</v>
      </c>
      <c r="D1034" s="162" t="s">
        <v>59</v>
      </c>
      <c r="E1034" s="162">
        <v>6</v>
      </c>
      <c r="F1034" s="162">
        <v>10</v>
      </c>
      <c r="G1034" s="164">
        <v>0.85719999999999996</v>
      </c>
      <c r="H1034" s="164">
        <v>0.46150000000000002</v>
      </c>
      <c r="I1034" s="164">
        <v>0.57179999999999997</v>
      </c>
      <c r="J1034" s="2" t="str">
        <f>HYPERLINK(SetRGB(J1034,G1034*255,H1034*255,I1034*255),"HOVER!")</f>
        <v>HOVER!</v>
      </c>
      <c r="K1034">
        <f t="shared" si="32"/>
        <v>0.6</v>
      </c>
    </row>
    <row r="1035" spans="1:11" x14ac:dyDescent="0.3">
      <c r="A1035">
        <f>LOOKUP(9E+307,--MID(D1035,1,{1,2,3,4,5}))</f>
        <v>7.5</v>
      </c>
      <c r="B1035">
        <f>VLOOKUP(MID(D1035,LOOKUP(2,1/ISNUMBER(-MID(D1035,1,{1,2,3,4,5})),{1,2,3,4,5})+1,9),'Hue codes'!$A$1:$B$10,2,FALSE)</f>
        <v>90</v>
      </c>
      <c r="C1035">
        <f t="shared" si="33"/>
        <v>97.5</v>
      </c>
      <c r="D1035" s="162" t="s">
        <v>59</v>
      </c>
      <c r="E1035" s="162">
        <v>6</v>
      </c>
      <c r="F1035" s="162">
        <v>12</v>
      </c>
      <c r="G1035" s="164">
        <v>0.90649999999999997</v>
      </c>
      <c r="H1035" s="164">
        <v>0.42549999999999999</v>
      </c>
      <c r="I1035" s="164">
        <v>0.57289999999999996</v>
      </c>
      <c r="J1035" s="2" t="str">
        <f>HYPERLINK(SetRGB(J1035,G1035*255,H1035*255,I1035*255),"HOVER!")</f>
        <v>HOVER!</v>
      </c>
      <c r="K1035">
        <f t="shared" si="32"/>
        <v>0.5</v>
      </c>
    </row>
    <row r="1036" spans="1:11" x14ac:dyDescent="0.3">
      <c r="A1036">
        <f>LOOKUP(9E+307,--MID(D1036,1,{1,2,3,4,5}))</f>
        <v>7.5</v>
      </c>
      <c r="B1036">
        <f>VLOOKUP(MID(D1036,LOOKUP(2,1/ISNUMBER(-MID(D1036,1,{1,2,3,4,5})),{1,2,3,4,5})+1,9),'Hue codes'!$A$1:$B$10,2,FALSE)</f>
        <v>90</v>
      </c>
      <c r="C1036">
        <f t="shared" si="33"/>
        <v>97.5</v>
      </c>
      <c r="D1036" s="162" t="s">
        <v>59</v>
      </c>
      <c r="E1036" s="162">
        <v>6</v>
      </c>
      <c r="F1036" s="162">
        <v>14</v>
      </c>
      <c r="G1036" s="164">
        <v>0.9546</v>
      </c>
      <c r="H1036" s="164">
        <v>0.38279999999999997</v>
      </c>
      <c r="I1036" s="164">
        <v>0.57520000000000004</v>
      </c>
      <c r="J1036" s="2" t="str">
        <f>HYPERLINK(SetRGB(J1036,G1036*255,H1036*255,I1036*255),"HOVER!")</f>
        <v>HOVER!</v>
      </c>
      <c r="K1036">
        <f t="shared" si="32"/>
        <v>0.42857142857142855</v>
      </c>
    </row>
    <row r="1037" spans="1:11" x14ac:dyDescent="0.3">
      <c r="A1037">
        <f>LOOKUP(9E+307,--MID(D1037,1,{1,2,3,4,5}))</f>
        <v>7.5</v>
      </c>
      <c r="B1037">
        <f>VLOOKUP(MID(D1037,LOOKUP(2,1/ISNUMBER(-MID(D1037,1,{1,2,3,4,5})),{1,2,3,4,5})+1,9),'Hue codes'!$A$1:$B$10,2,FALSE)</f>
        <v>90</v>
      </c>
      <c r="C1037">
        <f t="shared" si="33"/>
        <v>97.5</v>
      </c>
      <c r="D1037" s="162" t="s">
        <v>59</v>
      </c>
      <c r="E1037" s="162">
        <v>6</v>
      </c>
      <c r="F1037" s="162">
        <v>16</v>
      </c>
      <c r="G1037" s="164">
        <v>1</v>
      </c>
      <c r="H1037" s="164">
        <v>0.32819999999999999</v>
      </c>
      <c r="I1037" s="164">
        <v>0.57820000000000005</v>
      </c>
      <c r="J1037" s="2" t="str">
        <f>HYPERLINK(SetRGB(J1037,G1037*255,H1037*255,I1037*255),"HOVER!")</f>
        <v>HOVER!</v>
      </c>
      <c r="K1037">
        <f t="shared" si="32"/>
        <v>0.375</v>
      </c>
    </row>
    <row r="1038" spans="1:11" x14ac:dyDescent="0.3">
      <c r="A1038">
        <f>LOOKUP(9E+307,--MID(D1038,1,{1,2,3,4,5}))</f>
        <v>7.5</v>
      </c>
      <c r="B1038">
        <f>VLOOKUP(MID(D1038,LOOKUP(2,1/ISNUMBER(-MID(D1038,1,{1,2,3,4,5})),{1,2,3,4,5})+1,9),'Hue codes'!$A$1:$B$10,2,FALSE)</f>
        <v>90</v>
      </c>
      <c r="C1038">
        <f t="shared" si="33"/>
        <v>97.5</v>
      </c>
      <c r="D1038" s="162" t="s">
        <v>59</v>
      </c>
      <c r="E1038" s="162">
        <v>6</v>
      </c>
      <c r="F1038" s="162">
        <v>18</v>
      </c>
      <c r="G1038" s="164">
        <v>1</v>
      </c>
      <c r="H1038" s="164">
        <v>0.26779999999999998</v>
      </c>
      <c r="I1038" s="164">
        <v>0.58189999999999997</v>
      </c>
      <c r="J1038" s="2" t="str">
        <f>HYPERLINK(SetRGB(J1038,G1038*255,H1038*255,I1038*255),"HOVER!")</f>
        <v>HOVER!</v>
      </c>
      <c r="K1038">
        <f t="shared" si="32"/>
        <v>0.33333333333333331</v>
      </c>
    </row>
    <row r="1039" spans="1:11" x14ac:dyDescent="0.3">
      <c r="A1039">
        <f>LOOKUP(9E+307,--MID(D1039,1,{1,2,3,4,5}))</f>
        <v>7.5</v>
      </c>
      <c r="B1039">
        <f>VLOOKUP(MID(D1039,LOOKUP(2,1/ISNUMBER(-MID(D1039,1,{1,2,3,4,5})),{1,2,3,4,5})+1,9),'Hue codes'!$A$1:$B$10,2,FALSE)</f>
        <v>90</v>
      </c>
      <c r="C1039">
        <f t="shared" si="33"/>
        <v>97.5</v>
      </c>
      <c r="D1039" s="162" t="s">
        <v>59</v>
      </c>
      <c r="E1039" s="162">
        <v>6</v>
      </c>
      <c r="F1039" s="162">
        <v>20</v>
      </c>
      <c r="G1039" s="164">
        <v>1</v>
      </c>
      <c r="H1039" s="164">
        <v>0.15840000000000001</v>
      </c>
      <c r="I1039" s="164">
        <v>0.5867</v>
      </c>
      <c r="J1039" s="1" t="str">
        <f>HYPERLINK(SetRGB(J1039,G1039*255,H1039*255,I1039*255),"HOVER!")</f>
        <v>HOVER!</v>
      </c>
      <c r="K1039">
        <f t="shared" si="32"/>
        <v>0.3</v>
      </c>
    </row>
    <row r="1040" spans="1:11" x14ac:dyDescent="0.3">
      <c r="A1040">
        <f>LOOKUP(9E+307,--MID(D1040,1,{1,2,3,4,5}))</f>
        <v>10</v>
      </c>
      <c r="B1040">
        <f>VLOOKUP(MID(D1040,LOOKUP(2,1/ISNUMBER(-MID(D1040,1,{1,2,3,4,5})),{1,2,3,4,5})+1,9),'Hue codes'!$A$1:$B$10,2,FALSE)</f>
        <v>90</v>
      </c>
      <c r="C1040">
        <f t="shared" si="33"/>
        <v>0</v>
      </c>
      <c r="D1040" s="162" t="s">
        <v>20</v>
      </c>
      <c r="E1040" s="162">
        <v>7</v>
      </c>
      <c r="F1040" s="162">
        <v>2</v>
      </c>
      <c r="G1040" s="164">
        <v>0.74519999999999997</v>
      </c>
      <c r="H1040" s="164">
        <v>0.67030000000000001</v>
      </c>
      <c r="I1040" s="164">
        <v>0.67600000000000005</v>
      </c>
      <c r="J1040" s="2" t="str">
        <f>HYPERLINK(SetRGB(J1040,G1040*255,H1040*255,I1040*255),"HOVER!")</f>
        <v>HOVER!</v>
      </c>
      <c r="K1040">
        <f t="shared" si="32"/>
        <v>3.5</v>
      </c>
    </row>
    <row r="1041" spans="1:11" x14ac:dyDescent="0.3">
      <c r="A1041">
        <f>LOOKUP(9E+307,--MID(D1041,1,{1,2,3,4,5}))</f>
        <v>10</v>
      </c>
      <c r="B1041">
        <f>VLOOKUP(MID(D1041,LOOKUP(2,1/ISNUMBER(-MID(D1041,1,{1,2,3,4,5})),{1,2,3,4,5})+1,9),'Hue codes'!$A$1:$B$10,2,FALSE)</f>
        <v>90</v>
      </c>
      <c r="C1041">
        <f t="shared" si="33"/>
        <v>0</v>
      </c>
      <c r="D1041" s="162" t="s">
        <v>20</v>
      </c>
      <c r="E1041" s="162">
        <v>7</v>
      </c>
      <c r="F1041" s="162">
        <v>4</v>
      </c>
      <c r="G1041" s="164">
        <v>0.80910000000000004</v>
      </c>
      <c r="H1041" s="164">
        <v>0.64790000000000003</v>
      </c>
      <c r="I1041" s="164">
        <v>0.66339999999999999</v>
      </c>
      <c r="J1041" s="2" t="str">
        <f>HYPERLINK(SetRGB(J1041,G1041*255,H1041*255,I1041*255),"HOVER!")</f>
        <v>HOVER!</v>
      </c>
      <c r="K1041">
        <f t="shared" si="32"/>
        <v>1.75</v>
      </c>
    </row>
    <row r="1042" spans="1:11" x14ac:dyDescent="0.3">
      <c r="A1042">
        <f>LOOKUP(9E+307,--MID(D1042,1,{1,2,3,4,5}))</f>
        <v>10</v>
      </c>
      <c r="B1042">
        <f>VLOOKUP(MID(D1042,LOOKUP(2,1/ISNUMBER(-MID(D1042,1,{1,2,3,4,5})),{1,2,3,4,5})+1,9),'Hue codes'!$A$1:$B$10,2,FALSE)</f>
        <v>90</v>
      </c>
      <c r="C1042">
        <f t="shared" si="33"/>
        <v>0</v>
      </c>
      <c r="D1042" s="162" t="s">
        <v>20</v>
      </c>
      <c r="E1042" s="162">
        <v>7</v>
      </c>
      <c r="F1042" s="162">
        <v>6</v>
      </c>
      <c r="G1042" s="164">
        <v>0.87250000000000005</v>
      </c>
      <c r="H1042" s="164">
        <v>0.622</v>
      </c>
      <c r="I1042" s="164">
        <v>0.64980000000000004</v>
      </c>
      <c r="J1042" s="2" t="str">
        <f>HYPERLINK(SetRGB(J1042,G1042*255,H1042*255,I1042*255),"HOVER!")</f>
        <v>HOVER!</v>
      </c>
      <c r="K1042">
        <f t="shared" si="32"/>
        <v>1.1666666666666667</v>
      </c>
    </row>
    <row r="1043" spans="1:11" x14ac:dyDescent="0.3">
      <c r="A1043">
        <f>LOOKUP(9E+307,--MID(D1043,1,{1,2,3,4,5}))</f>
        <v>10</v>
      </c>
      <c r="B1043">
        <f>VLOOKUP(MID(D1043,LOOKUP(2,1/ISNUMBER(-MID(D1043,1,{1,2,3,4,5})),{1,2,3,4,5})+1,9),'Hue codes'!$A$1:$B$10,2,FALSE)</f>
        <v>90</v>
      </c>
      <c r="C1043">
        <f t="shared" si="33"/>
        <v>0</v>
      </c>
      <c r="D1043" s="162" t="s">
        <v>20</v>
      </c>
      <c r="E1043" s="162">
        <v>7</v>
      </c>
      <c r="F1043" s="162">
        <v>8</v>
      </c>
      <c r="G1043" s="164">
        <v>0.93230000000000002</v>
      </c>
      <c r="H1043" s="164">
        <v>0.59340000000000004</v>
      </c>
      <c r="I1043" s="164">
        <v>0.63639999999999997</v>
      </c>
      <c r="J1043" s="2" t="str">
        <f>HYPERLINK(SetRGB(J1043,G1043*255,H1043*255,I1043*255),"HOVER!")</f>
        <v>HOVER!</v>
      </c>
      <c r="K1043">
        <f t="shared" si="32"/>
        <v>0.875</v>
      </c>
    </row>
    <row r="1044" spans="1:11" x14ac:dyDescent="0.3">
      <c r="A1044">
        <f>LOOKUP(9E+307,--MID(D1044,1,{1,2,3,4,5}))</f>
        <v>10</v>
      </c>
      <c r="B1044">
        <f>VLOOKUP(MID(D1044,LOOKUP(2,1/ISNUMBER(-MID(D1044,1,{1,2,3,4,5})),{1,2,3,4,5})+1,9),'Hue codes'!$A$1:$B$10,2,FALSE)</f>
        <v>90</v>
      </c>
      <c r="C1044">
        <f t="shared" si="33"/>
        <v>0</v>
      </c>
      <c r="D1044" s="162" t="s">
        <v>20</v>
      </c>
      <c r="E1044" s="162">
        <v>7</v>
      </c>
      <c r="F1044" s="162">
        <v>10</v>
      </c>
      <c r="G1044" s="164">
        <v>0.98660000000000003</v>
      </c>
      <c r="H1044" s="164">
        <v>0.56320000000000003</v>
      </c>
      <c r="I1044" s="164">
        <v>0.62509999999999999</v>
      </c>
      <c r="J1044" s="2" t="str">
        <f>HYPERLINK(SetRGB(J1044,G1044*255,H1044*255,I1044*255),"HOVER!")</f>
        <v>HOVER!</v>
      </c>
      <c r="K1044">
        <f t="shared" si="32"/>
        <v>0.7</v>
      </c>
    </row>
    <row r="1045" spans="1:11" x14ac:dyDescent="0.3">
      <c r="A1045">
        <f>LOOKUP(9E+307,--MID(D1045,1,{1,2,3,4,5}))</f>
        <v>10</v>
      </c>
      <c r="B1045">
        <f>VLOOKUP(MID(D1045,LOOKUP(2,1/ISNUMBER(-MID(D1045,1,{1,2,3,4,5})),{1,2,3,4,5})+1,9),'Hue codes'!$A$1:$B$10,2,FALSE)</f>
        <v>90</v>
      </c>
      <c r="C1045">
        <f t="shared" si="33"/>
        <v>0</v>
      </c>
      <c r="D1045" s="162" t="s">
        <v>20</v>
      </c>
      <c r="E1045" s="162">
        <v>7</v>
      </c>
      <c r="F1045" s="162">
        <v>12</v>
      </c>
      <c r="G1045" s="164">
        <v>1</v>
      </c>
      <c r="H1045" s="164">
        <v>0.52280000000000004</v>
      </c>
      <c r="I1045" s="164">
        <v>0.61299999999999999</v>
      </c>
      <c r="J1045" s="2" t="str">
        <f>HYPERLINK(SetRGB(J1045,G1045*255,H1045*255,I1045*255),"HOVER!")</f>
        <v>HOVER!</v>
      </c>
      <c r="K1045">
        <f t="shared" si="32"/>
        <v>0.58333333333333337</v>
      </c>
    </row>
    <row r="1046" spans="1:11" x14ac:dyDescent="0.3">
      <c r="A1046">
        <f>LOOKUP(9E+307,--MID(D1046,1,{1,2,3,4,5}))</f>
        <v>10</v>
      </c>
      <c r="B1046">
        <f>VLOOKUP(MID(D1046,LOOKUP(2,1/ISNUMBER(-MID(D1046,1,{1,2,3,4,5})),{1,2,3,4,5})+1,9),'Hue codes'!$A$1:$B$10,2,FALSE)</f>
        <v>90</v>
      </c>
      <c r="C1046">
        <f t="shared" si="33"/>
        <v>0</v>
      </c>
      <c r="D1046" s="162" t="s">
        <v>20</v>
      </c>
      <c r="E1046" s="162">
        <v>7</v>
      </c>
      <c r="F1046" s="162">
        <v>14</v>
      </c>
      <c r="G1046" s="164">
        <v>1</v>
      </c>
      <c r="H1046" s="164">
        <v>0.48080000000000001</v>
      </c>
      <c r="I1046" s="164">
        <v>0.60260000000000002</v>
      </c>
      <c r="J1046" s="2" t="str">
        <f>HYPERLINK(SetRGB(J1046,G1046*255,H1046*255,I1046*255),"HOVER!")</f>
        <v>HOVER!</v>
      </c>
      <c r="K1046">
        <f t="shared" si="32"/>
        <v>0.5</v>
      </c>
    </row>
    <row r="1047" spans="1:11" x14ac:dyDescent="0.3">
      <c r="A1047">
        <f>LOOKUP(9E+307,--MID(D1047,1,{1,2,3,4,5}))</f>
        <v>10</v>
      </c>
      <c r="B1047">
        <f>VLOOKUP(MID(D1047,LOOKUP(2,1/ISNUMBER(-MID(D1047,1,{1,2,3,4,5})),{1,2,3,4,5})+1,9),'Hue codes'!$A$1:$B$10,2,FALSE)</f>
        <v>90</v>
      </c>
      <c r="C1047">
        <f t="shared" si="33"/>
        <v>0</v>
      </c>
      <c r="D1047" s="162" t="s">
        <v>20</v>
      </c>
      <c r="E1047" s="162">
        <v>7</v>
      </c>
      <c r="F1047" s="162">
        <v>16</v>
      </c>
      <c r="G1047" s="164">
        <v>1</v>
      </c>
      <c r="H1047" s="164">
        <v>0.43140000000000001</v>
      </c>
      <c r="I1047" s="164">
        <v>0.59309999999999996</v>
      </c>
      <c r="J1047" s="2" t="str">
        <f>HYPERLINK(SetRGB(J1047,G1047*255,H1047*255,I1047*255),"HOVER!")</f>
        <v>HOVER!</v>
      </c>
      <c r="K1047">
        <f t="shared" si="32"/>
        <v>0.4375</v>
      </c>
    </row>
    <row r="1048" spans="1:11" x14ac:dyDescent="0.3">
      <c r="A1048">
        <f>LOOKUP(9E+307,--MID(D1048,1,{1,2,3,4,5}))</f>
        <v>2.5</v>
      </c>
      <c r="B1048">
        <f>VLOOKUP(MID(D1048,LOOKUP(2,1/ISNUMBER(-MID(D1048,1,{1,2,3,4,5})),{1,2,3,4,5})+1,9),'Hue codes'!$A$1:$B$10,2,FALSE)</f>
        <v>0</v>
      </c>
      <c r="C1048">
        <f t="shared" si="33"/>
        <v>2.5</v>
      </c>
      <c r="D1048" s="162" t="s">
        <v>21</v>
      </c>
      <c r="E1048" s="162">
        <v>7</v>
      </c>
      <c r="F1048" s="162">
        <v>2</v>
      </c>
      <c r="G1048" s="164">
        <v>0.74929999999999997</v>
      </c>
      <c r="H1048" s="164">
        <v>0.66969999999999996</v>
      </c>
      <c r="I1048" s="164">
        <v>0.66890000000000005</v>
      </c>
      <c r="J1048" s="2" t="str">
        <f>HYPERLINK(SetRGB(J1048,G1048*255,H1048*255,I1048*255),"HOVER!")</f>
        <v>HOVER!</v>
      </c>
      <c r="K1048">
        <f t="shared" si="32"/>
        <v>3.5</v>
      </c>
    </row>
    <row r="1049" spans="1:11" x14ac:dyDescent="0.3">
      <c r="A1049">
        <f>LOOKUP(9E+307,--MID(D1049,1,{1,2,3,4,5}))</f>
        <v>2.5</v>
      </c>
      <c r="B1049">
        <f>VLOOKUP(MID(D1049,LOOKUP(2,1/ISNUMBER(-MID(D1049,1,{1,2,3,4,5})),{1,2,3,4,5})+1,9),'Hue codes'!$A$1:$B$10,2,FALSE)</f>
        <v>0</v>
      </c>
      <c r="C1049">
        <f t="shared" si="33"/>
        <v>2.5</v>
      </c>
      <c r="D1049" s="162" t="s">
        <v>21</v>
      </c>
      <c r="E1049" s="162">
        <v>7</v>
      </c>
      <c r="F1049" s="162">
        <v>4</v>
      </c>
      <c r="G1049" s="164">
        <v>0.8155</v>
      </c>
      <c r="H1049" s="164">
        <v>0.64700000000000002</v>
      </c>
      <c r="I1049" s="164">
        <v>0.64829999999999999</v>
      </c>
      <c r="J1049" s="2" t="str">
        <f>HYPERLINK(SetRGB(J1049,G1049*255,H1049*255,I1049*255),"HOVER!")</f>
        <v>HOVER!</v>
      </c>
      <c r="K1049">
        <f t="shared" si="32"/>
        <v>1.75</v>
      </c>
    </row>
    <row r="1050" spans="1:11" x14ac:dyDescent="0.3">
      <c r="A1050">
        <f>LOOKUP(9E+307,--MID(D1050,1,{1,2,3,4,5}))</f>
        <v>2.5</v>
      </c>
      <c r="B1050">
        <f>VLOOKUP(MID(D1050,LOOKUP(2,1/ISNUMBER(-MID(D1050,1,{1,2,3,4,5})),{1,2,3,4,5})+1,9),'Hue codes'!$A$1:$B$10,2,FALSE)</f>
        <v>0</v>
      </c>
      <c r="C1050">
        <f t="shared" si="33"/>
        <v>2.5</v>
      </c>
      <c r="D1050" s="162" t="s">
        <v>21</v>
      </c>
      <c r="E1050" s="162">
        <v>7</v>
      </c>
      <c r="F1050" s="162">
        <v>6</v>
      </c>
      <c r="G1050" s="164">
        <v>0.87929999999999997</v>
      </c>
      <c r="H1050" s="164">
        <v>0.62150000000000005</v>
      </c>
      <c r="I1050" s="164">
        <v>0.62590000000000001</v>
      </c>
      <c r="J1050" s="2" t="str">
        <f>HYPERLINK(SetRGB(J1050,G1050*255,H1050*255,I1050*255),"HOVER!")</f>
        <v>HOVER!</v>
      </c>
      <c r="K1050">
        <f t="shared" si="32"/>
        <v>1.1666666666666667</v>
      </c>
    </row>
    <row r="1051" spans="1:11" x14ac:dyDescent="0.3">
      <c r="A1051">
        <f>LOOKUP(9E+307,--MID(D1051,1,{1,2,3,4,5}))</f>
        <v>2.5</v>
      </c>
      <c r="B1051">
        <f>VLOOKUP(MID(D1051,LOOKUP(2,1/ISNUMBER(-MID(D1051,1,{1,2,3,4,5})),{1,2,3,4,5})+1,9),'Hue codes'!$A$1:$B$10,2,FALSE)</f>
        <v>0</v>
      </c>
      <c r="C1051">
        <f t="shared" si="33"/>
        <v>2.5</v>
      </c>
      <c r="D1051" s="162" t="s">
        <v>21</v>
      </c>
      <c r="E1051" s="162">
        <v>7</v>
      </c>
      <c r="F1051" s="162">
        <v>8</v>
      </c>
      <c r="G1051" s="164">
        <v>0.9405</v>
      </c>
      <c r="H1051" s="164">
        <v>0.59279999999999999</v>
      </c>
      <c r="I1051" s="164">
        <v>0.60399999999999998</v>
      </c>
      <c r="J1051" s="2" t="str">
        <f>HYPERLINK(SetRGB(J1051,G1051*255,H1051*255,I1051*255),"HOVER!")</f>
        <v>HOVER!</v>
      </c>
      <c r="K1051">
        <f t="shared" si="32"/>
        <v>0.875</v>
      </c>
    </row>
    <row r="1052" spans="1:11" x14ac:dyDescent="0.3">
      <c r="A1052">
        <f>LOOKUP(9E+307,--MID(D1052,1,{1,2,3,4,5}))</f>
        <v>2.5</v>
      </c>
      <c r="B1052">
        <f>VLOOKUP(MID(D1052,LOOKUP(2,1/ISNUMBER(-MID(D1052,1,{1,2,3,4,5})),{1,2,3,4,5})+1,9),'Hue codes'!$A$1:$B$10,2,FALSE)</f>
        <v>0</v>
      </c>
      <c r="C1052">
        <f t="shared" si="33"/>
        <v>2.5</v>
      </c>
      <c r="D1052" s="162" t="s">
        <v>21</v>
      </c>
      <c r="E1052" s="162">
        <v>7</v>
      </c>
      <c r="F1052" s="162">
        <v>10</v>
      </c>
      <c r="G1052" s="164">
        <v>0.99580000000000002</v>
      </c>
      <c r="H1052" s="164">
        <v>0.56240000000000001</v>
      </c>
      <c r="I1052" s="164">
        <v>0.58350000000000002</v>
      </c>
      <c r="J1052" s="2" t="str">
        <f>HYPERLINK(SetRGB(J1052,G1052*255,H1052*255,I1052*255),"HOVER!")</f>
        <v>HOVER!</v>
      </c>
      <c r="K1052">
        <f t="shared" si="32"/>
        <v>0.7</v>
      </c>
    </row>
    <row r="1053" spans="1:11" x14ac:dyDescent="0.3">
      <c r="A1053">
        <f>LOOKUP(9E+307,--MID(D1053,1,{1,2,3,4,5}))</f>
        <v>2.5</v>
      </c>
      <c r="B1053">
        <f>VLOOKUP(MID(D1053,LOOKUP(2,1/ISNUMBER(-MID(D1053,1,{1,2,3,4,5})),{1,2,3,4,5})+1,9),'Hue codes'!$A$1:$B$10,2,FALSE)</f>
        <v>0</v>
      </c>
      <c r="C1053">
        <f t="shared" si="33"/>
        <v>2.5</v>
      </c>
      <c r="D1053" s="162" t="s">
        <v>21</v>
      </c>
      <c r="E1053" s="162">
        <v>7</v>
      </c>
      <c r="F1053" s="162">
        <v>12</v>
      </c>
      <c r="G1053" s="164">
        <v>1</v>
      </c>
      <c r="H1053" s="164">
        <v>0.52349999999999997</v>
      </c>
      <c r="I1053" s="164">
        <v>0.56030000000000002</v>
      </c>
      <c r="J1053" s="2" t="str">
        <f>HYPERLINK(SetRGB(J1053,G1053*255,H1053*255,I1053*255),"HOVER!")</f>
        <v>HOVER!</v>
      </c>
      <c r="K1053">
        <f t="shared" si="32"/>
        <v>0.58333333333333337</v>
      </c>
    </row>
    <row r="1054" spans="1:11" x14ac:dyDescent="0.3">
      <c r="A1054">
        <f>LOOKUP(9E+307,--MID(D1054,1,{1,2,3,4,5}))</f>
        <v>2.5</v>
      </c>
      <c r="B1054">
        <f>VLOOKUP(MID(D1054,LOOKUP(2,1/ISNUMBER(-MID(D1054,1,{1,2,3,4,5})),{1,2,3,4,5})+1,9),'Hue codes'!$A$1:$B$10,2,FALSE)</f>
        <v>0</v>
      </c>
      <c r="C1054">
        <f t="shared" si="33"/>
        <v>2.5</v>
      </c>
      <c r="D1054" s="162" t="s">
        <v>21</v>
      </c>
      <c r="E1054" s="162">
        <v>7</v>
      </c>
      <c r="F1054" s="162">
        <v>14</v>
      </c>
      <c r="G1054" s="164">
        <v>1</v>
      </c>
      <c r="H1054" s="164">
        <v>0.48159999999999997</v>
      </c>
      <c r="I1054" s="164">
        <v>0.54179999999999995</v>
      </c>
      <c r="J1054" s="2" t="str">
        <f>HYPERLINK(SetRGB(J1054,G1054*255,H1054*255,I1054*255),"HOVER!")</f>
        <v>HOVER!</v>
      </c>
      <c r="K1054">
        <f t="shared" si="32"/>
        <v>0.5</v>
      </c>
    </row>
    <row r="1055" spans="1:11" x14ac:dyDescent="0.3">
      <c r="A1055">
        <f>LOOKUP(9E+307,--MID(D1055,1,{1,2,3,4,5}))</f>
        <v>2.5</v>
      </c>
      <c r="B1055">
        <f>VLOOKUP(MID(D1055,LOOKUP(2,1/ISNUMBER(-MID(D1055,1,{1,2,3,4,5})),{1,2,3,4,5})+1,9),'Hue codes'!$A$1:$B$10,2,FALSE)</f>
        <v>0</v>
      </c>
      <c r="C1055">
        <f t="shared" si="33"/>
        <v>2.5</v>
      </c>
      <c r="D1055" s="162" t="s">
        <v>21</v>
      </c>
      <c r="E1055" s="162">
        <v>7</v>
      </c>
      <c r="F1055" s="162">
        <v>16</v>
      </c>
      <c r="G1055" s="164">
        <v>1</v>
      </c>
      <c r="H1055" s="164">
        <v>0.43149999999999999</v>
      </c>
      <c r="I1055" s="164">
        <v>0.52339999999999998</v>
      </c>
      <c r="J1055" s="2" t="str">
        <f>HYPERLINK(SetRGB(J1055,G1055*255,H1055*255,I1055*255),"HOVER!")</f>
        <v>HOVER!</v>
      </c>
      <c r="K1055">
        <f t="shared" si="32"/>
        <v>0.4375</v>
      </c>
    </row>
    <row r="1056" spans="1:11" x14ac:dyDescent="0.3">
      <c r="A1056">
        <f>LOOKUP(9E+307,--MID(D1056,1,{1,2,3,4,5}))</f>
        <v>5</v>
      </c>
      <c r="B1056">
        <f>VLOOKUP(MID(D1056,LOOKUP(2,1/ISNUMBER(-MID(D1056,1,{1,2,3,4,5})),{1,2,3,4,5})+1,9),'Hue codes'!$A$1:$B$10,2,FALSE)</f>
        <v>0</v>
      </c>
      <c r="C1056">
        <f t="shared" si="33"/>
        <v>5</v>
      </c>
      <c r="D1056" s="162" t="s">
        <v>22</v>
      </c>
      <c r="E1056" s="162">
        <v>7</v>
      </c>
      <c r="F1056" s="162">
        <v>2</v>
      </c>
      <c r="G1056" s="164">
        <v>0.75239999999999996</v>
      </c>
      <c r="H1056" s="164">
        <v>0.66930000000000001</v>
      </c>
      <c r="I1056" s="164">
        <v>0.66259999999999997</v>
      </c>
      <c r="J1056" s="2" t="str">
        <f>HYPERLINK(SetRGB(J1056,G1056*255,H1056*255,I1056*255),"HOVER!")</f>
        <v>HOVER!</v>
      </c>
      <c r="K1056">
        <f t="shared" si="32"/>
        <v>3.5</v>
      </c>
    </row>
    <row r="1057" spans="1:11" x14ac:dyDescent="0.3">
      <c r="A1057">
        <f>LOOKUP(9E+307,--MID(D1057,1,{1,2,3,4,5}))</f>
        <v>5</v>
      </c>
      <c r="B1057">
        <f>VLOOKUP(MID(D1057,LOOKUP(2,1/ISNUMBER(-MID(D1057,1,{1,2,3,4,5})),{1,2,3,4,5})+1,9),'Hue codes'!$A$1:$B$10,2,FALSE)</f>
        <v>0</v>
      </c>
      <c r="C1057">
        <f t="shared" si="33"/>
        <v>5</v>
      </c>
      <c r="D1057" s="162" t="s">
        <v>22</v>
      </c>
      <c r="E1057" s="162">
        <v>7</v>
      </c>
      <c r="F1057" s="162">
        <v>4</v>
      </c>
      <c r="G1057" s="164">
        <v>0.8206</v>
      </c>
      <c r="H1057" s="164">
        <v>0.64670000000000005</v>
      </c>
      <c r="I1057" s="164">
        <v>0.6321</v>
      </c>
      <c r="J1057" s="2" t="str">
        <f>HYPERLINK(SetRGB(J1057,G1057*255,H1057*255,I1057*255),"HOVER!")</f>
        <v>HOVER!</v>
      </c>
      <c r="K1057">
        <f t="shared" si="32"/>
        <v>1.75</v>
      </c>
    </row>
    <row r="1058" spans="1:11" x14ac:dyDescent="0.3">
      <c r="A1058">
        <f>LOOKUP(9E+307,--MID(D1058,1,{1,2,3,4,5}))</f>
        <v>5</v>
      </c>
      <c r="B1058">
        <f>VLOOKUP(MID(D1058,LOOKUP(2,1/ISNUMBER(-MID(D1058,1,{1,2,3,4,5})),{1,2,3,4,5})+1,9),'Hue codes'!$A$1:$B$10,2,FALSE)</f>
        <v>0</v>
      </c>
      <c r="C1058">
        <f t="shared" si="33"/>
        <v>5</v>
      </c>
      <c r="D1058" s="162" t="s">
        <v>22</v>
      </c>
      <c r="E1058" s="162">
        <v>7</v>
      </c>
      <c r="F1058" s="162">
        <v>6</v>
      </c>
      <c r="G1058" s="164">
        <v>0.88470000000000004</v>
      </c>
      <c r="H1058" s="164">
        <v>0.62150000000000005</v>
      </c>
      <c r="I1058" s="164">
        <v>0.6018</v>
      </c>
      <c r="J1058" s="139" t="str">
        <f>HYPERLINK(SetRGB(J1058,G1058*255,H1058*255,I1058*255),"HOVER!")</f>
        <v>HOVER!</v>
      </c>
      <c r="K1058">
        <f t="shared" si="32"/>
        <v>1.1666666666666667</v>
      </c>
    </row>
    <row r="1059" spans="1:11" x14ac:dyDescent="0.3">
      <c r="A1059">
        <f>LOOKUP(9E+307,--MID(D1059,1,{1,2,3,4,5}))</f>
        <v>5</v>
      </c>
      <c r="B1059">
        <f>VLOOKUP(MID(D1059,LOOKUP(2,1/ISNUMBER(-MID(D1059,1,{1,2,3,4,5})),{1,2,3,4,5})+1,9),'Hue codes'!$A$1:$B$10,2,FALSE)</f>
        <v>0</v>
      </c>
      <c r="C1059">
        <f t="shared" si="33"/>
        <v>5</v>
      </c>
      <c r="D1059" s="162" t="s">
        <v>22</v>
      </c>
      <c r="E1059" s="162">
        <v>7</v>
      </c>
      <c r="F1059" s="162">
        <v>8</v>
      </c>
      <c r="G1059" s="164">
        <v>0.94650000000000001</v>
      </c>
      <c r="H1059" s="164">
        <v>0.59299999999999997</v>
      </c>
      <c r="I1059" s="164">
        <v>0.57110000000000005</v>
      </c>
      <c r="J1059" s="140" t="str">
        <f>HYPERLINK(SetRGB(J1059,G1059*255,H1059*255,I1059*255),"HOVER!")</f>
        <v>HOVER!</v>
      </c>
      <c r="K1059">
        <f t="shared" si="32"/>
        <v>0.875</v>
      </c>
    </row>
    <row r="1060" spans="1:11" x14ac:dyDescent="0.3">
      <c r="A1060">
        <f>LOOKUP(9E+307,--MID(D1060,1,{1,2,3,4,5}))</f>
        <v>5</v>
      </c>
      <c r="B1060">
        <f>VLOOKUP(MID(D1060,LOOKUP(2,1/ISNUMBER(-MID(D1060,1,{1,2,3,4,5})),{1,2,3,4,5})+1,9),'Hue codes'!$A$1:$B$10,2,FALSE)</f>
        <v>0</v>
      </c>
      <c r="C1060">
        <f t="shared" si="33"/>
        <v>5</v>
      </c>
      <c r="D1060" s="162" t="s">
        <v>22</v>
      </c>
      <c r="E1060" s="162">
        <v>7</v>
      </c>
      <c r="F1060" s="162">
        <v>10</v>
      </c>
      <c r="G1060" s="164">
        <v>1</v>
      </c>
      <c r="H1060" s="164">
        <v>0.56269999999999998</v>
      </c>
      <c r="I1060" s="164">
        <v>0.54120000000000001</v>
      </c>
      <c r="J1060" s="134" t="str">
        <f>HYPERLINK(SetRGB(J1060,G1060*255,H1060*255,I1060*255),"HOVER!")</f>
        <v>HOVER!</v>
      </c>
      <c r="K1060">
        <f t="shared" si="32"/>
        <v>0.7</v>
      </c>
    </row>
    <row r="1061" spans="1:11" x14ac:dyDescent="0.3">
      <c r="A1061">
        <f>LOOKUP(9E+307,--MID(D1061,1,{1,2,3,4,5}))</f>
        <v>5</v>
      </c>
      <c r="B1061">
        <f>VLOOKUP(MID(D1061,LOOKUP(2,1/ISNUMBER(-MID(D1061,1,{1,2,3,4,5})),{1,2,3,4,5})+1,9),'Hue codes'!$A$1:$B$10,2,FALSE)</f>
        <v>0</v>
      </c>
      <c r="C1061">
        <f t="shared" si="33"/>
        <v>5</v>
      </c>
      <c r="D1061" s="162" t="s">
        <v>22</v>
      </c>
      <c r="E1061" s="162">
        <v>7</v>
      </c>
      <c r="F1061" s="162">
        <v>12</v>
      </c>
      <c r="G1061" s="164">
        <v>1</v>
      </c>
      <c r="H1061" s="164">
        <v>0.5252</v>
      </c>
      <c r="I1061" s="164">
        <v>0.50919999999999999</v>
      </c>
      <c r="J1061" s="205" t="str">
        <f>HYPERLINK(SetRGB(J1061,G1061*255,H1061*255,I1061*255),"HOVER!")</f>
        <v>HOVER!</v>
      </c>
      <c r="K1061">
        <f t="shared" si="32"/>
        <v>0.58333333333333337</v>
      </c>
    </row>
    <row r="1062" spans="1:11" x14ac:dyDescent="0.3">
      <c r="A1062">
        <f>LOOKUP(9E+307,--MID(D1062,1,{1,2,3,4,5}))</f>
        <v>5</v>
      </c>
      <c r="B1062">
        <f>VLOOKUP(MID(D1062,LOOKUP(2,1/ISNUMBER(-MID(D1062,1,{1,2,3,4,5})),{1,2,3,4,5})+1,9),'Hue codes'!$A$1:$B$10,2,FALSE)</f>
        <v>0</v>
      </c>
      <c r="C1062">
        <f t="shared" si="33"/>
        <v>5</v>
      </c>
      <c r="D1062" s="162" t="s">
        <v>22</v>
      </c>
      <c r="E1062" s="162">
        <v>7</v>
      </c>
      <c r="F1062" s="162">
        <v>14</v>
      </c>
      <c r="G1062" s="164">
        <v>1</v>
      </c>
      <c r="H1062" s="164">
        <v>0.48580000000000001</v>
      </c>
      <c r="I1062" s="164">
        <v>0.47889999999999999</v>
      </c>
      <c r="J1062" s="245" t="str">
        <f>HYPERLINK(SetRGB(J1062,G1062*255,H1062*255,I1062*255),"HOVER!")</f>
        <v>HOVER!</v>
      </c>
      <c r="K1062">
        <f t="shared" si="32"/>
        <v>0.5</v>
      </c>
    </row>
    <row r="1063" spans="1:11" x14ac:dyDescent="0.3">
      <c r="A1063">
        <f>LOOKUP(9E+307,--MID(D1063,1,{1,2,3,4,5}))</f>
        <v>7.5</v>
      </c>
      <c r="B1063">
        <f>VLOOKUP(MID(D1063,LOOKUP(2,1/ISNUMBER(-MID(D1063,1,{1,2,3,4,5})),{1,2,3,4,5})+1,9),'Hue codes'!$A$1:$B$10,2,FALSE)</f>
        <v>0</v>
      </c>
      <c r="C1063">
        <f t="shared" si="33"/>
        <v>7.5</v>
      </c>
      <c r="D1063" s="162" t="s">
        <v>23</v>
      </c>
      <c r="E1063" s="162">
        <v>7</v>
      </c>
      <c r="F1063" s="162">
        <v>2</v>
      </c>
      <c r="G1063" s="164">
        <v>0.75570000000000004</v>
      </c>
      <c r="H1063" s="164">
        <v>0.66910000000000003</v>
      </c>
      <c r="I1063" s="164">
        <v>0.65339999999999998</v>
      </c>
      <c r="J1063" s="235" t="str">
        <f>HYPERLINK(SetRGB(J1063,G1063*255,H1063*255,I1063*255),"HOVER!")</f>
        <v>HOVER!</v>
      </c>
      <c r="K1063">
        <f t="shared" si="32"/>
        <v>3.5</v>
      </c>
    </row>
    <row r="1064" spans="1:11" x14ac:dyDescent="0.3">
      <c r="A1064">
        <f>LOOKUP(9E+307,--MID(D1064,1,{1,2,3,4,5}))</f>
        <v>7.5</v>
      </c>
      <c r="B1064">
        <f>VLOOKUP(MID(D1064,LOOKUP(2,1/ISNUMBER(-MID(D1064,1,{1,2,3,4,5})),{1,2,3,4,5})+1,9),'Hue codes'!$A$1:$B$10,2,FALSE)</f>
        <v>0</v>
      </c>
      <c r="C1064">
        <f t="shared" si="33"/>
        <v>7.5</v>
      </c>
      <c r="D1064" s="162" t="s">
        <v>23</v>
      </c>
      <c r="E1064" s="162">
        <v>7</v>
      </c>
      <c r="F1064" s="162">
        <v>4</v>
      </c>
      <c r="G1064" s="164">
        <v>0.82550000000000001</v>
      </c>
      <c r="H1064" s="164">
        <v>0.64670000000000005</v>
      </c>
      <c r="I1064" s="164">
        <v>0.61339999999999995</v>
      </c>
      <c r="J1064" s="230" t="str">
        <f>HYPERLINK(SetRGB(J1064,G1064*255,H1064*255,I1064*255),"HOVER!")</f>
        <v>HOVER!</v>
      </c>
      <c r="K1064">
        <f t="shared" si="32"/>
        <v>1.75</v>
      </c>
    </row>
    <row r="1065" spans="1:11" x14ac:dyDescent="0.3">
      <c r="A1065">
        <f>LOOKUP(9E+307,--MID(D1065,1,{1,2,3,4,5}))</f>
        <v>7.5</v>
      </c>
      <c r="B1065">
        <f>VLOOKUP(MID(D1065,LOOKUP(2,1/ISNUMBER(-MID(D1065,1,{1,2,3,4,5})),{1,2,3,4,5})+1,9),'Hue codes'!$A$1:$B$10,2,FALSE)</f>
        <v>0</v>
      </c>
      <c r="C1065">
        <f t="shared" si="33"/>
        <v>7.5</v>
      </c>
      <c r="D1065" s="162" t="s">
        <v>23</v>
      </c>
      <c r="E1065" s="162">
        <v>7</v>
      </c>
      <c r="F1065" s="162">
        <v>6</v>
      </c>
      <c r="G1065" s="164">
        <v>0.88780000000000003</v>
      </c>
      <c r="H1065" s="164">
        <v>0.623</v>
      </c>
      <c r="I1065" s="164">
        <v>0.57299999999999995</v>
      </c>
      <c r="J1065" s="210" t="str">
        <f>HYPERLINK(SetRGB(J1065,G1065*255,H1065*255,I1065*255),"HOVER!")</f>
        <v>HOVER!</v>
      </c>
      <c r="K1065">
        <f t="shared" si="32"/>
        <v>1.1666666666666667</v>
      </c>
    </row>
    <row r="1066" spans="1:11" x14ac:dyDescent="0.3">
      <c r="A1066">
        <f>LOOKUP(9E+307,--MID(D1066,1,{1,2,3,4,5}))</f>
        <v>7.5</v>
      </c>
      <c r="B1066">
        <f>VLOOKUP(MID(D1066,LOOKUP(2,1/ISNUMBER(-MID(D1066,1,{1,2,3,4,5})),{1,2,3,4,5})+1,9),'Hue codes'!$A$1:$B$10,2,FALSE)</f>
        <v>0</v>
      </c>
      <c r="C1066">
        <f t="shared" si="33"/>
        <v>7.5</v>
      </c>
      <c r="D1066" s="162" t="s">
        <v>23</v>
      </c>
      <c r="E1066" s="162">
        <v>7</v>
      </c>
      <c r="F1066" s="162">
        <v>8</v>
      </c>
      <c r="G1066" s="164">
        <v>0.9516</v>
      </c>
      <c r="H1066" s="164">
        <v>0.59440000000000004</v>
      </c>
      <c r="I1066" s="164">
        <v>0.52829999999999999</v>
      </c>
      <c r="J1066" s="201" t="str">
        <f>HYPERLINK(SetRGB(J1066,G1066*255,H1066*255,I1066*255),"HOVER!")</f>
        <v>HOVER!</v>
      </c>
      <c r="K1066">
        <f t="shared" si="32"/>
        <v>0.875</v>
      </c>
    </row>
    <row r="1067" spans="1:11" x14ac:dyDescent="0.3">
      <c r="A1067">
        <f>LOOKUP(9E+307,--MID(D1067,1,{1,2,3,4,5}))</f>
        <v>7.5</v>
      </c>
      <c r="B1067">
        <f>VLOOKUP(MID(D1067,LOOKUP(2,1/ISNUMBER(-MID(D1067,1,{1,2,3,4,5})),{1,2,3,4,5})+1,9),'Hue codes'!$A$1:$B$10,2,FALSE)</f>
        <v>0</v>
      </c>
      <c r="C1067">
        <f t="shared" si="33"/>
        <v>7.5</v>
      </c>
      <c r="D1067" s="162" t="s">
        <v>23</v>
      </c>
      <c r="E1067" s="162">
        <v>7</v>
      </c>
      <c r="F1067" s="162">
        <v>10</v>
      </c>
      <c r="G1067" s="164">
        <v>1</v>
      </c>
      <c r="H1067" s="164">
        <v>0.56679999999999997</v>
      </c>
      <c r="I1067" s="164">
        <v>0.4874</v>
      </c>
      <c r="J1067" s="2" t="str">
        <f>HYPERLINK(SetRGB(J1067,G1067*255,H1067*255,I1067*255),"HOVER!")</f>
        <v>HOVER!</v>
      </c>
      <c r="K1067">
        <f t="shared" si="32"/>
        <v>0.7</v>
      </c>
    </row>
    <row r="1068" spans="1:11" x14ac:dyDescent="0.3">
      <c r="A1068">
        <f>LOOKUP(9E+307,--MID(D1068,1,{1,2,3,4,5}))</f>
        <v>7.5</v>
      </c>
      <c r="B1068">
        <f>VLOOKUP(MID(D1068,LOOKUP(2,1/ISNUMBER(-MID(D1068,1,{1,2,3,4,5})),{1,2,3,4,5})+1,9),'Hue codes'!$A$1:$B$10,2,FALSE)</f>
        <v>0</v>
      </c>
      <c r="C1068">
        <f t="shared" si="33"/>
        <v>7.5</v>
      </c>
      <c r="D1068" s="162" t="s">
        <v>23</v>
      </c>
      <c r="E1068" s="162">
        <v>7</v>
      </c>
      <c r="F1068" s="162">
        <v>12</v>
      </c>
      <c r="G1068" s="164">
        <v>1</v>
      </c>
      <c r="H1068" s="164">
        <v>0.53220000000000001</v>
      </c>
      <c r="I1068" s="164">
        <v>0.44009999999999999</v>
      </c>
      <c r="J1068" s="255" t="str">
        <f>HYPERLINK(SetRGB(J1068,G1068*255,H1068*255,I1068*255),"HOVER!")</f>
        <v>HOVER!</v>
      </c>
      <c r="K1068">
        <f t="shared" si="32"/>
        <v>0.58333333333333337</v>
      </c>
    </row>
    <row r="1069" spans="1:11" x14ac:dyDescent="0.3">
      <c r="A1069">
        <f>LOOKUP(9E+307,--MID(D1069,1,{1,2,3,4,5}))</f>
        <v>7.5</v>
      </c>
      <c r="B1069">
        <f>VLOOKUP(MID(D1069,LOOKUP(2,1/ISNUMBER(-MID(D1069,1,{1,2,3,4,5})),{1,2,3,4,5})+1,9),'Hue codes'!$A$1:$B$10,2,FALSE)</f>
        <v>0</v>
      </c>
      <c r="C1069">
        <f t="shared" si="33"/>
        <v>7.5</v>
      </c>
      <c r="D1069" s="162" t="s">
        <v>23</v>
      </c>
      <c r="E1069" s="162">
        <v>7</v>
      </c>
      <c r="F1069" s="162">
        <v>14</v>
      </c>
      <c r="G1069" s="164">
        <v>1</v>
      </c>
      <c r="H1069" s="164">
        <v>0.49709999999999999</v>
      </c>
      <c r="I1069" s="164">
        <v>0.39229999999999998</v>
      </c>
      <c r="J1069" s="262" t="str">
        <f>HYPERLINK(SetRGB(J1069,G1069*255,H1069*255,I1069*255),"HOVER!")</f>
        <v>HOVER!</v>
      </c>
      <c r="K1069">
        <f t="shared" si="32"/>
        <v>0.5</v>
      </c>
    </row>
    <row r="1070" spans="1:11" x14ac:dyDescent="0.3">
      <c r="A1070">
        <f>LOOKUP(9E+307,--MID(D1070,1,{1,2,3,4,5}))</f>
        <v>7.5</v>
      </c>
      <c r="B1070">
        <f>VLOOKUP(MID(D1070,LOOKUP(2,1/ISNUMBER(-MID(D1070,1,{1,2,3,4,5})),{1,2,3,4,5})+1,9),'Hue codes'!$A$1:$B$10,2,FALSE)</f>
        <v>0</v>
      </c>
      <c r="C1070">
        <f t="shared" si="33"/>
        <v>7.5</v>
      </c>
      <c r="D1070" s="162" t="s">
        <v>23</v>
      </c>
      <c r="E1070" s="162">
        <v>7</v>
      </c>
      <c r="F1070" s="162">
        <v>16</v>
      </c>
      <c r="G1070" s="164">
        <v>1</v>
      </c>
      <c r="H1070" s="164">
        <v>0.45610000000000001</v>
      </c>
      <c r="I1070" s="164">
        <v>0.34050000000000002</v>
      </c>
      <c r="J1070" s="252" t="str">
        <f>HYPERLINK(SetRGB(J1070,G1070*255,H1070*255,I1070*255),"HOVER!")</f>
        <v>HOVER!</v>
      </c>
      <c r="K1070">
        <f t="shared" si="32"/>
        <v>0.4375</v>
      </c>
    </row>
    <row r="1071" spans="1:11" x14ac:dyDescent="0.3">
      <c r="A1071">
        <f>LOOKUP(9E+307,--MID(D1071,1,{1,2,3,4,5}))</f>
        <v>10</v>
      </c>
      <c r="B1071">
        <f>VLOOKUP(MID(D1071,LOOKUP(2,1/ISNUMBER(-MID(D1071,1,{1,2,3,4,5})),{1,2,3,4,5})+1,9),'Hue codes'!$A$1:$B$10,2,FALSE)</f>
        <v>0</v>
      </c>
      <c r="C1071">
        <f t="shared" si="33"/>
        <v>10</v>
      </c>
      <c r="D1071" s="162" t="s">
        <v>24</v>
      </c>
      <c r="E1071" s="162">
        <v>7</v>
      </c>
      <c r="F1071" s="162">
        <v>2</v>
      </c>
      <c r="G1071" s="164">
        <v>0.7571</v>
      </c>
      <c r="H1071" s="164">
        <v>0.66969999999999996</v>
      </c>
      <c r="I1071" s="164">
        <v>0.64410000000000001</v>
      </c>
      <c r="J1071" s="203" t="str">
        <f>HYPERLINK(SetRGB(J1071,G1071*255,H1071*255,I1071*255),"HOVER!")</f>
        <v>HOVER!</v>
      </c>
      <c r="K1071">
        <f t="shared" si="32"/>
        <v>3.5</v>
      </c>
    </row>
    <row r="1072" spans="1:11" x14ac:dyDescent="0.3">
      <c r="A1072">
        <f>LOOKUP(9E+307,--MID(D1072,1,{1,2,3,4,5}))</f>
        <v>10</v>
      </c>
      <c r="B1072">
        <f>VLOOKUP(MID(D1072,LOOKUP(2,1/ISNUMBER(-MID(D1072,1,{1,2,3,4,5})),{1,2,3,4,5})+1,9),'Hue codes'!$A$1:$B$10,2,FALSE)</f>
        <v>0</v>
      </c>
      <c r="C1072">
        <f t="shared" si="33"/>
        <v>10</v>
      </c>
      <c r="D1072" s="162" t="s">
        <v>24</v>
      </c>
      <c r="E1072" s="162">
        <v>7</v>
      </c>
      <c r="F1072" s="162">
        <v>4</v>
      </c>
      <c r="G1072" s="164">
        <v>0.82699999999999996</v>
      </c>
      <c r="H1072" s="164">
        <v>0.64829999999999999</v>
      </c>
      <c r="I1072" s="164">
        <v>0.5907</v>
      </c>
      <c r="J1072" s="232" t="str">
        <f>HYPERLINK(SetRGB(J1072,G1072*255,H1072*255,I1072*255),"HOVER!")</f>
        <v>HOVER!</v>
      </c>
      <c r="K1072">
        <f t="shared" si="32"/>
        <v>1.75</v>
      </c>
    </row>
    <row r="1073" spans="1:11" x14ac:dyDescent="0.3">
      <c r="A1073">
        <f>LOOKUP(9E+307,--MID(D1073,1,{1,2,3,4,5}))</f>
        <v>10</v>
      </c>
      <c r="B1073">
        <f>VLOOKUP(MID(D1073,LOOKUP(2,1/ISNUMBER(-MID(D1073,1,{1,2,3,4,5})),{1,2,3,4,5})+1,9),'Hue codes'!$A$1:$B$10,2,FALSE)</f>
        <v>0</v>
      </c>
      <c r="C1073">
        <f t="shared" si="33"/>
        <v>10</v>
      </c>
      <c r="D1073" s="162" t="s">
        <v>24</v>
      </c>
      <c r="E1073" s="162">
        <v>7</v>
      </c>
      <c r="F1073" s="162">
        <v>6</v>
      </c>
      <c r="G1073" s="164">
        <v>0.88939999999999997</v>
      </c>
      <c r="H1073" s="164">
        <v>0.62560000000000004</v>
      </c>
      <c r="I1073" s="164">
        <v>0.5373</v>
      </c>
      <c r="J1073" s="246" t="str">
        <f>HYPERLINK(SetRGB(J1073,G1073*255,H1073*255,I1073*255),"HOVER!")</f>
        <v>HOVER!</v>
      </c>
      <c r="K1073">
        <f t="shared" si="32"/>
        <v>1.1666666666666667</v>
      </c>
    </row>
    <row r="1074" spans="1:11" x14ac:dyDescent="0.3">
      <c r="A1074">
        <f>LOOKUP(9E+307,--MID(D1074,1,{1,2,3,4,5}))</f>
        <v>10</v>
      </c>
      <c r="B1074">
        <f>VLOOKUP(MID(D1074,LOOKUP(2,1/ISNUMBER(-MID(D1074,1,{1,2,3,4,5})),{1,2,3,4,5})+1,9),'Hue codes'!$A$1:$B$10,2,FALSE)</f>
        <v>0</v>
      </c>
      <c r="C1074">
        <f t="shared" si="33"/>
        <v>10</v>
      </c>
      <c r="D1074" s="162" t="s">
        <v>24</v>
      </c>
      <c r="E1074" s="162">
        <v>7</v>
      </c>
      <c r="F1074" s="162">
        <v>8</v>
      </c>
      <c r="G1074" s="164">
        <v>0.94810000000000005</v>
      </c>
      <c r="H1074" s="164">
        <v>0.60060000000000002</v>
      </c>
      <c r="I1074" s="164">
        <v>0.48060000000000003</v>
      </c>
      <c r="J1074" s="240" t="str">
        <f>HYPERLINK(SetRGB(J1074,G1074*255,H1074*255,I1074*255),"HOVER!")</f>
        <v>HOVER!</v>
      </c>
      <c r="K1074">
        <f t="shared" si="32"/>
        <v>0.875</v>
      </c>
    </row>
    <row r="1075" spans="1:11" x14ac:dyDescent="0.3">
      <c r="A1075">
        <f>LOOKUP(9E+307,--MID(D1075,1,{1,2,3,4,5}))</f>
        <v>10</v>
      </c>
      <c r="B1075">
        <f>VLOOKUP(MID(D1075,LOOKUP(2,1/ISNUMBER(-MID(D1075,1,{1,2,3,4,5})),{1,2,3,4,5})+1,9),'Hue codes'!$A$1:$B$10,2,FALSE)</f>
        <v>0</v>
      </c>
      <c r="C1075">
        <f t="shared" si="33"/>
        <v>10</v>
      </c>
      <c r="D1075" s="162" t="s">
        <v>24</v>
      </c>
      <c r="E1075" s="162">
        <v>7</v>
      </c>
      <c r="F1075" s="162">
        <v>10</v>
      </c>
      <c r="G1075" s="164">
        <v>0.99680000000000002</v>
      </c>
      <c r="H1075" s="164">
        <v>0.5766</v>
      </c>
      <c r="I1075" s="164">
        <v>0.42630000000000001</v>
      </c>
      <c r="J1075" s="213" t="str">
        <f>HYPERLINK(SetRGB(J1075,G1075*255,H1075*255,I1075*255),"HOVER!")</f>
        <v>HOVER!</v>
      </c>
      <c r="K1075">
        <f t="shared" si="32"/>
        <v>0.7</v>
      </c>
    </row>
    <row r="1076" spans="1:11" x14ac:dyDescent="0.3">
      <c r="A1076">
        <f>LOOKUP(9E+307,--MID(D1076,1,{1,2,3,4,5}))</f>
        <v>10</v>
      </c>
      <c r="B1076">
        <f>VLOOKUP(MID(D1076,LOOKUP(2,1/ISNUMBER(-MID(D1076,1,{1,2,3,4,5})),{1,2,3,4,5})+1,9),'Hue codes'!$A$1:$B$10,2,FALSE)</f>
        <v>0</v>
      </c>
      <c r="C1076">
        <f t="shared" si="33"/>
        <v>10</v>
      </c>
      <c r="D1076" s="162" t="s">
        <v>24</v>
      </c>
      <c r="E1076" s="162">
        <v>7</v>
      </c>
      <c r="F1076" s="162">
        <v>12</v>
      </c>
      <c r="G1076" s="164">
        <v>1</v>
      </c>
      <c r="H1076" s="164">
        <v>0.54779999999999995</v>
      </c>
      <c r="I1076" s="164">
        <v>0.35759999999999997</v>
      </c>
      <c r="J1076" s="242" t="str">
        <f>HYPERLINK(SetRGB(J1076,G1076*255,H1076*255,I1076*255),"HOVER!")</f>
        <v>HOVER!</v>
      </c>
      <c r="K1076">
        <f t="shared" si="32"/>
        <v>0.58333333333333337</v>
      </c>
    </row>
    <row r="1077" spans="1:11" x14ac:dyDescent="0.3">
      <c r="A1077">
        <f>LOOKUP(9E+307,--MID(D1077,1,{1,2,3,4,5}))</f>
        <v>10</v>
      </c>
      <c r="B1077">
        <f>VLOOKUP(MID(D1077,LOOKUP(2,1/ISNUMBER(-MID(D1077,1,{1,2,3,4,5})),{1,2,3,4,5})+1,9),'Hue codes'!$A$1:$B$10,2,FALSE)</f>
        <v>0</v>
      </c>
      <c r="C1077">
        <f t="shared" si="33"/>
        <v>10</v>
      </c>
      <c r="D1077" s="162" t="s">
        <v>24</v>
      </c>
      <c r="E1077" s="162">
        <v>7</v>
      </c>
      <c r="F1077" s="162">
        <v>14</v>
      </c>
      <c r="G1077" s="164">
        <v>1</v>
      </c>
      <c r="H1077" s="164">
        <v>0.51770000000000005</v>
      </c>
      <c r="I1077" s="164">
        <v>0.28449999999999998</v>
      </c>
      <c r="J1077" s="220" t="str">
        <f>HYPERLINK(SetRGB(J1077,G1077*255,H1077*255,I1077*255),"HOVER!")</f>
        <v>HOVER!</v>
      </c>
      <c r="K1077">
        <f t="shared" si="32"/>
        <v>0.5</v>
      </c>
    </row>
    <row r="1078" spans="1:11" x14ac:dyDescent="0.3">
      <c r="A1078">
        <f>LOOKUP(9E+307,--MID(D1078,1,{1,2,3,4,5}))</f>
        <v>10</v>
      </c>
      <c r="B1078">
        <f>VLOOKUP(MID(D1078,LOOKUP(2,1/ISNUMBER(-MID(D1078,1,{1,2,3,4,5})),{1,2,3,4,5})+1,9),'Hue codes'!$A$1:$B$10,2,FALSE)</f>
        <v>0</v>
      </c>
      <c r="C1078">
        <f t="shared" si="33"/>
        <v>10</v>
      </c>
      <c r="D1078" s="162" t="s">
        <v>24</v>
      </c>
      <c r="E1078" s="162">
        <v>7</v>
      </c>
      <c r="F1078" s="162">
        <v>16</v>
      </c>
      <c r="G1078" s="164">
        <v>1</v>
      </c>
      <c r="H1078" s="164">
        <v>0.48620000000000002</v>
      </c>
      <c r="I1078" s="164">
        <v>0.19359999999999999</v>
      </c>
      <c r="J1078" s="249" t="str">
        <f>HYPERLINK(SetRGB(J1078,G1078*255,H1078*255,I1078*255),"HOVER!")</f>
        <v>HOVER!</v>
      </c>
      <c r="K1078">
        <f t="shared" si="32"/>
        <v>0.4375</v>
      </c>
    </row>
    <row r="1079" spans="1:11" x14ac:dyDescent="0.3">
      <c r="A1079">
        <f>LOOKUP(9E+307,--MID(D1079,1,{1,2,3,4,5}))</f>
        <v>2.5</v>
      </c>
      <c r="B1079">
        <f>VLOOKUP(MID(D1079,LOOKUP(2,1/ISNUMBER(-MID(D1079,1,{1,2,3,4,5})),{1,2,3,4,5})+1,9),'Hue codes'!$A$1:$B$10,2,FALSE)</f>
        <v>10</v>
      </c>
      <c r="C1079">
        <f t="shared" si="33"/>
        <v>12.5</v>
      </c>
      <c r="D1079" s="162" t="s">
        <v>25</v>
      </c>
      <c r="E1079" s="162">
        <v>7</v>
      </c>
      <c r="F1079" s="162">
        <v>2</v>
      </c>
      <c r="G1079" s="164">
        <v>0.75819999999999999</v>
      </c>
      <c r="H1079" s="164">
        <v>0.67049999999999998</v>
      </c>
      <c r="I1079" s="164">
        <v>0.63149999999999995</v>
      </c>
      <c r="J1079" s="197" t="str">
        <f>HYPERLINK(SetRGB(J1079,G1079*255,H1079*255,I1079*255),"HOVER!")</f>
        <v>HOVER!</v>
      </c>
      <c r="K1079">
        <f t="shared" ref="K1079:K1142" si="34">E1079/F1079</f>
        <v>3.5</v>
      </c>
    </row>
    <row r="1080" spans="1:11" x14ac:dyDescent="0.3">
      <c r="A1080">
        <f>LOOKUP(9E+307,--MID(D1080,1,{1,2,3,4,5}))</f>
        <v>2.5</v>
      </c>
      <c r="B1080">
        <f>VLOOKUP(MID(D1080,LOOKUP(2,1/ISNUMBER(-MID(D1080,1,{1,2,3,4,5})),{1,2,3,4,5})+1,9),'Hue codes'!$A$1:$B$10,2,FALSE)</f>
        <v>10</v>
      </c>
      <c r="C1080">
        <f t="shared" si="33"/>
        <v>12.5</v>
      </c>
      <c r="D1080" s="162" t="s">
        <v>25</v>
      </c>
      <c r="E1080" s="162">
        <v>7</v>
      </c>
      <c r="F1080" s="162">
        <v>4</v>
      </c>
      <c r="G1080" s="164">
        <v>0.82399999999999995</v>
      </c>
      <c r="H1080" s="164">
        <v>0.65159999999999996</v>
      </c>
      <c r="I1080" s="164">
        <v>0.56930000000000003</v>
      </c>
      <c r="J1080" s="251" t="str">
        <f>HYPERLINK(SetRGB(J1080,G1080*255,H1080*255,I1080*255),"HOVER!")</f>
        <v>HOVER!</v>
      </c>
      <c r="K1080">
        <f t="shared" si="34"/>
        <v>1.75</v>
      </c>
    </row>
    <row r="1081" spans="1:11" x14ac:dyDescent="0.3">
      <c r="A1081">
        <f>LOOKUP(9E+307,--MID(D1081,1,{1,2,3,4,5}))</f>
        <v>2.5</v>
      </c>
      <c r="B1081">
        <f>VLOOKUP(MID(D1081,LOOKUP(2,1/ISNUMBER(-MID(D1081,1,{1,2,3,4,5})),{1,2,3,4,5})+1,9),'Hue codes'!$A$1:$B$10,2,FALSE)</f>
        <v>10</v>
      </c>
      <c r="C1081">
        <f t="shared" si="33"/>
        <v>12.5</v>
      </c>
      <c r="D1081" s="162" t="s">
        <v>25</v>
      </c>
      <c r="E1081" s="162">
        <v>7</v>
      </c>
      <c r="F1081" s="162">
        <v>6</v>
      </c>
      <c r="G1081" s="164">
        <v>0.88429999999999997</v>
      </c>
      <c r="H1081" s="164">
        <v>0.63100000000000001</v>
      </c>
      <c r="I1081" s="164">
        <v>0.50360000000000005</v>
      </c>
      <c r="J1081" s="239" t="str">
        <f>HYPERLINK(SetRGB(J1081,G1081*255,H1081*255,I1081*255),"HOVER!")</f>
        <v>HOVER!</v>
      </c>
      <c r="K1081">
        <f t="shared" si="34"/>
        <v>1.1666666666666667</v>
      </c>
    </row>
    <row r="1082" spans="1:11" x14ac:dyDescent="0.3">
      <c r="A1082">
        <f>LOOKUP(9E+307,--MID(D1082,1,{1,2,3,4,5}))</f>
        <v>2.5</v>
      </c>
      <c r="B1082">
        <f>VLOOKUP(MID(D1082,LOOKUP(2,1/ISNUMBER(-MID(D1082,1,{1,2,3,4,5})),{1,2,3,4,5})+1,9),'Hue codes'!$A$1:$B$10,2,FALSE)</f>
        <v>10</v>
      </c>
      <c r="C1082">
        <f t="shared" si="33"/>
        <v>12.5</v>
      </c>
      <c r="D1082" s="162" t="s">
        <v>25</v>
      </c>
      <c r="E1082" s="162">
        <v>7</v>
      </c>
      <c r="F1082" s="162">
        <v>8</v>
      </c>
      <c r="G1082" s="164">
        <v>0.93540000000000001</v>
      </c>
      <c r="H1082" s="164">
        <v>0.61060000000000003</v>
      </c>
      <c r="I1082" s="164">
        <v>0.43880000000000002</v>
      </c>
      <c r="J1082" s="212" t="str">
        <f>HYPERLINK(SetRGB(J1082,G1082*255,H1082*255,I1082*255),"HOVER!")</f>
        <v>HOVER!</v>
      </c>
      <c r="K1082">
        <f t="shared" si="34"/>
        <v>0.875</v>
      </c>
    </row>
    <row r="1083" spans="1:11" x14ac:dyDescent="0.3">
      <c r="A1083">
        <f>LOOKUP(9E+307,--MID(D1083,1,{1,2,3,4,5}))</f>
        <v>2.5</v>
      </c>
      <c r="B1083">
        <f>VLOOKUP(MID(D1083,LOOKUP(2,1/ISNUMBER(-MID(D1083,1,{1,2,3,4,5})),{1,2,3,4,5})+1,9),'Hue codes'!$A$1:$B$10,2,FALSE)</f>
        <v>10</v>
      </c>
      <c r="C1083">
        <f t="shared" si="33"/>
        <v>12.5</v>
      </c>
      <c r="D1083" s="162" t="s">
        <v>25</v>
      </c>
      <c r="E1083" s="162">
        <v>7</v>
      </c>
      <c r="F1083" s="162">
        <v>10</v>
      </c>
      <c r="G1083" s="164">
        <v>0.98040000000000005</v>
      </c>
      <c r="H1083" s="164">
        <v>0.59009999999999996</v>
      </c>
      <c r="I1083" s="164">
        <v>0.3725</v>
      </c>
      <c r="J1083" s="2" t="str">
        <f>HYPERLINK(SetRGB(J1083,G1083*255,H1083*255,I1083*255),"HOVER!")</f>
        <v>HOVER!</v>
      </c>
      <c r="K1083">
        <f t="shared" si="34"/>
        <v>0.7</v>
      </c>
    </row>
    <row r="1084" spans="1:11" x14ac:dyDescent="0.3">
      <c r="A1084">
        <f>LOOKUP(9E+307,--MID(D1084,1,{1,2,3,4,5}))</f>
        <v>2.5</v>
      </c>
      <c r="B1084">
        <f>VLOOKUP(MID(D1084,LOOKUP(2,1/ISNUMBER(-MID(D1084,1,{1,2,3,4,5})),{1,2,3,4,5})+1,9),'Hue codes'!$A$1:$B$10,2,FALSE)</f>
        <v>10</v>
      </c>
      <c r="C1084">
        <f t="shared" si="33"/>
        <v>12.5</v>
      </c>
      <c r="D1084" s="162" t="s">
        <v>25</v>
      </c>
      <c r="E1084" s="162">
        <v>7</v>
      </c>
      <c r="F1084" s="162">
        <v>12</v>
      </c>
      <c r="G1084" s="164">
        <v>1</v>
      </c>
      <c r="H1084" s="164">
        <v>0.56710000000000005</v>
      </c>
      <c r="I1084" s="164">
        <v>0.28420000000000001</v>
      </c>
      <c r="J1084" s="2" t="str">
        <f>HYPERLINK(SetRGB(J1084,G1084*255,H1084*255,I1084*255),"HOVER!")</f>
        <v>HOVER!</v>
      </c>
      <c r="K1084">
        <f t="shared" si="34"/>
        <v>0.58333333333333337</v>
      </c>
    </row>
    <row r="1085" spans="1:11" x14ac:dyDescent="0.3">
      <c r="A1085">
        <f>LOOKUP(9E+307,--MID(D1085,1,{1,2,3,4,5}))</f>
        <v>2.5</v>
      </c>
      <c r="B1085">
        <f>VLOOKUP(MID(D1085,LOOKUP(2,1/ISNUMBER(-MID(D1085,1,{1,2,3,4,5})),{1,2,3,4,5})+1,9),'Hue codes'!$A$1:$B$10,2,FALSE)</f>
        <v>10</v>
      </c>
      <c r="C1085">
        <f t="shared" si="33"/>
        <v>12.5</v>
      </c>
      <c r="D1085" s="162" t="s">
        <v>25</v>
      </c>
      <c r="E1085" s="162">
        <v>7</v>
      </c>
      <c r="F1085" s="162">
        <v>14</v>
      </c>
      <c r="G1085" s="164">
        <v>1</v>
      </c>
      <c r="H1085" s="164">
        <v>0.5454</v>
      </c>
      <c r="I1085" s="164">
        <v>0.17069999999999999</v>
      </c>
      <c r="J1085" s="2" t="str">
        <f>HYPERLINK(SetRGB(J1085,G1085*255,H1085*255,I1085*255),"HOVER!")</f>
        <v>HOVER!</v>
      </c>
      <c r="K1085">
        <f t="shared" si="34"/>
        <v>0.5</v>
      </c>
    </row>
    <row r="1086" spans="1:11" x14ac:dyDescent="0.3">
      <c r="A1086">
        <f>LOOKUP(9E+307,--MID(D1086,1,{1,2,3,4,5}))</f>
        <v>5</v>
      </c>
      <c r="B1086">
        <f>VLOOKUP(MID(D1086,LOOKUP(2,1/ISNUMBER(-MID(D1086,1,{1,2,3,4,5})),{1,2,3,4,5})+1,9),'Hue codes'!$A$1:$B$10,2,FALSE)</f>
        <v>10</v>
      </c>
      <c r="C1086">
        <f t="shared" si="33"/>
        <v>15</v>
      </c>
      <c r="D1086" s="162" t="s">
        <v>26</v>
      </c>
      <c r="E1086" s="162">
        <v>7</v>
      </c>
      <c r="F1086" s="162">
        <v>2</v>
      </c>
      <c r="G1086" s="164">
        <v>0.75729999999999997</v>
      </c>
      <c r="H1086" s="164">
        <v>0.67220000000000002</v>
      </c>
      <c r="I1086" s="164">
        <v>0.61799999999999999</v>
      </c>
      <c r="J1086" s="2" t="str">
        <f>HYPERLINK(SetRGB(J1086,G1086*255,H1086*255,I1086*255),"HOVER!")</f>
        <v>HOVER!</v>
      </c>
      <c r="K1086">
        <f t="shared" si="34"/>
        <v>3.5</v>
      </c>
    </row>
    <row r="1087" spans="1:11" x14ac:dyDescent="0.3">
      <c r="A1087">
        <f>LOOKUP(9E+307,--MID(D1087,1,{1,2,3,4,5}))</f>
        <v>5</v>
      </c>
      <c r="B1087">
        <f>VLOOKUP(MID(D1087,LOOKUP(2,1/ISNUMBER(-MID(D1087,1,{1,2,3,4,5})),{1,2,3,4,5})+1,9),'Hue codes'!$A$1:$B$10,2,FALSE)</f>
        <v>10</v>
      </c>
      <c r="C1087">
        <f t="shared" si="33"/>
        <v>15</v>
      </c>
      <c r="D1087" s="162" t="s">
        <v>26</v>
      </c>
      <c r="E1087" s="162">
        <v>7</v>
      </c>
      <c r="F1087" s="162">
        <v>4</v>
      </c>
      <c r="G1087" s="164">
        <v>0.81659999999999999</v>
      </c>
      <c r="H1087" s="164">
        <v>0.65659999999999996</v>
      </c>
      <c r="I1087" s="164">
        <v>0.5464</v>
      </c>
      <c r="J1087" s="2" t="str">
        <f>HYPERLINK(SetRGB(J1087,G1087*255,H1087*255,I1087*255),"HOVER!")</f>
        <v>HOVER!</v>
      </c>
      <c r="K1087">
        <f t="shared" si="34"/>
        <v>1.75</v>
      </c>
    </row>
    <row r="1088" spans="1:11" x14ac:dyDescent="0.3">
      <c r="A1088">
        <f>LOOKUP(9E+307,--MID(D1088,1,{1,2,3,4,5}))</f>
        <v>5</v>
      </c>
      <c r="B1088">
        <f>VLOOKUP(MID(D1088,LOOKUP(2,1/ISNUMBER(-MID(D1088,1,{1,2,3,4,5})),{1,2,3,4,5})+1,9),'Hue codes'!$A$1:$B$10,2,FALSE)</f>
        <v>10</v>
      </c>
      <c r="C1088">
        <f t="shared" si="33"/>
        <v>15</v>
      </c>
      <c r="D1088" s="162" t="s">
        <v>26</v>
      </c>
      <c r="E1088" s="162">
        <v>7</v>
      </c>
      <c r="F1088" s="162">
        <v>6</v>
      </c>
      <c r="G1088" s="164">
        <v>0.87009999999999998</v>
      </c>
      <c r="H1088" s="164">
        <v>0.6401</v>
      </c>
      <c r="I1088" s="164">
        <v>0.47039999999999998</v>
      </c>
      <c r="J1088" s="2" t="str">
        <f>HYPERLINK(SetRGB(J1088,G1088*255,H1088*255,I1088*255),"HOVER!")</f>
        <v>HOVER!</v>
      </c>
      <c r="K1088">
        <f t="shared" si="34"/>
        <v>1.1666666666666667</v>
      </c>
    </row>
    <row r="1089" spans="1:11" x14ac:dyDescent="0.3">
      <c r="A1089">
        <f>LOOKUP(9E+307,--MID(D1089,1,{1,2,3,4,5}))</f>
        <v>5</v>
      </c>
      <c r="B1089">
        <f>VLOOKUP(MID(D1089,LOOKUP(2,1/ISNUMBER(-MID(D1089,1,{1,2,3,4,5})),{1,2,3,4,5})+1,9),'Hue codes'!$A$1:$B$10,2,FALSE)</f>
        <v>10</v>
      </c>
      <c r="C1089">
        <f t="shared" si="33"/>
        <v>15</v>
      </c>
      <c r="D1089" s="162" t="s">
        <v>26</v>
      </c>
      <c r="E1089" s="162">
        <v>7</v>
      </c>
      <c r="F1089" s="162">
        <v>8</v>
      </c>
      <c r="G1089" s="164">
        <v>0.91410000000000002</v>
      </c>
      <c r="H1089" s="164">
        <v>0.62439999999999996</v>
      </c>
      <c r="I1089" s="164">
        <v>0.39600000000000002</v>
      </c>
      <c r="J1089" s="2" t="str">
        <f>HYPERLINK(SetRGB(J1089,G1089*255,H1089*255,I1089*255),"HOVER!")</f>
        <v>HOVER!</v>
      </c>
      <c r="K1089">
        <f t="shared" si="34"/>
        <v>0.875</v>
      </c>
    </row>
    <row r="1090" spans="1:11" x14ac:dyDescent="0.3">
      <c r="A1090">
        <f>LOOKUP(9E+307,--MID(D1090,1,{1,2,3,4,5}))</f>
        <v>5</v>
      </c>
      <c r="B1090">
        <f>VLOOKUP(MID(D1090,LOOKUP(2,1/ISNUMBER(-MID(D1090,1,{1,2,3,4,5})),{1,2,3,4,5})+1,9),'Hue codes'!$A$1:$B$10,2,FALSE)</f>
        <v>10</v>
      </c>
      <c r="C1090">
        <f t="shared" si="33"/>
        <v>15</v>
      </c>
      <c r="D1090" s="162" t="s">
        <v>26</v>
      </c>
      <c r="E1090" s="162">
        <v>7</v>
      </c>
      <c r="F1090" s="162">
        <v>10</v>
      </c>
      <c r="G1090" s="164">
        <v>0.95409999999999995</v>
      </c>
      <c r="H1090" s="164">
        <v>0.60840000000000005</v>
      </c>
      <c r="I1090" s="164">
        <v>0.31019999999999998</v>
      </c>
      <c r="J1090" s="2" t="str">
        <f>HYPERLINK(SetRGB(J1090,G1090*255,H1090*255,I1090*255),"HOVER!")</f>
        <v>HOVER!</v>
      </c>
      <c r="K1090">
        <f t="shared" si="34"/>
        <v>0.7</v>
      </c>
    </row>
    <row r="1091" spans="1:11" x14ac:dyDescent="0.3">
      <c r="A1091">
        <f>LOOKUP(9E+307,--MID(D1091,1,{1,2,3,4,5}))</f>
        <v>5</v>
      </c>
      <c r="B1091">
        <f>VLOOKUP(MID(D1091,LOOKUP(2,1/ISNUMBER(-MID(D1091,1,{1,2,3,4,5})),{1,2,3,4,5})+1,9),'Hue codes'!$A$1:$B$10,2,FALSE)</f>
        <v>10</v>
      </c>
      <c r="C1091">
        <f t="shared" ref="C1091:C1154" si="35">IF(A1091+B1091=100,0,A1091+B1091)</f>
        <v>15</v>
      </c>
      <c r="D1091" s="162" t="s">
        <v>26</v>
      </c>
      <c r="E1091" s="162">
        <v>7</v>
      </c>
      <c r="F1091" s="162">
        <v>12</v>
      </c>
      <c r="G1091" s="164">
        <v>0.99060000000000004</v>
      </c>
      <c r="H1091" s="164">
        <v>0.59189999999999998</v>
      </c>
      <c r="I1091" s="164">
        <v>0.20300000000000001</v>
      </c>
      <c r="J1091" s="2" t="str">
        <f>HYPERLINK(SetRGB(J1091,G1091*255,H1091*255,I1091*255),"HOVER!")</f>
        <v>HOVER!</v>
      </c>
      <c r="K1091">
        <f t="shared" si="34"/>
        <v>0.58333333333333337</v>
      </c>
    </row>
    <row r="1092" spans="1:11" x14ac:dyDescent="0.3">
      <c r="A1092">
        <f>LOOKUP(9E+307,--MID(D1092,1,{1,2,3,4,5}))</f>
        <v>7.5</v>
      </c>
      <c r="B1092">
        <f>VLOOKUP(MID(D1092,LOOKUP(2,1/ISNUMBER(-MID(D1092,1,{1,2,3,4,5})),{1,2,3,4,5})+1,9),'Hue codes'!$A$1:$B$10,2,FALSE)</f>
        <v>10</v>
      </c>
      <c r="C1092">
        <f t="shared" si="35"/>
        <v>17.5</v>
      </c>
      <c r="D1092" s="162" t="s">
        <v>27</v>
      </c>
      <c r="E1092" s="162">
        <v>7</v>
      </c>
      <c r="F1092" s="162">
        <v>2</v>
      </c>
      <c r="G1092" s="164">
        <v>0.753</v>
      </c>
      <c r="H1092" s="164">
        <v>0.67479999999999996</v>
      </c>
      <c r="I1092" s="164">
        <v>0.60640000000000005</v>
      </c>
      <c r="J1092" s="2" t="str">
        <f>HYPERLINK(SetRGB(J1092,G1092*255,H1092*255,I1092*255),"HOVER!")</f>
        <v>HOVER!</v>
      </c>
      <c r="K1092">
        <f t="shared" si="34"/>
        <v>3.5</v>
      </c>
    </row>
    <row r="1093" spans="1:11" x14ac:dyDescent="0.3">
      <c r="A1093">
        <f>LOOKUP(9E+307,--MID(D1093,1,{1,2,3,4,5}))</f>
        <v>7.5</v>
      </c>
      <c r="B1093">
        <f>VLOOKUP(MID(D1093,LOOKUP(2,1/ISNUMBER(-MID(D1093,1,{1,2,3,4,5})),{1,2,3,4,5})+1,9),'Hue codes'!$A$1:$B$10,2,FALSE)</f>
        <v>10</v>
      </c>
      <c r="C1093">
        <f t="shared" si="35"/>
        <v>17.5</v>
      </c>
      <c r="D1093" s="162" t="s">
        <v>27</v>
      </c>
      <c r="E1093" s="162">
        <v>7</v>
      </c>
      <c r="F1093" s="162">
        <v>4</v>
      </c>
      <c r="G1093" s="164">
        <v>0.8075</v>
      </c>
      <c r="H1093" s="164">
        <v>0.66190000000000004</v>
      </c>
      <c r="I1093" s="164">
        <v>0.52659999999999996</v>
      </c>
      <c r="J1093" s="2" t="str">
        <f>HYPERLINK(SetRGB(J1093,G1093*255,H1093*255,I1093*255),"HOVER!")</f>
        <v>HOVER!</v>
      </c>
      <c r="K1093">
        <f t="shared" si="34"/>
        <v>1.75</v>
      </c>
    </row>
    <row r="1094" spans="1:11" x14ac:dyDescent="0.3">
      <c r="A1094">
        <f>LOOKUP(9E+307,--MID(D1094,1,{1,2,3,4,5}))</f>
        <v>7.5</v>
      </c>
      <c r="B1094">
        <f>VLOOKUP(MID(D1094,LOOKUP(2,1/ISNUMBER(-MID(D1094,1,{1,2,3,4,5})),{1,2,3,4,5})+1,9),'Hue codes'!$A$1:$B$10,2,FALSE)</f>
        <v>10</v>
      </c>
      <c r="C1094">
        <f t="shared" si="35"/>
        <v>17.5</v>
      </c>
      <c r="D1094" s="162" t="s">
        <v>27</v>
      </c>
      <c r="E1094" s="162">
        <v>7</v>
      </c>
      <c r="F1094" s="162">
        <v>6</v>
      </c>
      <c r="G1094" s="164">
        <v>0.85360000000000003</v>
      </c>
      <c r="H1094" s="164">
        <v>0.64929999999999999</v>
      </c>
      <c r="I1094" s="164">
        <v>0.442</v>
      </c>
      <c r="J1094" s="2" t="str">
        <f>HYPERLINK(SetRGB(J1094,G1094*255,H1094*255,I1094*255),"HOVER!")</f>
        <v>HOVER!</v>
      </c>
      <c r="K1094">
        <f t="shared" si="34"/>
        <v>1.1666666666666667</v>
      </c>
    </row>
    <row r="1095" spans="1:11" x14ac:dyDescent="0.3">
      <c r="A1095">
        <f>LOOKUP(9E+307,--MID(D1095,1,{1,2,3,4,5}))</f>
        <v>7.5</v>
      </c>
      <c r="B1095">
        <f>VLOOKUP(MID(D1095,LOOKUP(2,1/ISNUMBER(-MID(D1095,1,{1,2,3,4,5})),{1,2,3,4,5})+1,9),'Hue codes'!$A$1:$B$10,2,FALSE)</f>
        <v>10</v>
      </c>
      <c r="C1095">
        <f t="shared" si="35"/>
        <v>17.5</v>
      </c>
      <c r="D1095" s="162" t="s">
        <v>27</v>
      </c>
      <c r="E1095" s="162">
        <v>7</v>
      </c>
      <c r="F1095" s="162">
        <v>8</v>
      </c>
      <c r="G1095" s="164">
        <v>0.89170000000000005</v>
      </c>
      <c r="H1095" s="164">
        <v>0.63739999999999997</v>
      </c>
      <c r="I1095" s="164">
        <v>0.35599999999999998</v>
      </c>
      <c r="J1095" s="2" t="str">
        <f>HYPERLINK(SetRGB(J1095,G1095*255,H1095*255,I1095*255),"HOVER!")</f>
        <v>HOVER!</v>
      </c>
      <c r="K1095">
        <f t="shared" si="34"/>
        <v>0.875</v>
      </c>
    </row>
    <row r="1096" spans="1:11" x14ac:dyDescent="0.3">
      <c r="A1096">
        <f>LOOKUP(9E+307,--MID(D1096,1,{1,2,3,4,5}))</f>
        <v>7.5</v>
      </c>
      <c r="B1096">
        <f>VLOOKUP(MID(D1096,LOOKUP(2,1/ISNUMBER(-MID(D1096,1,{1,2,3,4,5})),{1,2,3,4,5})+1,9),'Hue codes'!$A$1:$B$10,2,FALSE)</f>
        <v>10</v>
      </c>
      <c r="C1096">
        <f t="shared" si="35"/>
        <v>17.5</v>
      </c>
      <c r="D1096" s="162" t="s">
        <v>27</v>
      </c>
      <c r="E1096" s="162">
        <v>7</v>
      </c>
      <c r="F1096" s="162">
        <v>10</v>
      </c>
      <c r="G1096" s="164">
        <v>0.9244</v>
      </c>
      <c r="H1096" s="164">
        <v>0.62609999999999999</v>
      </c>
      <c r="I1096" s="164">
        <v>0.25700000000000001</v>
      </c>
      <c r="J1096" s="2" t="str">
        <f>HYPERLINK(SetRGB(J1096,G1096*255,H1096*255,I1096*255),"HOVER!")</f>
        <v>HOVER!</v>
      </c>
      <c r="K1096">
        <f t="shared" si="34"/>
        <v>0.7</v>
      </c>
    </row>
    <row r="1097" spans="1:11" x14ac:dyDescent="0.3">
      <c r="A1097">
        <f>LOOKUP(9E+307,--MID(D1097,1,{1,2,3,4,5}))</f>
        <v>7.5</v>
      </c>
      <c r="B1097">
        <f>VLOOKUP(MID(D1097,LOOKUP(2,1/ISNUMBER(-MID(D1097,1,{1,2,3,4,5})),{1,2,3,4,5})+1,9),'Hue codes'!$A$1:$B$10,2,FALSE)</f>
        <v>10</v>
      </c>
      <c r="C1097">
        <f t="shared" si="35"/>
        <v>17.5</v>
      </c>
      <c r="D1097" s="162" t="s">
        <v>27</v>
      </c>
      <c r="E1097" s="162">
        <v>7</v>
      </c>
      <c r="F1097" s="162">
        <v>12</v>
      </c>
      <c r="G1097" s="164">
        <v>0.95309999999999995</v>
      </c>
      <c r="H1097" s="164">
        <v>0.61499999999999999</v>
      </c>
      <c r="I1097" s="164">
        <v>0.11169999999999999</v>
      </c>
      <c r="J1097" s="2" t="str">
        <f>HYPERLINK(SetRGB(J1097,G1097*255,H1097*255,I1097*255),"HOVER!")</f>
        <v>HOVER!</v>
      </c>
      <c r="K1097">
        <f t="shared" si="34"/>
        <v>0.58333333333333337</v>
      </c>
    </row>
    <row r="1098" spans="1:11" x14ac:dyDescent="0.3">
      <c r="A1098">
        <f>LOOKUP(9E+307,--MID(D1098,1,{1,2,3,4,5}))</f>
        <v>10</v>
      </c>
      <c r="B1098">
        <f>VLOOKUP(MID(D1098,LOOKUP(2,1/ISNUMBER(-MID(D1098,1,{1,2,3,4,5})),{1,2,3,4,5})+1,9),'Hue codes'!$A$1:$B$10,2,FALSE)</f>
        <v>10</v>
      </c>
      <c r="C1098">
        <f t="shared" si="35"/>
        <v>20</v>
      </c>
      <c r="D1098" s="162" t="s">
        <v>28</v>
      </c>
      <c r="E1098" s="162">
        <v>7</v>
      </c>
      <c r="F1098" s="162">
        <v>2</v>
      </c>
      <c r="G1098" s="164">
        <v>0.74419999999999997</v>
      </c>
      <c r="H1098" s="164">
        <v>0.67900000000000005</v>
      </c>
      <c r="I1098" s="164">
        <v>0.59399999999999997</v>
      </c>
      <c r="J1098" s="176" t="str">
        <f>HYPERLINK(SetRGB(J1098,G1098*255,H1098*255,I1098*255),"HOVER!")</f>
        <v>HOVER!</v>
      </c>
      <c r="K1098">
        <f t="shared" si="34"/>
        <v>3.5</v>
      </c>
    </row>
    <row r="1099" spans="1:11" x14ac:dyDescent="0.3">
      <c r="A1099">
        <f>LOOKUP(9E+307,--MID(D1099,1,{1,2,3,4,5}))</f>
        <v>10</v>
      </c>
      <c r="B1099">
        <f>VLOOKUP(MID(D1099,LOOKUP(2,1/ISNUMBER(-MID(D1099,1,{1,2,3,4,5})),{1,2,3,4,5})+1,9),'Hue codes'!$A$1:$B$10,2,FALSE)</f>
        <v>10</v>
      </c>
      <c r="C1099">
        <f t="shared" si="35"/>
        <v>20</v>
      </c>
      <c r="D1099" s="162" t="s">
        <v>28</v>
      </c>
      <c r="E1099" s="162">
        <v>7</v>
      </c>
      <c r="F1099" s="162">
        <v>4</v>
      </c>
      <c r="G1099" s="164">
        <v>0.79059999999999997</v>
      </c>
      <c r="H1099" s="164">
        <v>0.67010000000000003</v>
      </c>
      <c r="I1099" s="164">
        <v>0.50370000000000004</v>
      </c>
      <c r="J1099" s="238" t="str">
        <f>HYPERLINK(SetRGB(J1099,G1099*255,H1099*255,I1099*255),"HOVER!")</f>
        <v>HOVER!</v>
      </c>
      <c r="K1099">
        <f t="shared" si="34"/>
        <v>1.75</v>
      </c>
    </row>
    <row r="1100" spans="1:11" x14ac:dyDescent="0.3">
      <c r="A1100">
        <f>LOOKUP(9E+307,--MID(D1100,1,{1,2,3,4,5}))</f>
        <v>10</v>
      </c>
      <c r="B1100">
        <f>VLOOKUP(MID(D1100,LOOKUP(2,1/ISNUMBER(-MID(D1100,1,{1,2,3,4,5})),{1,2,3,4,5})+1,9),'Hue codes'!$A$1:$B$10,2,FALSE)</f>
        <v>10</v>
      </c>
      <c r="C1100">
        <f t="shared" si="35"/>
        <v>20</v>
      </c>
      <c r="D1100" s="162" t="s">
        <v>28</v>
      </c>
      <c r="E1100" s="162">
        <v>7</v>
      </c>
      <c r="F1100" s="162">
        <v>6</v>
      </c>
      <c r="G1100" s="164">
        <v>0.82950000000000002</v>
      </c>
      <c r="H1100" s="164">
        <v>0.6613</v>
      </c>
      <c r="I1100" s="164">
        <v>0.4113</v>
      </c>
      <c r="J1100" s="229" t="str">
        <f>HYPERLINK(SetRGB(J1100,G1100*255,H1100*255,I1100*255),"HOVER!")</f>
        <v>HOVER!</v>
      </c>
      <c r="K1100">
        <f t="shared" si="34"/>
        <v>1.1666666666666667</v>
      </c>
    </row>
    <row r="1101" spans="1:11" x14ac:dyDescent="0.3">
      <c r="A1101">
        <f>LOOKUP(9E+307,--MID(D1101,1,{1,2,3,4,5}))</f>
        <v>10</v>
      </c>
      <c r="B1101">
        <f>VLOOKUP(MID(D1101,LOOKUP(2,1/ISNUMBER(-MID(D1101,1,{1,2,3,4,5})),{1,2,3,4,5})+1,9),'Hue codes'!$A$1:$B$10,2,FALSE)</f>
        <v>10</v>
      </c>
      <c r="C1101">
        <f t="shared" si="35"/>
        <v>20</v>
      </c>
      <c r="D1101" s="162" t="s">
        <v>28</v>
      </c>
      <c r="E1101" s="162">
        <v>7</v>
      </c>
      <c r="F1101" s="162">
        <v>8</v>
      </c>
      <c r="G1101" s="164">
        <v>0.86209999999999998</v>
      </c>
      <c r="H1101" s="164">
        <v>0.65269999999999995</v>
      </c>
      <c r="I1101" s="164">
        <v>0.315</v>
      </c>
      <c r="J1101" s="254" t="str">
        <f>HYPERLINK(SetRGB(J1101,G1101*255,H1101*255,I1101*255),"HOVER!")</f>
        <v>HOVER!</v>
      </c>
      <c r="K1101">
        <f t="shared" si="34"/>
        <v>0.875</v>
      </c>
    </row>
    <row r="1102" spans="1:11" x14ac:dyDescent="0.3">
      <c r="A1102">
        <f>LOOKUP(9E+307,--MID(D1102,1,{1,2,3,4,5}))</f>
        <v>10</v>
      </c>
      <c r="B1102">
        <f>VLOOKUP(MID(D1102,LOOKUP(2,1/ISNUMBER(-MID(D1102,1,{1,2,3,4,5})),{1,2,3,4,5})+1,9),'Hue codes'!$A$1:$B$10,2,FALSE)</f>
        <v>10</v>
      </c>
      <c r="C1102">
        <f t="shared" si="35"/>
        <v>20</v>
      </c>
      <c r="D1102" s="162" t="s">
        <v>28</v>
      </c>
      <c r="E1102" s="162">
        <v>7</v>
      </c>
      <c r="F1102" s="162">
        <v>10</v>
      </c>
      <c r="G1102" s="164">
        <v>0.88970000000000005</v>
      </c>
      <c r="H1102" s="164">
        <v>0.64449999999999996</v>
      </c>
      <c r="I1102" s="164">
        <v>0.20019999999999999</v>
      </c>
      <c r="J1102" s="231" t="str">
        <f>HYPERLINK(SetRGB(J1102,G1102*255,H1102*255,I1102*255),"HOVER!")</f>
        <v>HOVER!</v>
      </c>
      <c r="K1102">
        <f t="shared" si="34"/>
        <v>0.7</v>
      </c>
    </row>
    <row r="1103" spans="1:11" x14ac:dyDescent="0.3">
      <c r="A1103">
        <f>LOOKUP(9E+307,--MID(D1103,1,{1,2,3,4,5}))</f>
        <v>2.5</v>
      </c>
      <c r="B1103">
        <f>VLOOKUP(MID(D1103,LOOKUP(2,1/ISNUMBER(-MID(D1103,1,{1,2,3,4,5})),{1,2,3,4,5})+1,9),'Hue codes'!$A$1:$B$10,2,FALSE)</f>
        <v>20</v>
      </c>
      <c r="C1103">
        <f t="shared" si="35"/>
        <v>22.5</v>
      </c>
      <c r="D1103" s="162" t="s">
        <v>29</v>
      </c>
      <c r="E1103" s="162">
        <v>7</v>
      </c>
      <c r="F1103" s="162">
        <v>2</v>
      </c>
      <c r="G1103" s="164">
        <v>0.73229999999999995</v>
      </c>
      <c r="H1103" s="164">
        <v>0.68400000000000005</v>
      </c>
      <c r="I1103" s="164">
        <v>0.58379999999999999</v>
      </c>
      <c r="J1103" s="243" t="str">
        <f>HYPERLINK(SetRGB(J1103,G1103*255,H1103*255,I1103*255),"HOVER!")</f>
        <v>HOVER!</v>
      </c>
      <c r="K1103">
        <f t="shared" si="34"/>
        <v>3.5</v>
      </c>
    </row>
    <row r="1104" spans="1:11" x14ac:dyDescent="0.3">
      <c r="A1104">
        <f>LOOKUP(9E+307,--MID(D1104,1,{1,2,3,4,5}))</f>
        <v>2.5</v>
      </c>
      <c r="B1104">
        <f>VLOOKUP(MID(D1104,LOOKUP(2,1/ISNUMBER(-MID(D1104,1,{1,2,3,4,5})),{1,2,3,4,5})+1,9),'Hue codes'!$A$1:$B$10,2,FALSE)</f>
        <v>20</v>
      </c>
      <c r="C1104">
        <f t="shared" si="35"/>
        <v>22.5</v>
      </c>
      <c r="D1104" s="162" t="s">
        <v>29</v>
      </c>
      <c r="E1104" s="162">
        <v>7</v>
      </c>
      <c r="F1104" s="162">
        <v>4</v>
      </c>
      <c r="G1104" s="164">
        <v>0.77239999999999998</v>
      </c>
      <c r="H1104" s="164">
        <v>0.67789999999999995</v>
      </c>
      <c r="I1104" s="164">
        <v>0.48870000000000002</v>
      </c>
      <c r="J1104" s="217" t="str">
        <f>HYPERLINK(SetRGB(J1104,G1104*255,H1104*255,I1104*255),"HOVER!")</f>
        <v>HOVER!</v>
      </c>
      <c r="K1104">
        <f t="shared" si="34"/>
        <v>1.75</v>
      </c>
    </row>
    <row r="1105" spans="1:11" x14ac:dyDescent="0.3">
      <c r="A1105">
        <f>LOOKUP(9E+307,--MID(D1105,1,{1,2,3,4,5}))</f>
        <v>2.5</v>
      </c>
      <c r="B1105">
        <f>VLOOKUP(MID(D1105,LOOKUP(2,1/ISNUMBER(-MID(D1105,1,{1,2,3,4,5})),{1,2,3,4,5})+1,9),'Hue codes'!$A$1:$B$10,2,FALSE)</f>
        <v>20</v>
      </c>
      <c r="C1105">
        <f t="shared" si="35"/>
        <v>22.5</v>
      </c>
      <c r="D1105" s="162" t="s">
        <v>29</v>
      </c>
      <c r="E1105" s="162">
        <v>7</v>
      </c>
      <c r="F1105" s="162">
        <v>6</v>
      </c>
      <c r="G1105" s="164">
        <v>0.80489999999999995</v>
      </c>
      <c r="H1105" s="164">
        <v>0.67230000000000001</v>
      </c>
      <c r="I1105" s="164">
        <v>0.3896</v>
      </c>
      <c r="J1105" s="250" t="str">
        <f>HYPERLINK(SetRGB(J1105,G1105*255,H1105*255,I1105*255),"HOVER!")</f>
        <v>HOVER!</v>
      </c>
      <c r="K1105">
        <f t="shared" si="34"/>
        <v>1.1666666666666667</v>
      </c>
    </row>
    <row r="1106" spans="1:11" x14ac:dyDescent="0.3">
      <c r="A1106">
        <f>LOOKUP(9E+307,--MID(D1106,1,{1,2,3,4,5}))</f>
        <v>2.5</v>
      </c>
      <c r="B1106">
        <f>VLOOKUP(MID(D1106,LOOKUP(2,1/ISNUMBER(-MID(D1106,1,{1,2,3,4,5})),{1,2,3,4,5})+1,9),'Hue codes'!$A$1:$B$10,2,FALSE)</f>
        <v>20</v>
      </c>
      <c r="C1106">
        <f t="shared" si="35"/>
        <v>22.5</v>
      </c>
      <c r="D1106" s="162" t="s">
        <v>29</v>
      </c>
      <c r="E1106" s="162">
        <v>7</v>
      </c>
      <c r="F1106" s="162">
        <v>8</v>
      </c>
      <c r="G1106" s="164">
        <v>0.83030000000000004</v>
      </c>
      <c r="H1106" s="164">
        <v>0.6673</v>
      </c>
      <c r="I1106" s="164">
        <v>0.28239999999999998</v>
      </c>
      <c r="J1106" s="236" t="str">
        <f>HYPERLINK(SetRGB(J1106,G1106*255,H1106*255,I1106*255),"HOVER!")</f>
        <v>HOVER!</v>
      </c>
      <c r="K1106">
        <f t="shared" si="34"/>
        <v>0.875</v>
      </c>
    </row>
    <row r="1107" spans="1:11" x14ac:dyDescent="0.3">
      <c r="A1107">
        <f>LOOKUP(9E+307,--MID(D1107,1,{1,2,3,4,5}))</f>
        <v>2.5</v>
      </c>
      <c r="B1107">
        <f>VLOOKUP(MID(D1107,LOOKUP(2,1/ISNUMBER(-MID(D1107,1,{1,2,3,4,5})),{1,2,3,4,5})+1,9),'Hue codes'!$A$1:$B$10,2,FALSE)</f>
        <v>20</v>
      </c>
      <c r="C1107">
        <f t="shared" si="35"/>
        <v>22.5</v>
      </c>
      <c r="D1107" s="162" t="s">
        <v>29</v>
      </c>
      <c r="E1107" s="162">
        <v>7</v>
      </c>
      <c r="F1107" s="162">
        <v>10</v>
      </c>
      <c r="G1107" s="164">
        <v>0.8518</v>
      </c>
      <c r="H1107" s="164">
        <v>0.66249999999999998</v>
      </c>
      <c r="I1107" s="164">
        <v>0.13689999999999999</v>
      </c>
      <c r="J1107" s="265" t="str">
        <f>HYPERLINK(SetRGB(J1107,G1107*255,H1107*255,I1107*255),"HOVER!")</f>
        <v>HOVER!</v>
      </c>
      <c r="K1107">
        <f t="shared" si="34"/>
        <v>0.7</v>
      </c>
    </row>
    <row r="1108" spans="1:11" x14ac:dyDescent="0.3">
      <c r="A1108">
        <f>LOOKUP(9E+307,--MID(D1108,1,{1,2,3,4,5}))</f>
        <v>5</v>
      </c>
      <c r="B1108">
        <f>VLOOKUP(MID(D1108,LOOKUP(2,1/ISNUMBER(-MID(D1108,1,{1,2,3,4,5})),{1,2,3,4,5})+1,9),'Hue codes'!$A$1:$B$10,2,FALSE)</f>
        <v>20</v>
      </c>
      <c r="C1108">
        <f t="shared" si="35"/>
        <v>25</v>
      </c>
      <c r="D1108" s="162" t="s">
        <v>30</v>
      </c>
      <c r="E1108" s="162">
        <v>7</v>
      </c>
      <c r="F1108" s="162">
        <v>2</v>
      </c>
      <c r="G1108" s="164">
        <v>0.72099999999999997</v>
      </c>
      <c r="H1108" s="164">
        <v>0.68810000000000004</v>
      </c>
      <c r="I1108" s="164">
        <v>0.57879999999999998</v>
      </c>
      <c r="J1108" s="259" t="str">
        <f>HYPERLINK(SetRGB(J1108,G1108*255,H1108*255,I1108*255),"HOVER!")</f>
        <v>HOVER!</v>
      </c>
      <c r="K1108">
        <f t="shared" si="34"/>
        <v>3.5</v>
      </c>
    </row>
    <row r="1109" spans="1:11" x14ac:dyDescent="0.3">
      <c r="A1109">
        <f>LOOKUP(9E+307,--MID(D1109,1,{1,2,3,4,5}))</f>
        <v>5</v>
      </c>
      <c r="B1109">
        <f>VLOOKUP(MID(D1109,LOOKUP(2,1/ISNUMBER(-MID(D1109,1,{1,2,3,4,5})),{1,2,3,4,5})+1,9),'Hue codes'!$A$1:$B$10,2,FALSE)</f>
        <v>20</v>
      </c>
      <c r="C1109">
        <f t="shared" si="35"/>
        <v>25</v>
      </c>
      <c r="D1109" s="162" t="s">
        <v>30</v>
      </c>
      <c r="E1109" s="162">
        <v>7</v>
      </c>
      <c r="F1109" s="162">
        <v>4</v>
      </c>
      <c r="G1109" s="164">
        <v>0.74680000000000002</v>
      </c>
      <c r="H1109" s="164">
        <v>0.68759999999999999</v>
      </c>
      <c r="I1109" s="164">
        <v>0.47599999999999998</v>
      </c>
      <c r="J1109" s="264" t="str">
        <f>HYPERLINK(SetRGB(J1109,G1109*255,H1109*255,I1109*255),"HOVER!")</f>
        <v>HOVER!</v>
      </c>
      <c r="K1109">
        <f t="shared" si="34"/>
        <v>1.75</v>
      </c>
    </row>
    <row r="1110" spans="1:11" x14ac:dyDescent="0.3">
      <c r="A1110">
        <f>LOOKUP(9E+307,--MID(D1110,1,{1,2,3,4,5}))</f>
        <v>5</v>
      </c>
      <c r="B1110">
        <f>VLOOKUP(MID(D1110,LOOKUP(2,1/ISNUMBER(-MID(D1110,1,{1,2,3,4,5})),{1,2,3,4,5})+1,9),'Hue codes'!$A$1:$B$10,2,FALSE)</f>
        <v>20</v>
      </c>
      <c r="C1110">
        <f t="shared" si="35"/>
        <v>25</v>
      </c>
      <c r="D1110" s="162" t="s">
        <v>30</v>
      </c>
      <c r="E1110" s="162">
        <v>7</v>
      </c>
      <c r="F1110" s="162">
        <v>6</v>
      </c>
      <c r="G1110" s="164">
        <v>0.77059999999999995</v>
      </c>
      <c r="H1110" s="164">
        <v>0.68579999999999997</v>
      </c>
      <c r="I1110" s="164">
        <v>0.37</v>
      </c>
      <c r="J1110" s="200" t="str">
        <f>HYPERLINK(SetRGB(J1110,G1110*255,H1110*255,I1110*255),"HOVER!")</f>
        <v>HOVER!</v>
      </c>
      <c r="K1110">
        <f t="shared" si="34"/>
        <v>1.1666666666666667</v>
      </c>
    </row>
    <row r="1111" spans="1:11" x14ac:dyDescent="0.3">
      <c r="A1111">
        <f>LOOKUP(9E+307,--MID(D1111,1,{1,2,3,4,5}))</f>
        <v>5</v>
      </c>
      <c r="B1111">
        <f>VLOOKUP(MID(D1111,LOOKUP(2,1/ISNUMBER(-MID(D1111,1,{1,2,3,4,5})),{1,2,3,4,5})+1,9),'Hue codes'!$A$1:$B$10,2,FALSE)</f>
        <v>20</v>
      </c>
      <c r="C1111">
        <f t="shared" si="35"/>
        <v>25</v>
      </c>
      <c r="D1111" s="162" t="s">
        <v>30</v>
      </c>
      <c r="E1111" s="162">
        <v>7</v>
      </c>
      <c r="F1111" s="162">
        <v>8</v>
      </c>
      <c r="G1111" s="164">
        <v>0.79100000000000004</v>
      </c>
      <c r="H1111" s="164">
        <v>0.68330000000000002</v>
      </c>
      <c r="I1111" s="164">
        <v>0.25469999999999998</v>
      </c>
      <c r="J1111" s="121" t="str">
        <f>HYPERLINK(SetRGB(J1111,G1111*255,H1111*255,I1111*255),"HOVER!")</f>
        <v>HOVER!</v>
      </c>
      <c r="K1111">
        <f t="shared" si="34"/>
        <v>0.875</v>
      </c>
    </row>
    <row r="1112" spans="1:11" x14ac:dyDescent="0.3">
      <c r="A1112">
        <f>LOOKUP(9E+307,--MID(D1112,1,{1,2,3,4,5}))</f>
        <v>5</v>
      </c>
      <c r="B1112">
        <f>VLOOKUP(MID(D1112,LOOKUP(2,1/ISNUMBER(-MID(D1112,1,{1,2,3,4,5})),{1,2,3,4,5})+1,9),'Hue codes'!$A$1:$B$10,2,FALSE)</f>
        <v>20</v>
      </c>
      <c r="C1112">
        <f t="shared" si="35"/>
        <v>25</v>
      </c>
      <c r="D1112" s="162" t="s">
        <v>30</v>
      </c>
      <c r="E1112" s="162">
        <v>7</v>
      </c>
      <c r="F1112" s="162">
        <v>10</v>
      </c>
      <c r="G1112" s="164">
        <v>0.80779999999999996</v>
      </c>
      <c r="H1112" s="164">
        <v>0.68089999999999995</v>
      </c>
      <c r="I1112" s="164">
        <v>5.8200000000000002E-2</v>
      </c>
      <c r="J1112" s="120" t="str">
        <f>HYPERLINK(SetRGB(J1112,G1112*255,H1112*255,I1112*255),"HOVER!")</f>
        <v>HOVER!</v>
      </c>
      <c r="K1112">
        <f t="shared" si="34"/>
        <v>0.7</v>
      </c>
    </row>
    <row r="1113" spans="1:11" x14ac:dyDescent="0.3">
      <c r="A1113">
        <f>LOOKUP(9E+307,--MID(D1113,1,{1,2,3,4,5}))</f>
        <v>7.5</v>
      </c>
      <c r="B1113">
        <f>VLOOKUP(MID(D1113,LOOKUP(2,1/ISNUMBER(-MID(D1113,1,{1,2,3,4,5})),{1,2,3,4,5})+1,9),'Hue codes'!$A$1:$B$10,2,FALSE)</f>
        <v>20</v>
      </c>
      <c r="C1113">
        <f t="shared" si="35"/>
        <v>27.5</v>
      </c>
      <c r="D1113" s="162" t="s">
        <v>31</v>
      </c>
      <c r="E1113" s="162">
        <v>7</v>
      </c>
      <c r="F1113" s="162">
        <v>2</v>
      </c>
      <c r="G1113" s="164">
        <v>0.71060000000000001</v>
      </c>
      <c r="H1113" s="164">
        <v>0.6915</v>
      </c>
      <c r="I1113" s="164">
        <v>0.57740000000000002</v>
      </c>
      <c r="J1113" s="119" t="str">
        <f>HYPERLINK(SetRGB(J1113,G1113*255,H1113*255,I1113*255),"HOVER!")</f>
        <v>HOVER!</v>
      </c>
      <c r="K1113">
        <f t="shared" si="34"/>
        <v>3.5</v>
      </c>
    </row>
    <row r="1114" spans="1:11" x14ac:dyDescent="0.3">
      <c r="A1114">
        <f>LOOKUP(9E+307,--MID(D1114,1,{1,2,3,4,5}))</f>
        <v>7.5</v>
      </c>
      <c r="B1114">
        <f>VLOOKUP(MID(D1114,LOOKUP(2,1/ISNUMBER(-MID(D1114,1,{1,2,3,4,5})),{1,2,3,4,5})+1,9),'Hue codes'!$A$1:$B$10,2,FALSE)</f>
        <v>20</v>
      </c>
      <c r="C1114">
        <f t="shared" si="35"/>
        <v>27.5</v>
      </c>
      <c r="D1114" s="162" t="s">
        <v>31</v>
      </c>
      <c r="E1114" s="162">
        <v>7</v>
      </c>
      <c r="F1114" s="162">
        <v>4</v>
      </c>
      <c r="G1114" s="164">
        <v>0.72919999999999996</v>
      </c>
      <c r="H1114" s="164">
        <v>0.69369999999999998</v>
      </c>
      <c r="I1114" s="164">
        <v>0.47249999999999998</v>
      </c>
      <c r="J1114" s="118" t="str">
        <f>HYPERLINK(SetRGB(J1114,G1114*255,H1114*255,I1114*255),"HOVER!")</f>
        <v>HOVER!</v>
      </c>
      <c r="K1114">
        <f t="shared" si="34"/>
        <v>1.75</v>
      </c>
    </row>
    <row r="1115" spans="1:11" x14ac:dyDescent="0.3">
      <c r="A1115">
        <f>LOOKUP(9E+307,--MID(D1115,1,{1,2,3,4,5}))</f>
        <v>7.5</v>
      </c>
      <c r="B1115">
        <f>VLOOKUP(MID(D1115,LOOKUP(2,1/ISNUMBER(-MID(D1115,1,{1,2,3,4,5})),{1,2,3,4,5})+1,9),'Hue codes'!$A$1:$B$10,2,FALSE)</f>
        <v>20</v>
      </c>
      <c r="C1115">
        <f t="shared" si="35"/>
        <v>27.5</v>
      </c>
      <c r="D1115" s="162" t="s">
        <v>31</v>
      </c>
      <c r="E1115" s="162">
        <v>7</v>
      </c>
      <c r="F1115" s="162">
        <v>6</v>
      </c>
      <c r="G1115" s="164">
        <v>0.74460000000000004</v>
      </c>
      <c r="H1115" s="164">
        <v>0.69489999999999996</v>
      </c>
      <c r="I1115" s="164">
        <v>0.3644</v>
      </c>
      <c r="J1115" s="117" t="str">
        <f>HYPERLINK(SetRGB(J1115,G1115*255,H1115*255,I1115*255),"HOVER!")</f>
        <v>HOVER!</v>
      </c>
      <c r="K1115">
        <f t="shared" si="34"/>
        <v>1.1666666666666667</v>
      </c>
    </row>
    <row r="1116" spans="1:11" x14ac:dyDescent="0.3">
      <c r="A1116">
        <f>LOOKUP(9E+307,--MID(D1116,1,{1,2,3,4,5}))</f>
        <v>7.5</v>
      </c>
      <c r="B1116">
        <f>VLOOKUP(MID(D1116,LOOKUP(2,1/ISNUMBER(-MID(D1116,1,{1,2,3,4,5})),{1,2,3,4,5})+1,9),'Hue codes'!$A$1:$B$10,2,FALSE)</f>
        <v>20</v>
      </c>
      <c r="C1116">
        <f t="shared" si="35"/>
        <v>27.5</v>
      </c>
      <c r="D1116" s="162" t="s">
        <v>31</v>
      </c>
      <c r="E1116" s="162">
        <v>7</v>
      </c>
      <c r="F1116" s="162">
        <v>8</v>
      </c>
      <c r="G1116" s="164">
        <v>0.75680000000000003</v>
      </c>
      <c r="H1116" s="164">
        <v>0.69569999999999999</v>
      </c>
      <c r="I1116" s="164">
        <v>0.2407</v>
      </c>
      <c r="J1116" s="116" t="str">
        <f>HYPERLINK(SetRGB(J1116,G1116*255,H1116*255,I1116*255),"HOVER!")</f>
        <v>HOVER!</v>
      </c>
      <c r="K1116">
        <f t="shared" si="34"/>
        <v>0.875</v>
      </c>
    </row>
    <row r="1117" spans="1:11" x14ac:dyDescent="0.3">
      <c r="A1117">
        <f>LOOKUP(9E+307,--MID(D1117,1,{1,2,3,4,5}))</f>
        <v>10</v>
      </c>
      <c r="B1117">
        <f>VLOOKUP(MID(D1117,LOOKUP(2,1/ISNUMBER(-MID(D1117,1,{1,2,3,4,5})),{1,2,3,4,5})+1,9),'Hue codes'!$A$1:$B$10,2,FALSE)</f>
        <v>20</v>
      </c>
      <c r="C1117">
        <f t="shared" si="35"/>
        <v>30</v>
      </c>
      <c r="D1117" s="162" t="s">
        <v>32</v>
      </c>
      <c r="E1117" s="162">
        <v>7</v>
      </c>
      <c r="F1117" s="162">
        <v>2</v>
      </c>
      <c r="G1117" s="164">
        <v>0.70009999999999994</v>
      </c>
      <c r="H1117" s="164">
        <v>0.69469999999999998</v>
      </c>
      <c r="I1117" s="164">
        <v>0.57789999999999997</v>
      </c>
      <c r="J1117" s="122" t="str">
        <f>HYPERLINK(SetRGB(J1117,G1117*255,H1117*255,I1117*255),"HOVER!")</f>
        <v>HOVER!</v>
      </c>
      <c r="K1117">
        <f t="shared" si="34"/>
        <v>3.5</v>
      </c>
    </row>
    <row r="1118" spans="1:11" x14ac:dyDescent="0.3">
      <c r="A1118">
        <f>LOOKUP(9E+307,--MID(D1118,1,{1,2,3,4,5}))</f>
        <v>10</v>
      </c>
      <c r="B1118">
        <f>VLOOKUP(MID(D1118,LOOKUP(2,1/ISNUMBER(-MID(D1118,1,{1,2,3,4,5})),{1,2,3,4,5})+1,9),'Hue codes'!$A$1:$B$10,2,FALSE)</f>
        <v>20</v>
      </c>
      <c r="C1118">
        <f t="shared" si="35"/>
        <v>30</v>
      </c>
      <c r="D1118" s="162" t="s">
        <v>32</v>
      </c>
      <c r="E1118" s="162">
        <v>7</v>
      </c>
      <c r="F1118" s="162">
        <v>4</v>
      </c>
      <c r="G1118" s="164">
        <v>0.71020000000000005</v>
      </c>
      <c r="H1118" s="164">
        <v>0.6996</v>
      </c>
      <c r="I1118" s="164">
        <v>0.4733</v>
      </c>
      <c r="J1118" s="123" t="str">
        <f>HYPERLINK(SetRGB(J1118,G1118*255,H1118*255,I1118*255),"HOVER!")</f>
        <v>HOVER!</v>
      </c>
      <c r="K1118">
        <f t="shared" si="34"/>
        <v>1.75</v>
      </c>
    </row>
    <row r="1119" spans="1:11" x14ac:dyDescent="0.3">
      <c r="A1119">
        <f>LOOKUP(9E+307,--MID(D1119,1,{1,2,3,4,5}))</f>
        <v>10</v>
      </c>
      <c r="B1119">
        <f>VLOOKUP(MID(D1119,LOOKUP(2,1/ISNUMBER(-MID(D1119,1,{1,2,3,4,5})),{1,2,3,4,5})+1,9),'Hue codes'!$A$1:$B$10,2,FALSE)</f>
        <v>20</v>
      </c>
      <c r="C1119">
        <f t="shared" si="35"/>
        <v>30</v>
      </c>
      <c r="D1119" s="162" t="s">
        <v>32</v>
      </c>
      <c r="E1119" s="162">
        <v>7</v>
      </c>
      <c r="F1119" s="162">
        <v>6</v>
      </c>
      <c r="G1119" s="164">
        <v>0.71879999999999999</v>
      </c>
      <c r="H1119" s="164">
        <v>0.70309999999999995</v>
      </c>
      <c r="I1119" s="164">
        <v>0.36649999999999999</v>
      </c>
      <c r="J1119" s="124" t="str">
        <f>HYPERLINK(SetRGB(J1119,G1119*255,H1119*255,I1119*255),"HOVER!")</f>
        <v>HOVER!</v>
      </c>
      <c r="K1119">
        <f t="shared" si="34"/>
        <v>1.1666666666666667</v>
      </c>
    </row>
    <row r="1120" spans="1:11" x14ac:dyDescent="0.3">
      <c r="A1120">
        <f>LOOKUP(9E+307,--MID(D1120,1,{1,2,3,4,5}))</f>
        <v>10</v>
      </c>
      <c r="B1120">
        <f>VLOOKUP(MID(D1120,LOOKUP(2,1/ISNUMBER(-MID(D1120,1,{1,2,3,4,5})),{1,2,3,4,5})+1,9),'Hue codes'!$A$1:$B$10,2,FALSE)</f>
        <v>20</v>
      </c>
      <c r="C1120">
        <f t="shared" si="35"/>
        <v>30</v>
      </c>
      <c r="D1120" s="162" t="s">
        <v>32</v>
      </c>
      <c r="E1120" s="162">
        <v>7</v>
      </c>
      <c r="F1120" s="162">
        <v>8</v>
      </c>
      <c r="G1120" s="164">
        <v>0.72519999999999996</v>
      </c>
      <c r="H1120" s="164">
        <v>0.70599999999999996</v>
      </c>
      <c r="I1120" s="164">
        <v>0.2387</v>
      </c>
      <c r="J1120" s="131" t="str">
        <f>HYPERLINK(SetRGB(J1120,G1120*255,H1120*255,I1120*255),"HOVER!")</f>
        <v>HOVER!</v>
      </c>
      <c r="K1120">
        <f t="shared" si="34"/>
        <v>0.875</v>
      </c>
    </row>
    <row r="1121" spans="1:11" x14ac:dyDescent="0.3">
      <c r="A1121">
        <f>LOOKUP(9E+307,--MID(D1121,1,{1,2,3,4,5}))</f>
        <v>2.5</v>
      </c>
      <c r="B1121">
        <f>VLOOKUP(MID(D1121,LOOKUP(2,1/ISNUMBER(-MID(D1121,1,{1,2,3,4,5})),{1,2,3,4,5})+1,9),'Hue codes'!$A$1:$B$10,2,FALSE)</f>
        <v>30</v>
      </c>
      <c r="C1121">
        <f t="shared" si="35"/>
        <v>32.5</v>
      </c>
      <c r="D1121" s="162" t="s">
        <v>33</v>
      </c>
      <c r="E1121" s="162">
        <v>7</v>
      </c>
      <c r="F1121" s="162">
        <v>2</v>
      </c>
      <c r="G1121" s="164">
        <v>0.68700000000000006</v>
      </c>
      <c r="H1121" s="164">
        <v>0.69820000000000004</v>
      </c>
      <c r="I1121" s="164">
        <v>0.58189999999999997</v>
      </c>
      <c r="J1121" s="130" t="str">
        <f>HYPERLINK(SetRGB(J1121,G1121*255,H1121*255,I1121*255),"HOVER!")</f>
        <v>HOVER!</v>
      </c>
      <c r="K1121">
        <f t="shared" si="34"/>
        <v>3.5</v>
      </c>
    </row>
    <row r="1122" spans="1:11" x14ac:dyDescent="0.3">
      <c r="A1122">
        <f>LOOKUP(9E+307,--MID(D1122,1,{1,2,3,4,5}))</f>
        <v>2.5</v>
      </c>
      <c r="B1122">
        <f>VLOOKUP(MID(D1122,LOOKUP(2,1/ISNUMBER(-MID(D1122,1,{1,2,3,4,5})),{1,2,3,4,5})+1,9),'Hue codes'!$A$1:$B$10,2,FALSE)</f>
        <v>30</v>
      </c>
      <c r="C1122">
        <f t="shared" si="35"/>
        <v>32.5</v>
      </c>
      <c r="D1122" s="162" t="s">
        <v>33</v>
      </c>
      <c r="E1122" s="162">
        <v>7</v>
      </c>
      <c r="F1122" s="162">
        <v>4</v>
      </c>
      <c r="G1122" s="164">
        <v>0.68400000000000005</v>
      </c>
      <c r="H1122" s="164">
        <v>0.70669999999999999</v>
      </c>
      <c r="I1122" s="164">
        <v>0.48320000000000002</v>
      </c>
      <c r="J1122" s="129" t="str">
        <f>HYPERLINK(SetRGB(J1122,G1122*255,H1122*255,I1122*255),"HOVER!")</f>
        <v>HOVER!</v>
      </c>
      <c r="K1122">
        <f t="shared" si="34"/>
        <v>1.75</v>
      </c>
    </row>
    <row r="1123" spans="1:11" x14ac:dyDescent="0.3">
      <c r="A1123">
        <f>LOOKUP(9E+307,--MID(D1123,1,{1,2,3,4,5}))</f>
        <v>2.5</v>
      </c>
      <c r="B1123">
        <f>VLOOKUP(MID(D1123,LOOKUP(2,1/ISNUMBER(-MID(D1123,1,{1,2,3,4,5})),{1,2,3,4,5})+1,9),'Hue codes'!$A$1:$B$10,2,FALSE)</f>
        <v>30</v>
      </c>
      <c r="C1123">
        <f t="shared" si="35"/>
        <v>32.5</v>
      </c>
      <c r="D1123" s="162" t="s">
        <v>33</v>
      </c>
      <c r="E1123" s="162">
        <v>7</v>
      </c>
      <c r="F1123" s="162">
        <v>6</v>
      </c>
      <c r="G1123" s="164">
        <v>0.68140000000000001</v>
      </c>
      <c r="H1123" s="164">
        <v>0.71330000000000005</v>
      </c>
      <c r="I1123" s="164">
        <v>0.38329999999999997</v>
      </c>
      <c r="J1123" s="128" t="str">
        <f>HYPERLINK(SetRGB(J1123,G1123*255,H1123*255,I1123*255),"HOVER!")</f>
        <v>HOVER!</v>
      </c>
      <c r="K1123">
        <f t="shared" si="34"/>
        <v>1.1666666666666667</v>
      </c>
    </row>
    <row r="1124" spans="1:11" x14ac:dyDescent="0.3">
      <c r="A1124">
        <f>LOOKUP(9E+307,--MID(D1124,1,{1,2,3,4,5}))</f>
        <v>2.5</v>
      </c>
      <c r="B1124">
        <f>VLOOKUP(MID(D1124,LOOKUP(2,1/ISNUMBER(-MID(D1124,1,{1,2,3,4,5})),{1,2,3,4,5})+1,9),'Hue codes'!$A$1:$B$10,2,FALSE)</f>
        <v>30</v>
      </c>
      <c r="C1124">
        <f t="shared" si="35"/>
        <v>32.5</v>
      </c>
      <c r="D1124" s="162" t="s">
        <v>33</v>
      </c>
      <c r="E1124" s="162">
        <v>7</v>
      </c>
      <c r="F1124" s="162">
        <v>8</v>
      </c>
      <c r="G1124" s="164">
        <v>0.67779999999999996</v>
      </c>
      <c r="H1124" s="164">
        <v>0.71930000000000005</v>
      </c>
      <c r="I1124" s="164">
        <v>0.26190000000000002</v>
      </c>
      <c r="J1124" s="127" t="str">
        <f>HYPERLINK(SetRGB(J1124,G1124*255,H1124*255,I1124*255),"HOVER!")</f>
        <v>HOVER!</v>
      </c>
      <c r="K1124">
        <f t="shared" si="34"/>
        <v>0.875</v>
      </c>
    </row>
    <row r="1125" spans="1:11" x14ac:dyDescent="0.3">
      <c r="A1125">
        <f>LOOKUP(9E+307,--MID(D1125,1,{1,2,3,4,5}))</f>
        <v>2.5</v>
      </c>
      <c r="B1125">
        <f>VLOOKUP(MID(D1125,LOOKUP(2,1/ISNUMBER(-MID(D1125,1,{1,2,3,4,5})),{1,2,3,4,5})+1,9),'Hue codes'!$A$1:$B$10,2,FALSE)</f>
        <v>30</v>
      </c>
      <c r="C1125">
        <f t="shared" si="35"/>
        <v>32.5</v>
      </c>
      <c r="D1125" s="162" t="s">
        <v>33</v>
      </c>
      <c r="E1125" s="162">
        <v>7</v>
      </c>
      <c r="F1125" s="162">
        <v>10</v>
      </c>
      <c r="G1125" s="164">
        <v>0.67310000000000003</v>
      </c>
      <c r="H1125" s="164">
        <v>0.72450000000000003</v>
      </c>
      <c r="I1125" s="164">
        <v>4.3499999999999997E-2</v>
      </c>
      <c r="J1125" s="126" t="str">
        <f>HYPERLINK(SetRGB(J1125,G1125*255,H1125*255,I1125*255),"HOVER!")</f>
        <v>HOVER!</v>
      </c>
      <c r="K1125">
        <f t="shared" si="34"/>
        <v>0.7</v>
      </c>
    </row>
    <row r="1126" spans="1:11" x14ac:dyDescent="0.3">
      <c r="A1126">
        <f>LOOKUP(9E+307,--MID(D1126,1,{1,2,3,4,5}))</f>
        <v>5</v>
      </c>
      <c r="B1126">
        <f>VLOOKUP(MID(D1126,LOOKUP(2,1/ISNUMBER(-MID(D1126,1,{1,2,3,4,5})),{1,2,3,4,5})+1,9),'Hue codes'!$A$1:$B$10,2,FALSE)</f>
        <v>30</v>
      </c>
      <c r="C1126">
        <f t="shared" si="35"/>
        <v>35</v>
      </c>
      <c r="D1126" s="162" t="s">
        <v>34</v>
      </c>
      <c r="E1126" s="162">
        <v>7</v>
      </c>
      <c r="F1126" s="162">
        <v>2</v>
      </c>
      <c r="G1126" s="164">
        <v>0.67430000000000001</v>
      </c>
      <c r="H1126" s="164">
        <v>0.70140000000000002</v>
      </c>
      <c r="I1126" s="164">
        <v>0.58819999999999995</v>
      </c>
      <c r="J1126" s="125" t="str">
        <f>HYPERLINK(SetRGB(J1126,G1126*255,H1126*255,I1126*255),"HOVER!")</f>
        <v>HOVER!</v>
      </c>
      <c r="K1126">
        <f t="shared" si="34"/>
        <v>3.5</v>
      </c>
    </row>
    <row r="1127" spans="1:11" x14ac:dyDescent="0.3">
      <c r="A1127">
        <f>LOOKUP(9E+307,--MID(D1127,1,{1,2,3,4,5}))</f>
        <v>5</v>
      </c>
      <c r="B1127">
        <f>VLOOKUP(MID(D1127,LOOKUP(2,1/ISNUMBER(-MID(D1127,1,{1,2,3,4,5})),{1,2,3,4,5})+1,9),'Hue codes'!$A$1:$B$10,2,FALSE)</f>
        <v>30</v>
      </c>
      <c r="C1127">
        <f t="shared" si="35"/>
        <v>35</v>
      </c>
      <c r="D1127" s="162" t="s">
        <v>34</v>
      </c>
      <c r="E1127" s="162">
        <v>7</v>
      </c>
      <c r="F1127" s="162">
        <v>4</v>
      </c>
      <c r="G1127" s="164">
        <v>0.65859999999999996</v>
      </c>
      <c r="H1127" s="164">
        <v>0.71279999999999999</v>
      </c>
      <c r="I1127" s="164">
        <v>0.49880000000000002</v>
      </c>
      <c r="J1127" s="195" t="str">
        <f>HYPERLINK(SetRGB(J1127,G1127*255,H1127*255,I1127*255),"HOVER!")</f>
        <v>HOVER!</v>
      </c>
      <c r="K1127">
        <f t="shared" si="34"/>
        <v>1.75</v>
      </c>
    </row>
    <row r="1128" spans="1:11" x14ac:dyDescent="0.3">
      <c r="A1128">
        <f>LOOKUP(9E+307,--MID(D1128,1,{1,2,3,4,5}))</f>
        <v>5</v>
      </c>
      <c r="B1128">
        <f>VLOOKUP(MID(D1128,LOOKUP(2,1/ISNUMBER(-MID(D1128,1,{1,2,3,4,5})),{1,2,3,4,5})+1,9),'Hue codes'!$A$1:$B$10,2,FALSE)</f>
        <v>30</v>
      </c>
      <c r="C1128">
        <f t="shared" si="35"/>
        <v>35</v>
      </c>
      <c r="D1128" s="162" t="s">
        <v>34</v>
      </c>
      <c r="E1128" s="162">
        <v>7</v>
      </c>
      <c r="F1128" s="162">
        <v>6</v>
      </c>
      <c r="G1128" s="164">
        <v>0.64370000000000005</v>
      </c>
      <c r="H1128" s="164">
        <v>0.72230000000000005</v>
      </c>
      <c r="I1128" s="164">
        <v>0.40820000000000001</v>
      </c>
      <c r="J1128" s="266" t="str">
        <f>HYPERLINK(SetRGB(J1128,G1128*255,H1128*255,I1128*255),"HOVER!")</f>
        <v>HOVER!</v>
      </c>
      <c r="K1128">
        <f t="shared" si="34"/>
        <v>1.1666666666666667</v>
      </c>
    </row>
    <row r="1129" spans="1:11" x14ac:dyDescent="0.3">
      <c r="A1129">
        <f>LOOKUP(9E+307,--MID(D1129,1,{1,2,3,4,5}))</f>
        <v>5</v>
      </c>
      <c r="B1129">
        <f>VLOOKUP(MID(D1129,LOOKUP(2,1/ISNUMBER(-MID(D1129,1,{1,2,3,4,5})),{1,2,3,4,5})+1,9),'Hue codes'!$A$1:$B$10,2,FALSE)</f>
        <v>30</v>
      </c>
      <c r="C1129">
        <f t="shared" si="35"/>
        <v>35</v>
      </c>
      <c r="D1129" s="162" t="s">
        <v>34</v>
      </c>
      <c r="E1129" s="162">
        <v>7</v>
      </c>
      <c r="F1129" s="162">
        <v>8</v>
      </c>
      <c r="G1129" s="164">
        <v>0.62770000000000004</v>
      </c>
      <c r="H1129" s="164">
        <v>0.73109999999999997</v>
      </c>
      <c r="I1129" s="164">
        <v>0.30209999999999998</v>
      </c>
      <c r="J1129" s="2" t="str">
        <f>HYPERLINK(SetRGB(J1129,G1129*255,H1129*255,I1129*255),"HOVER!")</f>
        <v>HOVER!</v>
      </c>
      <c r="K1129">
        <f t="shared" si="34"/>
        <v>0.875</v>
      </c>
    </row>
    <row r="1130" spans="1:11" x14ac:dyDescent="0.3">
      <c r="A1130">
        <f>LOOKUP(9E+307,--MID(D1130,1,{1,2,3,4,5}))</f>
        <v>5</v>
      </c>
      <c r="B1130">
        <f>VLOOKUP(MID(D1130,LOOKUP(2,1/ISNUMBER(-MID(D1130,1,{1,2,3,4,5})),{1,2,3,4,5})+1,9),'Hue codes'!$A$1:$B$10,2,FALSE)</f>
        <v>30</v>
      </c>
      <c r="C1130">
        <f t="shared" si="35"/>
        <v>35</v>
      </c>
      <c r="D1130" s="162" t="s">
        <v>34</v>
      </c>
      <c r="E1130" s="162">
        <v>7</v>
      </c>
      <c r="F1130" s="162">
        <v>10</v>
      </c>
      <c r="G1130" s="164">
        <v>0.61019999999999996</v>
      </c>
      <c r="H1130" s="164">
        <v>0.73919999999999997</v>
      </c>
      <c r="I1130" s="164">
        <v>0.15140000000000001</v>
      </c>
      <c r="J1130" s="2" t="str">
        <f>HYPERLINK(SetRGB(J1130,G1130*255,H1130*255,I1130*255),"HOVER!")</f>
        <v>HOVER!</v>
      </c>
      <c r="K1130">
        <f t="shared" si="34"/>
        <v>0.7</v>
      </c>
    </row>
    <row r="1131" spans="1:11" x14ac:dyDescent="0.3">
      <c r="A1131">
        <f>LOOKUP(9E+307,--MID(D1131,1,{1,2,3,4,5}))</f>
        <v>7.5</v>
      </c>
      <c r="B1131">
        <f>VLOOKUP(MID(D1131,LOOKUP(2,1/ISNUMBER(-MID(D1131,1,{1,2,3,4,5})),{1,2,3,4,5})+1,9),'Hue codes'!$A$1:$B$10,2,FALSE)</f>
        <v>30</v>
      </c>
      <c r="C1131">
        <f t="shared" si="35"/>
        <v>37.5</v>
      </c>
      <c r="D1131" s="162" t="s">
        <v>35</v>
      </c>
      <c r="E1131" s="162">
        <v>7</v>
      </c>
      <c r="F1131" s="162">
        <v>2</v>
      </c>
      <c r="G1131" s="164">
        <v>0.65</v>
      </c>
      <c r="H1131" s="164">
        <v>0.70650000000000002</v>
      </c>
      <c r="I1131" s="164">
        <v>0.60589999999999999</v>
      </c>
      <c r="J1131" s="2" t="str">
        <f>HYPERLINK(SetRGB(J1131,G1131*255,H1131*255,I1131*255),"HOVER!")</f>
        <v>HOVER!</v>
      </c>
      <c r="K1131">
        <f t="shared" si="34"/>
        <v>3.5</v>
      </c>
    </row>
    <row r="1132" spans="1:11" x14ac:dyDescent="0.3">
      <c r="A1132">
        <f>LOOKUP(9E+307,--MID(D1132,1,{1,2,3,4,5}))</f>
        <v>7.5</v>
      </c>
      <c r="B1132">
        <f>VLOOKUP(MID(D1132,LOOKUP(2,1/ISNUMBER(-MID(D1132,1,{1,2,3,4,5})),{1,2,3,4,5})+1,9),'Hue codes'!$A$1:$B$10,2,FALSE)</f>
        <v>30</v>
      </c>
      <c r="C1132">
        <f t="shared" si="35"/>
        <v>37.5</v>
      </c>
      <c r="D1132" s="162" t="s">
        <v>35</v>
      </c>
      <c r="E1132" s="162">
        <v>7</v>
      </c>
      <c r="F1132" s="162">
        <v>4</v>
      </c>
      <c r="G1132" s="164">
        <v>0.61660000000000004</v>
      </c>
      <c r="H1132" s="164">
        <v>0.72119999999999995</v>
      </c>
      <c r="I1132" s="164">
        <v>0.53269999999999995</v>
      </c>
      <c r="J1132" s="2" t="str">
        <f>HYPERLINK(SetRGB(J1132,G1132*255,H1132*255,I1132*255),"HOVER!")</f>
        <v>HOVER!</v>
      </c>
      <c r="K1132">
        <f t="shared" si="34"/>
        <v>1.75</v>
      </c>
    </row>
    <row r="1133" spans="1:11" x14ac:dyDescent="0.3">
      <c r="A1133">
        <f>LOOKUP(9E+307,--MID(D1133,1,{1,2,3,4,5}))</f>
        <v>7.5</v>
      </c>
      <c r="B1133">
        <f>VLOOKUP(MID(D1133,LOOKUP(2,1/ISNUMBER(-MID(D1133,1,{1,2,3,4,5})),{1,2,3,4,5})+1,9),'Hue codes'!$A$1:$B$10,2,FALSE)</f>
        <v>30</v>
      </c>
      <c r="C1133">
        <f t="shared" si="35"/>
        <v>37.5</v>
      </c>
      <c r="D1133" s="162" t="s">
        <v>35</v>
      </c>
      <c r="E1133" s="162">
        <v>7</v>
      </c>
      <c r="F1133" s="162">
        <v>6</v>
      </c>
      <c r="G1133" s="164">
        <v>0.58379999999999999</v>
      </c>
      <c r="H1133" s="164">
        <v>0.7339</v>
      </c>
      <c r="I1133" s="164">
        <v>0.45750000000000002</v>
      </c>
      <c r="J1133" s="2" t="str">
        <f>HYPERLINK(SetRGB(J1133,G1133*255,H1133*255,I1133*255),"HOVER!")</f>
        <v>HOVER!</v>
      </c>
      <c r="K1133">
        <f t="shared" si="34"/>
        <v>1.1666666666666667</v>
      </c>
    </row>
    <row r="1134" spans="1:11" x14ac:dyDescent="0.3">
      <c r="A1134">
        <f>LOOKUP(9E+307,--MID(D1134,1,{1,2,3,4,5}))</f>
        <v>7.5</v>
      </c>
      <c r="B1134">
        <f>VLOOKUP(MID(D1134,LOOKUP(2,1/ISNUMBER(-MID(D1134,1,{1,2,3,4,5})),{1,2,3,4,5})+1,9),'Hue codes'!$A$1:$B$10,2,FALSE)</f>
        <v>30</v>
      </c>
      <c r="C1134">
        <f t="shared" si="35"/>
        <v>37.5</v>
      </c>
      <c r="D1134" s="162" t="s">
        <v>35</v>
      </c>
      <c r="E1134" s="162">
        <v>7</v>
      </c>
      <c r="F1134" s="162">
        <v>8</v>
      </c>
      <c r="G1134" s="164">
        <v>0.54720000000000002</v>
      </c>
      <c r="H1134" s="164">
        <v>0.74609999999999999</v>
      </c>
      <c r="I1134" s="164">
        <v>0.37480000000000002</v>
      </c>
      <c r="J1134" s="2" t="str">
        <f>HYPERLINK(SetRGB(J1134,G1134*255,H1134*255,I1134*255),"HOVER!")</f>
        <v>HOVER!</v>
      </c>
      <c r="K1134">
        <f t="shared" si="34"/>
        <v>0.875</v>
      </c>
    </row>
    <row r="1135" spans="1:11" x14ac:dyDescent="0.3">
      <c r="A1135">
        <f>LOOKUP(9E+307,--MID(D1135,1,{1,2,3,4,5}))</f>
        <v>7.5</v>
      </c>
      <c r="B1135">
        <f>VLOOKUP(MID(D1135,LOOKUP(2,1/ISNUMBER(-MID(D1135,1,{1,2,3,4,5})),{1,2,3,4,5})+1,9),'Hue codes'!$A$1:$B$10,2,FALSE)</f>
        <v>30</v>
      </c>
      <c r="C1135">
        <f t="shared" si="35"/>
        <v>37.5</v>
      </c>
      <c r="D1135" s="162" t="s">
        <v>35</v>
      </c>
      <c r="E1135" s="162">
        <v>7</v>
      </c>
      <c r="F1135" s="162">
        <v>10</v>
      </c>
      <c r="G1135" s="164">
        <v>0.50619999999999998</v>
      </c>
      <c r="H1135" s="164">
        <v>0.75770000000000004</v>
      </c>
      <c r="I1135" s="164">
        <v>0.27610000000000001</v>
      </c>
      <c r="J1135" s="2" t="str">
        <f>HYPERLINK(SetRGB(J1135,G1135*255,H1135*255,I1135*255),"HOVER!")</f>
        <v>HOVER!</v>
      </c>
      <c r="K1135">
        <f t="shared" si="34"/>
        <v>0.7</v>
      </c>
    </row>
    <row r="1136" spans="1:11" x14ac:dyDescent="0.3">
      <c r="A1136">
        <f>LOOKUP(9E+307,--MID(D1136,1,{1,2,3,4,5}))</f>
        <v>7.5</v>
      </c>
      <c r="B1136">
        <f>VLOOKUP(MID(D1136,LOOKUP(2,1/ISNUMBER(-MID(D1136,1,{1,2,3,4,5})),{1,2,3,4,5})+1,9),'Hue codes'!$A$1:$B$10,2,FALSE)</f>
        <v>30</v>
      </c>
      <c r="C1136">
        <f t="shared" si="35"/>
        <v>37.5</v>
      </c>
      <c r="D1136" s="162" t="s">
        <v>35</v>
      </c>
      <c r="E1136" s="162">
        <v>7</v>
      </c>
      <c r="F1136" s="162">
        <v>12</v>
      </c>
      <c r="G1136" s="164">
        <v>0.46460000000000001</v>
      </c>
      <c r="H1136" s="164">
        <v>0.76770000000000005</v>
      </c>
      <c r="I1136" s="164">
        <v>0.1444</v>
      </c>
      <c r="J1136" s="2" t="str">
        <f>HYPERLINK(SetRGB(J1136,G1136*255,H1136*255,I1136*255),"HOVER!")</f>
        <v>HOVER!</v>
      </c>
      <c r="K1136">
        <f t="shared" si="34"/>
        <v>0.58333333333333337</v>
      </c>
    </row>
    <row r="1137" spans="1:11" x14ac:dyDescent="0.3">
      <c r="A1137">
        <f>LOOKUP(9E+307,--MID(D1137,1,{1,2,3,4,5}))</f>
        <v>10</v>
      </c>
      <c r="B1137">
        <f>VLOOKUP(MID(D1137,LOOKUP(2,1/ISNUMBER(-MID(D1137,1,{1,2,3,4,5})),{1,2,3,4,5})+1,9),'Hue codes'!$A$1:$B$10,2,FALSE)</f>
        <v>30</v>
      </c>
      <c r="C1137">
        <f t="shared" si="35"/>
        <v>40</v>
      </c>
      <c r="D1137" s="162" t="s">
        <v>36</v>
      </c>
      <c r="E1137" s="162">
        <v>7</v>
      </c>
      <c r="F1137" s="162">
        <v>2</v>
      </c>
      <c r="G1137" s="164">
        <v>0.63249999999999995</v>
      </c>
      <c r="H1137" s="164">
        <v>0.7097</v>
      </c>
      <c r="I1137" s="164">
        <v>0.62229999999999996</v>
      </c>
      <c r="J1137" s="2" t="str">
        <f>HYPERLINK(SetRGB(J1137,G1137*255,H1137*255,I1137*255),"HOVER!")</f>
        <v>HOVER!</v>
      </c>
      <c r="K1137">
        <f t="shared" si="34"/>
        <v>3.5</v>
      </c>
    </row>
    <row r="1138" spans="1:11" x14ac:dyDescent="0.3">
      <c r="A1138">
        <f>LOOKUP(9E+307,--MID(D1138,1,{1,2,3,4,5}))</f>
        <v>10</v>
      </c>
      <c r="B1138">
        <f>VLOOKUP(MID(D1138,LOOKUP(2,1/ISNUMBER(-MID(D1138,1,{1,2,3,4,5})),{1,2,3,4,5})+1,9),'Hue codes'!$A$1:$B$10,2,FALSE)</f>
        <v>30</v>
      </c>
      <c r="C1138">
        <f t="shared" si="35"/>
        <v>40</v>
      </c>
      <c r="D1138" s="162" t="s">
        <v>36</v>
      </c>
      <c r="E1138" s="162">
        <v>7</v>
      </c>
      <c r="F1138" s="162">
        <v>4</v>
      </c>
      <c r="G1138" s="164">
        <v>0.58309999999999995</v>
      </c>
      <c r="H1138" s="164">
        <v>0.7268</v>
      </c>
      <c r="I1138" s="164">
        <v>0.5625</v>
      </c>
      <c r="J1138" s="2" t="str">
        <f>HYPERLINK(SetRGB(J1138,G1138*255,H1138*255,I1138*255),"HOVER!")</f>
        <v>HOVER!</v>
      </c>
      <c r="K1138">
        <f t="shared" si="34"/>
        <v>1.75</v>
      </c>
    </row>
    <row r="1139" spans="1:11" x14ac:dyDescent="0.3">
      <c r="A1139">
        <f>LOOKUP(9E+307,--MID(D1139,1,{1,2,3,4,5}))</f>
        <v>10</v>
      </c>
      <c r="B1139">
        <f>VLOOKUP(MID(D1139,LOOKUP(2,1/ISNUMBER(-MID(D1139,1,{1,2,3,4,5})),{1,2,3,4,5})+1,9),'Hue codes'!$A$1:$B$10,2,FALSE)</f>
        <v>30</v>
      </c>
      <c r="C1139">
        <f t="shared" si="35"/>
        <v>40</v>
      </c>
      <c r="D1139" s="162" t="s">
        <v>36</v>
      </c>
      <c r="E1139" s="162">
        <v>7</v>
      </c>
      <c r="F1139" s="162">
        <v>6</v>
      </c>
      <c r="G1139" s="164">
        <v>0.53359999999999996</v>
      </c>
      <c r="H1139" s="164">
        <v>0.74150000000000005</v>
      </c>
      <c r="I1139" s="164">
        <v>0.50490000000000002</v>
      </c>
      <c r="J1139" s="2" t="str">
        <f>HYPERLINK(SetRGB(J1139,G1139*255,H1139*255,I1139*255),"HOVER!")</f>
        <v>HOVER!</v>
      </c>
      <c r="K1139">
        <f t="shared" si="34"/>
        <v>1.1666666666666667</v>
      </c>
    </row>
    <row r="1140" spans="1:11" x14ac:dyDescent="0.3">
      <c r="A1140">
        <f>LOOKUP(9E+307,--MID(D1140,1,{1,2,3,4,5}))</f>
        <v>10</v>
      </c>
      <c r="B1140">
        <f>VLOOKUP(MID(D1140,LOOKUP(2,1/ISNUMBER(-MID(D1140,1,{1,2,3,4,5})),{1,2,3,4,5})+1,9),'Hue codes'!$A$1:$B$10,2,FALSE)</f>
        <v>30</v>
      </c>
      <c r="C1140">
        <f t="shared" si="35"/>
        <v>40</v>
      </c>
      <c r="D1140" s="162" t="s">
        <v>36</v>
      </c>
      <c r="E1140" s="162">
        <v>7</v>
      </c>
      <c r="F1140" s="162">
        <v>8</v>
      </c>
      <c r="G1140" s="164">
        <v>0.4748</v>
      </c>
      <c r="H1140" s="164">
        <v>0.75600000000000001</v>
      </c>
      <c r="I1140" s="164">
        <v>0.442</v>
      </c>
      <c r="J1140" s="2" t="str">
        <f>HYPERLINK(SetRGB(J1140,G1140*255,H1140*255,I1140*255),"HOVER!")</f>
        <v>HOVER!</v>
      </c>
      <c r="K1140">
        <f t="shared" si="34"/>
        <v>0.875</v>
      </c>
    </row>
    <row r="1141" spans="1:11" x14ac:dyDescent="0.3">
      <c r="A1141">
        <f>LOOKUP(9E+307,--MID(D1141,1,{1,2,3,4,5}))</f>
        <v>10</v>
      </c>
      <c r="B1141">
        <f>VLOOKUP(MID(D1141,LOOKUP(2,1/ISNUMBER(-MID(D1141,1,{1,2,3,4,5})),{1,2,3,4,5})+1,9),'Hue codes'!$A$1:$B$10,2,FALSE)</f>
        <v>30</v>
      </c>
      <c r="C1141">
        <f t="shared" si="35"/>
        <v>40</v>
      </c>
      <c r="D1141" s="162" t="s">
        <v>36</v>
      </c>
      <c r="E1141" s="162">
        <v>7</v>
      </c>
      <c r="F1141" s="162">
        <v>10</v>
      </c>
      <c r="G1141" s="164">
        <v>0.40570000000000001</v>
      </c>
      <c r="H1141" s="164">
        <v>0.76959999999999995</v>
      </c>
      <c r="I1141" s="164">
        <v>0.37569999999999998</v>
      </c>
      <c r="J1141" s="2" t="str">
        <f>HYPERLINK(SetRGB(J1141,G1141*255,H1141*255,I1141*255),"HOVER!")</f>
        <v>HOVER!</v>
      </c>
      <c r="K1141">
        <f t="shared" si="34"/>
        <v>0.7</v>
      </c>
    </row>
    <row r="1142" spans="1:11" x14ac:dyDescent="0.3">
      <c r="A1142">
        <f>LOOKUP(9E+307,--MID(D1142,1,{1,2,3,4,5}))</f>
        <v>10</v>
      </c>
      <c r="B1142">
        <f>VLOOKUP(MID(D1142,LOOKUP(2,1/ISNUMBER(-MID(D1142,1,{1,2,3,4,5})),{1,2,3,4,5})+1,9),'Hue codes'!$A$1:$B$10,2,FALSE)</f>
        <v>30</v>
      </c>
      <c r="C1142">
        <f t="shared" si="35"/>
        <v>40</v>
      </c>
      <c r="D1142" s="162" t="s">
        <v>36</v>
      </c>
      <c r="E1142" s="162">
        <v>7</v>
      </c>
      <c r="F1142" s="162">
        <v>12</v>
      </c>
      <c r="G1142" s="164">
        <v>0.31950000000000001</v>
      </c>
      <c r="H1142" s="164">
        <v>0.78239999999999998</v>
      </c>
      <c r="I1142" s="164">
        <v>0.30209999999999998</v>
      </c>
      <c r="J1142" s="2" t="str">
        <f>HYPERLINK(SetRGB(J1142,G1142*255,H1142*255,I1142*255),"HOVER!")</f>
        <v>HOVER!</v>
      </c>
      <c r="K1142">
        <f t="shared" si="34"/>
        <v>0.58333333333333337</v>
      </c>
    </row>
    <row r="1143" spans="1:11" x14ac:dyDescent="0.3">
      <c r="A1143">
        <f>LOOKUP(9E+307,--MID(D1143,1,{1,2,3,4,5}))</f>
        <v>10</v>
      </c>
      <c r="B1143">
        <f>VLOOKUP(MID(D1143,LOOKUP(2,1/ISNUMBER(-MID(D1143,1,{1,2,3,4,5})),{1,2,3,4,5})+1,9),'Hue codes'!$A$1:$B$10,2,FALSE)</f>
        <v>30</v>
      </c>
      <c r="C1143">
        <f t="shared" si="35"/>
        <v>40</v>
      </c>
      <c r="D1143" s="162" t="s">
        <v>36</v>
      </c>
      <c r="E1143" s="162">
        <v>7</v>
      </c>
      <c r="F1143" s="162">
        <v>14</v>
      </c>
      <c r="G1143" s="164">
        <v>0.19869999999999999</v>
      </c>
      <c r="H1143" s="164">
        <v>0.79390000000000005</v>
      </c>
      <c r="I1143" s="164">
        <v>0.21709999999999999</v>
      </c>
      <c r="J1143" s="2" t="str">
        <f>HYPERLINK(SetRGB(J1143,G1143*255,H1143*255,I1143*255),"HOVER!")</f>
        <v>HOVER!</v>
      </c>
      <c r="K1143">
        <f t="shared" ref="K1143:K1206" si="36">E1143/F1143</f>
        <v>0.5</v>
      </c>
    </row>
    <row r="1144" spans="1:11" x14ac:dyDescent="0.3">
      <c r="A1144">
        <f>LOOKUP(9E+307,--MID(D1144,1,{1,2,3,4,5}))</f>
        <v>2.5</v>
      </c>
      <c r="B1144">
        <f>VLOOKUP(MID(D1144,LOOKUP(2,1/ISNUMBER(-MID(D1144,1,{1,2,3,4,5})),{1,2,3,4,5})+1,9),'Hue codes'!$A$1:$B$10,2,FALSE)</f>
        <v>40</v>
      </c>
      <c r="C1144">
        <f t="shared" si="35"/>
        <v>42.5</v>
      </c>
      <c r="D1144" s="162" t="s">
        <v>37</v>
      </c>
      <c r="E1144" s="162">
        <v>7</v>
      </c>
      <c r="F1144" s="162">
        <v>2</v>
      </c>
      <c r="G1144" s="164">
        <v>0.61670000000000003</v>
      </c>
      <c r="H1144" s="164">
        <v>0.71199999999999997</v>
      </c>
      <c r="I1144" s="164">
        <v>0.64</v>
      </c>
      <c r="J1144" s="2" t="str">
        <f>HYPERLINK(SetRGB(J1144,G1144*255,H1144*255,I1144*255),"HOVER!")</f>
        <v>HOVER!</v>
      </c>
      <c r="K1144">
        <f t="shared" si="36"/>
        <v>3.5</v>
      </c>
    </row>
    <row r="1145" spans="1:11" x14ac:dyDescent="0.3">
      <c r="A1145">
        <f>LOOKUP(9E+307,--MID(D1145,1,{1,2,3,4,5}))</f>
        <v>2.5</v>
      </c>
      <c r="B1145">
        <f>VLOOKUP(MID(D1145,LOOKUP(2,1/ISNUMBER(-MID(D1145,1,{1,2,3,4,5})),{1,2,3,4,5})+1,9),'Hue codes'!$A$1:$B$10,2,FALSE)</f>
        <v>40</v>
      </c>
      <c r="C1145">
        <f t="shared" si="35"/>
        <v>42.5</v>
      </c>
      <c r="D1145" s="162" t="s">
        <v>37</v>
      </c>
      <c r="E1145" s="162">
        <v>7</v>
      </c>
      <c r="F1145" s="162">
        <v>4</v>
      </c>
      <c r="G1145" s="164">
        <v>0.54910000000000003</v>
      </c>
      <c r="H1145" s="164">
        <v>0.73119999999999996</v>
      </c>
      <c r="I1145" s="164">
        <v>0.59919999999999995</v>
      </c>
      <c r="J1145" s="2" t="str">
        <f>HYPERLINK(SetRGB(J1145,G1145*255,H1145*255,I1145*255),"HOVER!")</f>
        <v>HOVER!</v>
      </c>
      <c r="K1145">
        <f t="shared" si="36"/>
        <v>1.75</v>
      </c>
    </row>
    <row r="1146" spans="1:11" x14ac:dyDescent="0.3">
      <c r="A1146">
        <f>LOOKUP(9E+307,--MID(D1146,1,{1,2,3,4,5}))</f>
        <v>2.5</v>
      </c>
      <c r="B1146">
        <f>VLOOKUP(MID(D1146,LOOKUP(2,1/ISNUMBER(-MID(D1146,1,{1,2,3,4,5})),{1,2,3,4,5})+1,9),'Hue codes'!$A$1:$B$10,2,FALSE)</f>
        <v>40</v>
      </c>
      <c r="C1146">
        <f t="shared" si="35"/>
        <v>42.5</v>
      </c>
      <c r="D1146" s="162" t="s">
        <v>37</v>
      </c>
      <c r="E1146" s="162">
        <v>7</v>
      </c>
      <c r="F1146" s="162">
        <v>6</v>
      </c>
      <c r="G1146" s="164">
        <v>0.4778</v>
      </c>
      <c r="H1146" s="164">
        <v>0.74770000000000003</v>
      </c>
      <c r="I1146" s="164">
        <v>0.56079999999999997</v>
      </c>
      <c r="J1146" s="2" t="str">
        <f>HYPERLINK(SetRGB(J1146,G1146*255,H1146*255,I1146*255),"HOVER!")</f>
        <v>HOVER!</v>
      </c>
      <c r="K1146">
        <f t="shared" si="36"/>
        <v>1.1666666666666667</v>
      </c>
    </row>
    <row r="1147" spans="1:11" x14ac:dyDescent="0.3">
      <c r="A1147">
        <f>LOOKUP(9E+307,--MID(D1147,1,{1,2,3,4,5}))</f>
        <v>2.5</v>
      </c>
      <c r="B1147">
        <f>VLOOKUP(MID(D1147,LOOKUP(2,1/ISNUMBER(-MID(D1147,1,{1,2,3,4,5})),{1,2,3,4,5})+1,9),'Hue codes'!$A$1:$B$10,2,FALSE)</f>
        <v>40</v>
      </c>
      <c r="C1147">
        <f t="shared" si="35"/>
        <v>42.5</v>
      </c>
      <c r="D1147" s="162" t="s">
        <v>37</v>
      </c>
      <c r="E1147" s="162">
        <v>7</v>
      </c>
      <c r="F1147" s="162">
        <v>8</v>
      </c>
      <c r="G1147" s="164">
        <v>0.3876</v>
      </c>
      <c r="H1147" s="164">
        <v>0.76400000000000001</v>
      </c>
      <c r="I1147" s="164">
        <v>0.52</v>
      </c>
      <c r="J1147" s="2" t="str">
        <f>HYPERLINK(SetRGB(J1147,G1147*255,H1147*255,I1147*255),"HOVER!")</f>
        <v>HOVER!</v>
      </c>
      <c r="K1147">
        <f t="shared" si="36"/>
        <v>0.875</v>
      </c>
    </row>
    <row r="1148" spans="1:11" x14ac:dyDescent="0.3">
      <c r="A1148">
        <f>LOOKUP(9E+307,--MID(D1148,1,{1,2,3,4,5}))</f>
        <v>2.5</v>
      </c>
      <c r="B1148">
        <f>VLOOKUP(MID(D1148,LOOKUP(2,1/ISNUMBER(-MID(D1148,1,{1,2,3,4,5})),{1,2,3,4,5})+1,9),'Hue codes'!$A$1:$B$10,2,FALSE)</f>
        <v>40</v>
      </c>
      <c r="C1148">
        <f t="shared" si="35"/>
        <v>42.5</v>
      </c>
      <c r="D1148" s="162" t="s">
        <v>37</v>
      </c>
      <c r="E1148" s="162">
        <v>7</v>
      </c>
      <c r="F1148" s="162">
        <v>10</v>
      </c>
      <c r="G1148" s="164">
        <v>0.26329999999999998</v>
      </c>
      <c r="H1148" s="164">
        <v>0.7792</v>
      </c>
      <c r="I1148" s="164">
        <v>0.47970000000000002</v>
      </c>
      <c r="J1148" s="2" t="str">
        <f>HYPERLINK(SetRGB(J1148,G1148*255,H1148*255,I1148*255),"HOVER!")</f>
        <v>HOVER!</v>
      </c>
      <c r="K1148">
        <f t="shared" si="36"/>
        <v>0.7</v>
      </c>
    </row>
    <row r="1149" spans="1:11" x14ac:dyDescent="0.3">
      <c r="A1149">
        <f>LOOKUP(9E+307,--MID(D1149,1,{1,2,3,4,5}))</f>
        <v>5</v>
      </c>
      <c r="B1149">
        <f>VLOOKUP(MID(D1149,LOOKUP(2,1/ISNUMBER(-MID(D1149,1,{1,2,3,4,5})),{1,2,3,4,5})+1,9),'Hue codes'!$A$1:$B$10,2,FALSE)</f>
        <v>40</v>
      </c>
      <c r="C1149">
        <f t="shared" si="35"/>
        <v>45</v>
      </c>
      <c r="D1149" s="162" t="s">
        <v>38</v>
      </c>
      <c r="E1149" s="162">
        <v>7</v>
      </c>
      <c r="F1149" s="162">
        <v>2</v>
      </c>
      <c r="G1149" s="164">
        <v>0.6079</v>
      </c>
      <c r="H1149" s="164">
        <v>0.71289999999999998</v>
      </c>
      <c r="I1149" s="164">
        <v>0.65369999999999995</v>
      </c>
      <c r="J1149" s="2" t="str">
        <f>HYPERLINK(SetRGB(J1149,G1149*255,H1149*255,I1149*255),"HOVER!")</f>
        <v>HOVER!</v>
      </c>
      <c r="K1149">
        <f t="shared" si="36"/>
        <v>3.5</v>
      </c>
    </row>
    <row r="1150" spans="1:11" x14ac:dyDescent="0.3">
      <c r="A1150">
        <f>LOOKUP(9E+307,--MID(D1150,1,{1,2,3,4,5}))</f>
        <v>5</v>
      </c>
      <c r="B1150">
        <f>VLOOKUP(MID(D1150,LOOKUP(2,1/ISNUMBER(-MID(D1150,1,{1,2,3,4,5})),{1,2,3,4,5})+1,9),'Hue codes'!$A$1:$B$10,2,FALSE)</f>
        <v>40</v>
      </c>
      <c r="C1150">
        <f t="shared" si="35"/>
        <v>45</v>
      </c>
      <c r="D1150" s="162" t="s">
        <v>38</v>
      </c>
      <c r="E1150" s="162">
        <v>7</v>
      </c>
      <c r="F1150" s="162">
        <v>4</v>
      </c>
      <c r="G1150" s="164">
        <v>0.52869999999999995</v>
      </c>
      <c r="H1150" s="164">
        <v>0.73299999999999998</v>
      </c>
      <c r="I1150" s="164">
        <v>0.62619999999999998</v>
      </c>
      <c r="J1150" s="2" t="str">
        <f>HYPERLINK(SetRGB(J1150,G1150*255,H1150*255,I1150*255),"HOVER!")</f>
        <v>HOVER!</v>
      </c>
      <c r="K1150">
        <f t="shared" si="36"/>
        <v>1.75</v>
      </c>
    </row>
    <row r="1151" spans="1:11" x14ac:dyDescent="0.3">
      <c r="A1151">
        <f>LOOKUP(9E+307,--MID(D1151,1,{1,2,3,4,5}))</f>
        <v>5</v>
      </c>
      <c r="B1151">
        <f>VLOOKUP(MID(D1151,LOOKUP(2,1/ISNUMBER(-MID(D1151,1,{1,2,3,4,5})),{1,2,3,4,5})+1,9),'Hue codes'!$A$1:$B$10,2,FALSE)</f>
        <v>40</v>
      </c>
      <c r="C1151">
        <f t="shared" si="35"/>
        <v>45</v>
      </c>
      <c r="D1151" s="162" t="s">
        <v>38</v>
      </c>
      <c r="E1151" s="162">
        <v>7</v>
      </c>
      <c r="F1151" s="162">
        <v>6</v>
      </c>
      <c r="G1151" s="164">
        <v>0.44219999999999998</v>
      </c>
      <c r="H1151" s="164">
        <v>0.75019999999999998</v>
      </c>
      <c r="I1151" s="164">
        <v>0.60189999999999999</v>
      </c>
      <c r="J1151" s="2" t="str">
        <f>HYPERLINK(SetRGB(J1151,G1151*255,H1151*255,I1151*255),"HOVER!")</f>
        <v>HOVER!</v>
      </c>
      <c r="K1151">
        <f t="shared" si="36"/>
        <v>1.1666666666666667</v>
      </c>
    </row>
    <row r="1152" spans="1:11" x14ac:dyDescent="0.3">
      <c r="A1152">
        <f>LOOKUP(9E+307,--MID(D1152,1,{1,2,3,4,5}))</f>
        <v>5</v>
      </c>
      <c r="B1152">
        <f>VLOOKUP(MID(D1152,LOOKUP(2,1/ISNUMBER(-MID(D1152,1,{1,2,3,4,5})),{1,2,3,4,5})+1,9),'Hue codes'!$A$1:$B$10,2,FALSE)</f>
        <v>40</v>
      </c>
      <c r="C1152">
        <f t="shared" si="35"/>
        <v>45</v>
      </c>
      <c r="D1152" s="162" t="s">
        <v>38</v>
      </c>
      <c r="E1152" s="162">
        <v>7</v>
      </c>
      <c r="F1152" s="162">
        <v>8</v>
      </c>
      <c r="G1152" s="164">
        <v>0.3276</v>
      </c>
      <c r="H1152" s="164">
        <v>0.76670000000000005</v>
      </c>
      <c r="I1152" s="164">
        <v>0.57850000000000001</v>
      </c>
      <c r="J1152" s="2" t="str">
        <f>HYPERLINK(SetRGB(J1152,G1152*255,H1152*255,I1152*255),"HOVER!")</f>
        <v>HOVER!</v>
      </c>
      <c r="K1152">
        <f t="shared" si="36"/>
        <v>0.875</v>
      </c>
    </row>
    <row r="1153" spans="1:11" x14ac:dyDescent="0.3">
      <c r="A1153">
        <f>LOOKUP(9E+307,--MID(D1153,1,{1,2,3,4,5}))</f>
        <v>5</v>
      </c>
      <c r="B1153">
        <f>VLOOKUP(MID(D1153,LOOKUP(2,1/ISNUMBER(-MID(D1153,1,{1,2,3,4,5})),{1,2,3,4,5})+1,9),'Hue codes'!$A$1:$B$10,2,FALSE)</f>
        <v>40</v>
      </c>
      <c r="C1153">
        <f t="shared" si="35"/>
        <v>45</v>
      </c>
      <c r="D1153" s="162" t="s">
        <v>38</v>
      </c>
      <c r="E1153" s="162">
        <v>7</v>
      </c>
      <c r="F1153" s="162">
        <v>10</v>
      </c>
      <c r="G1153" s="164">
        <v>9.64E-2</v>
      </c>
      <c r="H1153" s="164">
        <v>0.78280000000000005</v>
      </c>
      <c r="I1153" s="164">
        <v>0.55669999999999997</v>
      </c>
      <c r="J1153" s="2" t="str">
        <f>HYPERLINK(SetRGB(J1153,G1153*255,H1153*255,I1153*255),"HOVER!")</f>
        <v>HOVER!</v>
      </c>
      <c r="K1153">
        <f t="shared" si="36"/>
        <v>0.7</v>
      </c>
    </row>
    <row r="1154" spans="1:11" x14ac:dyDescent="0.3">
      <c r="A1154">
        <f>LOOKUP(9E+307,--MID(D1154,1,{1,2,3,4,5}))</f>
        <v>7.5</v>
      </c>
      <c r="B1154">
        <f>VLOOKUP(MID(D1154,LOOKUP(2,1/ISNUMBER(-MID(D1154,1,{1,2,3,4,5})),{1,2,3,4,5})+1,9),'Hue codes'!$A$1:$B$10,2,FALSE)</f>
        <v>40</v>
      </c>
      <c r="C1154">
        <f t="shared" si="35"/>
        <v>47.5</v>
      </c>
      <c r="D1154" s="162" t="s">
        <v>39</v>
      </c>
      <c r="E1154" s="162">
        <v>7</v>
      </c>
      <c r="F1154" s="162">
        <v>2</v>
      </c>
      <c r="G1154" s="164">
        <v>0.60270000000000001</v>
      </c>
      <c r="H1154" s="164">
        <v>0.71319999999999995</v>
      </c>
      <c r="I1154" s="164">
        <v>0.66310000000000002</v>
      </c>
      <c r="J1154" s="2" t="str">
        <f>HYPERLINK(SetRGB(J1154,G1154*255,H1154*255,I1154*255),"HOVER!")</f>
        <v>HOVER!</v>
      </c>
      <c r="K1154">
        <f t="shared" si="36"/>
        <v>3.5</v>
      </c>
    </row>
    <row r="1155" spans="1:11" x14ac:dyDescent="0.3">
      <c r="A1155">
        <f>LOOKUP(9E+307,--MID(D1155,1,{1,2,3,4,5}))</f>
        <v>7.5</v>
      </c>
      <c r="B1155">
        <f>VLOOKUP(MID(D1155,LOOKUP(2,1/ISNUMBER(-MID(D1155,1,{1,2,3,4,5})),{1,2,3,4,5})+1,9),'Hue codes'!$A$1:$B$10,2,FALSE)</f>
        <v>40</v>
      </c>
      <c r="C1155">
        <f t="shared" ref="C1155:C1218" si="37">IF(A1155+B1155=100,0,A1155+B1155)</f>
        <v>47.5</v>
      </c>
      <c r="D1155" s="162" t="s">
        <v>39</v>
      </c>
      <c r="E1155" s="162">
        <v>7</v>
      </c>
      <c r="F1155" s="162">
        <v>4</v>
      </c>
      <c r="G1155" s="164">
        <v>0.51800000000000002</v>
      </c>
      <c r="H1155" s="164">
        <v>0.73340000000000005</v>
      </c>
      <c r="I1155" s="164">
        <v>0.64390000000000003</v>
      </c>
      <c r="J1155" s="2" t="str">
        <f>HYPERLINK(SetRGB(J1155,G1155*255,H1155*255,I1155*255),"HOVER!")</f>
        <v>HOVER!</v>
      </c>
      <c r="K1155">
        <f t="shared" si="36"/>
        <v>1.75</v>
      </c>
    </row>
    <row r="1156" spans="1:11" x14ac:dyDescent="0.3">
      <c r="A1156">
        <f>LOOKUP(9E+307,--MID(D1156,1,{1,2,3,4,5}))</f>
        <v>7.5</v>
      </c>
      <c r="B1156">
        <f>VLOOKUP(MID(D1156,LOOKUP(2,1/ISNUMBER(-MID(D1156,1,{1,2,3,4,5})),{1,2,3,4,5})+1,9),'Hue codes'!$A$1:$B$10,2,FALSE)</f>
        <v>40</v>
      </c>
      <c r="C1156">
        <f t="shared" si="37"/>
        <v>47.5</v>
      </c>
      <c r="D1156" s="162" t="s">
        <v>39</v>
      </c>
      <c r="E1156" s="162">
        <v>7</v>
      </c>
      <c r="F1156" s="162">
        <v>6</v>
      </c>
      <c r="G1156" s="164">
        <v>0.42280000000000001</v>
      </c>
      <c r="H1156" s="164">
        <v>0.75090000000000001</v>
      </c>
      <c r="I1156" s="164">
        <v>0.62739999999999996</v>
      </c>
      <c r="J1156" s="2" t="str">
        <f>HYPERLINK(SetRGB(J1156,G1156*255,H1156*255,I1156*255),"HOVER!")</f>
        <v>HOVER!</v>
      </c>
      <c r="K1156">
        <f t="shared" si="36"/>
        <v>1.1666666666666667</v>
      </c>
    </row>
    <row r="1157" spans="1:11" x14ac:dyDescent="0.3">
      <c r="A1157">
        <f>LOOKUP(9E+307,--MID(D1157,1,{1,2,3,4,5}))</f>
        <v>7.5</v>
      </c>
      <c r="B1157">
        <f>VLOOKUP(MID(D1157,LOOKUP(2,1/ISNUMBER(-MID(D1157,1,{1,2,3,4,5})),{1,2,3,4,5})+1,9),'Hue codes'!$A$1:$B$10,2,FALSE)</f>
        <v>40</v>
      </c>
      <c r="C1157">
        <f t="shared" si="37"/>
        <v>47.5</v>
      </c>
      <c r="D1157" s="162" t="s">
        <v>39</v>
      </c>
      <c r="E1157" s="162">
        <v>7</v>
      </c>
      <c r="F1157" s="162">
        <v>8</v>
      </c>
      <c r="G1157" s="164">
        <v>0.29089999999999999</v>
      </c>
      <c r="H1157" s="164">
        <v>0.76749999999999996</v>
      </c>
      <c r="I1157" s="164">
        <v>0.61219999999999997</v>
      </c>
      <c r="J1157" s="2" t="str">
        <f>HYPERLINK(SetRGB(J1157,G1157*255,H1157*255,I1157*255),"HOVER!")</f>
        <v>HOVER!</v>
      </c>
      <c r="K1157">
        <f t="shared" si="36"/>
        <v>0.875</v>
      </c>
    </row>
    <row r="1158" spans="1:11" x14ac:dyDescent="0.3">
      <c r="A1158">
        <f>LOOKUP(9E+307,--MID(D1158,1,{1,2,3,4,5}))</f>
        <v>10</v>
      </c>
      <c r="B1158">
        <f>VLOOKUP(MID(D1158,LOOKUP(2,1/ISNUMBER(-MID(D1158,1,{1,2,3,4,5})),{1,2,3,4,5})+1,9),'Hue codes'!$A$1:$B$10,2,FALSE)</f>
        <v>40</v>
      </c>
      <c r="C1158">
        <f t="shared" si="37"/>
        <v>50</v>
      </c>
      <c r="D1158" s="162" t="s">
        <v>40</v>
      </c>
      <c r="E1158" s="162">
        <v>7</v>
      </c>
      <c r="F1158" s="162">
        <v>2</v>
      </c>
      <c r="G1158" s="164">
        <v>0.59889999999999999</v>
      </c>
      <c r="H1158" s="164">
        <v>0.71309999999999996</v>
      </c>
      <c r="I1158" s="164">
        <v>0.67290000000000005</v>
      </c>
      <c r="J1158" s="2" t="str">
        <f>HYPERLINK(SetRGB(J1158,G1158*255,H1158*255,I1158*255),"HOVER!")</f>
        <v>HOVER!</v>
      </c>
      <c r="K1158">
        <f t="shared" si="36"/>
        <v>3.5</v>
      </c>
    </row>
    <row r="1159" spans="1:11" x14ac:dyDescent="0.3">
      <c r="A1159">
        <f>LOOKUP(9E+307,--MID(D1159,1,{1,2,3,4,5}))</f>
        <v>10</v>
      </c>
      <c r="B1159">
        <f>VLOOKUP(MID(D1159,LOOKUP(2,1/ISNUMBER(-MID(D1159,1,{1,2,3,4,5})),{1,2,3,4,5})+1,9),'Hue codes'!$A$1:$B$10,2,FALSE)</f>
        <v>40</v>
      </c>
      <c r="C1159">
        <f t="shared" si="37"/>
        <v>50</v>
      </c>
      <c r="D1159" s="162" t="s">
        <v>40</v>
      </c>
      <c r="E1159" s="162">
        <v>7</v>
      </c>
      <c r="F1159" s="162">
        <v>4</v>
      </c>
      <c r="G1159" s="164">
        <v>0.50939999999999996</v>
      </c>
      <c r="H1159" s="164">
        <v>0.73340000000000005</v>
      </c>
      <c r="I1159" s="164">
        <v>0.66139999999999999</v>
      </c>
      <c r="J1159" s="2" t="str">
        <f>HYPERLINK(SetRGB(J1159,G1159*255,H1159*255,I1159*255),"HOVER!")</f>
        <v>HOVER!</v>
      </c>
      <c r="K1159">
        <f t="shared" si="36"/>
        <v>1.75</v>
      </c>
    </row>
    <row r="1160" spans="1:11" x14ac:dyDescent="0.3">
      <c r="A1160">
        <f>LOOKUP(9E+307,--MID(D1160,1,{1,2,3,4,5}))</f>
        <v>10</v>
      </c>
      <c r="B1160">
        <f>VLOOKUP(MID(D1160,LOOKUP(2,1/ISNUMBER(-MID(D1160,1,{1,2,3,4,5})),{1,2,3,4,5})+1,9),'Hue codes'!$A$1:$B$10,2,FALSE)</f>
        <v>40</v>
      </c>
      <c r="C1160">
        <f t="shared" si="37"/>
        <v>50</v>
      </c>
      <c r="D1160" s="162" t="s">
        <v>40</v>
      </c>
      <c r="E1160" s="162">
        <v>7</v>
      </c>
      <c r="F1160" s="162">
        <v>6</v>
      </c>
      <c r="G1160" s="164">
        <v>0.40489999999999998</v>
      </c>
      <c r="H1160" s="164">
        <v>0.75129999999999997</v>
      </c>
      <c r="I1160" s="164">
        <v>0.65169999999999995</v>
      </c>
      <c r="J1160" s="2" t="str">
        <f>HYPERLINK(SetRGB(J1160,G1160*255,H1160*255,I1160*255),"HOVER!")</f>
        <v>HOVER!</v>
      </c>
      <c r="K1160">
        <f t="shared" si="36"/>
        <v>1.1666666666666667</v>
      </c>
    </row>
    <row r="1161" spans="1:11" x14ac:dyDescent="0.3">
      <c r="A1161">
        <f>LOOKUP(9E+307,--MID(D1161,1,{1,2,3,4,5}))</f>
        <v>10</v>
      </c>
      <c r="B1161">
        <f>VLOOKUP(MID(D1161,LOOKUP(2,1/ISNUMBER(-MID(D1161,1,{1,2,3,4,5})),{1,2,3,4,5})+1,9),'Hue codes'!$A$1:$B$10,2,FALSE)</f>
        <v>40</v>
      </c>
      <c r="C1161">
        <f t="shared" si="37"/>
        <v>50</v>
      </c>
      <c r="D1161" s="162" t="s">
        <v>40</v>
      </c>
      <c r="E1161" s="162">
        <v>7</v>
      </c>
      <c r="F1161" s="162">
        <v>8</v>
      </c>
      <c r="G1161" s="164">
        <v>0.2525</v>
      </c>
      <c r="H1161" s="164">
        <v>0.7681</v>
      </c>
      <c r="I1161" s="164">
        <v>0.64349999999999996</v>
      </c>
      <c r="J1161" s="2" t="str">
        <f>HYPERLINK(SetRGB(J1161,G1161*255,H1161*255,I1161*255),"HOVER!")</f>
        <v>HOVER!</v>
      </c>
      <c r="K1161">
        <f t="shared" si="36"/>
        <v>0.875</v>
      </c>
    </row>
    <row r="1162" spans="1:11" x14ac:dyDescent="0.3">
      <c r="A1162">
        <f>LOOKUP(9E+307,--MID(D1162,1,{1,2,3,4,5}))</f>
        <v>2.5</v>
      </c>
      <c r="B1162">
        <f>VLOOKUP(MID(D1162,LOOKUP(2,1/ISNUMBER(-MID(D1162,1,{1,2,3,4,5})),{1,2,3,4,5})+1,9),'Hue codes'!$A$1:$B$10,2,FALSE)</f>
        <v>50</v>
      </c>
      <c r="C1162">
        <f t="shared" si="37"/>
        <v>52.5</v>
      </c>
      <c r="D1162" s="162" t="s">
        <v>41</v>
      </c>
      <c r="E1162" s="162">
        <v>7</v>
      </c>
      <c r="F1162" s="162">
        <v>2</v>
      </c>
      <c r="G1162" s="164">
        <v>0.59709999999999996</v>
      </c>
      <c r="H1162" s="164">
        <v>0.71279999999999999</v>
      </c>
      <c r="I1162" s="164">
        <v>0.68030000000000002</v>
      </c>
      <c r="J1162" s="2" t="str">
        <f>HYPERLINK(SetRGB(J1162,G1162*255,H1162*255,I1162*255),"HOVER!")</f>
        <v>HOVER!</v>
      </c>
      <c r="K1162">
        <f t="shared" si="36"/>
        <v>3.5</v>
      </c>
    </row>
    <row r="1163" spans="1:11" x14ac:dyDescent="0.3">
      <c r="A1163">
        <f>LOOKUP(9E+307,--MID(D1163,1,{1,2,3,4,5}))</f>
        <v>2.5</v>
      </c>
      <c r="B1163">
        <f>VLOOKUP(MID(D1163,LOOKUP(2,1/ISNUMBER(-MID(D1163,1,{1,2,3,4,5})),{1,2,3,4,5})+1,9),'Hue codes'!$A$1:$B$10,2,FALSE)</f>
        <v>50</v>
      </c>
      <c r="C1163">
        <f t="shared" si="37"/>
        <v>52.5</v>
      </c>
      <c r="D1163" s="162" t="s">
        <v>41</v>
      </c>
      <c r="E1163" s="162">
        <v>7</v>
      </c>
      <c r="F1163" s="162">
        <v>4</v>
      </c>
      <c r="G1163" s="164">
        <v>0.503</v>
      </c>
      <c r="H1163" s="164">
        <v>0.73309999999999997</v>
      </c>
      <c r="I1163" s="164">
        <v>0.67710000000000004</v>
      </c>
      <c r="J1163" s="2" t="str">
        <f>HYPERLINK(SetRGB(J1163,G1163*255,H1163*255,I1163*255),"HOVER!")</f>
        <v>HOVER!</v>
      </c>
      <c r="K1163">
        <f t="shared" si="36"/>
        <v>1.75</v>
      </c>
    </row>
    <row r="1164" spans="1:11" x14ac:dyDescent="0.3">
      <c r="A1164">
        <f>LOOKUP(9E+307,--MID(D1164,1,{1,2,3,4,5}))</f>
        <v>2.5</v>
      </c>
      <c r="B1164">
        <f>VLOOKUP(MID(D1164,LOOKUP(2,1/ISNUMBER(-MID(D1164,1,{1,2,3,4,5})),{1,2,3,4,5})+1,9),'Hue codes'!$A$1:$B$10,2,FALSE)</f>
        <v>50</v>
      </c>
      <c r="C1164">
        <f t="shared" si="37"/>
        <v>52.5</v>
      </c>
      <c r="D1164" s="162" t="s">
        <v>41</v>
      </c>
      <c r="E1164" s="162">
        <v>7</v>
      </c>
      <c r="F1164" s="162">
        <v>6</v>
      </c>
      <c r="G1164" s="164">
        <v>0.39319999999999999</v>
      </c>
      <c r="H1164" s="164">
        <v>0.75070000000000003</v>
      </c>
      <c r="I1164" s="164">
        <v>0.67520000000000002</v>
      </c>
      <c r="J1164" s="2" t="str">
        <f>HYPERLINK(SetRGB(J1164,G1164*255,H1164*255,I1164*255),"HOVER!")</f>
        <v>HOVER!</v>
      </c>
      <c r="K1164">
        <f t="shared" si="36"/>
        <v>1.1666666666666667</v>
      </c>
    </row>
    <row r="1165" spans="1:11" x14ac:dyDescent="0.3">
      <c r="A1165">
        <f>LOOKUP(9E+307,--MID(D1165,1,{1,2,3,4,5}))</f>
        <v>2.5</v>
      </c>
      <c r="B1165">
        <f>VLOOKUP(MID(D1165,LOOKUP(2,1/ISNUMBER(-MID(D1165,1,{1,2,3,4,5})),{1,2,3,4,5})+1,9),'Hue codes'!$A$1:$B$10,2,FALSE)</f>
        <v>50</v>
      </c>
      <c r="C1165">
        <f t="shared" si="37"/>
        <v>52.5</v>
      </c>
      <c r="D1165" s="162" t="s">
        <v>41</v>
      </c>
      <c r="E1165" s="162">
        <v>7</v>
      </c>
      <c r="F1165" s="162">
        <v>8</v>
      </c>
      <c r="G1165" s="164">
        <v>0.2122</v>
      </c>
      <c r="H1165" s="164">
        <v>0.7681</v>
      </c>
      <c r="I1165" s="164">
        <v>0.67410000000000003</v>
      </c>
      <c r="J1165" s="2" t="str">
        <f>HYPERLINK(SetRGB(J1165,G1165*255,H1165*255,I1165*255),"HOVER!")</f>
        <v>HOVER!</v>
      </c>
      <c r="K1165">
        <f t="shared" si="36"/>
        <v>0.875</v>
      </c>
    </row>
    <row r="1166" spans="1:11" x14ac:dyDescent="0.3">
      <c r="A1166">
        <f>LOOKUP(9E+307,--MID(D1166,1,{1,2,3,4,5}))</f>
        <v>5</v>
      </c>
      <c r="B1166">
        <f>VLOOKUP(MID(D1166,LOOKUP(2,1/ISNUMBER(-MID(D1166,1,{1,2,3,4,5})),{1,2,3,4,5})+1,9),'Hue codes'!$A$1:$B$10,2,FALSE)</f>
        <v>50</v>
      </c>
      <c r="C1166">
        <f t="shared" si="37"/>
        <v>55</v>
      </c>
      <c r="D1166" s="162" t="s">
        <v>42</v>
      </c>
      <c r="E1166" s="162">
        <v>7</v>
      </c>
      <c r="F1166" s="162">
        <v>2</v>
      </c>
      <c r="G1166" s="164">
        <v>0.59399999999999997</v>
      </c>
      <c r="H1166" s="164">
        <v>0.71240000000000003</v>
      </c>
      <c r="I1166" s="164">
        <v>0.69199999999999995</v>
      </c>
      <c r="J1166" s="2" t="str">
        <f>HYPERLINK(SetRGB(J1166,G1166*255,H1166*255,I1166*255),"HOVER!")</f>
        <v>HOVER!</v>
      </c>
      <c r="K1166">
        <f t="shared" si="36"/>
        <v>3.5</v>
      </c>
    </row>
    <row r="1167" spans="1:11" x14ac:dyDescent="0.3">
      <c r="A1167">
        <f>LOOKUP(9E+307,--MID(D1167,1,{1,2,3,4,5}))</f>
        <v>5</v>
      </c>
      <c r="B1167">
        <f>VLOOKUP(MID(D1167,LOOKUP(2,1/ISNUMBER(-MID(D1167,1,{1,2,3,4,5})),{1,2,3,4,5})+1,9),'Hue codes'!$A$1:$B$10,2,FALSE)</f>
        <v>50</v>
      </c>
      <c r="C1167">
        <f t="shared" si="37"/>
        <v>55</v>
      </c>
      <c r="D1167" s="162" t="s">
        <v>42</v>
      </c>
      <c r="E1167" s="162">
        <v>7</v>
      </c>
      <c r="F1167" s="162">
        <v>4</v>
      </c>
      <c r="G1167" s="164">
        <v>0.49480000000000002</v>
      </c>
      <c r="H1167" s="164">
        <v>0.73240000000000005</v>
      </c>
      <c r="I1167" s="164">
        <v>0.69889999999999997</v>
      </c>
      <c r="J1167" s="2" t="str">
        <f>HYPERLINK(SetRGB(J1167,G1167*255,H1167*255,I1167*255),"HOVER!")</f>
        <v>HOVER!</v>
      </c>
      <c r="K1167">
        <f t="shared" si="36"/>
        <v>1.75</v>
      </c>
    </row>
    <row r="1168" spans="1:11" x14ac:dyDescent="0.3">
      <c r="A1168">
        <f>LOOKUP(9E+307,--MID(D1168,1,{1,2,3,4,5}))</f>
        <v>5</v>
      </c>
      <c r="B1168">
        <f>VLOOKUP(MID(D1168,LOOKUP(2,1/ISNUMBER(-MID(D1168,1,{1,2,3,4,5})),{1,2,3,4,5})+1,9),'Hue codes'!$A$1:$B$10,2,FALSE)</f>
        <v>50</v>
      </c>
      <c r="C1168">
        <f t="shared" si="37"/>
        <v>55</v>
      </c>
      <c r="D1168" s="162" t="s">
        <v>42</v>
      </c>
      <c r="E1168" s="162">
        <v>7</v>
      </c>
      <c r="F1168" s="162">
        <v>6</v>
      </c>
      <c r="G1168" s="164">
        <v>0.38090000000000002</v>
      </c>
      <c r="H1168" s="164">
        <v>0.74919999999999998</v>
      </c>
      <c r="I1168" s="164">
        <v>0.70630000000000004</v>
      </c>
      <c r="J1168" s="2" t="str">
        <f>HYPERLINK(SetRGB(J1168,G1168*255,H1168*255,I1168*255),"HOVER!")</f>
        <v>HOVER!</v>
      </c>
      <c r="K1168">
        <f t="shared" si="36"/>
        <v>1.1666666666666667</v>
      </c>
    </row>
    <row r="1169" spans="1:11" x14ac:dyDescent="0.3">
      <c r="A1169">
        <f>LOOKUP(9E+307,--MID(D1169,1,{1,2,3,4,5}))</f>
        <v>5</v>
      </c>
      <c r="B1169">
        <f>VLOOKUP(MID(D1169,LOOKUP(2,1/ISNUMBER(-MID(D1169,1,{1,2,3,4,5})),{1,2,3,4,5})+1,9),'Hue codes'!$A$1:$B$10,2,FALSE)</f>
        <v>50</v>
      </c>
      <c r="C1169">
        <f t="shared" si="37"/>
        <v>55</v>
      </c>
      <c r="D1169" s="162" t="s">
        <v>42</v>
      </c>
      <c r="E1169" s="162">
        <v>7</v>
      </c>
      <c r="F1169" s="162">
        <v>8</v>
      </c>
      <c r="G1169" s="164">
        <v>0.16270000000000001</v>
      </c>
      <c r="H1169" s="164">
        <v>0.76680000000000004</v>
      </c>
      <c r="I1169" s="164">
        <v>0.71509999999999996</v>
      </c>
      <c r="J1169" s="2" t="str">
        <f>HYPERLINK(SetRGB(J1169,G1169*255,H1169*255,I1169*255),"HOVER!")</f>
        <v>HOVER!</v>
      </c>
      <c r="K1169">
        <f t="shared" si="36"/>
        <v>0.875</v>
      </c>
    </row>
    <row r="1170" spans="1:11" x14ac:dyDescent="0.3">
      <c r="A1170">
        <f>LOOKUP(9E+307,--MID(D1170,1,{1,2,3,4,5}))</f>
        <v>7.5</v>
      </c>
      <c r="B1170">
        <f>VLOOKUP(MID(D1170,LOOKUP(2,1/ISNUMBER(-MID(D1170,1,{1,2,3,4,5})),{1,2,3,4,5})+1,9),'Hue codes'!$A$1:$B$10,2,FALSE)</f>
        <v>50</v>
      </c>
      <c r="C1170">
        <f t="shared" si="37"/>
        <v>57.5</v>
      </c>
      <c r="D1170" s="162" t="s">
        <v>43</v>
      </c>
      <c r="E1170" s="162">
        <v>7</v>
      </c>
      <c r="F1170" s="162">
        <v>2</v>
      </c>
      <c r="G1170" s="164">
        <v>0.59440000000000004</v>
      </c>
      <c r="H1170" s="164">
        <v>0.71109999999999995</v>
      </c>
      <c r="I1170" s="164">
        <v>0.70269999999999999</v>
      </c>
      <c r="J1170" s="2" t="str">
        <f>HYPERLINK(SetRGB(J1170,G1170*255,H1170*255,I1170*255),"HOVER!")</f>
        <v>HOVER!</v>
      </c>
      <c r="K1170">
        <f t="shared" si="36"/>
        <v>3.5</v>
      </c>
    </row>
    <row r="1171" spans="1:11" x14ac:dyDescent="0.3">
      <c r="A1171">
        <f>LOOKUP(9E+307,--MID(D1171,1,{1,2,3,4,5}))</f>
        <v>7.5</v>
      </c>
      <c r="B1171">
        <f>VLOOKUP(MID(D1171,LOOKUP(2,1/ISNUMBER(-MID(D1171,1,{1,2,3,4,5})),{1,2,3,4,5})+1,9),'Hue codes'!$A$1:$B$10,2,FALSE)</f>
        <v>50</v>
      </c>
      <c r="C1171">
        <f t="shared" si="37"/>
        <v>57.5</v>
      </c>
      <c r="D1171" s="162" t="s">
        <v>43</v>
      </c>
      <c r="E1171" s="162">
        <v>7</v>
      </c>
      <c r="F1171" s="162">
        <v>4</v>
      </c>
      <c r="G1171" s="164">
        <v>0.4909</v>
      </c>
      <c r="H1171" s="164">
        <v>0.73099999999999998</v>
      </c>
      <c r="I1171" s="164">
        <v>0.71889999999999998</v>
      </c>
      <c r="J1171" s="2" t="str">
        <f>HYPERLINK(SetRGB(J1171,G1171*255,H1171*255,I1171*255),"HOVER!")</f>
        <v>HOVER!</v>
      </c>
      <c r="K1171">
        <f t="shared" si="36"/>
        <v>1.75</v>
      </c>
    </row>
    <row r="1172" spans="1:11" x14ac:dyDescent="0.3">
      <c r="A1172">
        <f>LOOKUP(9E+307,--MID(D1172,1,{1,2,3,4,5}))</f>
        <v>7.5</v>
      </c>
      <c r="B1172">
        <f>VLOOKUP(MID(D1172,LOOKUP(2,1/ISNUMBER(-MID(D1172,1,{1,2,3,4,5})),{1,2,3,4,5})+1,9),'Hue codes'!$A$1:$B$10,2,FALSE)</f>
        <v>50</v>
      </c>
      <c r="C1172">
        <f t="shared" si="37"/>
        <v>57.5</v>
      </c>
      <c r="D1172" s="162" t="s">
        <v>43</v>
      </c>
      <c r="E1172" s="162">
        <v>7</v>
      </c>
      <c r="F1172" s="162">
        <v>6</v>
      </c>
      <c r="G1172" s="164">
        <v>0.37319999999999998</v>
      </c>
      <c r="H1172" s="164">
        <v>0.74719999999999998</v>
      </c>
      <c r="I1172" s="164">
        <v>0.73460000000000003</v>
      </c>
      <c r="J1172" s="2" t="str">
        <f>HYPERLINK(SetRGB(J1172,G1172*255,H1172*255,I1172*255),"HOVER!")</f>
        <v>HOVER!</v>
      </c>
      <c r="K1172">
        <f t="shared" si="36"/>
        <v>1.1666666666666667</v>
      </c>
    </row>
    <row r="1173" spans="1:11" x14ac:dyDescent="0.3">
      <c r="A1173">
        <f>LOOKUP(9E+307,--MID(D1173,1,{1,2,3,4,5}))</f>
        <v>7.5</v>
      </c>
      <c r="B1173">
        <f>VLOOKUP(MID(D1173,LOOKUP(2,1/ISNUMBER(-MID(D1173,1,{1,2,3,4,5})),{1,2,3,4,5})+1,9),'Hue codes'!$A$1:$B$10,2,FALSE)</f>
        <v>50</v>
      </c>
      <c r="C1173">
        <f t="shared" si="37"/>
        <v>57.5</v>
      </c>
      <c r="D1173" s="162" t="s">
        <v>43</v>
      </c>
      <c r="E1173" s="162">
        <v>7</v>
      </c>
      <c r="F1173" s="162">
        <v>8</v>
      </c>
      <c r="G1173" s="164">
        <v>0.13300000000000001</v>
      </c>
      <c r="H1173" s="164">
        <v>0.76419999999999999</v>
      </c>
      <c r="I1173" s="164">
        <v>0.75219999999999998</v>
      </c>
      <c r="J1173" s="2" t="str">
        <f>HYPERLINK(SetRGB(J1173,G1173*255,H1173*255,I1173*255),"HOVER!")</f>
        <v>HOVER!</v>
      </c>
      <c r="K1173">
        <f t="shared" si="36"/>
        <v>0.875</v>
      </c>
    </row>
    <row r="1174" spans="1:11" x14ac:dyDescent="0.3">
      <c r="A1174">
        <f>LOOKUP(9E+307,--MID(D1174,1,{1,2,3,4,5}))</f>
        <v>10</v>
      </c>
      <c r="B1174">
        <f>VLOOKUP(MID(D1174,LOOKUP(2,1/ISNUMBER(-MID(D1174,1,{1,2,3,4,5})),{1,2,3,4,5})+1,9),'Hue codes'!$A$1:$B$10,2,FALSE)</f>
        <v>50</v>
      </c>
      <c r="C1174">
        <f t="shared" si="37"/>
        <v>60</v>
      </c>
      <c r="D1174" s="162" t="s">
        <v>44</v>
      </c>
      <c r="E1174" s="162">
        <v>7</v>
      </c>
      <c r="F1174" s="162">
        <v>2</v>
      </c>
      <c r="G1174" s="164">
        <v>0.59889999999999999</v>
      </c>
      <c r="H1174" s="164">
        <v>0.70899999999999996</v>
      </c>
      <c r="I1174" s="164">
        <v>0.71179999999999999</v>
      </c>
      <c r="J1174" s="2" t="str">
        <f>HYPERLINK(SetRGB(J1174,G1174*255,H1174*255,I1174*255),"HOVER!")</f>
        <v>HOVER!</v>
      </c>
      <c r="K1174">
        <f t="shared" si="36"/>
        <v>3.5</v>
      </c>
    </row>
    <row r="1175" spans="1:11" x14ac:dyDescent="0.3">
      <c r="A1175">
        <f>LOOKUP(9E+307,--MID(D1175,1,{1,2,3,4,5}))</f>
        <v>10</v>
      </c>
      <c r="B1175">
        <f>VLOOKUP(MID(D1175,LOOKUP(2,1/ISNUMBER(-MID(D1175,1,{1,2,3,4,5})),{1,2,3,4,5})+1,9),'Hue codes'!$A$1:$B$10,2,FALSE)</f>
        <v>50</v>
      </c>
      <c r="C1175">
        <f t="shared" si="37"/>
        <v>60</v>
      </c>
      <c r="D1175" s="162" t="s">
        <v>44</v>
      </c>
      <c r="E1175" s="162">
        <v>7</v>
      </c>
      <c r="F1175" s="162">
        <v>4</v>
      </c>
      <c r="G1175" s="164">
        <v>0.49370000000000003</v>
      </c>
      <c r="H1175" s="164">
        <v>0.72829999999999995</v>
      </c>
      <c r="I1175" s="164">
        <v>0.73829999999999996</v>
      </c>
      <c r="J1175" s="2" t="str">
        <f>HYPERLINK(SetRGB(J1175,G1175*255,H1175*255,I1175*255),"HOVER!")</f>
        <v>HOVER!</v>
      </c>
      <c r="K1175">
        <f t="shared" si="36"/>
        <v>1.75</v>
      </c>
    </row>
    <row r="1176" spans="1:11" x14ac:dyDescent="0.3">
      <c r="A1176">
        <f>LOOKUP(9E+307,--MID(D1176,1,{1,2,3,4,5}))</f>
        <v>10</v>
      </c>
      <c r="B1176">
        <f>VLOOKUP(MID(D1176,LOOKUP(2,1/ISNUMBER(-MID(D1176,1,{1,2,3,4,5})),{1,2,3,4,5})+1,9),'Hue codes'!$A$1:$B$10,2,FALSE)</f>
        <v>50</v>
      </c>
      <c r="C1176">
        <f t="shared" si="37"/>
        <v>60</v>
      </c>
      <c r="D1176" s="162" t="s">
        <v>44</v>
      </c>
      <c r="E1176" s="162">
        <v>7</v>
      </c>
      <c r="F1176" s="162">
        <v>6</v>
      </c>
      <c r="G1176" s="164">
        <v>0.374</v>
      </c>
      <c r="H1176" s="164">
        <v>0.74399999999999999</v>
      </c>
      <c r="I1176" s="164">
        <v>0.76280000000000003</v>
      </c>
      <c r="J1176" s="2" t="str">
        <f>HYPERLINK(SetRGB(J1176,G1176*255,H1176*255,I1176*255),"HOVER!")</f>
        <v>HOVER!</v>
      </c>
      <c r="K1176">
        <f t="shared" si="36"/>
        <v>1.1666666666666667</v>
      </c>
    </row>
    <row r="1177" spans="1:11" x14ac:dyDescent="0.3">
      <c r="A1177">
        <f>LOOKUP(9E+307,--MID(D1177,1,{1,2,3,4,5}))</f>
        <v>10</v>
      </c>
      <c r="B1177">
        <f>VLOOKUP(MID(D1177,LOOKUP(2,1/ISNUMBER(-MID(D1177,1,{1,2,3,4,5})),{1,2,3,4,5})+1,9),'Hue codes'!$A$1:$B$10,2,FALSE)</f>
        <v>50</v>
      </c>
      <c r="C1177">
        <f t="shared" si="37"/>
        <v>60</v>
      </c>
      <c r="D1177" s="162" t="s">
        <v>44</v>
      </c>
      <c r="E1177" s="162">
        <v>7</v>
      </c>
      <c r="F1177" s="162">
        <v>8</v>
      </c>
      <c r="G1177" s="164">
        <v>0.1138</v>
      </c>
      <c r="H1177" s="164">
        <v>0.76049999999999995</v>
      </c>
      <c r="I1177" s="164">
        <v>0.79159999999999997</v>
      </c>
      <c r="J1177" s="2" t="str">
        <f>HYPERLINK(SetRGB(J1177,G1177*255,H1177*255,I1177*255),"HOVER!")</f>
        <v>HOVER!</v>
      </c>
      <c r="K1177">
        <f t="shared" si="36"/>
        <v>0.875</v>
      </c>
    </row>
    <row r="1178" spans="1:11" x14ac:dyDescent="0.3">
      <c r="A1178">
        <f>LOOKUP(9E+307,--MID(D1178,1,{1,2,3,4,5}))</f>
        <v>2.5</v>
      </c>
      <c r="B1178">
        <f>VLOOKUP(MID(D1178,LOOKUP(2,1/ISNUMBER(-MID(D1178,1,{1,2,3,4,5})),{1,2,3,4,5})+1,9),'Hue codes'!$A$1:$B$10,2,FALSE)</f>
        <v>60</v>
      </c>
      <c r="C1178">
        <f t="shared" si="37"/>
        <v>62.5</v>
      </c>
      <c r="D1178" s="162" t="s">
        <v>45</v>
      </c>
      <c r="E1178" s="162">
        <v>7</v>
      </c>
      <c r="F1178" s="162">
        <v>2</v>
      </c>
      <c r="G1178" s="164">
        <v>0.60519999999999996</v>
      </c>
      <c r="H1178" s="164">
        <v>0.70669999999999999</v>
      </c>
      <c r="I1178" s="164">
        <v>0.71899999999999997</v>
      </c>
      <c r="J1178" s="2" t="str">
        <f>HYPERLINK(SetRGB(J1178,G1178*255,H1178*255,I1178*255),"HOVER!")</f>
        <v>HOVER!</v>
      </c>
      <c r="K1178">
        <f t="shared" si="36"/>
        <v>3.5</v>
      </c>
    </row>
    <row r="1179" spans="1:11" x14ac:dyDescent="0.3">
      <c r="A1179">
        <f>LOOKUP(9E+307,--MID(D1179,1,{1,2,3,4,5}))</f>
        <v>2.5</v>
      </c>
      <c r="B1179">
        <f>VLOOKUP(MID(D1179,LOOKUP(2,1/ISNUMBER(-MID(D1179,1,{1,2,3,4,5})),{1,2,3,4,5})+1,9),'Hue codes'!$A$1:$B$10,2,FALSE)</f>
        <v>60</v>
      </c>
      <c r="C1179">
        <f t="shared" si="37"/>
        <v>62.5</v>
      </c>
      <c r="D1179" s="162" t="s">
        <v>45</v>
      </c>
      <c r="E1179" s="162">
        <v>7</v>
      </c>
      <c r="F1179" s="162">
        <v>4</v>
      </c>
      <c r="G1179" s="164">
        <v>0.50360000000000005</v>
      </c>
      <c r="H1179" s="164">
        <v>0.72460000000000002</v>
      </c>
      <c r="I1179" s="164">
        <v>0.75470000000000004</v>
      </c>
      <c r="J1179" s="2" t="str">
        <f>HYPERLINK(SetRGB(J1179,G1179*255,H1179*255,I1179*255),"HOVER!")</f>
        <v>HOVER!</v>
      </c>
      <c r="K1179">
        <f t="shared" si="36"/>
        <v>1.75</v>
      </c>
    </row>
    <row r="1180" spans="1:11" x14ac:dyDescent="0.3">
      <c r="A1180">
        <f>LOOKUP(9E+307,--MID(D1180,1,{1,2,3,4,5}))</f>
        <v>2.5</v>
      </c>
      <c r="B1180">
        <f>VLOOKUP(MID(D1180,LOOKUP(2,1/ISNUMBER(-MID(D1180,1,{1,2,3,4,5})),{1,2,3,4,5})+1,9),'Hue codes'!$A$1:$B$10,2,FALSE)</f>
        <v>60</v>
      </c>
      <c r="C1180">
        <f t="shared" si="37"/>
        <v>62.5</v>
      </c>
      <c r="D1180" s="162" t="s">
        <v>45</v>
      </c>
      <c r="E1180" s="162">
        <v>7</v>
      </c>
      <c r="F1180" s="162">
        <v>6</v>
      </c>
      <c r="G1180" s="164">
        <v>0.38240000000000002</v>
      </c>
      <c r="H1180" s="164">
        <v>0.73980000000000001</v>
      </c>
      <c r="I1180" s="164">
        <v>0.78900000000000003</v>
      </c>
      <c r="J1180" s="2" t="str">
        <f>HYPERLINK(SetRGB(J1180,G1180*255,H1180*255,I1180*255),"HOVER!")</f>
        <v>HOVER!</v>
      </c>
      <c r="K1180">
        <f t="shared" si="36"/>
        <v>1.1666666666666667</v>
      </c>
    </row>
    <row r="1181" spans="1:11" x14ac:dyDescent="0.3">
      <c r="A1181">
        <f>LOOKUP(9E+307,--MID(D1181,1,{1,2,3,4,5}))</f>
        <v>2.5</v>
      </c>
      <c r="B1181">
        <f>VLOOKUP(MID(D1181,LOOKUP(2,1/ISNUMBER(-MID(D1181,1,{1,2,3,4,5})),{1,2,3,4,5})+1,9),'Hue codes'!$A$1:$B$10,2,FALSE)</f>
        <v>60</v>
      </c>
      <c r="C1181">
        <f t="shared" si="37"/>
        <v>62.5</v>
      </c>
      <c r="D1181" s="162" t="s">
        <v>45</v>
      </c>
      <c r="E1181" s="162">
        <v>7</v>
      </c>
      <c r="F1181" s="162">
        <v>8</v>
      </c>
      <c r="G1181" s="164">
        <v>0.15820000000000001</v>
      </c>
      <c r="H1181" s="164">
        <v>0.75470000000000004</v>
      </c>
      <c r="I1181" s="164">
        <v>0.82569999999999999</v>
      </c>
      <c r="J1181" s="2" t="str">
        <f>HYPERLINK(SetRGB(J1181,G1181*255,H1181*255,I1181*255),"HOVER!")</f>
        <v>HOVER!</v>
      </c>
      <c r="K1181">
        <f t="shared" si="36"/>
        <v>0.875</v>
      </c>
    </row>
    <row r="1182" spans="1:11" x14ac:dyDescent="0.3">
      <c r="A1182">
        <f>LOOKUP(9E+307,--MID(D1182,1,{1,2,3,4,5}))</f>
        <v>5</v>
      </c>
      <c r="B1182">
        <f>VLOOKUP(MID(D1182,LOOKUP(2,1/ISNUMBER(-MID(D1182,1,{1,2,3,4,5})),{1,2,3,4,5})+1,9),'Hue codes'!$A$1:$B$10,2,FALSE)</f>
        <v>60</v>
      </c>
      <c r="C1182">
        <f t="shared" si="37"/>
        <v>65</v>
      </c>
      <c r="D1182" s="162" t="s">
        <v>46</v>
      </c>
      <c r="E1182" s="162">
        <v>7</v>
      </c>
      <c r="F1182" s="162">
        <v>2</v>
      </c>
      <c r="G1182" s="164">
        <v>0.61570000000000003</v>
      </c>
      <c r="H1182" s="164">
        <v>0.70330000000000004</v>
      </c>
      <c r="I1182" s="164">
        <v>0.72519999999999996</v>
      </c>
      <c r="J1182" s="2" t="str">
        <f>HYPERLINK(SetRGB(J1182,G1182*255,H1182*255,I1182*255),"HOVER!")</f>
        <v>HOVER!</v>
      </c>
      <c r="K1182">
        <f t="shared" si="36"/>
        <v>3.5</v>
      </c>
    </row>
    <row r="1183" spans="1:11" x14ac:dyDescent="0.3">
      <c r="A1183">
        <f>LOOKUP(9E+307,--MID(D1183,1,{1,2,3,4,5}))</f>
        <v>5</v>
      </c>
      <c r="B1183">
        <f>VLOOKUP(MID(D1183,LOOKUP(2,1/ISNUMBER(-MID(D1183,1,{1,2,3,4,5})),{1,2,3,4,5})+1,9),'Hue codes'!$A$1:$B$10,2,FALSE)</f>
        <v>60</v>
      </c>
      <c r="C1183">
        <f t="shared" si="37"/>
        <v>65</v>
      </c>
      <c r="D1183" s="162" t="s">
        <v>46</v>
      </c>
      <c r="E1183" s="162">
        <v>7</v>
      </c>
      <c r="F1183" s="162">
        <v>4</v>
      </c>
      <c r="G1183" s="164">
        <v>0.52210000000000001</v>
      </c>
      <c r="H1183" s="164">
        <v>0.71940000000000004</v>
      </c>
      <c r="I1183" s="164">
        <v>0.76890000000000003</v>
      </c>
      <c r="J1183" s="2" t="str">
        <f>HYPERLINK(SetRGB(J1183,G1183*255,H1183*255,I1183*255),"HOVER!")</f>
        <v>HOVER!</v>
      </c>
      <c r="K1183">
        <f t="shared" si="36"/>
        <v>1.75</v>
      </c>
    </row>
    <row r="1184" spans="1:11" x14ac:dyDescent="0.3">
      <c r="A1184">
        <f>LOOKUP(9E+307,--MID(D1184,1,{1,2,3,4,5}))</f>
        <v>5</v>
      </c>
      <c r="B1184">
        <f>VLOOKUP(MID(D1184,LOOKUP(2,1/ISNUMBER(-MID(D1184,1,{1,2,3,4,5})),{1,2,3,4,5})+1,9),'Hue codes'!$A$1:$B$10,2,FALSE)</f>
        <v>60</v>
      </c>
      <c r="C1184">
        <f t="shared" si="37"/>
        <v>65</v>
      </c>
      <c r="D1184" s="162" t="s">
        <v>46</v>
      </c>
      <c r="E1184" s="162">
        <v>7</v>
      </c>
      <c r="F1184" s="162">
        <v>6</v>
      </c>
      <c r="G1184" s="164">
        <v>0.40799999999999997</v>
      </c>
      <c r="H1184" s="164">
        <v>0.73329999999999995</v>
      </c>
      <c r="I1184" s="164">
        <v>0.81359999999999999</v>
      </c>
      <c r="J1184" s="2" t="str">
        <f>HYPERLINK(SetRGB(J1184,G1184*255,H1184*255,I1184*255),"HOVER!")</f>
        <v>HOVER!</v>
      </c>
      <c r="K1184">
        <f t="shared" si="36"/>
        <v>1.1666666666666667</v>
      </c>
    </row>
    <row r="1185" spans="1:11" x14ac:dyDescent="0.3">
      <c r="A1185">
        <f>LOOKUP(9E+307,--MID(D1185,1,{1,2,3,4,5}))</f>
        <v>5</v>
      </c>
      <c r="B1185">
        <f>VLOOKUP(MID(D1185,LOOKUP(2,1/ISNUMBER(-MID(D1185,1,{1,2,3,4,5})),{1,2,3,4,5})+1,9),'Hue codes'!$A$1:$B$10,2,FALSE)</f>
        <v>60</v>
      </c>
      <c r="C1185">
        <f t="shared" si="37"/>
        <v>65</v>
      </c>
      <c r="D1185" s="162" t="s">
        <v>46</v>
      </c>
      <c r="E1185" s="162">
        <v>7</v>
      </c>
      <c r="F1185" s="162">
        <v>8</v>
      </c>
      <c r="G1185" s="164">
        <v>0.23519999999999999</v>
      </c>
      <c r="H1185" s="164">
        <v>0.74580000000000002</v>
      </c>
      <c r="I1185" s="164">
        <v>0.85919999999999996</v>
      </c>
      <c r="J1185" s="2" t="str">
        <f>HYPERLINK(SetRGB(J1185,G1185*255,H1185*255,I1185*255),"HOVER!")</f>
        <v>HOVER!</v>
      </c>
      <c r="K1185">
        <f t="shared" si="36"/>
        <v>0.875</v>
      </c>
    </row>
    <row r="1186" spans="1:11" x14ac:dyDescent="0.3">
      <c r="A1186">
        <f>LOOKUP(9E+307,--MID(D1186,1,{1,2,3,4,5}))</f>
        <v>7.5</v>
      </c>
      <c r="B1186">
        <f>VLOOKUP(MID(D1186,LOOKUP(2,1/ISNUMBER(-MID(D1186,1,{1,2,3,4,5})),{1,2,3,4,5})+1,9),'Hue codes'!$A$1:$B$10,2,FALSE)</f>
        <v>60</v>
      </c>
      <c r="C1186">
        <f t="shared" si="37"/>
        <v>67.5</v>
      </c>
      <c r="D1186" s="162" t="s">
        <v>47</v>
      </c>
      <c r="E1186" s="162">
        <v>7</v>
      </c>
      <c r="F1186" s="162">
        <v>2</v>
      </c>
      <c r="G1186" s="164">
        <v>0.62570000000000003</v>
      </c>
      <c r="H1186" s="164">
        <v>0.70040000000000002</v>
      </c>
      <c r="I1186" s="164">
        <v>0.72850000000000004</v>
      </c>
      <c r="J1186" s="2" t="str">
        <f>HYPERLINK(SetRGB(J1186,G1186*255,H1186*255,I1186*255),"HOVER!")</f>
        <v>HOVER!</v>
      </c>
      <c r="K1186">
        <f t="shared" si="36"/>
        <v>3.5</v>
      </c>
    </row>
    <row r="1187" spans="1:11" x14ac:dyDescent="0.3">
      <c r="A1187">
        <f>LOOKUP(9E+307,--MID(D1187,1,{1,2,3,4,5}))</f>
        <v>7.5</v>
      </c>
      <c r="B1187">
        <f>VLOOKUP(MID(D1187,LOOKUP(2,1/ISNUMBER(-MID(D1187,1,{1,2,3,4,5})),{1,2,3,4,5})+1,9),'Hue codes'!$A$1:$B$10,2,FALSE)</f>
        <v>60</v>
      </c>
      <c r="C1187">
        <f t="shared" si="37"/>
        <v>67.5</v>
      </c>
      <c r="D1187" s="162" t="s">
        <v>47</v>
      </c>
      <c r="E1187" s="162">
        <v>7</v>
      </c>
      <c r="F1187" s="162">
        <v>4</v>
      </c>
      <c r="G1187" s="164">
        <v>0.54290000000000005</v>
      </c>
      <c r="H1187" s="164">
        <v>0.71409999999999996</v>
      </c>
      <c r="I1187" s="164">
        <v>0.77749999999999997</v>
      </c>
      <c r="J1187" s="2" t="str">
        <f>HYPERLINK(SetRGB(J1187,G1187*255,H1187*255,I1187*255),"HOVER!")</f>
        <v>HOVER!</v>
      </c>
      <c r="K1187">
        <f t="shared" si="36"/>
        <v>1.75</v>
      </c>
    </row>
    <row r="1188" spans="1:11" x14ac:dyDescent="0.3">
      <c r="A1188">
        <f>LOOKUP(9E+307,--MID(D1188,1,{1,2,3,4,5}))</f>
        <v>7.5</v>
      </c>
      <c r="B1188">
        <f>VLOOKUP(MID(D1188,LOOKUP(2,1/ISNUMBER(-MID(D1188,1,{1,2,3,4,5})),{1,2,3,4,5})+1,9),'Hue codes'!$A$1:$B$10,2,FALSE)</f>
        <v>60</v>
      </c>
      <c r="C1188">
        <f t="shared" si="37"/>
        <v>67.5</v>
      </c>
      <c r="D1188" s="162" t="s">
        <v>47</v>
      </c>
      <c r="E1188" s="162">
        <v>7</v>
      </c>
      <c r="F1188" s="162">
        <v>6</v>
      </c>
      <c r="G1188" s="164">
        <v>0.44729999999999998</v>
      </c>
      <c r="H1188" s="164">
        <v>0.72560000000000002</v>
      </c>
      <c r="I1188" s="164">
        <v>0.82709999999999995</v>
      </c>
      <c r="J1188" s="2" t="str">
        <f>HYPERLINK(SetRGB(J1188,G1188*255,H1188*255,I1188*255),"HOVER!")</f>
        <v>HOVER!</v>
      </c>
      <c r="K1188">
        <f t="shared" si="36"/>
        <v>1.1666666666666667</v>
      </c>
    </row>
    <row r="1189" spans="1:11" x14ac:dyDescent="0.3">
      <c r="A1189">
        <f>LOOKUP(9E+307,--MID(D1189,1,{1,2,3,4,5}))</f>
        <v>7.5</v>
      </c>
      <c r="B1189">
        <f>VLOOKUP(MID(D1189,LOOKUP(2,1/ISNUMBER(-MID(D1189,1,{1,2,3,4,5})),{1,2,3,4,5})+1,9),'Hue codes'!$A$1:$B$10,2,FALSE)</f>
        <v>60</v>
      </c>
      <c r="C1189">
        <f t="shared" si="37"/>
        <v>67.5</v>
      </c>
      <c r="D1189" s="162" t="s">
        <v>47</v>
      </c>
      <c r="E1189" s="162">
        <v>7</v>
      </c>
      <c r="F1189" s="162">
        <v>8</v>
      </c>
      <c r="G1189" s="164">
        <v>0.30840000000000001</v>
      </c>
      <c r="H1189" s="164">
        <v>0.73640000000000005</v>
      </c>
      <c r="I1189" s="164">
        <v>0.88149999999999995</v>
      </c>
      <c r="J1189" s="2" t="str">
        <f>HYPERLINK(SetRGB(J1189,G1189*255,H1189*255,I1189*255),"HOVER!")</f>
        <v>HOVER!</v>
      </c>
      <c r="K1189">
        <f t="shared" si="36"/>
        <v>0.875</v>
      </c>
    </row>
    <row r="1190" spans="1:11" x14ac:dyDescent="0.3">
      <c r="A1190">
        <f>LOOKUP(9E+307,--MID(D1190,1,{1,2,3,4,5}))</f>
        <v>10</v>
      </c>
      <c r="B1190">
        <f>VLOOKUP(MID(D1190,LOOKUP(2,1/ISNUMBER(-MID(D1190,1,{1,2,3,4,5})),{1,2,3,4,5})+1,9),'Hue codes'!$A$1:$B$10,2,FALSE)</f>
        <v>60</v>
      </c>
      <c r="C1190">
        <f t="shared" si="37"/>
        <v>70</v>
      </c>
      <c r="D1190" s="162" t="s">
        <v>48</v>
      </c>
      <c r="E1190" s="162">
        <v>7</v>
      </c>
      <c r="F1190" s="162">
        <v>2</v>
      </c>
      <c r="G1190" s="164">
        <v>0.63829999999999998</v>
      </c>
      <c r="H1190" s="164">
        <v>0.69679999999999997</v>
      </c>
      <c r="I1190" s="164">
        <v>0.73089999999999999</v>
      </c>
      <c r="J1190" s="2" t="str">
        <f>HYPERLINK(SetRGB(J1190,G1190*255,H1190*255,I1190*255),"HOVER!")</f>
        <v>HOVER!</v>
      </c>
      <c r="K1190">
        <f t="shared" si="36"/>
        <v>3.5</v>
      </c>
    </row>
    <row r="1191" spans="1:11" x14ac:dyDescent="0.3">
      <c r="A1191">
        <f>LOOKUP(9E+307,--MID(D1191,1,{1,2,3,4,5}))</f>
        <v>10</v>
      </c>
      <c r="B1191">
        <f>VLOOKUP(MID(D1191,LOOKUP(2,1/ISNUMBER(-MID(D1191,1,{1,2,3,4,5})),{1,2,3,4,5})+1,9),'Hue codes'!$A$1:$B$10,2,FALSE)</f>
        <v>60</v>
      </c>
      <c r="C1191">
        <f t="shared" si="37"/>
        <v>70</v>
      </c>
      <c r="D1191" s="162" t="s">
        <v>48</v>
      </c>
      <c r="E1191" s="162">
        <v>7</v>
      </c>
      <c r="F1191" s="162">
        <v>4</v>
      </c>
      <c r="G1191" s="164">
        <v>0.5706</v>
      </c>
      <c r="H1191" s="164">
        <v>0.70720000000000005</v>
      </c>
      <c r="I1191" s="164">
        <v>0.78390000000000004</v>
      </c>
      <c r="J1191" s="2" t="str">
        <f>HYPERLINK(SetRGB(J1191,G1191*255,H1191*255,I1191*255),"HOVER!")</f>
        <v>HOVER!</v>
      </c>
      <c r="K1191">
        <f t="shared" si="36"/>
        <v>1.75</v>
      </c>
    </row>
    <row r="1192" spans="1:11" x14ac:dyDescent="0.3">
      <c r="A1192">
        <f>LOOKUP(9E+307,--MID(D1192,1,{1,2,3,4,5}))</f>
        <v>10</v>
      </c>
      <c r="B1192">
        <f>VLOOKUP(MID(D1192,LOOKUP(2,1/ISNUMBER(-MID(D1192,1,{1,2,3,4,5})),{1,2,3,4,5})+1,9),'Hue codes'!$A$1:$B$10,2,FALSE)</f>
        <v>60</v>
      </c>
      <c r="C1192">
        <f t="shared" si="37"/>
        <v>70</v>
      </c>
      <c r="D1192" s="162" t="s">
        <v>48</v>
      </c>
      <c r="E1192" s="162">
        <v>7</v>
      </c>
      <c r="F1192" s="162">
        <v>6</v>
      </c>
      <c r="G1192" s="164">
        <v>0.49249999999999999</v>
      </c>
      <c r="H1192" s="164">
        <v>0.71630000000000005</v>
      </c>
      <c r="I1192" s="164">
        <v>0.83779999999999999</v>
      </c>
      <c r="J1192" s="2" t="str">
        <f>HYPERLINK(SetRGB(J1192,G1192*255,H1192*255,I1192*255),"HOVER!")</f>
        <v>HOVER!</v>
      </c>
      <c r="K1192">
        <f t="shared" si="36"/>
        <v>1.1666666666666667</v>
      </c>
    </row>
    <row r="1193" spans="1:11" x14ac:dyDescent="0.3">
      <c r="A1193">
        <f>LOOKUP(9E+307,--MID(D1193,1,{1,2,3,4,5}))</f>
        <v>10</v>
      </c>
      <c r="B1193">
        <f>VLOOKUP(MID(D1193,LOOKUP(2,1/ISNUMBER(-MID(D1193,1,{1,2,3,4,5})),{1,2,3,4,5})+1,9),'Hue codes'!$A$1:$B$10,2,FALSE)</f>
        <v>60</v>
      </c>
      <c r="C1193">
        <f t="shared" si="37"/>
        <v>70</v>
      </c>
      <c r="D1193" s="162" t="s">
        <v>48</v>
      </c>
      <c r="E1193" s="162">
        <v>7</v>
      </c>
      <c r="F1193" s="162">
        <v>8</v>
      </c>
      <c r="G1193" s="164">
        <v>0.38979999999999998</v>
      </c>
      <c r="H1193" s="164">
        <v>0.7248</v>
      </c>
      <c r="I1193" s="164">
        <v>0.89559999999999995</v>
      </c>
      <c r="J1193" s="2" t="str">
        <f>HYPERLINK(SetRGB(J1193,G1193*255,H1193*255,I1193*255),"HOVER!")</f>
        <v>HOVER!</v>
      </c>
      <c r="K1193">
        <f t="shared" si="36"/>
        <v>0.875</v>
      </c>
    </row>
    <row r="1194" spans="1:11" x14ac:dyDescent="0.3">
      <c r="A1194">
        <f>LOOKUP(9E+307,--MID(D1194,1,{1,2,3,4,5}))</f>
        <v>10</v>
      </c>
      <c r="B1194">
        <f>VLOOKUP(MID(D1194,LOOKUP(2,1/ISNUMBER(-MID(D1194,1,{1,2,3,4,5})),{1,2,3,4,5})+1,9),'Hue codes'!$A$1:$B$10,2,FALSE)</f>
        <v>60</v>
      </c>
      <c r="C1194">
        <f t="shared" si="37"/>
        <v>70</v>
      </c>
      <c r="D1194" s="162" t="s">
        <v>48</v>
      </c>
      <c r="E1194" s="162">
        <v>7</v>
      </c>
      <c r="F1194" s="162">
        <v>10</v>
      </c>
      <c r="G1194" s="164">
        <v>0.20930000000000001</v>
      </c>
      <c r="H1194" s="164">
        <v>0.73329999999999995</v>
      </c>
      <c r="I1194" s="164">
        <v>0.95820000000000005</v>
      </c>
      <c r="J1194" s="2" t="str">
        <f>HYPERLINK(SetRGB(J1194,G1194*255,H1194*255,I1194*255),"HOVER!")</f>
        <v>HOVER!</v>
      </c>
      <c r="K1194">
        <f t="shared" si="36"/>
        <v>0.7</v>
      </c>
    </row>
    <row r="1195" spans="1:11" x14ac:dyDescent="0.3">
      <c r="A1195">
        <f>LOOKUP(9E+307,--MID(D1195,1,{1,2,3,4,5}))</f>
        <v>2.5</v>
      </c>
      <c r="B1195">
        <f>VLOOKUP(MID(D1195,LOOKUP(2,1/ISNUMBER(-MID(D1195,1,{1,2,3,4,5})),{1,2,3,4,5})+1,9),'Hue codes'!$A$1:$B$10,2,FALSE)</f>
        <v>70</v>
      </c>
      <c r="C1195">
        <f t="shared" si="37"/>
        <v>72.5</v>
      </c>
      <c r="D1195" s="162" t="s">
        <v>49</v>
      </c>
      <c r="E1195" s="162">
        <v>7</v>
      </c>
      <c r="F1195" s="162">
        <v>2</v>
      </c>
      <c r="G1195" s="164">
        <v>0.65139999999999998</v>
      </c>
      <c r="H1195" s="164">
        <v>0.69310000000000005</v>
      </c>
      <c r="I1195" s="164">
        <v>0.7319</v>
      </c>
      <c r="J1195" s="2" t="str">
        <f>HYPERLINK(SetRGB(J1195,G1195*255,H1195*255,I1195*255),"HOVER!")</f>
        <v>HOVER!</v>
      </c>
      <c r="K1195">
        <f t="shared" si="36"/>
        <v>3.5</v>
      </c>
    </row>
    <row r="1196" spans="1:11" x14ac:dyDescent="0.3">
      <c r="A1196">
        <f>LOOKUP(9E+307,--MID(D1196,1,{1,2,3,4,5}))</f>
        <v>2.5</v>
      </c>
      <c r="B1196">
        <f>VLOOKUP(MID(D1196,LOOKUP(2,1/ISNUMBER(-MID(D1196,1,{1,2,3,4,5})),{1,2,3,4,5})+1,9),'Hue codes'!$A$1:$B$10,2,FALSE)</f>
        <v>70</v>
      </c>
      <c r="C1196">
        <f t="shared" si="37"/>
        <v>72.5</v>
      </c>
      <c r="D1196" s="162" t="s">
        <v>49</v>
      </c>
      <c r="E1196" s="162">
        <v>7</v>
      </c>
      <c r="F1196" s="162">
        <v>4</v>
      </c>
      <c r="G1196" s="164">
        <v>0.60160000000000002</v>
      </c>
      <c r="H1196" s="164">
        <v>0.69910000000000005</v>
      </c>
      <c r="I1196" s="164">
        <v>0.78900000000000003</v>
      </c>
      <c r="J1196" s="2" t="str">
        <f>HYPERLINK(SetRGB(J1196,G1196*255,H1196*255,I1196*255),"HOVER!")</f>
        <v>HOVER!</v>
      </c>
      <c r="K1196">
        <f t="shared" si="36"/>
        <v>1.75</v>
      </c>
    </row>
    <row r="1197" spans="1:11" x14ac:dyDescent="0.3">
      <c r="A1197">
        <f>LOOKUP(9E+307,--MID(D1197,1,{1,2,3,4,5}))</f>
        <v>2.5</v>
      </c>
      <c r="B1197">
        <f>VLOOKUP(MID(D1197,LOOKUP(2,1/ISNUMBER(-MID(D1197,1,{1,2,3,4,5})),{1,2,3,4,5})+1,9),'Hue codes'!$A$1:$B$10,2,FALSE)</f>
        <v>70</v>
      </c>
      <c r="C1197">
        <f t="shared" si="37"/>
        <v>72.5</v>
      </c>
      <c r="D1197" s="162" t="s">
        <v>49</v>
      </c>
      <c r="E1197" s="162">
        <v>7</v>
      </c>
      <c r="F1197" s="162">
        <v>6</v>
      </c>
      <c r="G1197" s="164">
        <v>0.54330000000000001</v>
      </c>
      <c r="H1197" s="164">
        <v>0.70509999999999995</v>
      </c>
      <c r="I1197" s="164">
        <v>0.84530000000000005</v>
      </c>
      <c r="J1197" s="2" t="str">
        <f>HYPERLINK(SetRGB(J1197,G1197*255,H1197*255,I1197*255),"HOVER!")</f>
        <v>HOVER!</v>
      </c>
      <c r="K1197">
        <f t="shared" si="36"/>
        <v>1.1666666666666667</v>
      </c>
    </row>
    <row r="1198" spans="1:11" x14ac:dyDescent="0.3">
      <c r="A1198">
        <f>LOOKUP(9E+307,--MID(D1198,1,{1,2,3,4,5}))</f>
        <v>2.5</v>
      </c>
      <c r="B1198">
        <f>VLOOKUP(MID(D1198,LOOKUP(2,1/ISNUMBER(-MID(D1198,1,{1,2,3,4,5})),{1,2,3,4,5})+1,9),'Hue codes'!$A$1:$B$10,2,FALSE)</f>
        <v>70</v>
      </c>
      <c r="C1198">
        <f t="shared" si="37"/>
        <v>72.5</v>
      </c>
      <c r="D1198" s="162" t="s">
        <v>49</v>
      </c>
      <c r="E1198" s="162">
        <v>7</v>
      </c>
      <c r="F1198" s="162">
        <v>8</v>
      </c>
      <c r="G1198" s="164">
        <v>0.47189999999999999</v>
      </c>
      <c r="H1198" s="164">
        <v>0.71040000000000003</v>
      </c>
      <c r="I1198" s="164">
        <v>0.90549999999999997</v>
      </c>
      <c r="J1198" s="2" t="str">
        <f>HYPERLINK(SetRGB(J1198,G1198*255,H1198*255,I1198*255),"HOVER!")</f>
        <v>HOVER!</v>
      </c>
      <c r="K1198">
        <f t="shared" si="36"/>
        <v>0.875</v>
      </c>
    </row>
    <row r="1199" spans="1:11" x14ac:dyDescent="0.3">
      <c r="A1199">
        <f>LOOKUP(9E+307,--MID(D1199,1,{1,2,3,4,5}))</f>
        <v>2.5</v>
      </c>
      <c r="B1199">
        <f>VLOOKUP(MID(D1199,LOOKUP(2,1/ISNUMBER(-MID(D1199,1,{1,2,3,4,5})),{1,2,3,4,5})+1,9),'Hue codes'!$A$1:$B$10,2,FALSE)</f>
        <v>70</v>
      </c>
      <c r="C1199">
        <f t="shared" si="37"/>
        <v>72.5</v>
      </c>
      <c r="D1199" s="162" t="s">
        <v>49</v>
      </c>
      <c r="E1199" s="162">
        <v>7</v>
      </c>
      <c r="F1199" s="162">
        <v>10</v>
      </c>
      <c r="G1199" s="164">
        <v>0.36699999999999999</v>
      </c>
      <c r="H1199" s="164">
        <v>0.71589999999999998</v>
      </c>
      <c r="I1199" s="164">
        <v>0.97219999999999995</v>
      </c>
      <c r="J1199" s="2" t="str">
        <f>HYPERLINK(SetRGB(J1199,G1199*255,H1199*255,I1199*255),"HOVER!")</f>
        <v>HOVER!</v>
      </c>
      <c r="K1199">
        <f t="shared" si="36"/>
        <v>0.7</v>
      </c>
    </row>
    <row r="1200" spans="1:11" x14ac:dyDescent="0.3">
      <c r="A1200">
        <f>LOOKUP(9E+307,--MID(D1200,1,{1,2,3,4,5}))</f>
        <v>5</v>
      </c>
      <c r="B1200">
        <f>VLOOKUP(MID(D1200,LOOKUP(2,1/ISNUMBER(-MID(D1200,1,{1,2,3,4,5})),{1,2,3,4,5})+1,9),'Hue codes'!$A$1:$B$10,2,FALSE)</f>
        <v>70</v>
      </c>
      <c r="C1200">
        <f t="shared" si="37"/>
        <v>75</v>
      </c>
      <c r="D1200" s="162" t="s">
        <v>50</v>
      </c>
      <c r="E1200" s="162">
        <v>7</v>
      </c>
      <c r="F1200" s="162">
        <v>2</v>
      </c>
      <c r="G1200" s="164">
        <v>0.66259999999999997</v>
      </c>
      <c r="H1200" s="164">
        <v>0.68979999999999997</v>
      </c>
      <c r="I1200" s="164">
        <v>0.73329999999999995</v>
      </c>
      <c r="J1200" s="2" t="str">
        <f>HYPERLINK(SetRGB(J1200,G1200*255,H1200*255,I1200*255),"HOVER!")</f>
        <v>HOVER!</v>
      </c>
      <c r="K1200">
        <f t="shared" si="36"/>
        <v>3.5</v>
      </c>
    </row>
    <row r="1201" spans="1:11" x14ac:dyDescent="0.3">
      <c r="A1201">
        <f>LOOKUP(9E+307,--MID(D1201,1,{1,2,3,4,5}))</f>
        <v>5</v>
      </c>
      <c r="B1201">
        <f>VLOOKUP(MID(D1201,LOOKUP(2,1/ISNUMBER(-MID(D1201,1,{1,2,3,4,5})),{1,2,3,4,5})+1,9),'Hue codes'!$A$1:$B$10,2,FALSE)</f>
        <v>70</v>
      </c>
      <c r="C1201">
        <f t="shared" si="37"/>
        <v>75</v>
      </c>
      <c r="D1201" s="162" t="s">
        <v>50</v>
      </c>
      <c r="E1201" s="162">
        <v>7</v>
      </c>
      <c r="F1201" s="162">
        <v>4</v>
      </c>
      <c r="G1201" s="164">
        <v>0.62709999999999999</v>
      </c>
      <c r="H1201" s="164">
        <v>0.6925</v>
      </c>
      <c r="I1201" s="164">
        <v>0.79</v>
      </c>
      <c r="J1201" s="2" t="str">
        <f>HYPERLINK(SetRGB(J1201,G1201*255,H1201*255,I1201*255),"HOVER!")</f>
        <v>HOVER!</v>
      </c>
      <c r="K1201">
        <f t="shared" si="36"/>
        <v>1.75</v>
      </c>
    </row>
    <row r="1202" spans="1:11" x14ac:dyDescent="0.3">
      <c r="A1202">
        <f>LOOKUP(9E+307,--MID(D1202,1,{1,2,3,4,5}))</f>
        <v>5</v>
      </c>
      <c r="B1202">
        <f>VLOOKUP(MID(D1202,LOOKUP(2,1/ISNUMBER(-MID(D1202,1,{1,2,3,4,5})),{1,2,3,4,5})+1,9),'Hue codes'!$A$1:$B$10,2,FALSE)</f>
        <v>70</v>
      </c>
      <c r="C1202">
        <f t="shared" si="37"/>
        <v>75</v>
      </c>
      <c r="D1202" s="162" t="s">
        <v>50</v>
      </c>
      <c r="E1202" s="162">
        <v>7</v>
      </c>
      <c r="F1202" s="162">
        <v>6</v>
      </c>
      <c r="G1202" s="164">
        <v>0.58489999999999998</v>
      </c>
      <c r="H1202" s="164">
        <v>0.69510000000000005</v>
      </c>
      <c r="I1202" s="164">
        <v>0.84899999999999998</v>
      </c>
      <c r="J1202" s="2" t="str">
        <f>HYPERLINK(SetRGB(J1202,G1202*255,H1202*255,I1202*255),"HOVER!")</f>
        <v>HOVER!</v>
      </c>
      <c r="K1202">
        <f t="shared" si="36"/>
        <v>1.1666666666666667</v>
      </c>
    </row>
    <row r="1203" spans="1:11" x14ac:dyDescent="0.3">
      <c r="A1203">
        <f>LOOKUP(9E+307,--MID(D1203,1,{1,2,3,4,5}))</f>
        <v>5</v>
      </c>
      <c r="B1203">
        <f>VLOOKUP(MID(D1203,LOOKUP(2,1/ISNUMBER(-MID(D1203,1,{1,2,3,4,5})),{1,2,3,4,5})+1,9),'Hue codes'!$A$1:$B$10,2,FALSE)</f>
        <v>70</v>
      </c>
      <c r="C1203">
        <f t="shared" si="37"/>
        <v>75</v>
      </c>
      <c r="D1203" s="162" t="s">
        <v>50</v>
      </c>
      <c r="E1203" s="162">
        <v>7</v>
      </c>
      <c r="F1203" s="162">
        <v>8</v>
      </c>
      <c r="G1203" s="164">
        <v>0.53610000000000002</v>
      </c>
      <c r="H1203" s="164">
        <v>0.69710000000000005</v>
      </c>
      <c r="I1203" s="164">
        <v>0.91010000000000002</v>
      </c>
      <c r="J1203" s="2" t="str">
        <f>HYPERLINK(SetRGB(J1203,G1203*255,H1203*255,I1203*255),"HOVER!")</f>
        <v>HOVER!</v>
      </c>
      <c r="K1203">
        <f t="shared" si="36"/>
        <v>0.875</v>
      </c>
    </row>
    <row r="1204" spans="1:11" x14ac:dyDescent="0.3">
      <c r="A1204">
        <f>LOOKUP(9E+307,--MID(D1204,1,{1,2,3,4,5}))</f>
        <v>5</v>
      </c>
      <c r="B1204">
        <f>VLOOKUP(MID(D1204,LOOKUP(2,1/ISNUMBER(-MID(D1204,1,{1,2,3,4,5})),{1,2,3,4,5})+1,9),'Hue codes'!$A$1:$B$10,2,FALSE)</f>
        <v>70</v>
      </c>
      <c r="C1204">
        <f t="shared" si="37"/>
        <v>75</v>
      </c>
      <c r="D1204" s="162" t="s">
        <v>50</v>
      </c>
      <c r="E1204" s="162">
        <v>7</v>
      </c>
      <c r="F1204" s="162">
        <v>10</v>
      </c>
      <c r="G1204" s="164">
        <v>0.46989999999999998</v>
      </c>
      <c r="H1204" s="164">
        <v>0.69920000000000004</v>
      </c>
      <c r="I1204" s="164">
        <v>0.97709999999999997</v>
      </c>
      <c r="J1204" s="2" t="str">
        <f>HYPERLINK(SetRGB(J1204,G1204*255,H1204*255,I1204*255),"HOVER!")</f>
        <v>HOVER!</v>
      </c>
      <c r="K1204">
        <f t="shared" si="36"/>
        <v>0.7</v>
      </c>
    </row>
    <row r="1205" spans="1:11" x14ac:dyDescent="0.3">
      <c r="A1205">
        <f>LOOKUP(9E+307,--MID(D1205,1,{1,2,3,4,5}))</f>
        <v>7.5</v>
      </c>
      <c r="B1205">
        <f>VLOOKUP(MID(D1205,LOOKUP(2,1/ISNUMBER(-MID(D1205,1,{1,2,3,4,5})),{1,2,3,4,5})+1,9),'Hue codes'!$A$1:$B$10,2,FALSE)</f>
        <v>70</v>
      </c>
      <c r="C1205">
        <f t="shared" si="37"/>
        <v>77.5</v>
      </c>
      <c r="D1205" s="162" t="s">
        <v>51</v>
      </c>
      <c r="E1205" s="162">
        <v>7</v>
      </c>
      <c r="F1205" s="162">
        <v>2</v>
      </c>
      <c r="G1205" s="164">
        <v>0.67630000000000001</v>
      </c>
      <c r="H1205" s="164">
        <v>0.68589999999999995</v>
      </c>
      <c r="I1205" s="164">
        <v>0.73240000000000005</v>
      </c>
      <c r="J1205" s="2" t="str">
        <f>HYPERLINK(SetRGB(J1205,G1205*255,H1205*255,I1205*255),"HOVER!")</f>
        <v>HOVER!</v>
      </c>
      <c r="K1205">
        <f t="shared" si="36"/>
        <v>3.5</v>
      </c>
    </row>
    <row r="1206" spans="1:11" x14ac:dyDescent="0.3">
      <c r="A1206">
        <f>LOOKUP(9E+307,--MID(D1206,1,{1,2,3,4,5}))</f>
        <v>7.5</v>
      </c>
      <c r="B1206">
        <f>VLOOKUP(MID(D1206,LOOKUP(2,1/ISNUMBER(-MID(D1206,1,{1,2,3,4,5})),{1,2,3,4,5})+1,9),'Hue codes'!$A$1:$B$10,2,FALSE)</f>
        <v>70</v>
      </c>
      <c r="C1206">
        <f t="shared" si="37"/>
        <v>77.5</v>
      </c>
      <c r="D1206" s="162" t="s">
        <v>51</v>
      </c>
      <c r="E1206" s="162">
        <v>7</v>
      </c>
      <c r="F1206" s="162">
        <v>4</v>
      </c>
      <c r="G1206" s="164">
        <v>0.65849999999999997</v>
      </c>
      <c r="H1206" s="164">
        <v>0.68389999999999995</v>
      </c>
      <c r="I1206" s="164">
        <v>0.7893</v>
      </c>
      <c r="J1206" s="2" t="str">
        <f>HYPERLINK(SetRGB(J1206,G1206*255,H1206*255,I1206*255),"HOVER!")</f>
        <v>HOVER!</v>
      </c>
      <c r="K1206">
        <f t="shared" si="36"/>
        <v>1.75</v>
      </c>
    </row>
    <row r="1207" spans="1:11" x14ac:dyDescent="0.3">
      <c r="A1207">
        <f>LOOKUP(9E+307,--MID(D1207,1,{1,2,3,4,5}))</f>
        <v>7.5</v>
      </c>
      <c r="B1207">
        <f>VLOOKUP(MID(D1207,LOOKUP(2,1/ISNUMBER(-MID(D1207,1,{1,2,3,4,5})),{1,2,3,4,5})+1,9),'Hue codes'!$A$1:$B$10,2,FALSE)</f>
        <v>70</v>
      </c>
      <c r="C1207">
        <f t="shared" si="37"/>
        <v>77.5</v>
      </c>
      <c r="D1207" s="162" t="s">
        <v>51</v>
      </c>
      <c r="E1207" s="162">
        <v>7</v>
      </c>
      <c r="F1207" s="162">
        <v>6</v>
      </c>
      <c r="G1207" s="164">
        <v>0.63949999999999996</v>
      </c>
      <c r="H1207" s="164">
        <v>0.68089999999999995</v>
      </c>
      <c r="I1207" s="164">
        <v>0.84919999999999995</v>
      </c>
      <c r="J1207" s="2" t="str">
        <f>HYPERLINK(SetRGB(J1207,G1207*255,H1207*255,I1207*255),"HOVER!")</f>
        <v>HOVER!</v>
      </c>
      <c r="K1207">
        <f t="shared" ref="K1207:K1270" si="38">E1207/F1207</f>
        <v>1.1666666666666667</v>
      </c>
    </row>
    <row r="1208" spans="1:11" x14ac:dyDescent="0.3">
      <c r="A1208">
        <f>LOOKUP(9E+307,--MID(D1208,1,{1,2,3,4,5}))</f>
        <v>7.5</v>
      </c>
      <c r="B1208">
        <f>VLOOKUP(MID(D1208,LOOKUP(2,1/ISNUMBER(-MID(D1208,1,{1,2,3,4,5})),{1,2,3,4,5})+1,9),'Hue codes'!$A$1:$B$10,2,FALSE)</f>
        <v>70</v>
      </c>
      <c r="C1208">
        <f t="shared" si="37"/>
        <v>77.5</v>
      </c>
      <c r="D1208" s="162" t="s">
        <v>51</v>
      </c>
      <c r="E1208" s="162">
        <v>7</v>
      </c>
      <c r="F1208" s="162">
        <v>8</v>
      </c>
      <c r="G1208" s="164">
        <v>0.61829999999999996</v>
      </c>
      <c r="H1208" s="164">
        <v>0.67710000000000004</v>
      </c>
      <c r="I1208" s="164">
        <v>0.9113</v>
      </c>
      <c r="J1208" s="2" t="str">
        <f>HYPERLINK(SetRGB(J1208,G1208*255,H1208*255,I1208*255),"HOVER!")</f>
        <v>HOVER!</v>
      </c>
      <c r="K1208">
        <f t="shared" si="38"/>
        <v>0.875</v>
      </c>
    </row>
    <row r="1209" spans="1:11" x14ac:dyDescent="0.3">
      <c r="A1209">
        <f>LOOKUP(9E+307,--MID(D1209,1,{1,2,3,4,5}))</f>
        <v>7.5</v>
      </c>
      <c r="B1209">
        <f>VLOOKUP(MID(D1209,LOOKUP(2,1/ISNUMBER(-MID(D1209,1,{1,2,3,4,5})),{1,2,3,4,5})+1,9),'Hue codes'!$A$1:$B$10,2,FALSE)</f>
        <v>70</v>
      </c>
      <c r="C1209">
        <f t="shared" si="37"/>
        <v>77.5</v>
      </c>
      <c r="D1209" s="162" t="s">
        <v>51</v>
      </c>
      <c r="E1209" s="162">
        <v>7</v>
      </c>
      <c r="F1209" s="162">
        <v>10</v>
      </c>
      <c r="G1209" s="164">
        <v>0.59530000000000005</v>
      </c>
      <c r="H1209" s="164">
        <v>0.67179999999999995</v>
      </c>
      <c r="I1209" s="164">
        <v>0.97729999999999995</v>
      </c>
      <c r="J1209" s="2" t="str">
        <f>HYPERLINK(SetRGB(J1209,G1209*255,H1209*255,I1209*255),"HOVER!")</f>
        <v>HOVER!</v>
      </c>
      <c r="K1209">
        <f t="shared" si="38"/>
        <v>0.7</v>
      </c>
    </row>
    <row r="1210" spans="1:11" x14ac:dyDescent="0.3">
      <c r="A1210">
        <f>LOOKUP(9E+307,--MID(D1210,1,{1,2,3,4,5}))</f>
        <v>10</v>
      </c>
      <c r="B1210">
        <f>VLOOKUP(MID(D1210,LOOKUP(2,1/ISNUMBER(-MID(D1210,1,{1,2,3,4,5})),{1,2,3,4,5})+1,9),'Hue codes'!$A$1:$B$10,2,FALSE)</f>
        <v>70</v>
      </c>
      <c r="C1210">
        <f t="shared" si="37"/>
        <v>80</v>
      </c>
      <c r="D1210" s="162" t="s">
        <v>52</v>
      </c>
      <c r="E1210" s="162">
        <v>7</v>
      </c>
      <c r="F1210" s="162">
        <v>2</v>
      </c>
      <c r="G1210" s="164">
        <v>0.68589999999999995</v>
      </c>
      <c r="H1210" s="164">
        <v>0.68320000000000003</v>
      </c>
      <c r="I1210" s="164">
        <v>0.73109999999999997</v>
      </c>
      <c r="J1210" s="2" t="str">
        <f>HYPERLINK(SetRGB(J1210,G1210*255,H1210*255,I1210*255),"HOVER!")</f>
        <v>HOVER!</v>
      </c>
      <c r="K1210">
        <f t="shared" si="38"/>
        <v>3.5</v>
      </c>
    </row>
    <row r="1211" spans="1:11" x14ac:dyDescent="0.3">
      <c r="A1211">
        <f>LOOKUP(9E+307,--MID(D1211,1,{1,2,3,4,5}))</f>
        <v>10</v>
      </c>
      <c r="B1211">
        <f>VLOOKUP(MID(D1211,LOOKUP(2,1/ISNUMBER(-MID(D1211,1,{1,2,3,4,5})),{1,2,3,4,5})+1,9),'Hue codes'!$A$1:$B$10,2,FALSE)</f>
        <v>70</v>
      </c>
      <c r="C1211">
        <f t="shared" si="37"/>
        <v>80</v>
      </c>
      <c r="D1211" s="162" t="s">
        <v>52</v>
      </c>
      <c r="E1211" s="162">
        <v>7</v>
      </c>
      <c r="F1211" s="162">
        <v>4</v>
      </c>
      <c r="G1211" s="164">
        <v>0.68289999999999995</v>
      </c>
      <c r="H1211" s="164">
        <v>0.67700000000000005</v>
      </c>
      <c r="I1211" s="164">
        <v>0.78669999999999995</v>
      </c>
      <c r="J1211" s="2" t="str">
        <f>HYPERLINK(SetRGB(J1211,G1211*255,H1211*255,I1211*255),"HOVER!")</f>
        <v>HOVER!</v>
      </c>
      <c r="K1211">
        <f t="shared" si="38"/>
        <v>1.75</v>
      </c>
    </row>
    <row r="1212" spans="1:11" x14ac:dyDescent="0.3">
      <c r="A1212">
        <f>LOOKUP(9E+307,--MID(D1212,1,{1,2,3,4,5}))</f>
        <v>10</v>
      </c>
      <c r="B1212">
        <f>VLOOKUP(MID(D1212,LOOKUP(2,1/ISNUMBER(-MID(D1212,1,{1,2,3,4,5})),{1,2,3,4,5})+1,9),'Hue codes'!$A$1:$B$10,2,FALSE)</f>
        <v>70</v>
      </c>
      <c r="C1212">
        <f t="shared" si="37"/>
        <v>80</v>
      </c>
      <c r="D1212" s="162" t="s">
        <v>52</v>
      </c>
      <c r="E1212" s="162">
        <v>7</v>
      </c>
      <c r="F1212" s="162">
        <v>6</v>
      </c>
      <c r="G1212" s="164">
        <v>0.68100000000000005</v>
      </c>
      <c r="H1212" s="164">
        <v>0.66979999999999995</v>
      </c>
      <c r="I1212" s="164">
        <v>0.84179999999999999</v>
      </c>
      <c r="J1212" s="2" t="str">
        <f>HYPERLINK(SetRGB(J1212,G1212*255,H1212*255,I1212*255),"HOVER!")</f>
        <v>HOVER!</v>
      </c>
      <c r="K1212">
        <f t="shared" si="38"/>
        <v>1.1666666666666667</v>
      </c>
    </row>
    <row r="1213" spans="1:11" x14ac:dyDescent="0.3">
      <c r="A1213">
        <f>LOOKUP(9E+307,--MID(D1213,1,{1,2,3,4,5}))</f>
        <v>10</v>
      </c>
      <c r="B1213">
        <f>VLOOKUP(MID(D1213,LOOKUP(2,1/ISNUMBER(-MID(D1213,1,{1,2,3,4,5})),{1,2,3,4,5})+1,9),'Hue codes'!$A$1:$B$10,2,FALSE)</f>
        <v>70</v>
      </c>
      <c r="C1213">
        <f t="shared" si="37"/>
        <v>80</v>
      </c>
      <c r="D1213" s="162" t="s">
        <v>52</v>
      </c>
      <c r="E1213" s="162">
        <v>7</v>
      </c>
      <c r="F1213" s="162">
        <v>8</v>
      </c>
      <c r="G1213" s="164">
        <v>0.68020000000000003</v>
      </c>
      <c r="H1213" s="164">
        <v>0.66110000000000002</v>
      </c>
      <c r="I1213" s="164">
        <v>0.89929999999999999</v>
      </c>
      <c r="J1213" s="2" t="str">
        <f>HYPERLINK(SetRGB(J1213,G1213*255,H1213*255,I1213*255),"HOVER!")</f>
        <v>HOVER!</v>
      </c>
      <c r="K1213">
        <f t="shared" si="38"/>
        <v>0.875</v>
      </c>
    </row>
    <row r="1214" spans="1:11" x14ac:dyDescent="0.3">
      <c r="A1214">
        <f>LOOKUP(9E+307,--MID(D1214,1,{1,2,3,4,5}))</f>
        <v>10</v>
      </c>
      <c r="B1214">
        <f>VLOOKUP(MID(D1214,LOOKUP(2,1/ISNUMBER(-MID(D1214,1,{1,2,3,4,5})),{1,2,3,4,5})+1,9),'Hue codes'!$A$1:$B$10,2,FALSE)</f>
        <v>70</v>
      </c>
      <c r="C1214">
        <f t="shared" si="37"/>
        <v>80</v>
      </c>
      <c r="D1214" s="162" t="s">
        <v>52</v>
      </c>
      <c r="E1214" s="162">
        <v>7</v>
      </c>
      <c r="F1214" s="162">
        <v>10</v>
      </c>
      <c r="G1214" s="164">
        <v>0.67820000000000003</v>
      </c>
      <c r="H1214" s="164">
        <v>0.6512</v>
      </c>
      <c r="I1214" s="164">
        <v>0.96020000000000005</v>
      </c>
      <c r="J1214" s="2" t="str">
        <f>HYPERLINK(SetRGB(J1214,G1214*255,H1214*255,I1214*255),"HOVER!")</f>
        <v>HOVER!</v>
      </c>
      <c r="K1214">
        <f t="shared" si="38"/>
        <v>0.7</v>
      </c>
    </row>
    <row r="1215" spans="1:11" x14ac:dyDescent="0.3">
      <c r="A1215">
        <f>LOOKUP(9E+307,--MID(D1215,1,{1,2,3,4,5}))</f>
        <v>10</v>
      </c>
      <c r="B1215">
        <f>VLOOKUP(MID(D1215,LOOKUP(2,1/ISNUMBER(-MID(D1215,1,{1,2,3,4,5})),{1,2,3,4,5})+1,9),'Hue codes'!$A$1:$B$10,2,FALSE)</f>
        <v>70</v>
      </c>
      <c r="C1215">
        <f t="shared" si="37"/>
        <v>80</v>
      </c>
      <c r="D1215" s="162" t="s">
        <v>52</v>
      </c>
      <c r="E1215" s="162">
        <v>7</v>
      </c>
      <c r="F1215" s="162">
        <v>12</v>
      </c>
      <c r="G1215" s="164">
        <v>0.67989999999999995</v>
      </c>
      <c r="H1215" s="164">
        <v>0.63819999999999999</v>
      </c>
      <c r="I1215" s="164">
        <v>1</v>
      </c>
      <c r="J1215" s="2" t="str">
        <f>HYPERLINK(SetRGB(J1215,G1215*255,H1215*255,I1215*255),"HOVER!")</f>
        <v>HOVER!</v>
      </c>
      <c r="K1215">
        <f t="shared" si="38"/>
        <v>0.58333333333333337</v>
      </c>
    </row>
    <row r="1216" spans="1:11" x14ac:dyDescent="0.3">
      <c r="A1216">
        <f>LOOKUP(9E+307,--MID(D1216,1,{1,2,3,4,5}))</f>
        <v>2.5</v>
      </c>
      <c r="B1216">
        <f>VLOOKUP(MID(D1216,LOOKUP(2,1/ISNUMBER(-MID(D1216,1,{1,2,3,4,5})),{1,2,3,4,5})+1,9),'Hue codes'!$A$1:$B$10,2,FALSE)</f>
        <v>80</v>
      </c>
      <c r="C1216">
        <f t="shared" si="37"/>
        <v>82.5</v>
      </c>
      <c r="D1216" s="162" t="s">
        <v>53</v>
      </c>
      <c r="E1216" s="162">
        <v>7</v>
      </c>
      <c r="F1216" s="162">
        <v>2</v>
      </c>
      <c r="G1216" s="164">
        <v>0.69589999999999996</v>
      </c>
      <c r="H1216" s="164">
        <v>0.6804</v>
      </c>
      <c r="I1216" s="164">
        <v>0.7288</v>
      </c>
      <c r="J1216" s="2" t="str">
        <f>HYPERLINK(SetRGB(J1216,G1216*255,H1216*255,I1216*255),"HOVER!")</f>
        <v>HOVER!</v>
      </c>
      <c r="K1216">
        <f t="shared" si="38"/>
        <v>3.5</v>
      </c>
    </row>
    <row r="1217" spans="1:11" x14ac:dyDescent="0.3">
      <c r="A1217">
        <f>LOOKUP(9E+307,--MID(D1217,1,{1,2,3,4,5}))</f>
        <v>2.5</v>
      </c>
      <c r="B1217">
        <f>VLOOKUP(MID(D1217,LOOKUP(2,1/ISNUMBER(-MID(D1217,1,{1,2,3,4,5})),{1,2,3,4,5})+1,9),'Hue codes'!$A$1:$B$10,2,FALSE)</f>
        <v>80</v>
      </c>
      <c r="C1217">
        <f t="shared" si="37"/>
        <v>82.5</v>
      </c>
      <c r="D1217" s="162" t="s">
        <v>53</v>
      </c>
      <c r="E1217" s="162">
        <v>7</v>
      </c>
      <c r="F1217" s="162">
        <v>4</v>
      </c>
      <c r="G1217" s="164">
        <v>0.70689999999999997</v>
      </c>
      <c r="H1217" s="164">
        <v>0.67049999999999998</v>
      </c>
      <c r="I1217" s="164">
        <v>0.7792</v>
      </c>
      <c r="J1217" s="2" t="str">
        <f>HYPERLINK(SetRGB(J1217,G1217*255,H1217*255,I1217*255),"HOVER!")</f>
        <v>HOVER!</v>
      </c>
      <c r="K1217">
        <f t="shared" si="38"/>
        <v>1.75</v>
      </c>
    </row>
    <row r="1218" spans="1:11" x14ac:dyDescent="0.3">
      <c r="A1218">
        <f>LOOKUP(9E+307,--MID(D1218,1,{1,2,3,4,5}))</f>
        <v>2.5</v>
      </c>
      <c r="B1218">
        <f>VLOOKUP(MID(D1218,LOOKUP(2,1/ISNUMBER(-MID(D1218,1,{1,2,3,4,5})),{1,2,3,4,5})+1,9),'Hue codes'!$A$1:$B$10,2,FALSE)</f>
        <v>80</v>
      </c>
      <c r="C1218">
        <f t="shared" si="37"/>
        <v>82.5</v>
      </c>
      <c r="D1218" s="162" t="s">
        <v>53</v>
      </c>
      <c r="E1218" s="162">
        <v>7</v>
      </c>
      <c r="F1218" s="162">
        <v>6</v>
      </c>
      <c r="G1218" s="164">
        <v>0.7177</v>
      </c>
      <c r="H1218" s="164">
        <v>0.66</v>
      </c>
      <c r="I1218" s="164">
        <v>0.82840000000000003</v>
      </c>
      <c r="J1218" s="2" t="str">
        <f>HYPERLINK(SetRGB(J1218,G1218*255,H1218*255,I1218*255),"HOVER!")</f>
        <v>HOVER!</v>
      </c>
      <c r="K1218">
        <f t="shared" si="38"/>
        <v>1.1666666666666667</v>
      </c>
    </row>
    <row r="1219" spans="1:11" x14ac:dyDescent="0.3">
      <c r="A1219">
        <f>LOOKUP(9E+307,--MID(D1219,1,{1,2,3,4,5}))</f>
        <v>2.5</v>
      </c>
      <c r="B1219">
        <f>VLOOKUP(MID(D1219,LOOKUP(2,1/ISNUMBER(-MID(D1219,1,{1,2,3,4,5})),{1,2,3,4,5})+1,9),'Hue codes'!$A$1:$B$10,2,FALSE)</f>
        <v>80</v>
      </c>
      <c r="C1219">
        <f t="shared" ref="C1219:C1282" si="39">IF(A1219+B1219=100,0,A1219+B1219)</f>
        <v>82.5</v>
      </c>
      <c r="D1219" s="162" t="s">
        <v>53</v>
      </c>
      <c r="E1219" s="162">
        <v>7</v>
      </c>
      <c r="F1219" s="162">
        <v>8</v>
      </c>
      <c r="G1219" s="164">
        <v>0.73040000000000005</v>
      </c>
      <c r="H1219" s="164">
        <v>0.64770000000000005</v>
      </c>
      <c r="I1219" s="164">
        <v>0.87939999999999996</v>
      </c>
      <c r="J1219" s="2" t="str">
        <f>HYPERLINK(SetRGB(J1219,G1219*255,H1219*255,I1219*255),"HOVER!")</f>
        <v>HOVER!</v>
      </c>
      <c r="K1219">
        <f t="shared" si="38"/>
        <v>0.875</v>
      </c>
    </row>
    <row r="1220" spans="1:11" x14ac:dyDescent="0.3">
      <c r="A1220">
        <f>LOOKUP(9E+307,--MID(D1220,1,{1,2,3,4,5}))</f>
        <v>2.5</v>
      </c>
      <c r="B1220">
        <f>VLOOKUP(MID(D1220,LOOKUP(2,1/ISNUMBER(-MID(D1220,1,{1,2,3,4,5})),{1,2,3,4,5})+1,9),'Hue codes'!$A$1:$B$10,2,FALSE)</f>
        <v>80</v>
      </c>
      <c r="C1220">
        <f t="shared" si="39"/>
        <v>82.5</v>
      </c>
      <c r="D1220" s="162" t="s">
        <v>53</v>
      </c>
      <c r="E1220" s="162">
        <v>7</v>
      </c>
      <c r="F1220" s="162">
        <v>10</v>
      </c>
      <c r="G1220" s="164">
        <v>0.74529999999999996</v>
      </c>
      <c r="H1220" s="164">
        <v>0.63319999999999999</v>
      </c>
      <c r="I1220" s="164">
        <v>0.93230000000000002</v>
      </c>
      <c r="J1220" s="2" t="str">
        <f>HYPERLINK(SetRGB(J1220,G1220*255,H1220*255,I1220*255),"HOVER!")</f>
        <v>HOVER!</v>
      </c>
      <c r="K1220">
        <f t="shared" si="38"/>
        <v>0.7</v>
      </c>
    </row>
    <row r="1221" spans="1:11" x14ac:dyDescent="0.3">
      <c r="A1221">
        <f>LOOKUP(9E+307,--MID(D1221,1,{1,2,3,4,5}))</f>
        <v>2.5</v>
      </c>
      <c r="B1221">
        <f>VLOOKUP(MID(D1221,LOOKUP(2,1/ISNUMBER(-MID(D1221,1,{1,2,3,4,5})),{1,2,3,4,5})+1,9),'Hue codes'!$A$1:$B$10,2,FALSE)</f>
        <v>80</v>
      </c>
      <c r="C1221">
        <f t="shared" si="39"/>
        <v>82.5</v>
      </c>
      <c r="D1221" s="162" t="s">
        <v>53</v>
      </c>
      <c r="E1221" s="162">
        <v>7</v>
      </c>
      <c r="F1221" s="162">
        <v>12</v>
      </c>
      <c r="G1221" s="164">
        <v>0.7621</v>
      </c>
      <c r="H1221" s="164">
        <v>0.61639999999999995</v>
      </c>
      <c r="I1221" s="164">
        <v>0.98609999999999998</v>
      </c>
      <c r="J1221" s="2" t="str">
        <f>HYPERLINK(SetRGB(J1221,G1221*255,H1221*255,I1221*255),"HOVER!")</f>
        <v>HOVER!</v>
      </c>
      <c r="K1221">
        <f t="shared" si="38"/>
        <v>0.58333333333333337</v>
      </c>
    </row>
    <row r="1222" spans="1:11" x14ac:dyDescent="0.3">
      <c r="A1222">
        <f>LOOKUP(9E+307,--MID(D1222,1,{1,2,3,4,5}))</f>
        <v>5</v>
      </c>
      <c r="B1222">
        <f>VLOOKUP(MID(D1222,LOOKUP(2,1/ISNUMBER(-MID(D1222,1,{1,2,3,4,5})),{1,2,3,4,5})+1,9),'Hue codes'!$A$1:$B$10,2,FALSE)</f>
        <v>80</v>
      </c>
      <c r="C1222">
        <f t="shared" si="39"/>
        <v>85</v>
      </c>
      <c r="D1222" s="162" t="s">
        <v>54</v>
      </c>
      <c r="E1222" s="162">
        <v>7</v>
      </c>
      <c r="F1222" s="162">
        <v>2</v>
      </c>
      <c r="G1222" s="164">
        <v>0.70430000000000004</v>
      </c>
      <c r="H1222" s="164">
        <v>0.67830000000000001</v>
      </c>
      <c r="I1222" s="164">
        <v>0.72409999999999997</v>
      </c>
      <c r="J1222" s="2" t="str">
        <f>HYPERLINK(SetRGB(J1222,G1222*255,H1222*255,I1222*255),"HOVER!")</f>
        <v>HOVER!</v>
      </c>
      <c r="K1222">
        <f t="shared" si="38"/>
        <v>3.5</v>
      </c>
    </row>
    <row r="1223" spans="1:11" x14ac:dyDescent="0.3">
      <c r="A1223">
        <f>LOOKUP(9E+307,--MID(D1223,1,{1,2,3,4,5}))</f>
        <v>5</v>
      </c>
      <c r="B1223">
        <f>VLOOKUP(MID(D1223,LOOKUP(2,1/ISNUMBER(-MID(D1223,1,{1,2,3,4,5})),{1,2,3,4,5})+1,9),'Hue codes'!$A$1:$B$10,2,FALSE)</f>
        <v>80</v>
      </c>
      <c r="C1223">
        <f t="shared" si="39"/>
        <v>85</v>
      </c>
      <c r="D1223" s="162" t="s">
        <v>54</v>
      </c>
      <c r="E1223" s="162">
        <v>7</v>
      </c>
      <c r="F1223" s="162">
        <v>4</v>
      </c>
      <c r="G1223" s="164">
        <v>0.72509999999999997</v>
      </c>
      <c r="H1223" s="164">
        <v>0.66590000000000005</v>
      </c>
      <c r="I1223" s="164">
        <v>0.76919999999999999</v>
      </c>
      <c r="J1223" s="2" t="str">
        <f>HYPERLINK(SetRGB(J1223,G1223*255,H1223*255,I1223*255),"HOVER!")</f>
        <v>HOVER!</v>
      </c>
      <c r="K1223">
        <f t="shared" si="38"/>
        <v>1.75</v>
      </c>
    </row>
    <row r="1224" spans="1:11" x14ac:dyDescent="0.3">
      <c r="A1224">
        <f>LOOKUP(9E+307,--MID(D1224,1,{1,2,3,4,5}))</f>
        <v>5</v>
      </c>
      <c r="B1224">
        <f>VLOOKUP(MID(D1224,LOOKUP(2,1/ISNUMBER(-MID(D1224,1,{1,2,3,4,5})),{1,2,3,4,5})+1,9),'Hue codes'!$A$1:$B$10,2,FALSE)</f>
        <v>80</v>
      </c>
      <c r="C1224">
        <f t="shared" si="39"/>
        <v>85</v>
      </c>
      <c r="D1224" s="162" t="s">
        <v>54</v>
      </c>
      <c r="E1224" s="162">
        <v>7</v>
      </c>
      <c r="F1224" s="162">
        <v>6</v>
      </c>
      <c r="G1224" s="164">
        <v>0.74590000000000001</v>
      </c>
      <c r="H1224" s="164">
        <v>0.65239999999999998</v>
      </c>
      <c r="I1224" s="164">
        <v>0.8135</v>
      </c>
      <c r="J1224" s="2" t="str">
        <f>HYPERLINK(SetRGB(J1224,G1224*255,H1224*255,I1224*255),"HOVER!")</f>
        <v>HOVER!</v>
      </c>
      <c r="K1224">
        <f t="shared" si="38"/>
        <v>1.1666666666666667</v>
      </c>
    </row>
    <row r="1225" spans="1:11" x14ac:dyDescent="0.3">
      <c r="A1225">
        <f>LOOKUP(9E+307,--MID(D1225,1,{1,2,3,4,5}))</f>
        <v>5</v>
      </c>
      <c r="B1225">
        <f>VLOOKUP(MID(D1225,LOOKUP(2,1/ISNUMBER(-MID(D1225,1,{1,2,3,4,5})),{1,2,3,4,5})+1,9),'Hue codes'!$A$1:$B$10,2,FALSE)</f>
        <v>80</v>
      </c>
      <c r="C1225">
        <f t="shared" si="39"/>
        <v>85</v>
      </c>
      <c r="D1225" s="162" t="s">
        <v>54</v>
      </c>
      <c r="E1225" s="162">
        <v>7</v>
      </c>
      <c r="F1225" s="162">
        <v>8</v>
      </c>
      <c r="G1225" s="164">
        <v>0.76839999999999997</v>
      </c>
      <c r="H1225" s="164">
        <v>0.63729999999999998</v>
      </c>
      <c r="I1225" s="164">
        <v>0.85750000000000004</v>
      </c>
      <c r="J1225" s="2" t="str">
        <f>HYPERLINK(SetRGB(J1225,G1225*255,H1225*255,I1225*255),"HOVER!")</f>
        <v>HOVER!</v>
      </c>
      <c r="K1225">
        <f t="shared" si="38"/>
        <v>0.875</v>
      </c>
    </row>
    <row r="1226" spans="1:11" x14ac:dyDescent="0.3">
      <c r="A1226">
        <f>LOOKUP(9E+307,--MID(D1226,1,{1,2,3,4,5}))</f>
        <v>5</v>
      </c>
      <c r="B1226">
        <f>VLOOKUP(MID(D1226,LOOKUP(2,1/ISNUMBER(-MID(D1226,1,{1,2,3,4,5})),{1,2,3,4,5})+1,9),'Hue codes'!$A$1:$B$10,2,FALSE)</f>
        <v>80</v>
      </c>
      <c r="C1226">
        <f t="shared" si="39"/>
        <v>85</v>
      </c>
      <c r="D1226" s="162" t="s">
        <v>54</v>
      </c>
      <c r="E1226" s="162">
        <v>7</v>
      </c>
      <c r="F1226" s="162">
        <v>10</v>
      </c>
      <c r="G1226" s="164">
        <v>0.79220000000000002</v>
      </c>
      <c r="H1226" s="164">
        <v>0.61970000000000003</v>
      </c>
      <c r="I1226" s="164">
        <v>0.90500000000000003</v>
      </c>
      <c r="J1226" s="2" t="str">
        <f>HYPERLINK(SetRGB(J1226,G1226*255,H1226*255,I1226*255),"HOVER!")</f>
        <v>HOVER!</v>
      </c>
      <c r="K1226">
        <f t="shared" si="38"/>
        <v>0.7</v>
      </c>
    </row>
    <row r="1227" spans="1:11" x14ac:dyDescent="0.3">
      <c r="A1227">
        <f>LOOKUP(9E+307,--MID(D1227,1,{1,2,3,4,5}))</f>
        <v>5</v>
      </c>
      <c r="B1227">
        <f>VLOOKUP(MID(D1227,LOOKUP(2,1/ISNUMBER(-MID(D1227,1,{1,2,3,4,5})),{1,2,3,4,5})+1,9),'Hue codes'!$A$1:$B$10,2,FALSE)</f>
        <v>80</v>
      </c>
      <c r="C1227">
        <f t="shared" si="39"/>
        <v>85</v>
      </c>
      <c r="D1227" s="162" t="s">
        <v>54</v>
      </c>
      <c r="E1227" s="162">
        <v>7</v>
      </c>
      <c r="F1227" s="162">
        <v>12</v>
      </c>
      <c r="G1227" s="164">
        <v>0.81699999999999995</v>
      </c>
      <c r="H1227" s="164">
        <v>0.60040000000000004</v>
      </c>
      <c r="I1227" s="164">
        <v>0.95050000000000001</v>
      </c>
      <c r="J1227" s="2" t="str">
        <f>HYPERLINK(SetRGB(J1227,G1227*255,H1227*255,I1227*255),"HOVER!")</f>
        <v>HOVER!</v>
      </c>
      <c r="K1227">
        <f t="shared" si="38"/>
        <v>0.58333333333333337</v>
      </c>
    </row>
    <row r="1228" spans="1:11" x14ac:dyDescent="0.3">
      <c r="A1228">
        <f>LOOKUP(9E+307,--MID(D1228,1,{1,2,3,4,5}))</f>
        <v>5</v>
      </c>
      <c r="B1228">
        <f>VLOOKUP(MID(D1228,LOOKUP(2,1/ISNUMBER(-MID(D1228,1,{1,2,3,4,5})),{1,2,3,4,5})+1,9),'Hue codes'!$A$1:$B$10,2,FALSE)</f>
        <v>80</v>
      </c>
      <c r="C1228">
        <f t="shared" si="39"/>
        <v>85</v>
      </c>
      <c r="D1228" s="162" t="s">
        <v>54</v>
      </c>
      <c r="E1228" s="162">
        <v>7</v>
      </c>
      <c r="F1228" s="162">
        <v>14</v>
      </c>
      <c r="G1228" s="164">
        <v>0.84199999999999997</v>
      </c>
      <c r="H1228" s="164">
        <v>0.57969999999999999</v>
      </c>
      <c r="I1228" s="164">
        <v>0.99319999999999997</v>
      </c>
      <c r="J1228" s="2" t="str">
        <f>HYPERLINK(SetRGB(J1228,G1228*255,H1228*255,I1228*255),"HOVER!")</f>
        <v>HOVER!</v>
      </c>
      <c r="K1228">
        <f t="shared" si="38"/>
        <v>0.5</v>
      </c>
    </row>
    <row r="1229" spans="1:11" x14ac:dyDescent="0.3">
      <c r="A1229">
        <f>LOOKUP(9E+307,--MID(D1229,1,{1,2,3,4,5}))</f>
        <v>7.5</v>
      </c>
      <c r="B1229">
        <f>VLOOKUP(MID(D1229,LOOKUP(2,1/ISNUMBER(-MID(D1229,1,{1,2,3,4,5})),{1,2,3,4,5})+1,9),'Hue codes'!$A$1:$B$10,2,FALSE)</f>
        <v>80</v>
      </c>
      <c r="C1229">
        <f t="shared" si="39"/>
        <v>87.5</v>
      </c>
      <c r="D1229" s="162" t="s">
        <v>55</v>
      </c>
      <c r="E1229" s="162">
        <v>7</v>
      </c>
      <c r="F1229" s="162">
        <v>2</v>
      </c>
      <c r="G1229" s="164">
        <v>0.71679999999999999</v>
      </c>
      <c r="H1229" s="164">
        <v>0.67549999999999999</v>
      </c>
      <c r="I1229" s="164">
        <v>0.7137</v>
      </c>
      <c r="J1229" s="2" t="str">
        <f>HYPERLINK(SetRGB(J1229,G1229*255,H1229*255,I1229*255),"HOVER!")</f>
        <v>HOVER!</v>
      </c>
      <c r="K1229">
        <f t="shared" si="38"/>
        <v>3.5</v>
      </c>
    </row>
    <row r="1230" spans="1:11" x14ac:dyDescent="0.3">
      <c r="A1230">
        <f>LOOKUP(9E+307,--MID(D1230,1,{1,2,3,4,5}))</f>
        <v>7.5</v>
      </c>
      <c r="B1230">
        <f>VLOOKUP(MID(D1230,LOOKUP(2,1/ISNUMBER(-MID(D1230,1,{1,2,3,4,5})),{1,2,3,4,5})+1,9),'Hue codes'!$A$1:$B$10,2,FALSE)</f>
        <v>80</v>
      </c>
      <c r="C1230">
        <f t="shared" si="39"/>
        <v>87.5</v>
      </c>
      <c r="D1230" s="162" t="s">
        <v>55</v>
      </c>
      <c r="E1230" s="162">
        <v>7</v>
      </c>
      <c r="F1230" s="162">
        <v>4</v>
      </c>
      <c r="G1230" s="164">
        <v>0.75180000000000002</v>
      </c>
      <c r="H1230" s="164">
        <v>0.6593</v>
      </c>
      <c r="I1230" s="164">
        <v>0.74890000000000001</v>
      </c>
      <c r="J1230" s="2" t="str">
        <f>HYPERLINK(SetRGB(J1230,G1230*255,H1230*255,I1230*255),"HOVER!")</f>
        <v>HOVER!</v>
      </c>
      <c r="K1230">
        <f t="shared" si="38"/>
        <v>1.75</v>
      </c>
    </row>
    <row r="1231" spans="1:11" x14ac:dyDescent="0.3">
      <c r="A1231">
        <f>LOOKUP(9E+307,--MID(D1231,1,{1,2,3,4,5}))</f>
        <v>7.5</v>
      </c>
      <c r="B1231">
        <f>VLOOKUP(MID(D1231,LOOKUP(2,1/ISNUMBER(-MID(D1231,1,{1,2,3,4,5})),{1,2,3,4,5})+1,9),'Hue codes'!$A$1:$B$10,2,FALSE)</f>
        <v>80</v>
      </c>
      <c r="C1231">
        <f t="shared" si="39"/>
        <v>87.5</v>
      </c>
      <c r="D1231" s="162" t="s">
        <v>55</v>
      </c>
      <c r="E1231" s="162">
        <v>7</v>
      </c>
      <c r="F1231" s="162">
        <v>6</v>
      </c>
      <c r="G1231" s="164">
        <v>0.78600000000000003</v>
      </c>
      <c r="H1231" s="164">
        <v>0.64170000000000005</v>
      </c>
      <c r="I1231" s="164">
        <v>0.78420000000000001</v>
      </c>
      <c r="J1231" s="2" t="str">
        <f>HYPERLINK(SetRGB(J1231,G1231*255,H1231*255,I1231*255),"HOVER!")</f>
        <v>HOVER!</v>
      </c>
      <c r="K1231">
        <f t="shared" si="38"/>
        <v>1.1666666666666667</v>
      </c>
    </row>
    <row r="1232" spans="1:11" x14ac:dyDescent="0.3">
      <c r="A1232">
        <f>LOOKUP(9E+307,--MID(D1232,1,{1,2,3,4,5}))</f>
        <v>7.5</v>
      </c>
      <c r="B1232">
        <f>VLOOKUP(MID(D1232,LOOKUP(2,1/ISNUMBER(-MID(D1232,1,{1,2,3,4,5})),{1,2,3,4,5})+1,9),'Hue codes'!$A$1:$B$10,2,FALSE)</f>
        <v>80</v>
      </c>
      <c r="C1232">
        <f t="shared" si="39"/>
        <v>87.5</v>
      </c>
      <c r="D1232" s="162" t="s">
        <v>55</v>
      </c>
      <c r="E1232" s="162">
        <v>7</v>
      </c>
      <c r="F1232" s="162">
        <v>8</v>
      </c>
      <c r="G1232" s="164">
        <v>0.82030000000000003</v>
      </c>
      <c r="H1232" s="164">
        <v>0.62209999999999999</v>
      </c>
      <c r="I1232" s="164">
        <v>0.82050000000000001</v>
      </c>
      <c r="J1232" s="2" t="str">
        <f>HYPERLINK(SetRGB(J1232,G1232*255,H1232*255,I1232*255),"HOVER!")</f>
        <v>HOVER!</v>
      </c>
      <c r="K1232">
        <f t="shared" si="38"/>
        <v>0.875</v>
      </c>
    </row>
    <row r="1233" spans="1:11" x14ac:dyDescent="0.3">
      <c r="A1233">
        <f>LOOKUP(9E+307,--MID(D1233,1,{1,2,3,4,5}))</f>
        <v>7.5</v>
      </c>
      <c r="B1233">
        <f>VLOOKUP(MID(D1233,LOOKUP(2,1/ISNUMBER(-MID(D1233,1,{1,2,3,4,5})),{1,2,3,4,5})+1,9),'Hue codes'!$A$1:$B$10,2,FALSE)</f>
        <v>80</v>
      </c>
      <c r="C1233">
        <f t="shared" si="39"/>
        <v>87.5</v>
      </c>
      <c r="D1233" s="162" t="s">
        <v>55</v>
      </c>
      <c r="E1233" s="162">
        <v>7</v>
      </c>
      <c r="F1233" s="162">
        <v>10</v>
      </c>
      <c r="G1233" s="164">
        <v>0.85599999999999998</v>
      </c>
      <c r="H1233" s="164">
        <v>0.59970000000000001</v>
      </c>
      <c r="I1233" s="164">
        <v>0.85760000000000003</v>
      </c>
      <c r="J1233" s="2" t="str">
        <f>HYPERLINK(SetRGB(J1233,G1233*255,H1233*255,I1233*255),"HOVER!")</f>
        <v>HOVER!</v>
      </c>
      <c r="K1233">
        <f t="shared" si="38"/>
        <v>0.7</v>
      </c>
    </row>
    <row r="1234" spans="1:11" x14ac:dyDescent="0.3">
      <c r="A1234">
        <f>LOOKUP(9E+307,--MID(D1234,1,{1,2,3,4,5}))</f>
        <v>7.5</v>
      </c>
      <c r="B1234">
        <f>VLOOKUP(MID(D1234,LOOKUP(2,1/ISNUMBER(-MID(D1234,1,{1,2,3,4,5})),{1,2,3,4,5})+1,9),'Hue codes'!$A$1:$B$10,2,FALSE)</f>
        <v>80</v>
      </c>
      <c r="C1234">
        <f t="shared" si="39"/>
        <v>87.5</v>
      </c>
      <c r="D1234" s="162" t="s">
        <v>55</v>
      </c>
      <c r="E1234" s="162">
        <v>7</v>
      </c>
      <c r="F1234" s="162">
        <v>12</v>
      </c>
      <c r="G1234" s="164">
        <v>0.88729999999999998</v>
      </c>
      <c r="H1234" s="164">
        <v>0.57779999999999998</v>
      </c>
      <c r="I1234" s="164">
        <v>0.89149999999999996</v>
      </c>
      <c r="J1234" s="2" t="str">
        <f>HYPERLINK(SetRGB(J1234,G1234*255,H1234*255,I1234*255),"HOVER!")</f>
        <v>HOVER!</v>
      </c>
      <c r="K1234">
        <f t="shared" si="38"/>
        <v>0.58333333333333337</v>
      </c>
    </row>
    <row r="1235" spans="1:11" x14ac:dyDescent="0.3">
      <c r="A1235">
        <f>LOOKUP(9E+307,--MID(D1235,1,{1,2,3,4,5}))</f>
        <v>7.5</v>
      </c>
      <c r="B1235">
        <f>VLOOKUP(MID(D1235,LOOKUP(2,1/ISNUMBER(-MID(D1235,1,{1,2,3,4,5})),{1,2,3,4,5})+1,9),'Hue codes'!$A$1:$B$10,2,FALSE)</f>
        <v>80</v>
      </c>
      <c r="C1235">
        <f t="shared" si="39"/>
        <v>87.5</v>
      </c>
      <c r="D1235" s="162" t="s">
        <v>55</v>
      </c>
      <c r="E1235" s="162">
        <v>7</v>
      </c>
      <c r="F1235" s="162">
        <v>14</v>
      </c>
      <c r="G1235" s="164">
        <v>0.92249999999999999</v>
      </c>
      <c r="H1235" s="164">
        <v>0.55059999999999998</v>
      </c>
      <c r="I1235" s="164">
        <v>0.92900000000000005</v>
      </c>
      <c r="J1235" s="2" t="str">
        <f>HYPERLINK(SetRGB(J1235,G1235*255,H1235*255,I1235*255),"HOVER!")</f>
        <v>HOVER!</v>
      </c>
      <c r="K1235">
        <f t="shared" si="38"/>
        <v>0.5</v>
      </c>
    </row>
    <row r="1236" spans="1:11" x14ac:dyDescent="0.3">
      <c r="A1236">
        <f>LOOKUP(9E+307,--MID(D1236,1,{1,2,3,4,5}))</f>
        <v>7.5</v>
      </c>
      <c r="B1236">
        <f>VLOOKUP(MID(D1236,LOOKUP(2,1/ISNUMBER(-MID(D1236,1,{1,2,3,4,5})),{1,2,3,4,5})+1,9),'Hue codes'!$A$1:$B$10,2,FALSE)</f>
        <v>80</v>
      </c>
      <c r="C1236">
        <f t="shared" si="39"/>
        <v>87.5</v>
      </c>
      <c r="D1236" s="162" t="s">
        <v>55</v>
      </c>
      <c r="E1236" s="162">
        <v>7</v>
      </c>
      <c r="F1236" s="162">
        <v>16</v>
      </c>
      <c r="G1236" s="164">
        <v>0.95730000000000004</v>
      </c>
      <c r="H1236" s="164">
        <v>0.52029999999999998</v>
      </c>
      <c r="I1236" s="164">
        <v>0.96560000000000001</v>
      </c>
      <c r="J1236" s="2" t="str">
        <f>HYPERLINK(SetRGB(J1236,G1236*255,H1236*255,I1236*255),"HOVER!")</f>
        <v>HOVER!</v>
      </c>
      <c r="K1236">
        <f t="shared" si="38"/>
        <v>0.4375</v>
      </c>
    </row>
    <row r="1237" spans="1:11" x14ac:dyDescent="0.3">
      <c r="A1237">
        <f>LOOKUP(9E+307,--MID(D1237,1,{1,2,3,4,5}))</f>
        <v>7.5</v>
      </c>
      <c r="B1237">
        <f>VLOOKUP(MID(D1237,LOOKUP(2,1/ISNUMBER(-MID(D1237,1,{1,2,3,4,5})),{1,2,3,4,5})+1,9),'Hue codes'!$A$1:$B$10,2,FALSE)</f>
        <v>80</v>
      </c>
      <c r="C1237">
        <f t="shared" si="39"/>
        <v>87.5</v>
      </c>
      <c r="D1237" s="162" t="s">
        <v>55</v>
      </c>
      <c r="E1237" s="162">
        <v>7</v>
      </c>
      <c r="F1237" s="162">
        <v>18</v>
      </c>
      <c r="G1237" s="164">
        <v>0.99099999999999999</v>
      </c>
      <c r="H1237" s="164">
        <v>0.48670000000000002</v>
      </c>
      <c r="I1237" s="164">
        <v>1</v>
      </c>
      <c r="J1237" s="2" t="str">
        <f>HYPERLINK(SetRGB(J1237,G1237*255,H1237*255,I1237*255),"HOVER!")</f>
        <v>HOVER!</v>
      </c>
      <c r="K1237">
        <f t="shared" si="38"/>
        <v>0.3888888888888889</v>
      </c>
    </row>
    <row r="1238" spans="1:11" x14ac:dyDescent="0.3">
      <c r="A1238">
        <f>LOOKUP(9E+307,--MID(D1238,1,{1,2,3,4,5}))</f>
        <v>10</v>
      </c>
      <c r="B1238">
        <f>VLOOKUP(MID(D1238,LOOKUP(2,1/ISNUMBER(-MID(D1238,1,{1,2,3,4,5})),{1,2,3,4,5})+1,9),'Hue codes'!$A$1:$B$10,2,FALSE)</f>
        <v>80</v>
      </c>
      <c r="C1238">
        <f t="shared" si="39"/>
        <v>90</v>
      </c>
      <c r="D1238" s="162" t="s">
        <v>56</v>
      </c>
      <c r="E1238" s="162">
        <v>7</v>
      </c>
      <c r="F1238" s="162">
        <v>2</v>
      </c>
      <c r="G1238" s="164">
        <v>0.72360000000000002</v>
      </c>
      <c r="H1238" s="164">
        <v>0.67410000000000003</v>
      </c>
      <c r="I1238" s="164">
        <v>0.70740000000000003</v>
      </c>
      <c r="J1238" s="2" t="str">
        <f>HYPERLINK(SetRGB(J1238,G1238*255,H1238*255,I1238*255),"HOVER!")</f>
        <v>HOVER!</v>
      </c>
      <c r="K1238">
        <f t="shared" si="38"/>
        <v>3.5</v>
      </c>
    </row>
    <row r="1239" spans="1:11" x14ac:dyDescent="0.3">
      <c r="A1239">
        <f>LOOKUP(9E+307,--MID(D1239,1,{1,2,3,4,5}))</f>
        <v>10</v>
      </c>
      <c r="B1239">
        <f>VLOOKUP(MID(D1239,LOOKUP(2,1/ISNUMBER(-MID(D1239,1,{1,2,3,4,5})),{1,2,3,4,5})+1,9),'Hue codes'!$A$1:$B$10,2,FALSE)</f>
        <v>80</v>
      </c>
      <c r="C1239">
        <f t="shared" si="39"/>
        <v>90</v>
      </c>
      <c r="D1239" s="162" t="s">
        <v>56</v>
      </c>
      <c r="E1239" s="162">
        <v>7</v>
      </c>
      <c r="F1239" s="162">
        <v>4</v>
      </c>
      <c r="G1239" s="164">
        <v>0.76749999999999996</v>
      </c>
      <c r="H1239" s="164">
        <v>0.65559999999999996</v>
      </c>
      <c r="I1239" s="164">
        <v>0.73350000000000004</v>
      </c>
      <c r="J1239" s="2" t="str">
        <f>HYPERLINK(SetRGB(J1239,G1239*255,H1239*255,I1239*255),"HOVER!")</f>
        <v>HOVER!</v>
      </c>
      <c r="K1239">
        <f t="shared" si="38"/>
        <v>1.75</v>
      </c>
    </row>
    <row r="1240" spans="1:11" x14ac:dyDescent="0.3">
      <c r="A1240">
        <f>LOOKUP(9E+307,--MID(D1240,1,{1,2,3,4,5}))</f>
        <v>10</v>
      </c>
      <c r="B1240">
        <f>VLOOKUP(MID(D1240,LOOKUP(2,1/ISNUMBER(-MID(D1240,1,{1,2,3,4,5})),{1,2,3,4,5})+1,9),'Hue codes'!$A$1:$B$10,2,FALSE)</f>
        <v>80</v>
      </c>
      <c r="C1240">
        <f t="shared" si="39"/>
        <v>90</v>
      </c>
      <c r="D1240" s="162" t="s">
        <v>56</v>
      </c>
      <c r="E1240" s="162">
        <v>7</v>
      </c>
      <c r="F1240" s="162">
        <v>6</v>
      </c>
      <c r="G1240" s="164">
        <v>0.81100000000000005</v>
      </c>
      <c r="H1240" s="164">
        <v>0.63480000000000003</v>
      </c>
      <c r="I1240" s="164">
        <v>0.7611</v>
      </c>
      <c r="J1240" s="2" t="str">
        <f>HYPERLINK(SetRGB(J1240,G1240*255,H1240*255,I1240*255),"HOVER!")</f>
        <v>HOVER!</v>
      </c>
      <c r="K1240">
        <f t="shared" si="38"/>
        <v>1.1666666666666667</v>
      </c>
    </row>
    <row r="1241" spans="1:11" x14ac:dyDescent="0.3">
      <c r="A1241">
        <f>LOOKUP(9E+307,--MID(D1241,1,{1,2,3,4,5}))</f>
        <v>10</v>
      </c>
      <c r="B1241">
        <f>VLOOKUP(MID(D1241,LOOKUP(2,1/ISNUMBER(-MID(D1241,1,{1,2,3,4,5})),{1,2,3,4,5})+1,9),'Hue codes'!$A$1:$B$10,2,FALSE)</f>
        <v>80</v>
      </c>
      <c r="C1241">
        <f t="shared" si="39"/>
        <v>90</v>
      </c>
      <c r="D1241" s="162" t="s">
        <v>56</v>
      </c>
      <c r="E1241" s="162">
        <v>7</v>
      </c>
      <c r="F1241" s="162">
        <v>8</v>
      </c>
      <c r="G1241" s="164">
        <v>0.85360000000000003</v>
      </c>
      <c r="H1241" s="164">
        <v>0.61199999999999999</v>
      </c>
      <c r="I1241" s="164">
        <v>0.79</v>
      </c>
      <c r="J1241" s="2" t="str">
        <f>HYPERLINK(SetRGB(J1241,G1241*255,H1241*255,I1241*255),"HOVER!")</f>
        <v>HOVER!</v>
      </c>
      <c r="K1241">
        <f t="shared" si="38"/>
        <v>0.875</v>
      </c>
    </row>
    <row r="1242" spans="1:11" x14ac:dyDescent="0.3">
      <c r="A1242">
        <f>LOOKUP(9E+307,--MID(D1242,1,{1,2,3,4,5}))</f>
        <v>10</v>
      </c>
      <c r="B1242">
        <f>VLOOKUP(MID(D1242,LOOKUP(2,1/ISNUMBER(-MID(D1242,1,{1,2,3,4,5})),{1,2,3,4,5})+1,9),'Hue codes'!$A$1:$B$10,2,FALSE)</f>
        <v>80</v>
      </c>
      <c r="C1242">
        <f t="shared" si="39"/>
        <v>90</v>
      </c>
      <c r="D1242" s="162" t="s">
        <v>56</v>
      </c>
      <c r="E1242" s="162">
        <v>7</v>
      </c>
      <c r="F1242" s="162">
        <v>10</v>
      </c>
      <c r="G1242" s="164">
        <v>0.89429999999999998</v>
      </c>
      <c r="H1242" s="164">
        <v>0.58740000000000003</v>
      </c>
      <c r="I1242" s="164">
        <v>0.81830000000000003</v>
      </c>
      <c r="J1242" s="2" t="str">
        <f>HYPERLINK(SetRGB(J1242,G1242*255,H1242*255,I1242*255),"HOVER!")</f>
        <v>HOVER!</v>
      </c>
      <c r="K1242">
        <f t="shared" si="38"/>
        <v>0.7</v>
      </c>
    </row>
    <row r="1243" spans="1:11" x14ac:dyDescent="0.3">
      <c r="A1243">
        <f>LOOKUP(9E+307,--MID(D1243,1,{1,2,3,4,5}))</f>
        <v>10</v>
      </c>
      <c r="B1243">
        <f>VLOOKUP(MID(D1243,LOOKUP(2,1/ISNUMBER(-MID(D1243,1,{1,2,3,4,5})),{1,2,3,4,5})+1,9),'Hue codes'!$A$1:$B$10,2,FALSE)</f>
        <v>80</v>
      </c>
      <c r="C1243">
        <f t="shared" si="39"/>
        <v>90</v>
      </c>
      <c r="D1243" s="162" t="s">
        <v>56</v>
      </c>
      <c r="E1243" s="162">
        <v>7</v>
      </c>
      <c r="F1243" s="162">
        <v>12</v>
      </c>
      <c r="G1243" s="164">
        <v>0.93059999999999998</v>
      </c>
      <c r="H1243" s="164">
        <v>0.56279999999999997</v>
      </c>
      <c r="I1243" s="164">
        <v>0.84450000000000003</v>
      </c>
      <c r="J1243" s="2" t="str">
        <f>HYPERLINK(SetRGB(J1243,G1243*255,H1243*255,I1243*255),"HOVER!")</f>
        <v>HOVER!</v>
      </c>
      <c r="K1243">
        <f t="shared" si="38"/>
        <v>0.58333333333333337</v>
      </c>
    </row>
    <row r="1244" spans="1:11" x14ac:dyDescent="0.3">
      <c r="A1244">
        <f>LOOKUP(9E+307,--MID(D1244,1,{1,2,3,4,5}))</f>
        <v>10</v>
      </c>
      <c r="B1244">
        <f>VLOOKUP(MID(D1244,LOOKUP(2,1/ISNUMBER(-MID(D1244,1,{1,2,3,4,5})),{1,2,3,4,5})+1,9),'Hue codes'!$A$1:$B$10,2,FALSE)</f>
        <v>80</v>
      </c>
      <c r="C1244">
        <f t="shared" si="39"/>
        <v>90</v>
      </c>
      <c r="D1244" s="162" t="s">
        <v>56</v>
      </c>
      <c r="E1244" s="162">
        <v>7</v>
      </c>
      <c r="F1244" s="162">
        <v>14</v>
      </c>
      <c r="G1244" s="164">
        <v>0.97060000000000002</v>
      </c>
      <c r="H1244" s="164">
        <v>0.53239999999999998</v>
      </c>
      <c r="I1244" s="164">
        <v>0.87390000000000001</v>
      </c>
      <c r="J1244" s="2" t="str">
        <f>HYPERLINK(SetRGB(J1244,G1244*255,H1244*255,I1244*255),"HOVER!")</f>
        <v>HOVER!</v>
      </c>
      <c r="K1244">
        <f t="shared" si="38"/>
        <v>0.5</v>
      </c>
    </row>
    <row r="1245" spans="1:11" x14ac:dyDescent="0.3">
      <c r="A1245">
        <f>LOOKUP(9E+307,--MID(D1245,1,{1,2,3,4,5}))</f>
        <v>10</v>
      </c>
      <c r="B1245">
        <f>VLOOKUP(MID(D1245,LOOKUP(2,1/ISNUMBER(-MID(D1245,1,{1,2,3,4,5})),{1,2,3,4,5})+1,9),'Hue codes'!$A$1:$B$10,2,FALSE)</f>
        <v>80</v>
      </c>
      <c r="C1245">
        <f t="shared" si="39"/>
        <v>90</v>
      </c>
      <c r="D1245" s="162" t="s">
        <v>56</v>
      </c>
      <c r="E1245" s="162">
        <v>7</v>
      </c>
      <c r="F1245" s="162">
        <v>16</v>
      </c>
      <c r="G1245" s="164">
        <v>1</v>
      </c>
      <c r="H1245" s="164">
        <v>0.49569999999999997</v>
      </c>
      <c r="I1245" s="164">
        <v>0.90529999999999999</v>
      </c>
      <c r="J1245" s="2" t="str">
        <f>HYPERLINK(SetRGB(J1245,G1245*255,H1245*255,I1245*255),"HOVER!")</f>
        <v>HOVER!</v>
      </c>
      <c r="K1245">
        <f t="shared" si="38"/>
        <v>0.4375</v>
      </c>
    </row>
    <row r="1246" spans="1:11" x14ac:dyDescent="0.3">
      <c r="A1246">
        <f>LOOKUP(9E+307,--MID(D1246,1,{1,2,3,4,5}))</f>
        <v>10</v>
      </c>
      <c r="B1246">
        <f>VLOOKUP(MID(D1246,LOOKUP(2,1/ISNUMBER(-MID(D1246,1,{1,2,3,4,5})),{1,2,3,4,5})+1,9),'Hue codes'!$A$1:$B$10,2,FALSE)</f>
        <v>80</v>
      </c>
      <c r="C1246">
        <f t="shared" si="39"/>
        <v>90</v>
      </c>
      <c r="D1246" s="162" t="s">
        <v>56</v>
      </c>
      <c r="E1246" s="162">
        <v>7</v>
      </c>
      <c r="F1246" s="162">
        <v>18</v>
      </c>
      <c r="G1246" s="164">
        <v>1</v>
      </c>
      <c r="H1246" s="164">
        <v>0.45579999999999998</v>
      </c>
      <c r="I1246" s="164">
        <v>0.93510000000000004</v>
      </c>
      <c r="J1246" s="2" t="str">
        <f>HYPERLINK(SetRGB(J1246,G1246*255,H1246*255,I1246*255),"HOVER!")</f>
        <v>HOVER!</v>
      </c>
      <c r="K1246">
        <f t="shared" si="38"/>
        <v>0.3888888888888889</v>
      </c>
    </row>
    <row r="1247" spans="1:11" x14ac:dyDescent="0.3">
      <c r="A1247">
        <f>LOOKUP(9E+307,--MID(D1247,1,{1,2,3,4,5}))</f>
        <v>10</v>
      </c>
      <c r="B1247">
        <f>VLOOKUP(MID(D1247,LOOKUP(2,1/ISNUMBER(-MID(D1247,1,{1,2,3,4,5})),{1,2,3,4,5})+1,9),'Hue codes'!$A$1:$B$10,2,FALSE)</f>
        <v>80</v>
      </c>
      <c r="C1247">
        <f t="shared" si="39"/>
        <v>90</v>
      </c>
      <c r="D1247" s="162" t="s">
        <v>56</v>
      </c>
      <c r="E1247" s="162">
        <v>7</v>
      </c>
      <c r="F1247" s="162">
        <v>20</v>
      </c>
      <c r="G1247" s="164">
        <v>1</v>
      </c>
      <c r="H1247" s="164">
        <v>0.40920000000000001</v>
      </c>
      <c r="I1247" s="164">
        <v>0.9657</v>
      </c>
      <c r="J1247" s="2" t="str">
        <f>HYPERLINK(SetRGB(J1247,G1247*255,H1247*255,I1247*255),"HOVER!")</f>
        <v>HOVER!</v>
      </c>
      <c r="K1247">
        <f t="shared" si="38"/>
        <v>0.35</v>
      </c>
    </row>
    <row r="1248" spans="1:11" x14ac:dyDescent="0.3">
      <c r="A1248">
        <f>LOOKUP(9E+307,--MID(D1248,1,{1,2,3,4,5}))</f>
        <v>10</v>
      </c>
      <c r="B1248">
        <f>VLOOKUP(MID(D1248,LOOKUP(2,1/ISNUMBER(-MID(D1248,1,{1,2,3,4,5})),{1,2,3,4,5})+1,9),'Hue codes'!$A$1:$B$10,2,FALSE)</f>
        <v>80</v>
      </c>
      <c r="C1248">
        <f t="shared" si="39"/>
        <v>90</v>
      </c>
      <c r="D1248" s="162" t="s">
        <v>56</v>
      </c>
      <c r="E1248" s="162">
        <v>7</v>
      </c>
      <c r="F1248" s="162">
        <v>22</v>
      </c>
      <c r="G1248" s="164">
        <v>1</v>
      </c>
      <c r="H1248" s="164">
        <v>0.34489999999999998</v>
      </c>
      <c r="I1248" s="164">
        <v>0.99980000000000002</v>
      </c>
      <c r="J1248" s="2" t="str">
        <f>HYPERLINK(SetRGB(J1248,G1248*255,H1248*255,I1248*255),"HOVER!")</f>
        <v>HOVER!</v>
      </c>
      <c r="K1248">
        <f t="shared" si="38"/>
        <v>0.31818181818181818</v>
      </c>
    </row>
    <row r="1249" spans="1:11" x14ac:dyDescent="0.3">
      <c r="A1249">
        <f>LOOKUP(9E+307,--MID(D1249,1,{1,2,3,4,5}))</f>
        <v>2.5</v>
      </c>
      <c r="B1249">
        <f>VLOOKUP(MID(D1249,LOOKUP(2,1/ISNUMBER(-MID(D1249,1,{1,2,3,4,5})),{1,2,3,4,5})+1,9),'Hue codes'!$A$1:$B$10,2,FALSE)</f>
        <v>90</v>
      </c>
      <c r="C1249">
        <f t="shared" si="39"/>
        <v>92.5</v>
      </c>
      <c r="D1249" s="162" t="s">
        <v>57</v>
      </c>
      <c r="E1249" s="162">
        <v>7</v>
      </c>
      <c r="F1249" s="162">
        <v>2</v>
      </c>
      <c r="G1249" s="164">
        <v>0.73019999999999996</v>
      </c>
      <c r="H1249" s="164">
        <v>0.67279999999999995</v>
      </c>
      <c r="I1249" s="164">
        <v>0.69969999999999999</v>
      </c>
      <c r="J1249" s="2" t="str">
        <f>HYPERLINK(SetRGB(J1249,G1249*255,H1249*255,I1249*255),"HOVER!")</f>
        <v>HOVER!</v>
      </c>
      <c r="K1249">
        <f t="shared" si="38"/>
        <v>3.5</v>
      </c>
    </row>
    <row r="1250" spans="1:11" x14ac:dyDescent="0.3">
      <c r="A1250">
        <f>LOOKUP(9E+307,--MID(D1250,1,{1,2,3,4,5}))</f>
        <v>2.5</v>
      </c>
      <c r="B1250">
        <f>VLOOKUP(MID(D1250,LOOKUP(2,1/ISNUMBER(-MID(D1250,1,{1,2,3,4,5})),{1,2,3,4,5})+1,9),'Hue codes'!$A$1:$B$10,2,FALSE)</f>
        <v>90</v>
      </c>
      <c r="C1250">
        <f t="shared" si="39"/>
        <v>92.5</v>
      </c>
      <c r="D1250" s="162" t="s">
        <v>57</v>
      </c>
      <c r="E1250" s="162">
        <v>7</v>
      </c>
      <c r="F1250" s="162">
        <v>4</v>
      </c>
      <c r="G1250" s="164">
        <v>0.78100000000000003</v>
      </c>
      <c r="H1250" s="164">
        <v>0.65280000000000005</v>
      </c>
      <c r="I1250" s="164">
        <v>0.71540000000000004</v>
      </c>
      <c r="J1250" s="2" t="str">
        <f>HYPERLINK(SetRGB(J1250,G1250*255,H1250*255,I1250*255),"HOVER!")</f>
        <v>HOVER!</v>
      </c>
      <c r="K1250">
        <f t="shared" si="38"/>
        <v>1.75</v>
      </c>
    </row>
    <row r="1251" spans="1:11" x14ac:dyDescent="0.3">
      <c r="A1251">
        <f>LOOKUP(9E+307,--MID(D1251,1,{1,2,3,4,5}))</f>
        <v>2.5</v>
      </c>
      <c r="B1251">
        <f>VLOOKUP(MID(D1251,LOOKUP(2,1/ISNUMBER(-MID(D1251,1,{1,2,3,4,5})),{1,2,3,4,5})+1,9),'Hue codes'!$A$1:$B$10,2,FALSE)</f>
        <v>90</v>
      </c>
      <c r="C1251">
        <f t="shared" si="39"/>
        <v>92.5</v>
      </c>
      <c r="D1251" s="162" t="s">
        <v>57</v>
      </c>
      <c r="E1251" s="162">
        <v>7</v>
      </c>
      <c r="F1251" s="162">
        <v>6</v>
      </c>
      <c r="G1251" s="164">
        <v>0.8337</v>
      </c>
      <c r="H1251" s="164">
        <v>0.62880000000000003</v>
      </c>
      <c r="I1251" s="164">
        <v>0.73450000000000004</v>
      </c>
      <c r="J1251" s="2" t="str">
        <f>HYPERLINK(SetRGB(J1251,G1251*255,H1251*255,I1251*255),"HOVER!")</f>
        <v>HOVER!</v>
      </c>
      <c r="K1251">
        <f t="shared" si="38"/>
        <v>1.1666666666666667</v>
      </c>
    </row>
    <row r="1252" spans="1:11" x14ac:dyDescent="0.3">
      <c r="A1252">
        <f>LOOKUP(9E+307,--MID(D1252,1,{1,2,3,4,5}))</f>
        <v>2.5</v>
      </c>
      <c r="B1252">
        <f>VLOOKUP(MID(D1252,LOOKUP(2,1/ISNUMBER(-MID(D1252,1,{1,2,3,4,5})),{1,2,3,4,5})+1,9),'Hue codes'!$A$1:$B$10,2,FALSE)</f>
        <v>90</v>
      </c>
      <c r="C1252">
        <f t="shared" si="39"/>
        <v>92.5</v>
      </c>
      <c r="D1252" s="162" t="s">
        <v>57</v>
      </c>
      <c r="E1252" s="162">
        <v>7</v>
      </c>
      <c r="F1252" s="162">
        <v>8</v>
      </c>
      <c r="G1252" s="164">
        <v>0.88300000000000001</v>
      </c>
      <c r="H1252" s="164">
        <v>0.60340000000000005</v>
      </c>
      <c r="I1252" s="164">
        <v>0.75319999999999998</v>
      </c>
      <c r="J1252" s="2" t="str">
        <f>HYPERLINK(SetRGB(J1252,G1252*255,H1252*255,I1252*255),"HOVER!")</f>
        <v>HOVER!</v>
      </c>
      <c r="K1252">
        <f t="shared" si="38"/>
        <v>0.875</v>
      </c>
    </row>
    <row r="1253" spans="1:11" x14ac:dyDescent="0.3">
      <c r="A1253">
        <f>LOOKUP(9E+307,--MID(D1253,1,{1,2,3,4,5}))</f>
        <v>2.5</v>
      </c>
      <c r="B1253">
        <f>VLOOKUP(MID(D1253,LOOKUP(2,1/ISNUMBER(-MID(D1253,1,{1,2,3,4,5})),{1,2,3,4,5})+1,9),'Hue codes'!$A$1:$B$10,2,FALSE)</f>
        <v>90</v>
      </c>
      <c r="C1253">
        <f t="shared" si="39"/>
        <v>92.5</v>
      </c>
      <c r="D1253" s="162" t="s">
        <v>57</v>
      </c>
      <c r="E1253" s="162">
        <v>7</v>
      </c>
      <c r="F1253" s="162">
        <v>10</v>
      </c>
      <c r="G1253" s="164">
        <v>0.92700000000000005</v>
      </c>
      <c r="H1253" s="164">
        <v>0.5776</v>
      </c>
      <c r="I1253" s="164">
        <v>0.77049999999999996</v>
      </c>
      <c r="J1253" s="2" t="str">
        <f>HYPERLINK(SetRGB(J1253,G1253*255,H1253*255,I1253*255),"HOVER!")</f>
        <v>HOVER!</v>
      </c>
      <c r="K1253">
        <f t="shared" si="38"/>
        <v>0.7</v>
      </c>
    </row>
    <row r="1254" spans="1:11" x14ac:dyDescent="0.3">
      <c r="A1254">
        <f>LOOKUP(9E+307,--MID(D1254,1,{1,2,3,4,5}))</f>
        <v>2.5</v>
      </c>
      <c r="B1254">
        <f>VLOOKUP(MID(D1254,LOOKUP(2,1/ISNUMBER(-MID(D1254,1,{1,2,3,4,5})),{1,2,3,4,5})+1,9),'Hue codes'!$A$1:$B$10,2,FALSE)</f>
        <v>90</v>
      </c>
      <c r="C1254">
        <f t="shared" si="39"/>
        <v>92.5</v>
      </c>
      <c r="D1254" s="162" t="s">
        <v>57</v>
      </c>
      <c r="E1254" s="162">
        <v>7</v>
      </c>
      <c r="F1254" s="162">
        <v>12</v>
      </c>
      <c r="G1254" s="164">
        <v>0.97240000000000004</v>
      </c>
      <c r="H1254" s="164">
        <v>0.54730000000000001</v>
      </c>
      <c r="I1254" s="164">
        <v>0.7903</v>
      </c>
      <c r="J1254" s="2" t="str">
        <f>HYPERLINK(SetRGB(J1254,G1254*255,H1254*255,I1254*255),"HOVER!")</f>
        <v>HOVER!</v>
      </c>
      <c r="K1254">
        <f t="shared" si="38"/>
        <v>0.58333333333333337</v>
      </c>
    </row>
    <row r="1255" spans="1:11" x14ac:dyDescent="0.3">
      <c r="A1255">
        <f>LOOKUP(9E+307,--MID(D1255,1,{1,2,3,4,5}))</f>
        <v>2.5</v>
      </c>
      <c r="B1255">
        <f>VLOOKUP(MID(D1255,LOOKUP(2,1/ISNUMBER(-MID(D1255,1,{1,2,3,4,5})),{1,2,3,4,5})+1,9),'Hue codes'!$A$1:$B$10,2,FALSE)</f>
        <v>90</v>
      </c>
      <c r="C1255">
        <f t="shared" si="39"/>
        <v>92.5</v>
      </c>
      <c r="D1255" s="162" t="s">
        <v>57</v>
      </c>
      <c r="E1255" s="162">
        <v>7</v>
      </c>
      <c r="F1255" s="162">
        <v>14</v>
      </c>
      <c r="G1255" s="164">
        <v>1</v>
      </c>
      <c r="H1255" s="164">
        <v>0.51380000000000003</v>
      </c>
      <c r="I1255" s="164">
        <v>0.80979999999999996</v>
      </c>
      <c r="J1255" s="2" t="str">
        <f>HYPERLINK(SetRGB(J1255,G1255*255,H1255*255,I1255*255),"HOVER!")</f>
        <v>HOVER!</v>
      </c>
      <c r="K1255">
        <f t="shared" si="38"/>
        <v>0.5</v>
      </c>
    </row>
    <row r="1256" spans="1:11" x14ac:dyDescent="0.3">
      <c r="A1256">
        <f>LOOKUP(9E+307,--MID(D1256,1,{1,2,3,4,5}))</f>
        <v>2.5</v>
      </c>
      <c r="B1256">
        <f>VLOOKUP(MID(D1256,LOOKUP(2,1/ISNUMBER(-MID(D1256,1,{1,2,3,4,5})),{1,2,3,4,5})+1,9),'Hue codes'!$A$1:$B$10,2,FALSE)</f>
        <v>90</v>
      </c>
      <c r="C1256">
        <f t="shared" si="39"/>
        <v>92.5</v>
      </c>
      <c r="D1256" s="162" t="s">
        <v>57</v>
      </c>
      <c r="E1256" s="162">
        <v>7</v>
      </c>
      <c r="F1256" s="162">
        <v>16</v>
      </c>
      <c r="G1256" s="164">
        <v>1</v>
      </c>
      <c r="H1256" s="164">
        <v>0.47070000000000001</v>
      </c>
      <c r="I1256" s="164">
        <v>0.83240000000000003</v>
      </c>
      <c r="J1256" s="2" t="str">
        <f>HYPERLINK(SetRGB(J1256,G1256*255,H1256*255,I1256*255),"HOVER!")</f>
        <v>HOVER!</v>
      </c>
      <c r="K1256">
        <f t="shared" si="38"/>
        <v>0.4375</v>
      </c>
    </row>
    <row r="1257" spans="1:11" x14ac:dyDescent="0.3">
      <c r="A1257">
        <f>LOOKUP(9E+307,--MID(D1257,1,{1,2,3,4,5}))</f>
        <v>2.5</v>
      </c>
      <c r="B1257">
        <f>VLOOKUP(MID(D1257,LOOKUP(2,1/ISNUMBER(-MID(D1257,1,{1,2,3,4,5})),{1,2,3,4,5})+1,9),'Hue codes'!$A$1:$B$10,2,FALSE)</f>
        <v>90</v>
      </c>
      <c r="C1257">
        <f t="shared" si="39"/>
        <v>92.5</v>
      </c>
      <c r="D1257" s="162" t="s">
        <v>57</v>
      </c>
      <c r="E1257" s="162">
        <v>7</v>
      </c>
      <c r="F1257" s="162">
        <v>18</v>
      </c>
      <c r="G1257" s="164">
        <v>1</v>
      </c>
      <c r="H1257" s="164">
        <v>0.4204</v>
      </c>
      <c r="I1257" s="164">
        <v>0.85529999999999995</v>
      </c>
      <c r="J1257" s="2" t="str">
        <f>HYPERLINK(SetRGB(J1257,G1257*255,H1257*255,I1257*255),"HOVER!")</f>
        <v>HOVER!</v>
      </c>
      <c r="K1257">
        <f t="shared" si="38"/>
        <v>0.3888888888888889</v>
      </c>
    </row>
    <row r="1258" spans="1:11" x14ac:dyDescent="0.3">
      <c r="A1258">
        <f>LOOKUP(9E+307,--MID(D1258,1,{1,2,3,4,5}))</f>
        <v>2.5</v>
      </c>
      <c r="B1258">
        <f>VLOOKUP(MID(D1258,LOOKUP(2,1/ISNUMBER(-MID(D1258,1,{1,2,3,4,5})),{1,2,3,4,5})+1,9),'Hue codes'!$A$1:$B$10,2,FALSE)</f>
        <v>90</v>
      </c>
      <c r="C1258">
        <f t="shared" si="39"/>
        <v>92.5</v>
      </c>
      <c r="D1258" s="162" t="s">
        <v>57</v>
      </c>
      <c r="E1258" s="162">
        <v>7</v>
      </c>
      <c r="F1258" s="162">
        <v>20</v>
      </c>
      <c r="G1258" s="164">
        <v>1</v>
      </c>
      <c r="H1258" s="164">
        <v>0.35759999999999997</v>
      </c>
      <c r="I1258" s="164">
        <v>0.87880000000000003</v>
      </c>
      <c r="J1258" s="2" t="str">
        <f>HYPERLINK(SetRGB(J1258,G1258*255,H1258*255,I1258*255),"HOVER!")</f>
        <v>HOVER!</v>
      </c>
      <c r="K1258">
        <f t="shared" si="38"/>
        <v>0.35</v>
      </c>
    </row>
    <row r="1259" spans="1:11" x14ac:dyDescent="0.3">
      <c r="A1259">
        <f>LOOKUP(9E+307,--MID(D1259,1,{1,2,3,4,5}))</f>
        <v>5</v>
      </c>
      <c r="B1259">
        <f>VLOOKUP(MID(D1259,LOOKUP(2,1/ISNUMBER(-MID(D1259,1,{1,2,3,4,5})),{1,2,3,4,5})+1,9),'Hue codes'!$A$1:$B$10,2,FALSE)</f>
        <v>90</v>
      </c>
      <c r="C1259">
        <f t="shared" si="39"/>
        <v>95</v>
      </c>
      <c r="D1259" s="162" t="s">
        <v>58</v>
      </c>
      <c r="E1259" s="162">
        <v>7</v>
      </c>
      <c r="F1259" s="162">
        <v>2</v>
      </c>
      <c r="G1259" s="164">
        <v>0.73680000000000001</v>
      </c>
      <c r="H1259" s="164">
        <v>0.67159999999999997</v>
      </c>
      <c r="I1259" s="164">
        <v>0.69030000000000002</v>
      </c>
      <c r="J1259" s="2" t="str">
        <f>HYPERLINK(SetRGB(J1259,G1259*255,H1259*255,I1259*255),"HOVER!")</f>
        <v>HOVER!</v>
      </c>
      <c r="K1259">
        <f t="shared" si="38"/>
        <v>3.5</v>
      </c>
    </row>
    <row r="1260" spans="1:11" x14ac:dyDescent="0.3">
      <c r="A1260">
        <f>LOOKUP(9E+307,--MID(D1260,1,{1,2,3,4,5}))</f>
        <v>5</v>
      </c>
      <c r="B1260">
        <f>VLOOKUP(MID(D1260,LOOKUP(2,1/ISNUMBER(-MID(D1260,1,{1,2,3,4,5})),{1,2,3,4,5})+1,9),'Hue codes'!$A$1:$B$10,2,FALSE)</f>
        <v>90</v>
      </c>
      <c r="C1260">
        <f t="shared" si="39"/>
        <v>95</v>
      </c>
      <c r="D1260" s="162" t="s">
        <v>58</v>
      </c>
      <c r="E1260" s="162">
        <v>7</v>
      </c>
      <c r="F1260" s="162">
        <v>4</v>
      </c>
      <c r="G1260" s="164">
        <v>0.79320000000000002</v>
      </c>
      <c r="H1260" s="164">
        <v>0.65059999999999996</v>
      </c>
      <c r="I1260" s="164">
        <v>0.6946</v>
      </c>
      <c r="J1260" s="2" t="str">
        <f>HYPERLINK(SetRGB(J1260,G1260*255,H1260*255,I1260*255),"HOVER!")</f>
        <v>HOVER!</v>
      </c>
      <c r="K1260">
        <f t="shared" si="38"/>
        <v>1.75</v>
      </c>
    </row>
    <row r="1261" spans="1:11" x14ac:dyDescent="0.3">
      <c r="A1261">
        <f>LOOKUP(9E+307,--MID(D1261,1,{1,2,3,4,5}))</f>
        <v>5</v>
      </c>
      <c r="B1261">
        <f>VLOOKUP(MID(D1261,LOOKUP(2,1/ISNUMBER(-MID(D1261,1,{1,2,3,4,5})),{1,2,3,4,5})+1,9),'Hue codes'!$A$1:$B$10,2,FALSE)</f>
        <v>90</v>
      </c>
      <c r="C1261">
        <f t="shared" si="39"/>
        <v>95</v>
      </c>
      <c r="D1261" s="162" t="s">
        <v>58</v>
      </c>
      <c r="E1261" s="162">
        <v>7</v>
      </c>
      <c r="F1261" s="162">
        <v>6</v>
      </c>
      <c r="G1261" s="164">
        <v>0.85319999999999996</v>
      </c>
      <c r="H1261" s="164">
        <v>0.62470000000000003</v>
      </c>
      <c r="I1261" s="164">
        <v>0.70040000000000002</v>
      </c>
      <c r="J1261" s="2" t="str">
        <f>HYPERLINK(SetRGB(J1261,G1261*255,H1261*255,I1261*255),"HOVER!")</f>
        <v>HOVER!</v>
      </c>
      <c r="K1261">
        <f t="shared" si="38"/>
        <v>1.1666666666666667</v>
      </c>
    </row>
    <row r="1262" spans="1:11" x14ac:dyDescent="0.3">
      <c r="A1262">
        <f>LOOKUP(9E+307,--MID(D1262,1,{1,2,3,4,5}))</f>
        <v>5</v>
      </c>
      <c r="B1262">
        <f>VLOOKUP(MID(D1262,LOOKUP(2,1/ISNUMBER(-MID(D1262,1,{1,2,3,4,5})),{1,2,3,4,5})+1,9),'Hue codes'!$A$1:$B$10,2,FALSE)</f>
        <v>90</v>
      </c>
      <c r="C1262">
        <f t="shared" si="39"/>
        <v>95</v>
      </c>
      <c r="D1262" s="162" t="s">
        <v>58</v>
      </c>
      <c r="E1262" s="162">
        <v>7</v>
      </c>
      <c r="F1262" s="162">
        <v>8</v>
      </c>
      <c r="G1262" s="164">
        <v>0.90910000000000002</v>
      </c>
      <c r="H1262" s="164">
        <v>0.5968</v>
      </c>
      <c r="I1262" s="164">
        <v>0.70630000000000004</v>
      </c>
      <c r="J1262" s="2" t="str">
        <f>HYPERLINK(SetRGB(J1262,G1262*255,H1262*255,I1262*255),"HOVER!")</f>
        <v>HOVER!</v>
      </c>
      <c r="K1262">
        <f t="shared" si="38"/>
        <v>0.875</v>
      </c>
    </row>
    <row r="1263" spans="1:11" x14ac:dyDescent="0.3">
      <c r="A1263">
        <f>LOOKUP(9E+307,--MID(D1263,1,{1,2,3,4,5}))</f>
        <v>5</v>
      </c>
      <c r="B1263">
        <f>VLOOKUP(MID(D1263,LOOKUP(2,1/ISNUMBER(-MID(D1263,1,{1,2,3,4,5})),{1,2,3,4,5})+1,9),'Hue codes'!$A$1:$B$10,2,FALSE)</f>
        <v>90</v>
      </c>
      <c r="C1263">
        <f t="shared" si="39"/>
        <v>95</v>
      </c>
      <c r="D1263" s="162" t="s">
        <v>58</v>
      </c>
      <c r="E1263" s="162">
        <v>7</v>
      </c>
      <c r="F1263" s="162">
        <v>10</v>
      </c>
      <c r="G1263" s="164">
        <v>0.95530000000000004</v>
      </c>
      <c r="H1263" s="164">
        <v>0.57030000000000003</v>
      </c>
      <c r="I1263" s="164">
        <v>0.71250000000000002</v>
      </c>
      <c r="J1263" s="2" t="str">
        <f>HYPERLINK(SetRGB(J1263,G1263*255,H1263*255,I1263*255),"HOVER!")</f>
        <v>HOVER!</v>
      </c>
      <c r="K1263">
        <f t="shared" si="38"/>
        <v>0.7</v>
      </c>
    </row>
    <row r="1264" spans="1:11" x14ac:dyDescent="0.3">
      <c r="A1264">
        <f>LOOKUP(9E+307,--MID(D1264,1,{1,2,3,4,5}))</f>
        <v>5</v>
      </c>
      <c r="B1264">
        <f>VLOOKUP(MID(D1264,LOOKUP(2,1/ISNUMBER(-MID(D1264,1,{1,2,3,4,5})),{1,2,3,4,5})+1,9),'Hue codes'!$A$1:$B$10,2,FALSE)</f>
        <v>90</v>
      </c>
      <c r="C1264">
        <f t="shared" si="39"/>
        <v>95</v>
      </c>
      <c r="D1264" s="162" t="s">
        <v>58</v>
      </c>
      <c r="E1264" s="162">
        <v>7</v>
      </c>
      <c r="F1264" s="162">
        <v>12</v>
      </c>
      <c r="G1264" s="164">
        <v>1</v>
      </c>
      <c r="H1264" s="164">
        <v>0.5343</v>
      </c>
      <c r="I1264" s="164">
        <v>0.72140000000000004</v>
      </c>
      <c r="J1264" s="2" t="str">
        <f>HYPERLINK(SetRGB(J1264,G1264*255,H1264*255,I1264*255),"HOVER!")</f>
        <v>HOVER!</v>
      </c>
      <c r="K1264">
        <f t="shared" si="38"/>
        <v>0.58333333333333337</v>
      </c>
    </row>
    <row r="1265" spans="1:11" x14ac:dyDescent="0.3">
      <c r="A1265">
        <f>LOOKUP(9E+307,--MID(D1265,1,{1,2,3,4,5}))</f>
        <v>5</v>
      </c>
      <c r="B1265">
        <f>VLOOKUP(MID(D1265,LOOKUP(2,1/ISNUMBER(-MID(D1265,1,{1,2,3,4,5})),{1,2,3,4,5})+1,9),'Hue codes'!$A$1:$B$10,2,FALSE)</f>
        <v>90</v>
      </c>
      <c r="C1265">
        <f t="shared" si="39"/>
        <v>95</v>
      </c>
      <c r="D1265" s="162" t="s">
        <v>58</v>
      </c>
      <c r="E1265" s="162">
        <v>7</v>
      </c>
      <c r="F1265" s="162">
        <v>14</v>
      </c>
      <c r="G1265" s="164">
        <v>1</v>
      </c>
      <c r="H1265" s="164">
        <v>0.49559999999999998</v>
      </c>
      <c r="I1265" s="164">
        <v>0.73029999999999995</v>
      </c>
      <c r="J1265" s="2" t="str">
        <f>HYPERLINK(SetRGB(J1265,G1265*255,H1265*255,I1265*255),"HOVER!")</f>
        <v>HOVER!</v>
      </c>
      <c r="K1265">
        <f t="shared" si="38"/>
        <v>0.5</v>
      </c>
    </row>
    <row r="1266" spans="1:11" x14ac:dyDescent="0.3">
      <c r="A1266">
        <f>LOOKUP(9E+307,--MID(D1266,1,{1,2,3,4,5}))</f>
        <v>5</v>
      </c>
      <c r="B1266">
        <f>VLOOKUP(MID(D1266,LOOKUP(2,1/ISNUMBER(-MID(D1266,1,{1,2,3,4,5})),{1,2,3,4,5})+1,9),'Hue codes'!$A$1:$B$10,2,FALSE)</f>
        <v>90</v>
      </c>
      <c r="C1266">
        <f t="shared" si="39"/>
        <v>95</v>
      </c>
      <c r="D1266" s="162" t="s">
        <v>58</v>
      </c>
      <c r="E1266" s="162">
        <v>7</v>
      </c>
      <c r="F1266" s="162">
        <v>16</v>
      </c>
      <c r="G1266" s="164">
        <v>1</v>
      </c>
      <c r="H1266" s="164">
        <v>0.44769999999999999</v>
      </c>
      <c r="I1266" s="164">
        <v>0.74109999999999998</v>
      </c>
      <c r="J1266" s="2" t="str">
        <f>HYPERLINK(SetRGB(J1266,G1266*255,H1266*255,I1266*255),"HOVER!")</f>
        <v>HOVER!</v>
      </c>
      <c r="K1266">
        <f t="shared" si="38"/>
        <v>0.4375</v>
      </c>
    </row>
    <row r="1267" spans="1:11" x14ac:dyDescent="0.3">
      <c r="A1267">
        <f>LOOKUP(9E+307,--MID(D1267,1,{1,2,3,4,5}))</f>
        <v>5</v>
      </c>
      <c r="B1267">
        <f>VLOOKUP(MID(D1267,LOOKUP(2,1/ISNUMBER(-MID(D1267,1,{1,2,3,4,5})),{1,2,3,4,5})+1,9),'Hue codes'!$A$1:$B$10,2,FALSE)</f>
        <v>90</v>
      </c>
      <c r="C1267">
        <f t="shared" si="39"/>
        <v>95</v>
      </c>
      <c r="D1267" s="162" t="s">
        <v>58</v>
      </c>
      <c r="E1267" s="162">
        <v>7</v>
      </c>
      <c r="F1267" s="162">
        <v>18</v>
      </c>
      <c r="G1267" s="164">
        <v>1</v>
      </c>
      <c r="H1267" s="164">
        <v>0.39290000000000003</v>
      </c>
      <c r="I1267" s="164">
        <v>0.75129999999999997</v>
      </c>
      <c r="J1267" s="2" t="str">
        <f>HYPERLINK(SetRGB(J1267,G1267*255,H1267*255,I1267*255),"HOVER!")</f>
        <v>HOVER!</v>
      </c>
      <c r="K1267">
        <f t="shared" si="38"/>
        <v>0.3888888888888889</v>
      </c>
    </row>
    <row r="1268" spans="1:11" x14ac:dyDescent="0.3">
      <c r="A1268">
        <f>LOOKUP(9E+307,--MID(D1268,1,{1,2,3,4,5}))</f>
        <v>7.5</v>
      </c>
      <c r="B1268">
        <f>VLOOKUP(MID(D1268,LOOKUP(2,1/ISNUMBER(-MID(D1268,1,{1,2,3,4,5})),{1,2,3,4,5})+1,9),'Hue codes'!$A$1:$B$10,2,FALSE)</f>
        <v>90</v>
      </c>
      <c r="C1268">
        <f t="shared" si="39"/>
        <v>97.5</v>
      </c>
      <c r="D1268" s="162" t="s">
        <v>59</v>
      </c>
      <c r="E1268" s="162">
        <v>7</v>
      </c>
      <c r="F1268" s="162">
        <v>2</v>
      </c>
      <c r="G1268" s="164">
        <v>0.74129999999999996</v>
      </c>
      <c r="H1268" s="164">
        <v>0.67090000000000005</v>
      </c>
      <c r="I1268" s="164">
        <v>0.68340000000000001</v>
      </c>
      <c r="J1268" s="2" t="str">
        <f>HYPERLINK(SetRGB(J1268,G1268*255,H1268*255,I1268*255),"HOVER!")</f>
        <v>HOVER!</v>
      </c>
      <c r="K1268">
        <f t="shared" si="38"/>
        <v>3.5</v>
      </c>
    </row>
    <row r="1269" spans="1:11" x14ac:dyDescent="0.3">
      <c r="A1269">
        <f>LOOKUP(9E+307,--MID(D1269,1,{1,2,3,4,5}))</f>
        <v>7.5</v>
      </c>
      <c r="B1269">
        <f>VLOOKUP(MID(D1269,LOOKUP(2,1/ISNUMBER(-MID(D1269,1,{1,2,3,4,5})),{1,2,3,4,5})+1,9),'Hue codes'!$A$1:$B$10,2,FALSE)</f>
        <v>90</v>
      </c>
      <c r="C1269">
        <f t="shared" si="39"/>
        <v>97.5</v>
      </c>
      <c r="D1269" s="162" t="s">
        <v>59</v>
      </c>
      <c r="E1269" s="162">
        <v>7</v>
      </c>
      <c r="F1269" s="162">
        <v>4</v>
      </c>
      <c r="G1269" s="164">
        <v>0.80120000000000002</v>
      </c>
      <c r="H1269" s="164">
        <v>0.64929999999999999</v>
      </c>
      <c r="I1269" s="164">
        <v>0.67889999999999995</v>
      </c>
      <c r="J1269" s="2" t="str">
        <f>HYPERLINK(SetRGB(J1269,G1269*255,H1269*255,I1269*255),"HOVER!")</f>
        <v>HOVER!</v>
      </c>
      <c r="K1269">
        <f t="shared" si="38"/>
        <v>1.75</v>
      </c>
    </row>
    <row r="1270" spans="1:11" x14ac:dyDescent="0.3">
      <c r="A1270">
        <f>LOOKUP(9E+307,--MID(D1270,1,{1,2,3,4,5}))</f>
        <v>7.5</v>
      </c>
      <c r="B1270">
        <f>VLOOKUP(MID(D1270,LOOKUP(2,1/ISNUMBER(-MID(D1270,1,{1,2,3,4,5})),{1,2,3,4,5})+1,9),'Hue codes'!$A$1:$B$10,2,FALSE)</f>
        <v>90</v>
      </c>
      <c r="C1270">
        <f t="shared" si="39"/>
        <v>97.5</v>
      </c>
      <c r="D1270" s="162" t="s">
        <v>59</v>
      </c>
      <c r="E1270" s="162">
        <v>7</v>
      </c>
      <c r="F1270" s="162">
        <v>6</v>
      </c>
      <c r="G1270" s="164">
        <v>0.86429999999999996</v>
      </c>
      <c r="H1270" s="164">
        <v>0.62280000000000002</v>
      </c>
      <c r="I1270" s="164">
        <v>0.67520000000000002</v>
      </c>
      <c r="J1270" s="2" t="str">
        <f>HYPERLINK(SetRGB(J1270,G1270*255,H1270*255,I1270*255),"HOVER!")</f>
        <v>HOVER!</v>
      </c>
      <c r="K1270">
        <f t="shared" si="38"/>
        <v>1.1666666666666667</v>
      </c>
    </row>
    <row r="1271" spans="1:11" x14ac:dyDescent="0.3">
      <c r="A1271">
        <f>LOOKUP(9E+307,--MID(D1271,1,{1,2,3,4,5}))</f>
        <v>7.5</v>
      </c>
      <c r="B1271">
        <f>VLOOKUP(MID(D1271,LOOKUP(2,1/ISNUMBER(-MID(D1271,1,{1,2,3,4,5})),{1,2,3,4,5})+1,9),'Hue codes'!$A$1:$B$10,2,FALSE)</f>
        <v>90</v>
      </c>
      <c r="C1271">
        <f t="shared" si="39"/>
        <v>97.5</v>
      </c>
      <c r="D1271" s="162" t="s">
        <v>59</v>
      </c>
      <c r="E1271" s="162">
        <v>7</v>
      </c>
      <c r="F1271" s="162">
        <v>8</v>
      </c>
      <c r="G1271" s="164">
        <v>0.92090000000000005</v>
      </c>
      <c r="H1271" s="164">
        <v>0.59499999999999997</v>
      </c>
      <c r="I1271" s="164">
        <v>0.67300000000000004</v>
      </c>
      <c r="J1271" s="2" t="str">
        <f>HYPERLINK(SetRGB(J1271,G1271*255,H1271*255,I1271*255),"HOVER!")</f>
        <v>HOVER!</v>
      </c>
      <c r="K1271">
        <f t="shared" ref="K1271:K1334" si="40">E1271/F1271</f>
        <v>0.875</v>
      </c>
    </row>
    <row r="1272" spans="1:11" x14ac:dyDescent="0.3">
      <c r="A1272">
        <f>LOOKUP(9E+307,--MID(D1272,1,{1,2,3,4,5}))</f>
        <v>7.5</v>
      </c>
      <c r="B1272">
        <f>VLOOKUP(MID(D1272,LOOKUP(2,1/ISNUMBER(-MID(D1272,1,{1,2,3,4,5})),{1,2,3,4,5})+1,9),'Hue codes'!$A$1:$B$10,2,FALSE)</f>
        <v>90</v>
      </c>
      <c r="C1272">
        <f t="shared" si="39"/>
        <v>97.5</v>
      </c>
      <c r="D1272" s="162" t="s">
        <v>59</v>
      </c>
      <c r="E1272" s="162">
        <v>7</v>
      </c>
      <c r="F1272" s="162">
        <v>10</v>
      </c>
      <c r="G1272" s="164">
        <v>0.97209999999999996</v>
      </c>
      <c r="H1272" s="164">
        <v>0.56610000000000005</v>
      </c>
      <c r="I1272" s="164">
        <v>0.6714</v>
      </c>
      <c r="J1272" s="2" t="str">
        <f>HYPERLINK(SetRGB(J1272,G1272*255,H1272*255,I1272*255),"HOVER!")</f>
        <v>HOVER!</v>
      </c>
      <c r="K1272">
        <f t="shared" si="40"/>
        <v>0.7</v>
      </c>
    </row>
    <row r="1273" spans="1:11" x14ac:dyDescent="0.3">
      <c r="A1273">
        <f>LOOKUP(9E+307,--MID(D1273,1,{1,2,3,4,5}))</f>
        <v>7.5</v>
      </c>
      <c r="B1273">
        <f>VLOOKUP(MID(D1273,LOOKUP(2,1/ISNUMBER(-MID(D1273,1,{1,2,3,4,5})),{1,2,3,4,5})+1,9),'Hue codes'!$A$1:$B$10,2,FALSE)</f>
        <v>90</v>
      </c>
      <c r="C1273">
        <f t="shared" si="39"/>
        <v>97.5</v>
      </c>
      <c r="D1273" s="162" t="s">
        <v>59</v>
      </c>
      <c r="E1273" s="162">
        <v>7</v>
      </c>
      <c r="F1273" s="162">
        <v>12</v>
      </c>
      <c r="G1273" s="164">
        <v>1</v>
      </c>
      <c r="H1273" s="164">
        <v>0.52780000000000005</v>
      </c>
      <c r="I1273" s="164">
        <v>0.67120000000000002</v>
      </c>
      <c r="J1273" s="2" t="str">
        <f>HYPERLINK(SetRGB(J1273,G1273*255,H1273*255,I1273*255),"HOVER!")</f>
        <v>HOVER!</v>
      </c>
      <c r="K1273">
        <f t="shared" si="40"/>
        <v>0.58333333333333337</v>
      </c>
    </row>
    <row r="1274" spans="1:11" x14ac:dyDescent="0.3">
      <c r="A1274">
        <f>LOOKUP(9E+307,--MID(D1274,1,{1,2,3,4,5}))</f>
        <v>7.5</v>
      </c>
      <c r="B1274">
        <f>VLOOKUP(MID(D1274,LOOKUP(2,1/ISNUMBER(-MID(D1274,1,{1,2,3,4,5})),{1,2,3,4,5})+1,9),'Hue codes'!$A$1:$B$10,2,FALSE)</f>
        <v>90</v>
      </c>
      <c r="C1274">
        <f t="shared" si="39"/>
        <v>97.5</v>
      </c>
      <c r="D1274" s="162" t="s">
        <v>59</v>
      </c>
      <c r="E1274" s="162">
        <v>7</v>
      </c>
      <c r="F1274" s="162">
        <v>14</v>
      </c>
      <c r="G1274" s="164">
        <v>1</v>
      </c>
      <c r="H1274" s="164">
        <v>0.48570000000000002</v>
      </c>
      <c r="I1274" s="164">
        <v>0.67249999999999999</v>
      </c>
      <c r="J1274" s="2" t="str">
        <f>HYPERLINK(SetRGB(J1274,G1274*255,H1274*255,I1274*255),"HOVER!")</f>
        <v>HOVER!</v>
      </c>
      <c r="K1274">
        <f t="shared" si="40"/>
        <v>0.5</v>
      </c>
    </row>
    <row r="1275" spans="1:11" x14ac:dyDescent="0.3">
      <c r="A1275">
        <f>LOOKUP(9E+307,--MID(D1275,1,{1,2,3,4,5}))</f>
        <v>7.5</v>
      </c>
      <c r="B1275">
        <f>VLOOKUP(MID(D1275,LOOKUP(2,1/ISNUMBER(-MID(D1275,1,{1,2,3,4,5})),{1,2,3,4,5})+1,9),'Hue codes'!$A$1:$B$10,2,FALSE)</f>
        <v>90</v>
      </c>
      <c r="C1275">
        <f t="shared" si="39"/>
        <v>97.5</v>
      </c>
      <c r="D1275" s="162" t="s">
        <v>59</v>
      </c>
      <c r="E1275" s="162">
        <v>7</v>
      </c>
      <c r="F1275" s="162">
        <v>16</v>
      </c>
      <c r="G1275" s="164">
        <v>1</v>
      </c>
      <c r="H1275" s="164">
        <v>0.43640000000000001</v>
      </c>
      <c r="I1275" s="164">
        <v>0.67459999999999998</v>
      </c>
      <c r="J1275" s="2" t="str">
        <f>HYPERLINK(SetRGB(J1275,G1275*255,H1275*255,I1275*255),"HOVER!")</f>
        <v>HOVER!</v>
      </c>
      <c r="K1275">
        <f t="shared" si="40"/>
        <v>0.4375</v>
      </c>
    </row>
    <row r="1276" spans="1:11" x14ac:dyDescent="0.3">
      <c r="A1276">
        <f>LOOKUP(9E+307,--MID(D1276,1,{1,2,3,4,5}))</f>
        <v>10</v>
      </c>
      <c r="B1276">
        <f>VLOOKUP(MID(D1276,LOOKUP(2,1/ISNUMBER(-MID(D1276,1,{1,2,3,4,5})),{1,2,3,4,5})+1,9),'Hue codes'!$A$1:$B$10,2,FALSE)</f>
        <v>90</v>
      </c>
      <c r="C1276">
        <f t="shared" si="39"/>
        <v>0</v>
      </c>
      <c r="D1276" s="162" t="s">
        <v>20</v>
      </c>
      <c r="E1276" s="162">
        <v>8</v>
      </c>
      <c r="F1276" s="162">
        <v>2</v>
      </c>
      <c r="G1276" s="164">
        <v>0.84189999999999998</v>
      </c>
      <c r="H1276" s="164">
        <v>0.77780000000000005</v>
      </c>
      <c r="I1276" s="164">
        <v>0.78239999999999998</v>
      </c>
      <c r="J1276" s="2" t="str">
        <f>HYPERLINK(SetRGB(J1276,G1276*255,H1276*255,I1276*255),"HOVER!")</f>
        <v>HOVER!</v>
      </c>
      <c r="K1276">
        <f t="shared" si="40"/>
        <v>4</v>
      </c>
    </row>
    <row r="1277" spans="1:11" x14ac:dyDescent="0.3">
      <c r="A1277">
        <f>LOOKUP(9E+307,--MID(D1277,1,{1,2,3,4,5}))</f>
        <v>10</v>
      </c>
      <c r="B1277">
        <f>VLOOKUP(MID(D1277,LOOKUP(2,1/ISNUMBER(-MID(D1277,1,{1,2,3,4,5})),{1,2,3,4,5})+1,9),'Hue codes'!$A$1:$B$10,2,FALSE)</f>
        <v>90</v>
      </c>
      <c r="C1277">
        <f t="shared" si="39"/>
        <v>0</v>
      </c>
      <c r="D1277" s="162" t="s">
        <v>20</v>
      </c>
      <c r="E1277" s="162">
        <v>8</v>
      </c>
      <c r="F1277" s="162">
        <v>4</v>
      </c>
      <c r="G1277" s="164">
        <v>0.91690000000000005</v>
      </c>
      <c r="H1277" s="164">
        <v>0.75249999999999995</v>
      </c>
      <c r="I1277" s="164">
        <v>0.76590000000000003</v>
      </c>
      <c r="J1277" s="2" t="str">
        <f>HYPERLINK(SetRGB(J1277,G1277*255,H1277*255,I1277*255),"HOVER!")</f>
        <v>HOVER!</v>
      </c>
      <c r="K1277">
        <f t="shared" si="40"/>
        <v>2</v>
      </c>
    </row>
    <row r="1278" spans="1:11" x14ac:dyDescent="0.3">
      <c r="A1278">
        <f>LOOKUP(9E+307,--MID(D1278,1,{1,2,3,4,5}))</f>
        <v>10</v>
      </c>
      <c r="B1278">
        <f>VLOOKUP(MID(D1278,LOOKUP(2,1/ISNUMBER(-MID(D1278,1,{1,2,3,4,5})),{1,2,3,4,5})+1,9),'Hue codes'!$A$1:$B$10,2,FALSE)</f>
        <v>90</v>
      </c>
      <c r="C1278">
        <f t="shared" si="39"/>
        <v>0</v>
      </c>
      <c r="D1278" s="162" t="s">
        <v>20</v>
      </c>
      <c r="E1278" s="162">
        <v>8</v>
      </c>
      <c r="F1278" s="162">
        <v>6</v>
      </c>
      <c r="G1278" s="164">
        <v>0.98480000000000001</v>
      </c>
      <c r="H1278" s="164">
        <v>0.72570000000000001</v>
      </c>
      <c r="I1278" s="164">
        <v>0.75109999999999999</v>
      </c>
      <c r="J1278" s="2" t="str">
        <f>HYPERLINK(SetRGB(J1278,G1278*255,H1278*255,I1278*255),"HOVER!")</f>
        <v>HOVER!</v>
      </c>
      <c r="K1278">
        <f t="shared" si="40"/>
        <v>1.3333333333333333</v>
      </c>
    </row>
    <row r="1279" spans="1:11" x14ac:dyDescent="0.3">
      <c r="A1279">
        <f>LOOKUP(9E+307,--MID(D1279,1,{1,2,3,4,5}))</f>
        <v>10</v>
      </c>
      <c r="B1279">
        <f>VLOOKUP(MID(D1279,LOOKUP(2,1/ISNUMBER(-MID(D1279,1,{1,2,3,4,5})),{1,2,3,4,5})+1,9),'Hue codes'!$A$1:$B$10,2,FALSE)</f>
        <v>90</v>
      </c>
      <c r="C1279">
        <f t="shared" si="39"/>
        <v>0</v>
      </c>
      <c r="D1279" s="162" t="s">
        <v>20</v>
      </c>
      <c r="E1279" s="162">
        <v>8</v>
      </c>
      <c r="F1279" s="162">
        <v>8</v>
      </c>
      <c r="G1279" s="164">
        <v>1</v>
      </c>
      <c r="H1279" s="164">
        <v>0.69440000000000002</v>
      </c>
      <c r="I1279" s="164">
        <v>0.73599999999999999</v>
      </c>
      <c r="J1279" s="2" t="str">
        <f>HYPERLINK(SetRGB(J1279,G1279*255,H1279*255,I1279*255),"HOVER!")</f>
        <v>HOVER!</v>
      </c>
      <c r="K1279">
        <f t="shared" si="40"/>
        <v>1</v>
      </c>
    </row>
    <row r="1280" spans="1:11" x14ac:dyDescent="0.3">
      <c r="A1280">
        <f>LOOKUP(9E+307,--MID(D1280,1,{1,2,3,4,5}))</f>
        <v>10</v>
      </c>
      <c r="B1280">
        <f>VLOOKUP(MID(D1280,LOOKUP(2,1/ISNUMBER(-MID(D1280,1,{1,2,3,4,5})),{1,2,3,4,5})+1,9),'Hue codes'!$A$1:$B$10,2,FALSE)</f>
        <v>90</v>
      </c>
      <c r="C1280">
        <f t="shared" si="39"/>
        <v>0</v>
      </c>
      <c r="D1280" s="162" t="s">
        <v>20</v>
      </c>
      <c r="E1280" s="162">
        <v>8</v>
      </c>
      <c r="F1280" s="162">
        <v>10</v>
      </c>
      <c r="G1280" s="164">
        <v>1</v>
      </c>
      <c r="H1280" s="164">
        <v>0.66249999999999998</v>
      </c>
      <c r="I1280" s="164">
        <v>0.72299999999999998</v>
      </c>
      <c r="J1280" s="2" t="str">
        <f>HYPERLINK(SetRGB(J1280,G1280*255,H1280*255,I1280*255),"HOVER!")</f>
        <v>HOVER!</v>
      </c>
      <c r="K1280">
        <f t="shared" si="40"/>
        <v>0.8</v>
      </c>
    </row>
    <row r="1281" spans="1:11" x14ac:dyDescent="0.3">
      <c r="A1281">
        <f>LOOKUP(9E+307,--MID(D1281,1,{1,2,3,4,5}))</f>
        <v>2.5</v>
      </c>
      <c r="B1281">
        <f>VLOOKUP(MID(D1281,LOOKUP(2,1/ISNUMBER(-MID(D1281,1,{1,2,3,4,5})),{1,2,3,4,5})+1,9),'Hue codes'!$A$1:$B$10,2,FALSE)</f>
        <v>0</v>
      </c>
      <c r="C1281">
        <f t="shared" si="39"/>
        <v>2.5</v>
      </c>
      <c r="D1281" s="162" t="s">
        <v>21</v>
      </c>
      <c r="E1281" s="162">
        <v>8</v>
      </c>
      <c r="F1281" s="162">
        <v>2</v>
      </c>
      <c r="G1281" s="164">
        <v>0.8448</v>
      </c>
      <c r="H1281" s="164">
        <v>0.77749999999999997</v>
      </c>
      <c r="I1281" s="164">
        <v>0.77629999999999999</v>
      </c>
      <c r="J1281" s="2" t="str">
        <f>HYPERLINK(SetRGB(J1281,G1281*255,H1281*255,I1281*255),"HOVER!")</f>
        <v>HOVER!</v>
      </c>
      <c r="K1281">
        <f t="shared" si="40"/>
        <v>4</v>
      </c>
    </row>
    <row r="1282" spans="1:11" x14ac:dyDescent="0.3">
      <c r="A1282">
        <f>LOOKUP(9E+307,--MID(D1282,1,{1,2,3,4,5}))</f>
        <v>2.5</v>
      </c>
      <c r="B1282">
        <f>VLOOKUP(MID(D1282,LOOKUP(2,1/ISNUMBER(-MID(D1282,1,{1,2,3,4,5})),{1,2,3,4,5})+1,9),'Hue codes'!$A$1:$B$10,2,FALSE)</f>
        <v>0</v>
      </c>
      <c r="C1282">
        <f t="shared" si="39"/>
        <v>2.5</v>
      </c>
      <c r="D1282" s="162" t="s">
        <v>21</v>
      </c>
      <c r="E1282" s="162">
        <v>8</v>
      </c>
      <c r="F1282" s="162">
        <v>4</v>
      </c>
      <c r="G1282" s="164">
        <v>0.92369999999999997</v>
      </c>
      <c r="H1282" s="164">
        <v>0.75160000000000005</v>
      </c>
      <c r="I1282" s="164">
        <v>0.75029999999999997</v>
      </c>
      <c r="J1282" s="2" t="str">
        <f>HYPERLINK(SetRGB(J1282,G1282*255,H1282*255,I1282*255),"HOVER!")</f>
        <v>HOVER!</v>
      </c>
      <c r="K1282">
        <f t="shared" si="40"/>
        <v>2</v>
      </c>
    </row>
    <row r="1283" spans="1:11" x14ac:dyDescent="0.3">
      <c r="A1283">
        <f>LOOKUP(9E+307,--MID(D1283,1,{1,2,3,4,5}))</f>
        <v>2.5</v>
      </c>
      <c r="B1283">
        <f>VLOOKUP(MID(D1283,LOOKUP(2,1/ISNUMBER(-MID(D1283,1,{1,2,3,4,5})),{1,2,3,4,5})+1,9),'Hue codes'!$A$1:$B$10,2,FALSE)</f>
        <v>0</v>
      </c>
      <c r="C1283">
        <f t="shared" ref="C1283:C1346" si="41">IF(A1283+B1283=100,0,A1283+B1283)</f>
        <v>2.5</v>
      </c>
      <c r="D1283" s="162" t="s">
        <v>21</v>
      </c>
      <c r="E1283" s="162">
        <v>8</v>
      </c>
      <c r="F1283" s="162">
        <v>6</v>
      </c>
      <c r="G1283" s="164">
        <v>0.99250000000000005</v>
      </c>
      <c r="H1283" s="164">
        <v>0.72489999999999999</v>
      </c>
      <c r="I1283" s="164">
        <v>0.72719999999999996</v>
      </c>
      <c r="J1283" s="2" t="str">
        <f>HYPERLINK(SetRGB(J1283,G1283*255,H1283*255,I1283*255),"HOVER!")</f>
        <v>HOVER!</v>
      </c>
      <c r="K1283">
        <f t="shared" si="40"/>
        <v>1.3333333333333333</v>
      </c>
    </row>
    <row r="1284" spans="1:11" x14ac:dyDescent="0.3">
      <c r="A1284">
        <f>LOOKUP(9E+307,--MID(D1284,1,{1,2,3,4,5}))</f>
        <v>2.5</v>
      </c>
      <c r="B1284">
        <f>VLOOKUP(MID(D1284,LOOKUP(2,1/ISNUMBER(-MID(D1284,1,{1,2,3,4,5})),{1,2,3,4,5})+1,9),'Hue codes'!$A$1:$B$10,2,FALSE)</f>
        <v>0</v>
      </c>
      <c r="C1284">
        <f t="shared" si="41"/>
        <v>2.5</v>
      </c>
      <c r="D1284" s="162" t="s">
        <v>21</v>
      </c>
      <c r="E1284" s="162">
        <v>8</v>
      </c>
      <c r="F1284" s="162">
        <v>8</v>
      </c>
      <c r="G1284" s="164">
        <v>1</v>
      </c>
      <c r="H1284" s="164">
        <v>0.69420000000000004</v>
      </c>
      <c r="I1284" s="164">
        <v>0.70150000000000001</v>
      </c>
      <c r="J1284" s="2" t="str">
        <f>HYPERLINK(SetRGB(J1284,G1284*255,H1284*255,I1284*255),"HOVER!")</f>
        <v>HOVER!</v>
      </c>
      <c r="K1284">
        <f t="shared" si="40"/>
        <v>1</v>
      </c>
    </row>
    <row r="1285" spans="1:11" x14ac:dyDescent="0.3">
      <c r="A1285">
        <f>LOOKUP(9E+307,--MID(D1285,1,{1,2,3,4,5}))</f>
        <v>2.5</v>
      </c>
      <c r="B1285">
        <f>VLOOKUP(MID(D1285,LOOKUP(2,1/ISNUMBER(-MID(D1285,1,{1,2,3,4,5})),{1,2,3,4,5})+1,9),'Hue codes'!$A$1:$B$10,2,FALSE)</f>
        <v>0</v>
      </c>
      <c r="C1285">
        <f t="shared" si="41"/>
        <v>2.5</v>
      </c>
      <c r="D1285" s="162" t="s">
        <v>21</v>
      </c>
      <c r="E1285" s="162">
        <v>8</v>
      </c>
      <c r="F1285" s="162">
        <v>10</v>
      </c>
      <c r="G1285" s="164">
        <v>1</v>
      </c>
      <c r="H1285" s="164">
        <v>0.66080000000000005</v>
      </c>
      <c r="I1285" s="164">
        <v>0.67669999999999997</v>
      </c>
      <c r="J1285" s="2" t="str">
        <f>HYPERLINK(SetRGB(J1285,G1285*255,H1285*255,I1285*255),"HOVER!")</f>
        <v>HOVER!</v>
      </c>
      <c r="K1285">
        <f t="shared" si="40"/>
        <v>0.8</v>
      </c>
    </row>
    <row r="1286" spans="1:11" x14ac:dyDescent="0.3">
      <c r="A1286">
        <f>LOOKUP(9E+307,--MID(D1286,1,{1,2,3,4,5}))</f>
        <v>5</v>
      </c>
      <c r="B1286">
        <f>VLOOKUP(MID(D1286,LOOKUP(2,1/ISNUMBER(-MID(D1286,1,{1,2,3,4,5})),{1,2,3,4,5})+1,9),'Hue codes'!$A$1:$B$10,2,FALSE)</f>
        <v>0</v>
      </c>
      <c r="C1286">
        <f t="shared" si="41"/>
        <v>5</v>
      </c>
      <c r="D1286" s="162" t="s">
        <v>22</v>
      </c>
      <c r="E1286" s="162">
        <v>8</v>
      </c>
      <c r="F1286" s="162">
        <v>2</v>
      </c>
      <c r="G1286" s="164">
        <v>0.8478</v>
      </c>
      <c r="H1286" s="164">
        <v>0.77710000000000001</v>
      </c>
      <c r="I1286" s="164">
        <v>0.7702</v>
      </c>
      <c r="J1286" s="2" t="str">
        <f>HYPERLINK(SetRGB(J1286,G1286*255,H1286*255,I1286*255),"HOVER!")</f>
        <v>HOVER!</v>
      </c>
      <c r="K1286">
        <f t="shared" si="40"/>
        <v>4</v>
      </c>
    </row>
    <row r="1287" spans="1:11" x14ac:dyDescent="0.3">
      <c r="A1287">
        <f>LOOKUP(9E+307,--MID(D1287,1,{1,2,3,4,5}))</f>
        <v>5</v>
      </c>
      <c r="B1287">
        <f>VLOOKUP(MID(D1287,LOOKUP(2,1/ISNUMBER(-MID(D1287,1,{1,2,3,4,5})),{1,2,3,4,5})+1,9),'Hue codes'!$A$1:$B$10,2,FALSE)</f>
        <v>0</v>
      </c>
      <c r="C1287">
        <f t="shared" si="41"/>
        <v>5</v>
      </c>
      <c r="D1287" s="162" t="s">
        <v>22</v>
      </c>
      <c r="E1287" s="162">
        <v>8</v>
      </c>
      <c r="F1287" s="162">
        <v>4</v>
      </c>
      <c r="G1287" s="164">
        <v>0.92989999999999995</v>
      </c>
      <c r="H1287" s="164">
        <v>0.751</v>
      </c>
      <c r="I1287" s="164">
        <v>0.73319999999999996</v>
      </c>
      <c r="J1287" s="2" t="str">
        <f>HYPERLINK(SetRGB(J1287,G1287*255,H1287*255,I1287*255),"HOVER!")</f>
        <v>HOVER!</v>
      </c>
      <c r="K1287">
        <f t="shared" si="40"/>
        <v>2</v>
      </c>
    </row>
    <row r="1288" spans="1:11" x14ac:dyDescent="0.3">
      <c r="A1288">
        <f>LOOKUP(9E+307,--MID(D1288,1,{1,2,3,4,5}))</f>
        <v>5</v>
      </c>
      <c r="B1288">
        <f>VLOOKUP(MID(D1288,LOOKUP(2,1/ISNUMBER(-MID(D1288,1,{1,2,3,4,5})),{1,2,3,4,5})+1,9),'Hue codes'!$A$1:$B$10,2,FALSE)</f>
        <v>0</v>
      </c>
      <c r="C1288">
        <f t="shared" si="41"/>
        <v>5</v>
      </c>
      <c r="D1288" s="162" t="s">
        <v>22</v>
      </c>
      <c r="E1288" s="162">
        <v>8</v>
      </c>
      <c r="F1288" s="162">
        <v>6</v>
      </c>
      <c r="G1288" s="164">
        <v>0.99790000000000001</v>
      </c>
      <c r="H1288" s="164">
        <v>0.72529999999999994</v>
      </c>
      <c r="I1288" s="164">
        <v>0.70079999999999998</v>
      </c>
      <c r="J1288" s="2" t="str">
        <f>HYPERLINK(SetRGB(J1288,G1288*255,H1288*255,I1288*255),"HOVER!")</f>
        <v>HOVER!</v>
      </c>
      <c r="K1288">
        <f t="shared" si="40"/>
        <v>1.3333333333333333</v>
      </c>
    </row>
    <row r="1289" spans="1:11" x14ac:dyDescent="0.3">
      <c r="A1289">
        <f>LOOKUP(9E+307,--MID(D1289,1,{1,2,3,4,5}))</f>
        <v>5</v>
      </c>
      <c r="B1289">
        <f>VLOOKUP(MID(D1289,LOOKUP(2,1/ISNUMBER(-MID(D1289,1,{1,2,3,4,5})),{1,2,3,4,5})+1,9),'Hue codes'!$A$1:$B$10,2,FALSE)</f>
        <v>0</v>
      </c>
      <c r="C1289">
        <f t="shared" si="41"/>
        <v>5</v>
      </c>
      <c r="D1289" s="162" t="s">
        <v>22</v>
      </c>
      <c r="E1289" s="162">
        <v>8</v>
      </c>
      <c r="F1289" s="162">
        <v>8</v>
      </c>
      <c r="G1289" s="164">
        <v>1</v>
      </c>
      <c r="H1289" s="164">
        <v>0.69420000000000004</v>
      </c>
      <c r="I1289" s="164">
        <v>0.66590000000000005</v>
      </c>
      <c r="J1289" s="2" t="str">
        <f>HYPERLINK(SetRGB(J1289,G1289*255,H1289*255,I1289*255),"HOVER!")</f>
        <v>HOVER!</v>
      </c>
      <c r="K1289">
        <f t="shared" si="40"/>
        <v>1</v>
      </c>
    </row>
    <row r="1290" spans="1:11" x14ac:dyDescent="0.3">
      <c r="A1290">
        <f>LOOKUP(9E+307,--MID(D1290,1,{1,2,3,4,5}))</f>
        <v>5</v>
      </c>
      <c r="B1290">
        <f>VLOOKUP(MID(D1290,LOOKUP(2,1/ISNUMBER(-MID(D1290,1,{1,2,3,4,5})),{1,2,3,4,5})+1,9),'Hue codes'!$A$1:$B$10,2,FALSE)</f>
        <v>0</v>
      </c>
      <c r="C1290">
        <f t="shared" si="41"/>
        <v>5</v>
      </c>
      <c r="D1290" s="162" t="s">
        <v>22</v>
      </c>
      <c r="E1290" s="162">
        <v>8</v>
      </c>
      <c r="F1290" s="162">
        <v>10</v>
      </c>
      <c r="G1290" s="164">
        <v>1</v>
      </c>
      <c r="H1290" s="164">
        <v>0.66159999999999997</v>
      </c>
      <c r="I1290" s="164">
        <v>0.63219999999999998</v>
      </c>
      <c r="J1290" s="2" t="str">
        <f>HYPERLINK(SetRGB(J1290,G1290*255,H1290*255,I1290*255),"HOVER!")</f>
        <v>HOVER!</v>
      </c>
      <c r="K1290">
        <f t="shared" si="40"/>
        <v>0.8</v>
      </c>
    </row>
    <row r="1291" spans="1:11" x14ac:dyDescent="0.3">
      <c r="A1291">
        <f>LOOKUP(9E+307,--MID(D1291,1,{1,2,3,4,5}))</f>
        <v>7.5</v>
      </c>
      <c r="B1291">
        <f>VLOOKUP(MID(D1291,LOOKUP(2,1/ISNUMBER(-MID(D1291,1,{1,2,3,4,5})),{1,2,3,4,5})+1,9),'Hue codes'!$A$1:$B$10,2,FALSE)</f>
        <v>0</v>
      </c>
      <c r="C1291">
        <f t="shared" si="41"/>
        <v>7.5</v>
      </c>
      <c r="D1291" s="162" t="s">
        <v>23</v>
      </c>
      <c r="E1291" s="162">
        <v>8</v>
      </c>
      <c r="F1291" s="162">
        <v>2</v>
      </c>
      <c r="G1291" s="164">
        <v>0.85070000000000001</v>
      </c>
      <c r="H1291" s="164">
        <v>0.77710000000000001</v>
      </c>
      <c r="I1291" s="164">
        <v>0.76170000000000004</v>
      </c>
      <c r="J1291" s="2" t="str">
        <f>HYPERLINK(SetRGB(J1291,G1291*255,H1291*255,I1291*255),"HOVER!")</f>
        <v>HOVER!</v>
      </c>
      <c r="K1291">
        <f t="shared" si="40"/>
        <v>4</v>
      </c>
    </row>
    <row r="1292" spans="1:11" x14ac:dyDescent="0.3">
      <c r="A1292">
        <f>LOOKUP(9E+307,--MID(D1292,1,{1,2,3,4,5}))</f>
        <v>7.5</v>
      </c>
      <c r="B1292">
        <f>VLOOKUP(MID(D1292,LOOKUP(2,1/ISNUMBER(-MID(D1292,1,{1,2,3,4,5})),{1,2,3,4,5})+1,9),'Hue codes'!$A$1:$B$10,2,FALSE)</f>
        <v>0</v>
      </c>
      <c r="C1292">
        <f t="shared" si="41"/>
        <v>7.5</v>
      </c>
      <c r="D1292" s="162" t="s">
        <v>23</v>
      </c>
      <c r="E1292" s="162">
        <v>8</v>
      </c>
      <c r="F1292" s="162">
        <v>4</v>
      </c>
      <c r="G1292" s="164">
        <v>0.93530000000000002</v>
      </c>
      <c r="H1292" s="164">
        <v>0.75090000000000001</v>
      </c>
      <c r="I1292" s="164">
        <v>0.7137</v>
      </c>
      <c r="J1292" s="2" t="str">
        <f>HYPERLINK(SetRGB(J1292,G1292*255,H1292*255,I1292*255),"HOVER!")</f>
        <v>HOVER!</v>
      </c>
      <c r="K1292">
        <f t="shared" si="40"/>
        <v>2</v>
      </c>
    </row>
    <row r="1293" spans="1:11" x14ac:dyDescent="0.3">
      <c r="A1293">
        <f>LOOKUP(9E+307,--MID(D1293,1,{1,2,3,4,5}))</f>
        <v>7.5</v>
      </c>
      <c r="B1293">
        <f>VLOOKUP(MID(D1293,LOOKUP(2,1/ISNUMBER(-MID(D1293,1,{1,2,3,4,5})),{1,2,3,4,5})+1,9),'Hue codes'!$A$1:$B$10,2,FALSE)</f>
        <v>0</v>
      </c>
      <c r="C1293">
        <f t="shared" si="41"/>
        <v>7.5</v>
      </c>
      <c r="D1293" s="162" t="s">
        <v>23</v>
      </c>
      <c r="E1293" s="162">
        <v>8</v>
      </c>
      <c r="F1293" s="162">
        <v>6</v>
      </c>
      <c r="G1293" s="164">
        <v>1</v>
      </c>
      <c r="H1293" s="164">
        <v>0.72560000000000002</v>
      </c>
      <c r="I1293" s="164">
        <v>0.66890000000000005</v>
      </c>
      <c r="J1293" s="2" t="str">
        <f>HYPERLINK(SetRGB(J1293,G1293*255,H1293*255,I1293*255),"HOVER!")</f>
        <v>HOVER!</v>
      </c>
      <c r="K1293">
        <f t="shared" si="40"/>
        <v>1.3333333333333333</v>
      </c>
    </row>
    <row r="1294" spans="1:11" x14ac:dyDescent="0.3">
      <c r="A1294">
        <f>LOOKUP(9E+307,--MID(D1294,1,{1,2,3,4,5}))</f>
        <v>7.5</v>
      </c>
      <c r="B1294">
        <f>VLOOKUP(MID(D1294,LOOKUP(2,1/ISNUMBER(-MID(D1294,1,{1,2,3,4,5})),{1,2,3,4,5})+1,9),'Hue codes'!$A$1:$B$10,2,FALSE)</f>
        <v>0</v>
      </c>
      <c r="C1294">
        <f t="shared" si="41"/>
        <v>7.5</v>
      </c>
      <c r="D1294" s="162" t="s">
        <v>23</v>
      </c>
      <c r="E1294" s="162">
        <v>8</v>
      </c>
      <c r="F1294" s="162">
        <v>8</v>
      </c>
      <c r="G1294" s="164">
        <v>1</v>
      </c>
      <c r="H1294" s="164">
        <v>0.69640000000000002</v>
      </c>
      <c r="I1294" s="164">
        <v>0.62009999999999998</v>
      </c>
      <c r="J1294" s="2" t="str">
        <f>HYPERLINK(SetRGB(J1294,G1294*255,H1294*255,I1294*255),"HOVER!")</f>
        <v>HOVER!</v>
      </c>
      <c r="K1294">
        <f t="shared" si="40"/>
        <v>1</v>
      </c>
    </row>
    <row r="1295" spans="1:11" x14ac:dyDescent="0.3">
      <c r="A1295">
        <f>LOOKUP(9E+307,--MID(D1295,1,{1,2,3,4,5}))</f>
        <v>7.5</v>
      </c>
      <c r="B1295">
        <f>VLOOKUP(MID(D1295,LOOKUP(2,1/ISNUMBER(-MID(D1295,1,{1,2,3,4,5})),{1,2,3,4,5})+1,9),'Hue codes'!$A$1:$B$10,2,FALSE)</f>
        <v>0</v>
      </c>
      <c r="C1295">
        <f t="shared" si="41"/>
        <v>7.5</v>
      </c>
      <c r="D1295" s="162" t="s">
        <v>23</v>
      </c>
      <c r="E1295" s="162">
        <v>8</v>
      </c>
      <c r="F1295" s="162">
        <v>10</v>
      </c>
      <c r="G1295" s="164">
        <v>1</v>
      </c>
      <c r="H1295" s="164">
        <v>0.66639999999999999</v>
      </c>
      <c r="I1295" s="164">
        <v>0.57430000000000003</v>
      </c>
      <c r="J1295" s="2" t="str">
        <f>HYPERLINK(SetRGB(J1295,G1295*255,H1295*255,I1295*255),"HOVER!")</f>
        <v>HOVER!</v>
      </c>
      <c r="K1295">
        <f t="shared" si="40"/>
        <v>0.8</v>
      </c>
    </row>
    <row r="1296" spans="1:11" x14ac:dyDescent="0.3">
      <c r="A1296">
        <f>LOOKUP(9E+307,--MID(D1296,1,{1,2,3,4,5}))</f>
        <v>10</v>
      </c>
      <c r="B1296">
        <f>VLOOKUP(MID(D1296,LOOKUP(2,1/ISNUMBER(-MID(D1296,1,{1,2,3,4,5})),{1,2,3,4,5})+1,9),'Hue codes'!$A$1:$B$10,2,FALSE)</f>
        <v>0</v>
      </c>
      <c r="C1296">
        <f t="shared" si="41"/>
        <v>10</v>
      </c>
      <c r="D1296" s="162" t="s">
        <v>24</v>
      </c>
      <c r="E1296" s="162">
        <v>8</v>
      </c>
      <c r="F1296" s="162">
        <v>2</v>
      </c>
      <c r="G1296" s="164">
        <v>0.85370000000000001</v>
      </c>
      <c r="H1296" s="164">
        <v>0.77700000000000002</v>
      </c>
      <c r="I1296" s="164">
        <v>0.75290000000000001</v>
      </c>
      <c r="J1296" s="2" t="str">
        <f>HYPERLINK(SetRGB(J1296,G1296*255,H1296*255,I1296*255),"HOVER!")</f>
        <v>HOVER!</v>
      </c>
      <c r="K1296">
        <f t="shared" si="40"/>
        <v>4</v>
      </c>
    </row>
    <row r="1297" spans="1:11" x14ac:dyDescent="0.3">
      <c r="A1297">
        <f>LOOKUP(9E+307,--MID(D1297,1,{1,2,3,4,5}))</f>
        <v>10</v>
      </c>
      <c r="B1297">
        <f>VLOOKUP(MID(D1297,LOOKUP(2,1/ISNUMBER(-MID(D1297,1,{1,2,3,4,5})),{1,2,3,4,5})+1,9),'Hue codes'!$A$1:$B$10,2,FALSE)</f>
        <v>0</v>
      </c>
      <c r="C1297">
        <f t="shared" si="41"/>
        <v>10</v>
      </c>
      <c r="D1297" s="162" t="s">
        <v>24</v>
      </c>
      <c r="E1297" s="162">
        <v>8</v>
      </c>
      <c r="F1297" s="162">
        <v>4</v>
      </c>
      <c r="G1297" s="164">
        <v>0.93810000000000004</v>
      </c>
      <c r="H1297" s="164">
        <v>0.75209999999999999</v>
      </c>
      <c r="I1297" s="164">
        <v>0.69020000000000004</v>
      </c>
      <c r="J1297" s="2" t="str">
        <f>HYPERLINK(SetRGB(J1297,G1297*255,H1297*255,I1297*255),"HOVER!")</f>
        <v>HOVER!</v>
      </c>
      <c r="K1297">
        <f t="shared" si="40"/>
        <v>2</v>
      </c>
    </row>
    <row r="1298" spans="1:11" x14ac:dyDescent="0.3">
      <c r="A1298">
        <f>LOOKUP(9E+307,--MID(D1298,1,{1,2,3,4,5}))</f>
        <v>10</v>
      </c>
      <c r="B1298">
        <f>VLOOKUP(MID(D1298,LOOKUP(2,1/ISNUMBER(-MID(D1298,1,{1,2,3,4,5})),{1,2,3,4,5})+1,9),'Hue codes'!$A$1:$B$10,2,FALSE)</f>
        <v>0</v>
      </c>
      <c r="C1298">
        <f t="shared" si="41"/>
        <v>10</v>
      </c>
      <c r="D1298" s="162" t="s">
        <v>24</v>
      </c>
      <c r="E1298" s="162">
        <v>8</v>
      </c>
      <c r="F1298" s="162">
        <v>6</v>
      </c>
      <c r="G1298" s="164">
        <v>1</v>
      </c>
      <c r="H1298" s="164">
        <v>0.72909999999999997</v>
      </c>
      <c r="I1298" s="164">
        <v>0.63270000000000004</v>
      </c>
      <c r="J1298" s="2" t="str">
        <f>HYPERLINK(SetRGB(J1298,G1298*255,H1298*255,I1298*255),"HOVER!")</f>
        <v>HOVER!</v>
      </c>
      <c r="K1298">
        <f t="shared" si="40"/>
        <v>1.3333333333333333</v>
      </c>
    </row>
    <row r="1299" spans="1:11" x14ac:dyDescent="0.3">
      <c r="A1299">
        <f>LOOKUP(9E+307,--MID(D1299,1,{1,2,3,4,5}))</f>
        <v>10</v>
      </c>
      <c r="B1299">
        <f>VLOOKUP(MID(D1299,LOOKUP(2,1/ISNUMBER(-MID(D1299,1,{1,2,3,4,5})),{1,2,3,4,5})+1,9),'Hue codes'!$A$1:$B$10,2,FALSE)</f>
        <v>0</v>
      </c>
      <c r="C1299">
        <f t="shared" si="41"/>
        <v>10</v>
      </c>
      <c r="D1299" s="162" t="s">
        <v>24</v>
      </c>
      <c r="E1299" s="162">
        <v>8</v>
      </c>
      <c r="F1299" s="162">
        <v>8</v>
      </c>
      <c r="G1299" s="164">
        <v>1</v>
      </c>
      <c r="H1299" s="164">
        <v>0.70379999999999998</v>
      </c>
      <c r="I1299" s="164">
        <v>0.5716</v>
      </c>
      <c r="J1299" s="2" t="str">
        <f>HYPERLINK(SetRGB(J1299,G1299*255,H1299*255,I1299*255),"HOVER!")</f>
        <v>HOVER!</v>
      </c>
      <c r="K1299">
        <f t="shared" si="40"/>
        <v>1</v>
      </c>
    </row>
    <row r="1300" spans="1:11" x14ac:dyDescent="0.3">
      <c r="A1300">
        <f>LOOKUP(9E+307,--MID(D1300,1,{1,2,3,4,5}))</f>
        <v>10</v>
      </c>
      <c r="B1300">
        <f>VLOOKUP(MID(D1300,LOOKUP(2,1/ISNUMBER(-MID(D1300,1,{1,2,3,4,5})),{1,2,3,4,5})+1,9),'Hue codes'!$A$1:$B$10,2,FALSE)</f>
        <v>0</v>
      </c>
      <c r="C1300">
        <f t="shared" si="41"/>
        <v>10</v>
      </c>
      <c r="D1300" s="162" t="s">
        <v>24</v>
      </c>
      <c r="E1300" s="162">
        <v>8</v>
      </c>
      <c r="F1300" s="162">
        <v>10</v>
      </c>
      <c r="G1300" s="164">
        <v>1</v>
      </c>
      <c r="H1300" s="164">
        <v>0.67849999999999999</v>
      </c>
      <c r="I1300" s="164">
        <v>0.51390000000000002</v>
      </c>
      <c r="J1300" s="2" t="str">
        <f>HYPERLINK(SetRGB(J1300,G1300*255,H1300*255,I1300*255),"HOVER!")</f>
        <v>HOVER!</v>
      </c>
      <c r="K1300">
        <f t="shared" si="40"/>
        <v>0.8</v>
      </c>
    </row>
    <row r="1301" spans="1:11" x14ac:dyDescent="0.3">
      <c r="A1301">
        <f>LOOKUP(9E+307,--MID(D1301,1,{1,2,3,4,5}))</f>
        <v>2.5</v>
      </c>
      <c r="B1301">
        <f>VLOOKUP(MID(D1301,LOOKUP(2,1/ISNUMBER(-MID(D1301,1,{1,2,3,4,5})),{1,2,3,4,5})+1,9),'Hue codes'!$A$1:$B$10,2,FALSE)</f>
        <v>10</v>
      </c>
      <c r="C1301">
        <f t="shared" si="41"/>
        <v>12.5</v>
      </c>
      <c r="D1301" s="162" t="s">
        <v>25</v>
      </c>
      <c r="E1301" s="162">
        <v>8</v>
      </c>
      <c r="F1301" s="162">
        <v>2</v>
      </c>
      <c r="G1301" s="164">
        <v>0.85709999999999997</v>
      </c>
      <c r="H1301" s="164">
        <v>0.7772</v>
      </c>
      <c r="I1301" s="164">
        <v>0.7399</v>
      </c>
      <c r="J1301" s="2" t="str">
        <f>HYPERLINK(SetRGB(J1301,G1301*255,H1301*255,I1301*255),"HOVER!")</f>
        <v>HOVER!</v>
      </c>
      <c r="K1301">
        <f t="shared" si="40"/>
        <v>4</v>
      </c>
    </row>
    <row r="1302" spans="1:11" x14ac:dyDescent="0.3">
      <c r="A1302">
        <f>LOOKUP(9E+307,--MID(D1302,1,{1,2,3,4,5}))</f>
        <v>2.5</v>
      </c>
      <c r="B1302">
        <f>VLOOKUP(MID(D1302,LOOKUP(2,1/ISNUMBER(-MID(D1302,1,{1,2,3,4,5})),{1,2,3,4,5})+1,9),'Hue codes'!$A$1:$B$10,2,FALSE)</f>
        <v>10</v>
      </c>
      <c r="C1302">
        <f t="shared" si="41"/>
        <v>12.5</v>
      </c>
      <c r="D1302" s="162" t="s">
        <v>25</v>
      </c>
      <c r="E1302" s="162">
        <v>8</v>
      </c>
      <c r="F1302" s="162">
        <v>4</v>
      </c>
      <c r="G1302" s="164">
        <v>0.93530000000000002</v>
      </c>
      <c r="H1302" s="164">
        <v>0.75560000000000005</v>
      </c>
      <c r="I1302" s="164">
        <v>0.66549999999999998</v>
      </c>
      <c r="J1302" s="2" t="str">
        <f>HYPERLINK(SetRGB(J1302,G1302*255,H1302*255,I1302*255),"HOVER!")</f>
        <v>HOVER!</v>
      </c>
      <c r="K1302">
        <f t="shared" si="40"/>
        <v>2</v>
      </c>
    </row>
    <row r="1303" spans="1:11" x14ac:dyDescent="0.3">
      <c r="A1303">
        <f>LOOKUP(9E+307,--MID(D1303,1,{1,2,3,4,5}))</f>
        <v>2.5</v>
      </c>
      <c r="B1303">
        <f>VLOOKUP(MID(D1303,LOOKUP(2,1/ISNUMBER(-MID(D1303,1,{1,2,3,4,5})),{1,2,3,4,5})+1,9),'Hue codes'!$A$1:$B$10,2,FALSE)</f>
        <v>10</v>
      </c>
      <c r="C1303">
        <f t="shared" si="41"/>
        <v>12.5</v>
      </c>
      <c r="D1303" s="162" t="s">
        <v>25</v>
      </c>
      <c r="E1303" s="162">
        <v>8</v>
      </c>
      <c r="F1303" s="162">
        <v>6</v>
      </c>
      <c r="G1303" s="164">
        <v>0.99629999999999996</v>
      </c>
      <c r="H1303" s="164">
        <v>0.73560000000000003</v>
      </c>
      <c r="I1303" s="164">
        <v>0.60050000000000003</v>
      </c>
      <c r="J1303" s="2" t="str">
        <f>HYPERLINK(SetRGB(J1303,G1303*255,H1303*255,I1303*255),"HOVER!")</f>
        <v>HOVER!</v>
      </c>
      <c r="K1303">
        <f t="shared" si="40"/>
        <v>1.3333333333333333</v>
      </c>
    </row>
    <row r="1304" spans="1:11" x14ac:dyDescent="0.3">
      <c r="A1304">
        <f>LOOKUP(9E+307,--MID(D1304,1,{1,2,3,4,5}))</f>
        <v>2.5</v>
      </c>
      <c r="B1304">
        <f>VLOOKUP(MID(D1304,LOOKUP(2,1/ISNUMBER(-MID(D1304,1,{1,2,3,4,5})),{1,2,3,4,5})+1,9),'Hue codes'!$A$1:$B$10,2,FALSE)</f>
        <v>10</v>
      </c>
      <c r="C1304">
        <f t="shared" si="41"/>
        <v>12.5</v>
      </c>
      <c r="D1304" s="162" t="s">
        <v>25</v>
      </c>
      <c r="E1304" s="162">
        <v>8</v>
      </c>
      <c r="F1304" s="162">
        <v>8</v>
      </c>
      <c r="G1304" s="164">
        <v>1</v>
      </c>
      <c r="H1304" s="164">
        <v>0.71340000000000003</v>
      </c>
      <c r="I1304" s="164">
        <v>0.52759999999999996</v>
      </c>
      <c r="J1304" s="2" t="str">
        <f>HYPERLINK(SetRGB(J1304,G1304*255,H1304*255,I1304*255),"HOVER!")</f>
        <v>HOVER!</v>
      </c>
      <c r="K1304">
        <f t="shared" si="40"/>
        <v>1</v>
      </c>
    </row>
    <row r="1305" spans="1:11" x14ac:dyDescent="0.3">
      <c r="A1305">
        <f>LOOKUP(9E+307,--MID(D1305,1,{1,2,3,4,5}))</f>
        <v>2.5</v>
      </c>
      <c r="B1305">
        <f>VLOOKUP(MID(D1305,LOOKUP(2,1/ISNUMBER(-MID(D1305,1,{1,2,3,4,5})),{1,2,3,4,5})+1,9),'Hue codes'!$A$1:$B$10,2,FALSE)</f>
        <v>10</v>
      </c>
      <c r="C1305">
        <f t="shared" si="41"/>
        <v>12.5</v>
      </c>
      <c r="D1305" s="162" t="s">
        <v>25</v>
      </c>
      <c r="E1305" s="162">
        <v>8</v>
      </c>
      <c r="F1305" s="162">
        <v>10</v>
      </c>
      <c r="G1305" s="164">
        <v>1</v>
      </c>
      <c r="H1305" s="164">
        <v>0.69399999999999995</v>
      </c>
      <c r="I1305" s="164">
        <v>0.45629999999999998</v>
      </c>
      <c r="J1305" s="2" t="str">
        <f>HYPERLINK(SetRGB(J1305,G1305*255,H1305*255,I1305*255),"HOVER!")</f>
        <v>HOVER!</v>
      </c>
      <c r="K1305">
        <f t="shared" si="40"/>
        <v>0.8</v>
      </c>
    </row>
    <row r="1306" spans="1:11" x14ac:dyDescent="0.3">
      <c r="A1306">
        <f>LOOKUP(9E+307,--MID(D1306,1,{1,2,3,4,5}))</f>
        <v>2.5</v>
      </c>
      <c r="B1306">
        <f>VLOOKUP(MID(D1306,LOOKUP(2,1/ISNUMBER(-MID(D1306,1,{1,2,3,4,5})),{1,2,3,4,5})+1,9),'Hue codes'!$A$1:$B$10,2,FALSE)</f>
        <v>10</v>
      </c>
      <c r="C1306">
        <f t="shared" si="41"/>
        <v>12.5</v>
      </c>
      <c r="D1306" s="162" t="s">
        <v>25</v>
      </c>
      <c r="E1306" s="162">
        <v>8</v>
      </c>
      <c r="F1306" s="162">
        <v>12</v>
      </c>
      <c r="G1306" s="164">
        <v>1</v>
      </c>
      <c r="H1306" s="164">
        <v>0.67049999999999998</v>
      </c>
      <c r="I1306" s="164">
        <v>0.37180000000000002</v>
      </c>
      <c r="J1306" s="2" t="str">
        <f>HYPERLINK(SetRGB(J1306,G1306*255,H1306*255,I1306*255),"HOVER!")</f>
        <v>HOVER!</v>
      </c>
      <c r="K1306">
        <f t="shared" si="40"/>
        <v>0.66666666666666663</v>
      </c>
    </row>
    <row r="1307" spans="1:11" x14ac:dyDescent="0.3">
      <c r="A1307">
        <f>LOOKUP(9E+307,--MID(D1307,1,{1,2,3,4,5}))</f>
        <v>5</v>
      </c>
      <c r="B1307">
        <f>VLOOKUP(MID(D1307,LOOKUP(2,1/ISNUMBER(-MID(D1307,1,{1,2,3,4,5})),{1,2,3,4,5})+1,9),'Hue codes'!$A$1:$B$10,2,FALSE)</f>
        <v>10</v>
      </c>
      <c r="C1307">
        <f t="shared" si="41"/>
        <v>15</v>
      </c>
      <c r="D1307" s="162" t="s">
        <v>26</v>
      </c>
      <c r="E1307" s="162">
        <v>8</v>
      </c>
      <c r="F1307" s="162">
        <v>2</v>
      </c>
      <c r="G1307" s="164">
        <v>0.85909999999999997</v>
      </c>
      <c r="H1307" s="164">
        <v>0.7782</v>
      </c>
      <c r="I1307" s="164">
        <v>0.72270000000000001</v>
      </c>
      <c r="J1307" s="2" t="str">
        <f>HYPERLINK(SetRGB(J1307,G1307*255,H1307*255,I1307*255),"HOVER!")</f>
        <v>HOVER!</v>
      </c>
      <c r="K1307">
        <f t="shared" si="40"/>
        <v>4</v>
      </c>
    </row>
    <row r="1308" spans="1:11" x14ac:dyDescent="0.3">
      <c r="A1308">
        <f>LOOKUP(9E+307,--MID(D1308,1,{1,2,3,4,5}))</f>
        <v>5</v>
      </c>
      <c r="B1308">
        <f>VLOOKUP(MID(D1308,LOOKUP(2,1/ISNUMBER(-MID(D1308,1,{1,2,3,4,5})),{1,2,3,4,5})+1,9),'Hue codes'!$A$1:$B$10,2,FALSE)</f>
        <v>10</v>
      </c>
      <c r="C1308">
        <f t="shared" si="41"/>
        <v>15</v>
      </c>
      <c r="D1308" s="162" t="s">
        <v>26</v>
      </c>
      <c r="E1308" s="162">
        <v>8</v>
      </c>
      <c r="F1308" s="162">
        <v>4</v>
      </c>
      <c r="G1308" s="164">
        <v>0.92549999999999999</v>
      </c>
      <c r="H1308" s="164">
        <v>0.76149999999999995</v>
      </c>
      <c r="I1308" s="164">
        <v>0.64339999999999997</v>
      </c>
      <c r="J1308" s="2" t="str">
        <f>HYPERLINK(SetRGB(J1308,G1308*255,H1308*255,I1308*255),"HOVER!")</f>
        <v>HOVER!</v>
      </c>
      <c r="K1308">
        <f t="shared" si="40"/>
        <v>2</v>
      </c>
    </row>
    <row r="1309" spans="1:11" x14ac:dyDescent="0.3">
      <c r="A1309">
        <f>LOOKUP(9E+307,--MID(D1309,1,{1,2,3,4,5}))</f>
        <v>5</v>
      </c>
      <c r="B1309">
        <f>VLOOKUP(MID(D1309,LOOKUP(2,1/ISNUMBER(-MID(D1309,1,{1,2,3,4,5})),{1,2,3,4,5})+1,9),'Hue codes'!$A$1:$B$10,2,FALSE)</f>
        <v>10</v>
      </c>
      <c r="C1309">
        <f t="shared" si="41"/>
        <v>15</v>
      </c>
      <c r="D1309" s="162" t="s">
        <v>26</v>
      </c>
      <c r="E1309" s="162">
        <v>8</v>
      </c>
      <c r="F1309" s="162">
        <v>6</v>
      </c>
      <c r="G1309" s="164">
        <v>0.98050000000000004</v>
      </c>
      <c r="H1309" s="164">
        <v>0.74509999999999998</v>
      </c>
      <c r="I1309" s="164">
        <v>0.56820000000000004</v>
      </c>
      <c r="J1309" s="2" t="str">
        <f>HYPERLINK(SetRGB(J1309,G1309*255,H1309*255,I1309*255),"HOVER!")</f>
        <v>HOVER!</v>
      </c>
      <c r="K1309">
        <f t="shared" si="40"/>
        <v>1.3333333333333333</v>
      </c>
    </row>
    <row r="1310" spans="1:11" x14ac:dyDescent="0.3">
      <c r="A1310">
        <f>LOOKUP(9E+307,--MID(D1310,1,{1,2,3,4,5}))</f>
        <v>5</v>
      </c>
      <c r="B1310">
        <f>VLOOKUP(MID(D1310,LOOKUP(2,1/ISNUMBER(-MID(D1310,1,{1,2,3,4,5})),{1,2,3,4,5})+1,9),'Hue codes'!$A$1:$B$10,2,FALSE)</f>
        <v>10</v>
      </c>
      <c r="C1310">
        <f t="shared" si="41"/>
        <v>15</v>
      </c>
      <c r="D1310" s="162" t="s">
        <v>26</v>
      </c>
      <c r="E1310" s="162">
        <v>8</v>
      </c>
      <c r="F1310" s="162">
        <v>8</v>
      </c>
      <c r="G1310" s="164">
        <v>1</v>
      </c>
      <c r="H1310" s="164">
        <v>0.72750000000000004</v>
      </c>
      <c r="I1310" s="164">
        <v>0.48070000000000002</v>
      </c>
      <c r="J1310" s="2" t="str">
        <f>HYPERLINK(SetRGB(J1310,G1310*255,H1310*255,I1310*255),"HOVER!")</f>
        <v>HOVER!</v>
      </c>
      <c r="K1310">
        <f t="shared" si="40"/>
        <v>1</v>
      </c>
    </row>
    <row r="1311" spans="1:11" x14ac:dyDescent="0.3">
      <c r="A1311">
        <f>LOOKUP(9E+307,--MID(D1311,1,{1,2,3,4,5}))</f>
        <v>5</v>
      </c>
      <c r="B1311">
        <f>VLOOKUP(MID(D1311,LOOKUP(2,1/ISNUMBER(-MID(D1311,1,{1,2,3,4,5})),{1,2,3,4,5})+1,9),'Hue codes'!$A$1:$B$10,2,FALSE)</f>
        <v>10</v>
      </c>
      <c r="C1311">
        <f t="shared" si="41"/>
        <v>15</v>
      </c>
      <c r="D1311" s="162" t="s">
        <v>26</v>
      </c>
      <c r="E1311" s="162">
        <v>8</v>
      </c>
      <c r="F1311" s="162">
        <v>10</v>
      </c>
      <c r="G1311" s="164">
        <v>1</v>
      </c>
      <c r="H1311" s="164">
        <v>0.71240000000000003</v>
      </c>
      <c r="I1311" s="164">
        <v>0.40039999999999998</v>
      </c>
      <c r="J1311" s="2" t="str">
        <f>HYPERLINK(SetRGB(J1311,G1311*255,H1311*255,I1311*255),"HOVER!")</f>
        <v>HOVER!</v>
      </c>
      <c r="K1311">
        <f t="shared" si="40"/>
        <v>0.8</v>
      </c>
    </row>
    <row r="1312" spans="1:11" x14ac:dyDescent="0.3">
      <c r="A1312">
        <f>LOOKUP(9E+307,--MID(D1312,1,{1,2,3,4,5}))</f>
        <v>5</v>
      </c>
      <c r="B1312">
        <f>VLOOKUP(MID(D1312,LOOKUP(2,1/ISNUMBER(-MID(D1312,1,{1,2,3,4,5})),{1,2,3,4,5})+1,9),'Hue codes'!$A$1:$B$10,2,FALSE)</f>
        <v>10</v>
      </c>
      <c r="C1312">
        <f t="shared" si="41"/>
        <v>15</v>
      </c>
      <c r="D1312" s="162" t="s">
        <v>26</v>
      </c>
      <c r="E1312" s="162">
        <v>8</v>
      </c>
      <c r="F1312" s="162">
        <v>12</v>
      </c>
      <c r="G1312" s="164">
        <v>1</v>
      </c>
      <c r="H1312" s="164">
        <v>0.69630000000000003</v>
      </c>
      <c r="I1312" s="164">
        <v>0.30070000000000002</v>
      </c>
      <c r="J1312" s="2" t="str">
        <f>HYPERLINK(SetRGB(J1312,G1312*255,H1312*255,I1312*255),"HOVER!")</f>
        <v>HOVER!</v>
      </c>
      <c r="K1312">
        <f t="shared" si="40"/>
        <v>0.66666666666666663</v>
      </c>
    </row>
    <row r="1313" spans="1:11" x14ac:dyDescent="0.3">
      <c r="A1313">
        <f>LOOKUP(9E+307,--MID(D1313,1,{1,2,3,4,5}))</f>
        <v>5</v>
      </c>
      <c r="B1313">
        <f>VLOOKUP(MID(D1313,LOOKUP(2,1/ISNUMBER(-MID(D1313,1,{1,2,3,4,5})),{1,2,3,4,5})+1,9),'Hue codes'!$A$1:$B$10,2,FALSE)</f>
        <v>10</v>
      </c>
      <c r="C1313">
        <f t="shared" si="41"/>
        <v>15</v>
      </c>
      <c r="D1313" s="162" t="s">
        <v>26</v>
      </c>
      <c r="E1313" s="162">
        <v>8</v>
      </c>
      <c r="F1313" s="162">
        <v>14</v>
      </c>
      <c r="G1313" s="164">
        <v>1</v>
      </c>
      <c r="H1313" s="164">
        <v>0.68220000000000003</v>
      </c>
      <c r="I1313" s="164">
        <v>0.1704</v>
      </c>
      <c r="J1313" s="2" t="str">
        <f>HYPERLINK(SetRGB(J1313,G1313*255,H1313*255,I1313*255),"HOVER!")</f>
        <v>HOVER!</v>
      </c>
      <c r="K1313">
        <f t="shared" si="40"/>
        <v>0.5714285714285714</v>
      </c>
    </row>
    <row r="1314" spans="1:11" x14ac:dyDescent="0.3">
      <c r="A1314">
        <f>LOOKUP(9E+307,--MID(D1314,1,{1,2,3,4,5}))</f>
        <v>7.5</v>
      </c>
      <c r="B1314">
        <f>VLOOKUP(MID(D1314,LOOKUP(2,1/ISNUMBER(-MID(D1314,1,{1,2,3,4,5})),{1,2,3,4,5})+1,9),'Hue codes'!$A$1:$B$10,2,FALSE)</f>
        <v>10</v>
      </c>
      <c r="C1314">
        <f t="shared" si="41"/>
        <v>17.5</v>
      </c>
      <c r="D1314" s="162" t="s">
        <v>27</v>
      </c>
      <c r="E1314" s="162">
        <v>8</v>
      </c>
      <c r="F1314" s="162">
        <v>2</v>
      </c>
      <c r="G1314" s="164">
        <v>0.85619999999999996</v>
      </c>
      <c r="H1314" s="164">
        <v>0.78059999999999996</v>
      </c>
      <c r="I1314" s="164">
        <v>0.70860000000000001</v>
      </c>
      <c r="J1314" s="2" t="str">
        <f>HYPERLINK(SetRGB(J1314,G1314*255,H1314*255,I1314*255),"HOVER!")</f>
        <v>HOVER!</v>
      </c>
      <c r="K1314">
        <f t="shared" si="40"/>
        <v>4</v>
      </c>
    </row>
    <row r="1315" spans="1:11" x14ac:dyDescent="0.3">
      <c r="A1315">
        <f>LOOKUP(9E+307,--MID(D1315,1,{1,2,3,4,5}))</f>
        <v>7.5</v>
      </c>
      <c r="B1315">
        <f>VLOOKUP(MID(D1315,LOOKUP(2,1/ISNUMBER(-MID(D1315,1,{1,2,3,4,5})),{1,2,3,4,5})+1,9),'Hue codes'!$A$1:$B$10,2,FALSE)</f>
        <v>10</v>
      </c>
      <c r="C1315">
        <f t="shared" si="41"/>
        <v>17.5</v>
      </c>
      <c r="D1315" s="162" t="s">
        <v>27</v>
      </c>
      <c r="E1315" s="162">
        <v>8</v>
      </c>
      <c r="F1315" s="162">
        <v>4</v>
      </c>
      <c r="G1315" s="164">
        <v>0.91259999999999997</v>
      </c>
      <c r="H1315" s="164">
        <v>0.76800000000000002</v>
      </c>
      <c r="I1315" s="164">
        <v>0.62409999999999999</v>
      </c>
      <c r="J1315" s="2" t="str">
        <f>HYPERLINK(SetRGB(J1315,G1315*255,H1315*255,I1315*255),"HOVER!")</f>
        <v>HOVER!</v>
      </c>
      <c r="K1315">
        <f t="shared" si="40"/>
        <v>2</v>
      </c>
    </row>
    <row r="1316" spans="1:11" x14ac:dyDescent="0.3">
      <c r="A1316">
        <f>LOOKUP(9E+307,--MID(D1316,1,{1,2,3,4,5}))</f>
        <v>7.5</v>
      </c>
      <c r="B1316">
        <f>VLOOKUP(MID(D1316,LOOKUP(2,1/ISNUMBER(-MID(D1316,1,{1,2,3,4,5})),{1,2,3,4,5})+1,9),'Hue codes'!$A$1:$B$10,2,FALSE)</f>
        <v>10</v>
      </c>
      <c r="C1316">
        <f t="shared" si="41"/>
        <v>17.5</v>
      </c>
      <c r="D1316" s="162" t="s">
        <v>27</v>
      </c>
      <c r="E1316" s="162">
        <v>8</v>
      </c>
      <c r="F1316" s="162">
        <v>6</v>
      </c>
      <c r="G1316" s="164">
        <v>0.96279999999999999</v>
      </c>
      <c r="H1316" s="164">
        <v>0.75470000000000004</v>
      </c>
      <c r="I1316" s="164">
        <v>0.54010000000000002</v>
      </c>
      <c r="J1316" s="2" t="str">
        <f>HYPERLINK(SetRGB(J1316,G1316*255,H1316*255,I1316*255),"HOVER!")</f>
        <v>HOVER!</v>
      </c>
      <c r="K1316">
        <f t="shared" si="40"/>
        <v>1.3333333333333333</v>
      </c>
    </row>
    <row r="1317" spans="1:11" x14ac:dyDescent="0.3">
      <c r="A1317">
        <f>LOOKUP(9E+307,--MID(D1317,1,{1,2,3,4,5}))</f>
        <v>7.5</v>
      </c>
      <c r="B1317">
        <f>VLOOKUP(MID(D1317,LOOKUP(2,1/ISNUMBER(-MID(D1317,1,{1,2,3,4,5})),{1,2,3,4,5})+1,9),'Hue codes'!$A$1:$B$10,2,FALSE)</f>
        <v>10</v>
      </c>
      <c r="C1317">
        <f t="shared" si="41"/>
        <v>17.5</v>
      </c>
      <c r="D1317" s="162" t="s">
        <v>27</v>
      </c>
      <c r="E1317" s="162">
        <v>8</v>
      </c>
      <c r="F1317" s="162">
        <v>8</v>
      </c>
      <c r="G1317" s="164">
        <v>1</v>
      </c>
      <c r="H1317" s="164">
        <v>0.74160000000000004</v>
      </c>
      <c r="I1317" s="164">
        <v>0.44579999999999997</v>
      </c>
      <c r="J1317" s="2" t="str">
        <f>HYPERLINK(SetRGB(J1317,G1317*255,H1317*255,I1317*255),"HOVER!")</f>
        <v>HOVER!</v>
      </c>
      <c r="K1317">
        <f t="shared" si="40"/>
        <v>1</v>
      </c>
    </row>
    <row r="1318" spans="1:11" x14ac:dyDescent="0.3">
      <c r="A1318">
        <f>LOOKUP(9E+307,--MID(D1318,1,{1,2,3,4,5}))</f>
        <v>7.5</v>
      </c>
      <c r="B1318">
        <f>VLOOKUP(MID(D1318,LOOKUP(2,1/ISNUMBER(-MID(D1318,1,{1,2,3,4,5})),{1,2,3,4,5})+1,9),'Hue codes'!$A$1:$B$10,2,FALSE)</f>
        <v>10</v>
      </c>
      <c r="C1318">
        <f t="shared" si="41"/>
        <v>17.5</v>
      </c>
      <c r="D1318" s="162" t="s">
        <v>27</v>
      </c>
      <c r="E1318" s="162">
        <v>8</v>
      </c>
      <c r="F1318" s="162">
        <v>10</v>
      </c>
      <c r="G1318" s="164">
        <v>1</v>
      </c>
      <c r="H1318" s="164">
        <v>0.73029999999999995</v>
      </c>
      <c r="I1318" s="164">
        <v>0.35139999999999999</v>
      </c>
      <c r="J1318" s="2" t="str">
        <f>HYPERLINK(SetRGB(J1318,G1318*255,H1318*255,I1318*255),"HOVER!")</f>
        <v>HOVER!</v>
      </c>
      <c r="K1318">
        <f t="shared" si="40"/>
        <v>0.8</v>
      </c>
    </row>
    <row r="1319" spans="1:11" x14ac:dyDescent="0.3">
      <c r="A1319">
        <f>LOOKUP(9E+307,--MID(D1319,1,{1,2,3,4,5}))</f>
        <v>7.5</v>
      </c>
      <c r="B1319">
        <f>VLOOKUP(MID(D1319,LOOKUP(2,1/ISNUMBER(-MID(D1319,1,{1,2,3,4,5})),{1,2,3,4,5})+1,9),'Hue codes'!$A$1:$B$10,2,FALSE)</f>
        <v>10</v>
      </c>
      <c r="C1319">
        <f t="shared" si="41"/>
        <v>17.5</v>
      </c>
      <c r="D1319" s="162" t="s">
        <v>27</v>
      </c>
      <c r="E1319" s="162">
        <v>8</v>
      </c>
      <c r="F1319" s="162">
        <v>12</v>
      </c>
      <c r="G1319" s="164">
        <v>1</v>
      </c>
      <c r="H1319" s="164">
        <v>0.71940000000000004</v>
      </c>
      <c r="I1319" s="164">
        <v>0.2336</v>
      </c>
      <c r="J1319" s="2" t="str">
        <f>HYPERLINK(SetRGB(J1319,G1319*255,H1319*255,I1319*255),"HOVER!")</f>
        <v>HOVER!</v>
      </c>
      <c r="K1319">
        <f t="shared" si="40"/>
        <v>0.66666666666666663</v>
      </c>
    </row>
    <row r="1320" spans="1:11" x14ac:dyDescent="0.3">
      <c r="A1320">
        <f>LOOKUP(9E+307,--MID(D1320,1,{1,2,3,4,5}))</f>
        <v>10</v>
      </c>
      <c r="B1320">
        <f>VLOOKUP(MID(D1320,LOOKUP(2,1/ISNUMBER(-MID(D1320,1,{1,2,3,4,5})),{1,2,3,4,5})+1,9),'Hue codes'!$A$1:$B$10,2,FALSE)</f>
        <v>10</v>
      </c>
      <c r="C1320">
        <f t="shared" si="41"/>
        <v>20</v>
      </c>
      <c r="D1320" s="162" t="s">
        <v>28</v>
      </c>
      <c r="E1320" s="162">
        <v>8</v>
      </c>
      <c r="F1320" s="162">
        <v>2</v>
      </c>
      <c r="G1320" s="164">
        <v>0.84860000000000002</v>
      </c>
      <c r="H1320" s="164">
        <v>0.78449999999999998</v>
      </c>
      <c r="I1320" s="164">
        <v>0.69430000000000003</v>
      </c>
      <c r="J1320" s="2" t="str">
        <f>HYPERLINK(SetRGB(J1320,G1320*255,H1320*255,I1320*255),"HOVER!")</f>
        <v>HOVER!</v>
      </c>
      <c r="K1320">
        <f t="shared" si="40"/>
        <v>4</v>
      </c>
    </row>
    <row r="1321" spans="1:11" x14ac:dyDescent="0.3">
      <c r="A1321">
        <f>LOOKUP(9E+307,--MID(D1321,1,{1,2,3,4,5}))</f>
        <v>10</v>
      </c>
      <c r="B1321">
        <f>VLOOKUP(MID(D1321,LOOKUP(2,1/ISNUMBER(-MID(D1321,1,{1,2,3,4,5})),{1,2,3,4,5})+1,9),'Hue codes'!$A$1:$B$10,2,FALSE)</f>
        <v>10</v>
      </c>
      <c r="C1321">
        <f t="shared" si="41"/>
        <v>20</v>
      </c>
      <c r="D1321" s="162" t="s">
        <v>28</v>
      </c>
      <c r="E1321" s="162">
        <v>8</v>
      </c>
      <c r="F1321" s="162">
        <v>4</v>
      </c>
      <c r="G1321" s="164">
        <v>0.89559999999999995</v>
      </c>
      <c r="H1321" s="164">
        <v>0.77610000000000001</v>
      </c>
      <c r="I1321" s="164">
        <v>0.60299999999999998</v>
      </c>
      <c r="J1321" s="2" t="str">
        <f>HYPERLINK(SetRGB(J1321,G1321*255,H1321*255,I1321*255),"HOVER!")</f>
        <v>HOVER!</v>
      </c>
      <c r="K1321">
        <f t="shared" si="40"/>
        <v>2</v>
      </c>
    </row>
    <row r="1322" spans="1:11" x14ac:dyDescent="0.3">
      <c r="A1322">
        <f>LOOKUP(9E+307,--MID(D1322,1,{1,2,3,4,5}))</f>
        <v>10</v>
      </c>
      <c r="B1322">
        <f>VLOOKUP(MID(D1322,LOOKUP(2,1/ISNUMBER(-MID(D1322,1,{1,2,3,4,5})),{1,2,3,4,5})+1,9),'Hue codes'!$A$1:$B$10,2,FALSE)</f>
        <v>10</v>
      </c>
      <c r="C1322">
        <f t="shared" si="41"/>
        <v>20</v>
      </c>
      <c r="D1322" s="162" t="s">
        <v>28</v>
      </c>
      <c r="E1322" s="162">
        <v>8</v>
      </c>
      <c r="F1322" s="162">
        <v>6</v>
      </c>
      <c r="G1322" s="164">
        <v>0.93730000000000002</v>
      </c>
      <c r="H1322" s="164">
        <v>0.7671</v>
      </c>
      <c r="I1322" s="164">
        <v>0.50970000000000004</v>
      </c>
      <c r="J1322" s="2" t="str">
        <f>HYPERLINK(SetRGB(J1322,G1322*255,H1322*255,I1322*255),"HOVER!")</f>
        <v>HOVER!</v>
      </c>
      <c r="K1322">
        <f t="shared" si="40"/>
        <v>1.3333333333333333</v>
      </c>
    </row>
    <row r="1323" spans="1:11" x14ac:dyDescent="0.3">
      <c r="A1323">
        <f>LOOKUP(9E+307,--MID(D1323,1,{1,2,3,4,5}))</f>
        <v>10</v>
      </c>
      <c r="B1323">
        <f>VLOOKUP(MID(D1323,LOOKUP(2,1/ISNUMBER(-MID(D1323,1,{1,2,3,4,5})),{1,2,3,4,5})+1,9),'Hue codes'!$A$1:$B$10,2,FALSE)</f>
        <v>10</v>
      </c>
      <c r="C1323">
        <f t="shared" si="41"/>
        <v>20</v>
      </c>
      <c r="D1323" s="162" t="s">
        <v>28</v>
      </c>
      <c r="E1323" s="162">
        <v>8</v>
      </c>
      <c r="F1323" s="162">
        <v>8</v>
      </c>
      <c r="G1323" s="164">
        <v>0.97370000000000001</v>
      </c>
      <c r="H1323" s="164">
        <v>0.7581</v>
      </c>
      <c r="I1323" s="164">
        <v>0.40860000000000002</v>
      </c>
      <c r="J1323" s="2" t="str">
        <f>HYPERLINK(SetRGB(J1323,G1323*255,H1323*255,I1323*255),"HOVER!")</f>
        <v>HOVER!</v>
      </c>
      <c r="K1323">
        <f t="shared" si="40"/>
        <v>1</v>
      </c>
    </row>
    <row r="1324" spans="1:11" x14ac:dyDescent="0.3">
      <c r="A1324">
        <f>LOOKUP(9E+307,--MID(D1324,1,{1,2,3,4,5}))</f>
        <v>10</v>
      </c>
      <c r="B1324">
        <f>VLOOKUP(MID(D1324,LOOKUP(2,1/ISNUMBER(-MID(D1324,1,{1,2,3,4,5})),{1,2,3,4,5})+1,9),'Hue codes'!$A$1:$B$10,2,FALSE)</f>
        <v>10</v>
      </c>
      <c r="C1324">
        <f t="shared" si="41"/>
        <v>20</v>
      </c>
      <c r="D1324" s="162" t="s">
        <v>28</v>
      </c>
      <c r="E1324" s="162">
        <v>8</v>
      </c>
      <c r="F1324" s="162">
        <v>10</v>
      </c>
      <c r="G1324" s="164">
        <v>1</v>
      </c>
      <c r="H1324" s="164">
        <v>0.75</v>
      </c>
      <c r="I1324" s="164">
        <v>0.30349999999999999</v>
      </c>
      <c r="J1324" s="2" t="str">
        <f>HYPERLINK(SetRGB(J1324,G1324*255,H1324*255,I1324*255),"HOVER!")</f>
        <v>HOVER!</v>
      </c>
      <c r="K1324">
        <f t="shared" si="40"/>
        <v>0.8</v>
      </c>
    </row>
    <row r="1325" spans="1:11" x14ac:dyDescent="0.3">
      <c r="A1325">
        <f>LOOKUP(9E+307,--MID(D1325,1,{1,2,3,4,5}))</f>
        <v>10</v>
      </c>
      <c r="B1325">
        <f>VLOOKUP(MID(D1325,LOOKUP(2,1/ISNUMBER(-MID(D1325,1,{1,2,3,4,5})),{1,2,3,4,5})+1,9),'Hue codes'!$A$1:$B$10,2,FALSE)</f>
        <v>10</v>
      </c>
      <c r="C1325">
        <f t="shared" si="41"/>
        <v>20</v>
      </c>
      <c r="D1325" s="162" t="s">
        <v>28</v>
      </c>
      <c r="E1325" s="162">
        <v>8</v>
      </c>
      <c r="F1325" s="162">
        <v>12</v>
      </c>
      <c r="G1325" s="164">
        <v>1</v>
      </c>
      <c r="H1325" s="164">
        <v>0.74239999999999995</v>
      </c>
      <c r="I1325" s="164">
        <v>0.1585</v>
      </c>
      <c r="J1325" s="2" t="str">
        <f>HYPERLINK(SetRGB(J1325,G1325*255,H1325*255,I1325*255),"HOVER!")</f>
        <v>HOVER!</v>
      </c>
      <c r="K1325">
        <f t="shared" si="40"/>
        <v>0.66666666666666663</v>
      </c>
    </row>
    <row r="1326" spans="1:11" x14ac:dyDescent="0.3">
      <c r="A1326">
        <f>LOOKUP(9E+307,--MID(D1326,1,{1,2,3,4,5}))</f>
        <v>2.5</v>
      </c>
      <c r="B1326">
        <f>VLOOKUP(MID(D1326,LOOKUP(2,1/ISNUMBER(-MID(D1326,1,{1,2,3,4,5})),{1,2,3,4,5})+1,9),'Hue codes'!$A$1:$B$10,2,FALSE)</f>
        <v>20</v>
      </c>
      <c r="C1326">
        <f t="shared" si="41"/>
        <v>22.5</v>
      </c>
      <c r="D1326" s="162" t="s">
        <v>29</v>
      </c>
      <c r="E1326" s="162">
        <v>8</v>
      </c>
      <c r="F1326" s="162">
        <v>2</v>
      </c>
      <c r="G1326" s="164">
        <v>0.83760000000000001</v>
      </c>
      <c r="H1326" s="164">
        <v>0.78920000000000001</v>
      </c>
      <c r="I1326" s="164">
        <v>0.68269999999999997</v>
      </c>
      <c r="J1326" s="2" t="str">
        <f>HYPERLINK(SetRGB(J1326,G1326*255,H1326*255,I1326*255),"HOVER!")</f>
        <v>HOVER!</v>
      </c>
      <c r="K1326">
        <f t="shared" si="40"/>
        <v>4</v>
      </c>
    </row>
    <row r="1327" spans="1:11" x14ac:dyDescent="0.3">
      <c r="A1327">
        <f>LOOKUP(9E+307,--MID(D1327,1,{1,2,3,4,5}))</f>
        <v>2.5</v>
      </c>
      <c r="B1327">
        <f>VLOOKUP(MID(D1327,LOOKUP(2,1/ISNUMBER(-MID(D1327,1,{1,2,3,4,5})),{1,2,3,4,5})+1,9),'Hue codes'!$A$1:$B$10,2,FALSE)</f>
        <v>20</v>
      </c>
      <c r="C1327">
        <f t="shared" si="41"/>
        <v>22.5</v>
      </c>
      <c r="D1327" s="162" t="s">
        <v>29</v>
      </c>
      <c r="E1327" s="162">
        <v>8</v>
      </c>
      <c r="F1327" s="162">
        <v>4</v>
      </c>
      <c r="G1327" s="164">
        <v>0.87519999999999998</v>
      </c>
      <c r="H1327" s="164">
        <v>0.78459999999999996</v>
      </c>
      <c r="I1327" s="164">
        <v>0.58699999999999997</v>
      </c>
      <c r="J1327" s="2" t="str">
        <f>HYPERLINK(SetRGB(J1327,G1327*255,H1327*255,I1327*255),"HOVER!")</f>
        <v>HOVER!</v>
      </c>
      <c r="K1327">
        <f t="shared" si="40"/>
        <v>2</v>
      </c>
    </row>
    <row r="1328" spans="1:11" x14ac:dyDescent="0.3">
      <c r="A1328">
        <f>LOOKUP(9E+307,--MID(D1328,1,{1,2,3,4,5}))</f>
        <v>2.5</v>
      </c>
      <c r="B1328">
        <f>VLOOKUP(MID(D1328,LOOKUP(2,1/ISNUMBER(-MID(D1328,1,{1,2,3,4,5})),{1,2,3,4,5})+1,9),'Hue codes'!$A$1:$B$10,2,FALSE)</f>
        <v>20</v>
      </c>
      <c r="C1328">
        <f t="shared" si="41"/>
        <v>22.5</v>
      </c>
      <c r="D1328" s="162" t="s">
        <v>29</v>
      </c>
      <c r="E1328" s="162">
        <v>8</v>
      </c>
      <c r="F1328" s="162">
        <v>6</v>
      </c>
      <c r="G1328" s="164">
        <v>0.90969999999999995</v>
      </c>
      <c r="H1328" s="164">
        <v>0.77910000000000001</v>
      </c>
      <c r="I1328" s="164">
        <v>0.48509999999999998</v>
      </c>
      <c r="J1328" s="2" t="str">
        <f>HYPERLINK(SetRGB(J1328,G1328*255,H1328*255,I1328*255),"HOVER!")</f>
        <v>HOVER!</v>
      </c>
      <c r="K1328">
        <f t="shared" si="40"/>
        <v>1.3333333333333333</v>
      </c>
    </row>
    <row r="1329" spans="1:11" x14ac:dyDescent="0.3">
      <c r="A1329">
        <f>LOOKUP(9E+307,--MID(D1329,1,{1,2,3,4,5}))</f>
        <v>2.5</v>
      </c>
      <c r="B1329">
        <f>VLOOKUP(MID(D1329,LOOKUP(2,1/ISNUMBER(-MID(D1329,1,{1,2,3,4,5})),{1,2,3,4,5})+1,9),'Hue codes'!$A$1:$B$10,2,FALSE)</f>
        <v>20</v>
      </c>
      <c r="C1329">
        <f t="shared" si="41"/>
        <v>22.5</v>
      </c>
      <c r="D1329" s="162" t="s">
        <v>29</v>
      </c>
      <c r="E1329" s="162">
        <v>8</v>
      </c>
      <c r="F1329" s="162">
        <v>8</v>
      </c>
      <c r="G1329" s="164">
        <v>0.93899999999999995</v>
      </c>
      <c r="H1329" s="164">
        <v>0.77339999999999998</v>
      </c>
      <c r="I1329" s="164">
        <v>0.38059999999999999</v>
      </c>
      <c r="J1329" s="2" t="str">
        <f>HYPERLINK(SetRGB(J1329,G1329*255,H1329*255,I1329*255),"HOVER!")</f>
        <v>HOVER!</v>
      </c>
      <c r="K1329">
        <f t="shared" si="40"/>
        <v>1</v>
      </c>
    </row>
    <row r="1330" spans="1:11" x14ac:dyDescent="0.3">
      <c r="A1330">
        <f>LOOKUP(9E+307,--MID(D1330,1,{1,2,3,4,5}))</f>
        <v>2.5</v>
      </c>
      <c r="B1330">
        <f>VLOOKUP(MID(D1330,LOOKUP(2,1/ISNUMBER(-MID(D1330,1,{1,2,3,4,5})),{1,2,3,4,5})+1,9),'Hue codes'!$A$1:$B$10,2,FALSE)</f>
        <v>20</v>
      </c>
      <c r="C1330">
        <f t="shared" si="41"/>
        <v>22.5</v>
      </c>
      <c r="D1330" s="162" t="s">
        <v>29</v>
      </c>
      <c r="E1330" s="162">
        <v>8</v>
      </c>
      <c r="F1330" s="162">
        <v>10</v>
      </c>
      <c r="G1330" s="164">
        <v>0.96389999999999998</v>
      </c>
      <c r="H1330" s="164">
        <v>0.76800000000000002</v>
      </c>
      <c r="I1330" s="164">
        <v>0.26</v>
      </c>
      <c r="J1330" s="2" t="str">
        <f>HYPERLINK(SetRGB(J1330,G1330*255,H1330*255,I1330*255),"HOVER!")</f>
        <v>HOVER!</v>
      </c>
      <c r="K1330">
        <f t="shared" si="40"/>
        <v>0.8</v>
      </c>
    </row>
    <row r="1331" spans="1:11" x14ac:dyDescent="0.3">
      <c r="A1331">
        <f>LOOKUP(9E+307,--MID(D1331,1,{1,2,3,4,5}))</f>
        <v>2.5</v>
      </c>
      <c r="B1331">
        <f>VLOOKUP(MID(D1331,LOOKUP(2,1/ISNUMBER(-MID(D1331,1,{1,2,3,4,5})),{1,2,3,4,5})+1,9),'Hue codes'!$A$1:$B$10,2,FALSE)</f>
        <v>20</v>
      </c>
      <c r="C1331">
        <f t="shared" si="41"/>
        <v>22.5</v>
      </c>
      <c r="D1331" s="162" t="s">
        <v>29</v>
      </c>
      <c r="E1331" s="162">
        <v>8</v>
      </c>
      <c r="F1331" s="162">
        <v>12</v>
      </c>
      <c r="G1331" s="164">
        <v>0.98380000000000001</v>
      </c>
      <c r="H1331" s="164">
        <v>0.76329999999999998</v>
      </c>
      <c r="I1331" s="164">
        <v>3.8399999999999997E-2</v>
      </c>
      <c r="J1331" s="2" t="str">
        <f>HYPERLINK(SetRGB(J1331,G1331*255,H1331*255,I1331*255),"HOVER!")</f>
        <v>HOVER!</v>
      </c>
      <c r="K1331">
        <f t="shared" si="40"/>
        <v>0.66666666666666663</v>
      </c>
    </row>
    <row r="1332" spans="1:11" x14ac:dyDescent="0.3">
      <c r="A1332">
        <f>LOOKUP(9E+307,--MID(D1332,1,{1,2,3,4,5}))</f>
        <v>5</v>
      </c>
      <c r="B1332">
        <f>VLOOKUP(MID(D1332,LOOKUP(2,1/ISNUMBER(-MID(D1332,1,{1,2,3,4,5})),{1,2,3,4,5})+1,9),'Hue codes'!$A$1:$B$10,2,FALSE)</f>
        <v>20</v>
      </c>
      <c r="C1332">
        <f t="shared" si="41"/>
        <v>25</v>
      </c>
      <c r="D1332" s="162" t="s">
        <v>30</v>
      </c>
      <c r="E1332" s="162">
        <v>8</v>
      </c>
      <c r="F1332" s="162">
        <v>2</v>
      </c>
      <c r="G1332" s="164">
        <v>0.82620000000000005</v>
      </c>
      <c r="H1332" s="164">
        <v>0.79349999999999998</v>
      </c>
      <c r="I1332" s="164">
        <v>0.67610000000000003</v>
      </c>
      <c r="J1332" s="2" t="str">
        <f>HYPERLINK(SetRGB(J1332,G1332*255,H1332*255,I1332*255),"HOVER!")</f>
        <v>HOVER!</v>
      </c>
      <c r="K1332">
        <f t="shared" si="40"/>
        <v>4</v>
      </c>
    </row>
    <row r="1333" spans="1:11" x14ac:dyDescent="0.3">
      <c r="A1333">
        <f>LOOKUP(9E+307,--MID(D1333,1,{1,2,3,4,5}))</f>
        <v>5</v>
      </c>
      <c r="B1333">
        <f>VLOOKUP(MID(D1333,LOOKUP(2,1/ISNUMBER(-MID(D1333,1,{1,2,3,4,5})),{1,2,3,4,5})+1,9),'Hue codes'!$A$1:$B$10,2,FALSE)</f>
        <v>20</v>
      </c>
      <c r="C1333">
        <f t="shared" si="41"/>
        <v>25</v>
      </c>
      <c r="D1333" s="162" t="s">
        <v>30</v>
      </c>
      <c r="E1333" s="162">
        <v>8</v>
      </c>
      <c r="F1333" s="162">
        <v>4</v>
      </c>
      <c r="G1333" s="164">
        <v>0.85009999999999997</v>
      </c>
      <c r="H1333" s="164">
        <v>0.79400000000000004</v>
      </c>
      <c r="I1333" s="164">
        <v>0.57369999999999999</v>
      </c>
      <c r="J1333" s="2" t="str">
        <f>HYPERLINK(SetRGB(J1333,G1333*255,H1333*255,I1333*255),"HOVER!")</f>
        <v>HOVER!</v>
      </c>
      <c r="K1333">
        <f t="shared" si="40"/>
        <v>2</v>
      </c>
    </row>
    <row r="1334" spans="1:11" x14ac:dyDescent="0.3">
      <c r="A1334">
        <f>LOOKUP(9E+307,--MID(D1334,1,{1,2,3,4,5}))</f>
        <v>5</v>
      </c>
      <c r="B1334">
        <f>VLOOKUP(MID(D1334,LOOKUP(2,1/ISNUMBER(-MID(D1334,1,{1,2,3,4,5})),{1,2,3,4,5})+1,9),'Hue codes'!$A$1:$B$10,2,FALSE)</f>
        <v>20</v>
      </c>
      <c r="C1334">
        <f t="shared" si="41"/>
        <v>25</v>
      </c>
      <c r="D1334" s="162" t="s">
        <v>30</v>
      </c>
      <c r="E1334" s="162">
        <v>8</v>
      </c>
      <c r="F1334" s="162">
        <v>6</v>
      </c>
      <c r="G1334" s="164">
        <v>0.87470000000000003</v>
      </c>
      <c r="H1334" s="164">
        <v>0.79259999999999997</v>
      </c>
      <c r="I1334" s="164">
        <v>0.46639999999999998</v>
      </c>
      <c r="J1334" s="2" t="str">
        <f>HYPERLINK(SetRGB(J1334,G1334*255,H1334*255,I1334*255),"HOVER!")</f>
        <v>HOVER!</v>
      </c>
      <c r="K1334">
        <f t="shared" si="40"/>
        <v>1.3333333333333333</v>
      </c>
    </row>
    <row r="1335" spans="1:11" x14ac:dyDescent="0.3">
      <c r="A1335">
        <f>LOOKUP(9E+307,--MID(D1335,1,{1,2,3,4,5}))</f>
        <v>5</v>
      </c>
      <c r="B1335">
        <f>VLOOKUP(MID(D1335,LOOKUP(2,1/ISNUMBER(-MID(D1335,1,{1,2,3,4,5})),{1,2,3,4,5})+1,9),'Hue codes'!$A$1:$B$10,2,FALSE)</f>
        <v>20</v>
      </c>
      <c r="C1335">
        <f t="shared" si="41"/>
        <v>25</v>
      </c>
      <c r="D1335" s="162" t="s">
        <v>30</v>
      </c>
      <c r="E1335" s="162">
        <v>8</v>
      </c>
      <c r="F1335" s="162">
        <v>8</v>
      </c>
      <c r="G1335" s="164">
        <v>0.89570000000000005</v>
      </c>
      <c r="H1335" s="164">
        <v>0.79079999999999995</v>
      </c>
      <c r="I1335" s="164">
        <v>0.35120000000000001</v>
      </c>
      <c r="J1335" s="2" t="str">
        <f>HYPERLINK(SetRGB(J1335,G1335*255,H1335*255,I1335*255),"HOVER!")</f>
        <v>HOVER!</v>
      </c>
      <c r="K1335">
        <f t="shared" ref="K1335:K1398" si="42">E1335/F1335</f>
        <v>1</v>
      </c>
    </row>
    <row r="1336" spans="1:11" x14ac:dyDescent="0.3">
      <c r="A1336">
        <f>LOOKUP(9E+307,--MID(D1336,1,{1,2,3,4,5}))</f>
        <v>5</v>
      </c>
      <c r="B1336">
        <f>VLOOKUP(MID(D1336,LOOKUP(2,1/ISNUMBER(-MID(D1336,1,{1,2,3,4,5})),{1,2,3,4,5})+1,9),'Hue codes'!$A$1:$B$10,2,FALSE)</f>
        <v>20</v>
      </c>
      <c r="C1336">
        <f t="shared" si="41"/>
        <v>25</v>
      </c>
      <c r="D1336" s="162" t="s">
        <v>30</v>
      </c>
      <c r="E1336" s="162">
        <v>8</v>
      </c>
      <c r="F1336" s="162">
        <v>10</v>
      </c>
      <c r="G1336" s="164">
        <v>0.91339999999999999</v>
      </c>
      <c r="H1336" s="164">
        <v>0.78869999999999996</v>
      </c>
      <c r="I1336" s="164">
        <v>0.21129999999999999</v>
      </c>
      <c r="J1336" s="2" t="str">
        <f>HYPERLINK(SetRGB(J1336,G1336*255,H1336*255,I1336*255),"HOVER!")</f>
        <v>HOVER!</v>
      </c>
      <c r="K1336">
        <f t="shared" si="42"/>
        <v>0.8</v>
      </c>
    </row>
    <row r="1337" spans="1:11" x14ac:dyDescent="0.3">
      <c r="A1337">
        <f>LOOKUP(9E+307,--MID(D1337,1,{1,2,3,4,5}))</f>
        <v>7.5</v>
      </c>
      <c r="B1337">
        <f>VLOOKUP(MID(D1337,LOOKUP(2,1/ISNUMBER(-MID(D1337,1,{1,2,3,4,5})),{1,2,3,4,5})+1,9),'Hue codes'!$A$1:$B$10,2,FALSE)</f>
        <v>20</v>
      </c>
      <c r="C1337">
        <f t="shared" si="41"/>
        <v>27.5</v>
      </c>
      <c r="D1337" s="162" t="s">
        <v>31</v>
      </c>
      <c r="E1337" s="162">
        <v>8</v>
      </c>
      <c r="F1337" s="162">
        <v>2</v>
      </c>
      <c r="G1337" s="164">
        <v>0.81630000000000003</v>
      </c>
      <c r="H1337" s="164">
        <v>0.79690000000000005</v>
      </c>
      <c r="I1337" s="164">
        <v>0.67269999999999996</v>
      </c>
      <c r="J1337" s="2" t="str">
        <f>HYPERLINK(SetRGB(J1337,G1337*255,H1337*255,I1337*255),"HOVER!")</f>
        <v>HOVER!</v>
      </c>
      <c r="K1337">
        <f t="shared" si="42"/>
        <v>4</v>
      </c>
    </row>
    <row r="1338" spans="1:11" x14ac:dyDescent="0.3">
      <c r="A1338">
        <f>LOOKUP(9E+307,--MID(D1338,1,{1,2,3,4,5}))</f>
        <v>7.5</v>
      </c>
      <c r="B1338">
        <f>VLOOKUP(MID(D1338,LOOKUP(2,1/ISNUMBER(-MID(D1338,1,{1,2,3,4,5})),{1,2,3,4,5})+1,9),'Hue codes'!$A$1:$B$10,2,FALSE)</f>
        <v>20</v>
      </c>
      <c r="C1338">
        <f t="shared" si="41"/>
        <v>27.5</v>
      </c>
      <c r="D1338" s="162" t="s">
        <v>31</v>
      </c>
      <c r="E1338" s="162">
        <v>8</v>
      </c>
      <c r="F1338" s="162">
        <v>4</v>
      </c>
      <c r="G1338" s="164">
        <v>0.83450000000000002</v>
      </c>
      <c r="H1338" s="164">
        <v>0.7994</v>
      </c>
      <c r="I1338" s="164">
        <v>0.56910000000000005</v>
      </c>
      <c r="J1338" s="2" t="str">
        <f>HYPERLINK(SetRGB(J1338,G1338*255,H1338*255,I1338*255),"HOVER!")</f>
        <v>HOVER!</v>
      </c>
      <c r="K1338">
        <f t="shared" si="42"/>
        <v>2</v>
      </c>
    </row>
    <row r="1339" spans="1:11" x14ac:dyDescent="0.3">
      <c r="A1339">
        <f>LOOKUP(9E+307,--MID(D1339,1,{1,2,3,4,5}))</f>
        <v>7.5</v>
      </c>
      <c r="B1339">
        <f>VLOOKUP(MID(D1339,LOOKUP(2,1/ISNUMBER(-MID(D1339,1,{1,2,3,4,5})),{1,2,3,4,5})+1,9),'Hue codes'!$A$1:$B$10,2,FALSE)</f>
        <v>20</v>
      </c>
      <c r="C1339">
        <f t="shared" si="41"/>
        <v>27.5</v>
      </c>
      <c r="D1339" s="162" t="s">
        <v>31</v>
      </c>
      <c r="E1339" s="162">
        <v>8</v>
      </c>
      <c r="F1339" s="162">
        <v>6</v>
      </c>
      <c r="G1339" s="164">
        <v>0.84989999999999999</v>
      </c>
      <c r="H1339" s="164">
        <v>0.80130000000000001</v>
      </c>
      <c r="I1339" s="164">
        <v>0.4597</v>
      </c>
      <c r="J1339" s="2" t="str">
        <f>HYPERLINK(SetRGB(J1339,G1339*255,H1339*255,I1339*255),"HOVER!")</f>
        <v>HOVER!</v>
      </c>
      <c r="K1339">
        <f t="shared" si="42"/>
        <v>1.3333333333333333</v>
      </c>
    </row>
    <row r="1340" spans="1:11" x14ac:dyDescent="0.3">
      <c r="A1340">
        <f>LOOKUP(9E+307,--MID(D1340,1,{1,2,3,4,5}))</f>
        <v>7.5</v>
      </c>
      <c r="B1340">
        <f>VLOOKUP(MID(D1340,LOOKUP(2,1/ISNUMBER(-MID(D1340,1,{1,2,3,4,5})),{1,2,3,4,5})+1,9),'Hue codes'!$A$1:$B$10,2,FALSE)</f>
        <v>20</v>
      </c>
      <c r="C1340">
        <f t="shared" si="41"/>
        <v>27.5</v>
      </c>
      <c r="D1340" s="162" t="s">
        <v>31</v>
      </c>
      <c r="E1340" s="162">
        <v>8</v>
      </c>
      <c r="F1340" s="162">
        <v>8</v>
      </c>
      <c r="G1340" s="164">
        <v>0.8629</v>
      </c>
      <c r="H1340" s="164">
        <v>0.80249999999999999</v>
      </c>
      <c r="I1340" s="164">
        <v>0.33879999999999999</v>
      </c>
      <c r="J1340" s="2" t="str">
        <f>HYPERLINK(SetRGB(J1340,G1340*255,H1340*255,I1340*255),"HOVER!")</f>
        <v>HOVER!</v>
      </c>
      <c r="K1340">
        <f t="shared" si="42"/>
        <v>1</v>
      </c>
    </row>
    <row r="1341" spans="1:11" x14ac:dyDescent="0.3">
      <c r="A1341">
        <f>LOOKUP(9E+307,--MID(D1341,1,{1,2,3,4,5}))</f>
        <v>7.5</v>
      </c>
      <c r="B1341">
        <f>VLOOKUP(MID(D1341,LOOKUP(2,1/ISNUMBER(-MID(D1341,1,{1,2,3,4,5})),{1,2,3,4,5})+1,9),'Hue codes'!$A$1:$B$10,2,FALSE)</f>
        <v>20</v>
      </c>
      <c r="C1341">
        <f t="shared" si="41"/>
        <v>27.5</v>
      </c>
      <c r="D1341" s="162" t="s">
        <v>31</v>
      </c>
      <c r="E1341" s="162">
        <v>8</v>
      </c>
      <c r="F1341" s="162">
        <v>10</v>
      </c>
      <c r="G1341" s="164">
        <v>0.87350000000000005</v>
      </c>
      <c r="H1341" s="164">
        <v>0.80310000000000004</v>
      </c>
      <c r="I1341" s="164">
        <v>0.19</v>
      </c>
      <c r="J1341" s="2" t="str">
        <f>HYPERLINK(SetRGB(J1341,G1341*255,H1341*255,I1341*255),"HOVER!")</f>
        <v>HOVER!</v>
      </c>
      <c r="K1341">
        <f t="shared" si="42"/>
        <v>0.8</v>
      </c>
    </row>
    <row r="1342" spans="1:11" x14ac:dyDescent="0.3">
      <c r="A1342">
        <f>LOOKUP(9E+307,--MID(D1342,1,{1,2,3,4,5}))</f>
        <v>10</v>
      </c>
      <c r="B1342">
        <f>VLOOKUP(MID(D1342,LOOKUP(2,1/ISNUMBER(-MID(D1342,1,{1,2,3,4,5})),{1,2,3,4,5})+1,9),'Hue codes'!$A$1:$B$10,2,FALSE)</f>
        <v>20</v>
      </c>
      <c r="C1342">
        <f t="shared" si="41"/>
        <v>30</v>
      </c>
      <c r="D1342" s="162" t="s">
        <v>32</v>
      </c>
      <c r="E1342" s="162">
        <v>8</v>
      </c>
      <c r="F1342" s="162">
        <v>2</v>
      </c>
      <c r="G1342" s="164">
        <v>0.80649999999999999</v>
      </c>
      <c r="H1342" s="164">
        <v>0.8</v>
      </c>
      <c r="I1342" s="164">
        <v>0.67220000000000002</v>
      </c>
      <c r="J1342" s="2" t="str">
        <f>HYPERLINK(SetRGB(J1342,G1342*255,H1342*255,I1342*255),"HOVER!")</f>
        <v>HOVER!</v>
      </c>
      <c r="K1342">
        <f t="shared" si="42"/>
        <v>4</v>
      </c>
    </row>
    <row r="1343" spans="1:11" x14ac:dyDescent="0.3">
      <c r="A1343">
        <f>LOOKUP(9E+307,--MID(D1343,1,{1,2,3,4,5}))</f>
        <v>10</v>
      </c>
      <c r="B1343">
        <f>VLOOKUP(MID(D1343,LOOKUP(2,1/ISNUMBER(-MID(D1343,1,{1,2,3,4,5})),{1,2,3,4,5})+1,9),'Hue codes'!$A$1:$B$10,2,FALSE)</f>
        <v>20</v>
      </c>
      <c r="C1343">
        <f t="shared" si="41"/>
        <v>30</v>
      </c>
      <c r="D1343" s="162" t="s">
        <v>32</v>
      </c>
      <c r="E1343" s="162">
        <v>8</v>
      </c>
      <c r="F1343" s="162">
        <v>4</v>
      </c>
      <c r="G1343" s="164">
        <v>0.81699999999999995</v>
      </c>
      <c r="H1343" s="164">
        <v>0.80489999999999995</v>
      </c>
      <c r="I1343" s="164">
        <v>0.56930000000000003</v>
      </c>
      <c r="J1343" s="2" t="str">
        <f>HYPERLINK(SetRGB(J1343,G1343*255,H1343*255,I1343*255),"HOVER!")</f>
        <v>HOVER!</v>
      </c>
      <c r="K1343">
        <f t="shared" si="42"/>
        <v>2</v>
      </c>
    </row>
    <row r="1344" spans="1:11" x14ac:dyDescent="0.3">
      <c r="A1344">
        <f>LOOKUP(9E+307,--MID(D1344,1,{1,2,3,4,5}))</f>
        <v>10</v>
      </c>
      <c r="B1344">
        <f>VLOOKUP(MID(D1344,LOOKUP(2,1/ISNUMBER(-MID(D1344,1,{1,2,3,4,5})),{1,2,3,4,5})+1,9),'Hue codes'!$A$1:$B$10,2,FALSE)</f>
        <v>20</v>
      </c>
      <c r="C1344">
        <f t="shared" si="41"/>
        <v>30</v>
      </c>
      <c r="D1344" s="162" t="s">
        <v>32</v>
      </c>
      <c r="E1344" s="162">
        <v>8</v>
      </c>
      <c r="F1344" s="162">
        <v>6</v>
      </c>
      <c r="G1344" s="164">
        <v>0.82540000000000002</v>
      </c>
      <c r="H1344" s="164">
        <v>0.80910000000000004</v>
      </c>
      <c r="I1344" s="164">
        <v>0.45850000000000002</v>
      </c>
      <c r="J1344" s="2" t="str">
        <f>HYPERLINK(SetRGB(J1344,G1344*255,H1344*255,I1344*255),"HOVER!")</f>
        <v>HOVER!</v>
      </c>
      <c r="K1344">
        <f t="shared" si="42"/>
        <v>1.3333333333333333</v>
      </c>
    </row>
    <row r="1345" spans="1:11" x14ac:dyDescent="0.3">
      <c r="A1345">
        <f>LOOKUP(9E+307,--MID(D1345,1,{1,2,3,4,5}))</f>
        <v>10</v>
      </c>
      <c r="B1345">
        <f>VLOOKUP(MID(D1345,LOOKUP(2,1/ISNUMBER(-MID(D1345,1,{1,2,3,4,5})),{1,2,3,4,5})+1,9),'Hue codes'!$A$1:$B$10,2,FALSE)</f>
        <v>20</v>
      </c>
      <c r="C1345">
        <f t="shared" si="41"/>
        <v>30</v>
      </c>
      <c r="D1345" s="162" t="s">
        <v>32</v>
      </c>
      <c r="E1345" s="162">
        <v>8</v>
      </c>
      <c r="F1345" s="162">
        <v>8</v>
      </c>
      <c r="G1345" s="164">
        <v>0.83250000000000002</v>
      </c>
      <c r="H1345" s="164">
        <v>0.81220000000000003</v>
      </c>
      <c r="I1345" s="164">
        <v>0.33900000000000002</v>
      </c>
      <c r="J1345" s="2" t="str">
        <f>HYPERLINK(SetRGB(J1345,G1345*255,H1345*255,I1345*255),"HOVER!")</f>
        <v>HOVER!</v>
      </c>
      <c r="K1345">
        <f t="shared" si="42"/>
        <v>1</v>
      </c>
    </row>
    <row r="1346" spans="1:11" x14ac:dyDescent="0.3">
      <c r="A1346">
        <f>LOOKUP(9E+307,--MID(D1346,1,{1,2,3,4,5}))</f>
        <v>10</v>
      </c>
      <c r="B1346">
        <f>VLOOKUP(MID(D1346,LOOKUP(2,1/ISNUMBER(-MID(D1346,1,{1,2,3,4,5})),{1,2,3,4,5})+1,9),'Hue codes'!$A$1:$B$10,2,FALSE)</f>
        <v>20</v>
      </c>
      <c r="C1346">
        <f t="shared" si="41"/>
        <v>30</v>
      </c>
      <c r="D1346" s="162" t="s">
        <v>32</v>
      </c>
      <c r="E1346" s="162">
        <v>8</v>
      </c>
      <c r="F1346" s="162">
        <v>10</v>
      </c>
      <c r="G1346" s="164">
        <v>0.83789999999999998</v>
      </c>
      <c r="H1346" s="164">
        <v>0.81469999999999998</v>
      </c>
      <c r="I1346" s="164">
        <v>0.18479999999999999</v>
      </c>
      <c r="J1346" s="2" t="str">
        <f>HYPERLINK(SetRGB(J1346,G1346*255,H1346*255,I1346*255),"HOVER!")</f>
        <v>HOVER!</v>
      </c>
      <c r="K1346">
        <f t="shared" si="42"/>
        <v>0.8</v>
      </c>
    </row>
    <row r="1347" spans="1:11" x14ac:dyDescent="0.3">
      <c r="A1347">
        <f>LOOKUP(9E+307,--MID(D1347,1,{1,2,3,4,5}))</f>
        <v>2.5</v>
      </c>
      <c r="B1347">
        <f>VLOOKUP(MID(D1347,LOOKUP(2,1/ISNUMBER(-MID(D1347,1,{1,2,3,4,5})),{1,2,3,4,5})+1,9),'Hue codes'!$A$1:$B$10,2,FALSE)</f>
        <v>30</v>
      </c>
      <c r="C1347">
        <f t="shared" ref="C1347:C1410" si="43">IF(A1347+B1347=100,0,A1347+B1347)</f>
        <v>32.5</v>
      </c>
      <c r="D1347" s="162" t="s">
        <v>33</v>
      </c>
      <c r="E1347" s="162">
        <v>8</v>
      </c>
      <c r="F1347" s="162">
        <v>2</v>
      </c>
      <c r="G1347" s="164">
        <v>0.79420000000000002</v>
      </c>
      <c r="H1347" s="164">
        <v>0.8034</v>
      </c>
      <c r="I1347" s="164">
        <v>0.67510000000000003</v>
      </c>
      <c r="J1347" s="2" t="str">
        <f>HYPERLINK(SetRGB(J1347,G1347*255,H1347*255,I1347*255),"HOVER!")</f>
        <v>HOVER!</v>
      </c>
      <c r="K1347">
        <f t="shared" si="42"/>
        <v>4</v>
      </c>
    </row>
    <row r="1348" spans="1:11" x14ac:dyDescent="0.3">
      <c r="A1348">
        <f>LOOKUP(9E+307,--MID(D1348,1,{1,2,3,4,5}))</f>
        <v>2.5</v>
      </c>
      <c r="B1348">
        <f>VLOOKUP(MID(D1348,LOOKUP(2,1/ISNUMBER(-MID(D1348,1,{1,2,3,4,5})),{1,2,3,4,5})+1,9),'Hue codes'!$A$1:$B$10,2,FALSE)</f>
        <v>30</v>
      </c>
      <c r="C1348">
        <f t="shared" si="43"/>
        <v>32.5</v>
      </c>
      <c r="D1348" s="162" t="s">
        <v>33</v>
      </c>
      <c r="E1348" s="162">
        <v>8</v>
      </c>
      <c r="F1348" s="162">
        <v>4</v>
      </c>
      <c r="G1348" s="164">
        <v>0.79059999999999997</v>
      </c>
      <c r="H1348" s="164">
        <v>0.81220000000000003</v>
      </c>
      <c r="I1348" s="164">
        <v>0.57809999999999995</v>
      </c>
      <c r="J1348" s="2" t="str">
        <f>HYPERLINK(SetRGB(J1348,G1348*255,H1348*255,I1348*255),"HOVER!")</f>
        <v>HOVER!</v>
      </c>
      <c r="K1348">
        <f t="shared" si="42"/>
        <v>2</v>
      </c>
    </row>
    <row r="1349" spans="1:11" x14ac:dyDescent="0.3">
      <c r="A1349">
        <f>LOOKUP(9E+307,--MID(D1349,1,{1,2,3,4,5}))</f>
        <v>2.5</v>
      </c>
      <c r="B1349">
        <f>VLOOKUP(MID(D1349,LOOKUP(2,1/ISNUMBER(-MID(D1349,1,{1,2,3,4,5})),{1,2,3,4,5})+1,9),'Hue codes'!$A$1:$B$10,2,FALSE)</f>
        <v>30</v>
      </c>
      <c r="C1349">
        <f t="shared" si="43"/>
        <v>32.5</v>
      </c>
      <c r="D1349" s="162" t="s">
        <v>33</v>
      </c>
      <c r="E1349" s="162">
        <v>8</v>
      </c>
      <c r="F1349" s="162">
        <v>6</v>
      </c>
      <c r="G1349" s="164">
        <v>0.78839999999999999</v>
      </c>
      <c r="H1349" s="164">
        <v>0.81940000000000002</v>
      </c>
      <c r="I1349" s="164">
        <v>0.47220000000000001</v>
      </c>
      <c r="J1349" s="2" t="str">
        <f>HYPERLINK(SetRGB(J1349,G1349*255,H1349*255,I1349*255),"HOVER!")</f>
        <v>HOVER!</v>
      </c>
      <c r="K1349">
        <f t="shared" si="42"/>
        <v>1.3333333333333333</v>
      </c>
    </row>
    <row r="1350" spans="1:11" x14ac:dyDescent="0.3">
      <c r="A1350">
        <f>LOOKUP(9E+307,--MID(D1350,1,{1,2,3,4,5}))</f>
        <v>2.5</v>
      </c>
      <c r="B1350">
        <f>VLOOKUP(MID(D1350,LOOKUP(2,1/ISNUMBER(-MID(D1350,1,{1,2,3,4,5})),{1,2,3,4,5})+1,9),'Hue codes'!$A$1:$B$10,2,FALSE)</f>
        <v>30</v>
      </c>
      <c r="C1350">
        <f t="shared" si="43"/>
        <v>32.5</v>
      </c>
      <c r="D1350" s="162" t="s">
        <v>33</v>
      </c>
      <c r="E1350" s="162">
        <v>8</v>
      </c>
      <c r="F1350" s="162">
        <v>8</v>
      </c>
      <c r="G1350" s="164">
        <v>0.78510000000000002</v>
      </c>
      <c r="H1350" s="164">
        <v>0.82550000000000001</v>
      </c>
      <c r="I1350" s="164">
        <v>0.36020000000000002</v>
      </c>
      <c r="J1350" s="2" t="str">
        <f>HYPERLINK(SetRGB(J1350,G1350*255,H1350*255,I1350*255),"HOVER!")</f>
        <v>HOVER!</v>
      </c>
      <c r="K1350">
        <f t="shared" si="42"/>
        <v>1</v>
      </c>
    </row>
    <row r="1351" spans="1:11" x14ac:dyDescent="0.3">
      <c r="A1351">
        <f>LOOKUP(9E+307,--MID(D1351,1,{1,2,3,4,5}))</f>
        <v>2.5</v>
      </c>
      <c r="B1351">
        <f>VLOOKUP(MID(D1351,LOOKUP(2,1/ISNUMBER(-MID(D1351,1,{1,2,3,4,5})),{1,2,3,4,5})+1,9),'Hue codes'!$A$1:$B$10,2,FALSE)</f>
        <v>30</v>
      </c>
      <c r="C1351">
        <f t="shared" si="43"/>
        <v>32.5</v>
      </c>
      <c r="D1351" s="162" t="s">
        <v>33</v>
      </c>
      <c r="E1351" s="162">
        <v>8</v>
      </c>
      <c r="F1351" s="162">
        <v>10</v>
      </c>
      <c r="G1351" s="164">
        <v>0.78090000000000004</v>
      </c>
      <c r="H1351" s="164">
        <v>0.83099999999999996</v>
      </c>
      <c r="I1351" s="164">
        <v>0.2082</v>
      </c>
      <c r="J1351" s="2" t="str">
        <f>HYPERLINK(SetRGB(J1351,G1351*255,H1351*255,I1351*255),"HOVER!")</f>
        <v>HOVER!</v>
      </c>
      <c r="K1351">
        <f t="shared" si="42"/>
        <v>0.8</v>
      </c>
    </row>
    <row r="1352" spans="1:11" x14ac:dyDescent="0.3">
      <c r="A1352">
        <f>LOOKUP(9E+307,--MID(D1352,1,{1,2,3,4,5}))</f>
        <v>5</v>
      </c>
      <c r="B1352">
        <f>VLOOKUP(MID(D1352,LOOKUP(2,1/ISNUMBER(-MID(D1352,1,{1,2,3,4,5})),{1,2,3,4,5})+1,9),'Hue codes'!$A$1:$B$10,2,FALSE)</f>
        <v>30</v>
      </c>
      <c r="C1352">
        <f t="shared" si="43"/>
        <v>35</v>
      </c>
      <c r="D1352" s="162" t="s">
        <v>34</v>
      </c>
      <c r="E1352" s="162">
        <v>8</v>
      </c>
      <c r="F1352" s="162">
        <v>2</v>
      </c>
      <c r="G1352" s="164">
        <v>0.78069999999999995</v>
      </c>
      <c r="H1352" s="164">
        <v>0.80669999999999997</v>
      </c>
      <c r="I1352" s="164">
        <v>0.68289999999999995</v>
      </c>
      <c r="J1352" s="2" t="str">
        <f>HYPERLINK(SetRGB(J1352,G1352*255,H1352*255,I1352*255),"HOVER!")</f>
        <v>HOVER!</v>
      </c>
      <c r="K1352">
        <f t="shared" si="42"/>
        <v>4</v>
      </c>
    </row>
    <row r="1353" spans="1:11" x14ac:dyDescent="0.3">
      <c r="A1353">
        <f>LOOKUP(9E+307,--MID(D1353,1,{1,2,3,4,5}))</f>
        <v>5</v>
      </c>
      <c r="B1353">
        <f>VLOOKUP(MID(D1353,LOOKUP(2,1/ISNUMBER(-MID(D1353,1,{1,2,3,4,5})),{1,2,3,4,5})+1,9),'Hue codes'!$A$1:$B$10,2,FALSE)</f>
        <v>30</v>
      </c>
      <c r="C1353">
        <f t="shared" si="43"/>
        <v>35</v>
      </c>
      <c r="D1353" s="162" t="s">
        <v>34</v>
      </c>
      <c r="E1353" s="162">
        <v>8</v>
      </c>
      <c r="F1353" s="162">
        <v>4</v>
      </c>
      <c r="G1353" s="164">
        <v>0.76880000000000004</v>
      </c>
      <c r="H1353" s="164">
        <v>0.8175</v>
      </c>
      <c r="I1353" s="164">
        <v>0.59030000000000005</v>
      </c>
      <c r="J1353" s="2" t="str">
        <f>HYPERLINK(SetRGB(J1353,G1353*255,H1353*255,I1353*255),"HOVER!")</f>
        <v>HOVER!</v>
      </c>
      <c r="K1353">
        <f t="shared" si="42"/>
        <v>2</v>
      </c>
    </row>
    <row r="1354" spans="1:11" x14ac:dyDescent="0.3">
      <c r="A1354">
        <f>LOOKUP(9E+307,--MID(D1354,1,{1,2,3,4,5}))</f>
        <v>5</v>
      </c>
      <c r="B1354">
        <f>VLOOKUP(MID(D1354,LOOKUP(2,1/ISNUMBER(-MID(D1354,1,{1,2,3,4,5})),{1,2,3,4,5})+1,9),'Hue codes'!$A$1:$B$10,2,FALSE)</f>
        <v>30</v>
      </c>
      <c r="C1354">
        <f t="shared" si="43"/>
        <v>35</v>
      </c>
      <c r="D1354" s="162" t="s">
        <v>34</v>
      </c>
      <c r="E1354" s="162">
        <v>8</v>
      </c>
      <c r="F1354" s="162">
        <v>6</v>
      </c>
      <c r="G1354" s="164">
        <v>0.75329999999999997</v>
      </c>
      <c r="H1354" s="164">
        <v>0.82789999999999997</v>
      </c>
      <c r="I1354" s="164">
        <v>0.49299999999999999</v>
      </c>
      <c r="J1354" s="2" t="str">
        <f>HYPERLINK(SetRGB(J1354,G1354*255,H1354*255,I1354*255),"HOVER!")</f>
        <v>HOVER!</v>
      </c>
      <c r="K1354">
        <f t="shared" si="42"/>
        <v>1.3333333333333333</v>
      </c>
    </row>
    <row r="1355" spans="1:11" x14ac:dyDescent="0.3">
      <c r="A1355">
        <f>LOOKUP(9E+307,--MID(D1355,1,{1,2,3,4,5}))</f>
        <v>5</v>
      </c>
      <c r="B1355">
        <f>VLOOKUP(MID(D1355,LOOKUP(2,1/ISNUMBER(-MID(D1355,1,{1,2,3,4,5})),{1,2,3,4,5})+1,9),'Hue codes'!$A$1:$B$10,2,FALSE)</f>
        <v>30</v>
      </c>
      <c r="C1355">
        <f t="shared" si="43"/>
        <v>35</v>
      </c>
      <c r="D1355" s="162" t="s">
        <v>34</v>
      </c>
      <c r="E1355" s="162">
        <v>8</v>
      </c>
      <c r="F1355" s="162">
        <v>8</v>
      </c>
      <c r="G1355" s="164">
        <v>0.73680000000000001</v>
      </c>
      <c r="H1355" s="164">
        <v>0.83720000000000006</v>
      </c>
      <c r="I1355" s="164">
        <v>0.39219999999999999</v>
      </c>
      <c r="J1355" s="2" t="str">
        <f>HYPERLINK(SetRGB(J1355,G1355*255,H1355*255,I1355*255),"HOVER!")</f>
        <v>HOVER!</v>
      </c>
      <c r="K1355">
        <f t="shared" si="42"/>
        <v>1</v>
      </c>
    </row>
    <row r="1356" spans="1:11" x14ac:dyDescent="0.3">
      <c r="A1356">
        <f>LOOKUP(9E+307,--MID(D1356,1,{1,2,3,4,5}))</f>
        <v>5</v>
      </c>
      <c r="B1356">
        <f>VLOOKUP(MID(D1356,LOOKUP(2,1/ISNUMBER(-MID(D1356,1,{1,2,3,4,5})),{1,2,3,4,5})+1,9),'Hue codes'!$A$1:$B$10,2,FALSE)</f>
        <v>30</v>
      </c>
      <c r="C1356">
        <f t="shared" si="43"/>
        <v>35</v>
      </c>
      <c r="D1356" s="162" t="s">
        <v>34</v>
      </c>
      <c r="E1356" s="162">
        <v>8</v>
      </c>
      <c r="F1356" s="162">
        <v>10</v>
      </c>
      <c r="G1356" s="164">
        <v>0.71970000000000001</v>
      </c>
      <c r="H1356" s="164">
        <v>0.84570000000000001</v>
      </c>
      <c r="I1356" s="164">
        <v>0.26479999999999998</v>
      </c>
      <c r="J1356" s="2" t="str">
        <f>HYPERLINK(SetRGB(J1356,G1356*255,H1356*255,I1356*255),"HOVER!")</f>
        <v>HOVER!</v>
      </c>
      <c r="K1356">
        <f t="shared" si="42"/>
        <v>0.8</v>
      </c>
    </row>
    <row r="1357" spans="1:11" x14ac:dyDescent="0.3">
      <c r="A1357">
        <f>LOOKUP(9E+307,--MID(D1357,1,{1,2,3,4,5}))</f>
        <v>7.5</v>
      </c>
      <c r="B1357">
        <f>VLOOKUP(MID(D1357,LOOKUP(2,1/ISNUMBER(-MID(D1357,1,{1,2,3,4,5})),{1,2,3,4,5})+1,9),'Hue codes'!$A$1:$B$10,2,FALSE)</f>
        <v>30</v>
      </c>
      <c r="C1357">
        <f t="shared" si="43"/>
        <v>37.5</v>
      </c>
      <c r="D1357" s="162" t="s">
        <v>35</v>
      </c>
      <c r="E1357" s="162">
        <v>8</v>
      </c>
      <c r="F1357" s="162">
        <v>2</v>
      </c>
      <c r="G1357" s="164">
        <v>0.75409999999999999</v>
      </c>
      <c r="H1357" s="164">
        <v>0.81240000000000001</v>
      </c>
      <c r="I1357" s="164">
        <v>0.70189999999999997</v>
      </c>
      <c r="J1357" s="2" t="str">
        <f>HYPERLINK(SetRGB(J1357,G1357*255,H1357*255,I1357*255),"HOVER!")</f>
        <v>HOVER!</v>
      </c>
      <c r="K1357">
        <f t="shared" si="42"/>
        <v>4</v>
      </c>
    </row>
    <row r="1358" spans="1:11" x14ac:dyDescent="0.3">
      <c r="A1358">
        <f>LOOKUP(9E+307,--MID(D1358,1,{1,2,3,4,5}))</f>
        <v>7.5</v>
      </c>
      <c r="B1358">
        <f>VLOOKUP(MID(D1358,LOOKUP(2,1/ISNUMBER(-MID(D1358,1,{1,2,3,4,5})),{1,2,3,4,5})+1,9),'Hue codes'!$A$1:$B$10,2,FALSE)</f>
        <v>30</v>
      </c>
      <c r="C1358">
        <f t="shared" si="43"/>
        <v>37.5</v>
      </c>
      <c r="D1358" s="162" t="s">
        <v>35</v>
      </c>
      <c r="E1358" s="162">
        <v>8</v>
      </c>
      <c r="F1358" s="162">
        <v>4</v>
      </c>
      <c r="G1358" s="164">
        <v>0.71879999999999999</v>
      </c>
      <c r="H1358" s="164">
        <v>0.82809999999999995</v>
      </c>
      <c r="I1358" s="164">
        <v>0.62439999999999996</v>
      </c>
      <c r="J1358" s="2" t="str">
        <f>HYPERLINK(SetRGB(J1358,G1358*255,H1358*255,I1358*255),"HOVER!")</f>
        <v>HOVER!</v>
      </c>
      <c r="K1358">
        <f t="shared" si="42"/>
        <v>2</v>
      </c>
    </row>
    <row r="1359" spans="1:11" x14ac:dyDescent="0.3">
      <c r="A1359">
        <f>LOOKUP(9E+307,--MID(D1359,1,{1,2,3,4,5}))</f>
        <v>7.5</v>
      </c>
      <c r="B1359">
        <f>VLOOKUP(MID(D1359,LOOKUP(2,1/ISNUMBER(-MID(D1359,1,{1,2,3,4,5})),{1,2,3,4,5})+1,9),'Hue codes'!$A$1:$B$10,2,FALSE)</f>
        <v>30</v>
      </c>
      <c r="C1359">
        <f t="shared" si="43"/>
        <v>37.5</v>
      </c>
      <c r="D1359" s="162" t="s">
        <v>35</v>
      </c>
      <c r="E1359" s="162">
        <v>8</v>
      </c>
      <c r="F1359" s="162">
        <v>6</v>
      </c>
      <c r="G1359" s="164">
        <v>0.68479999999999996</v>
      </c>
      <c r="H1359" s="164">
        <v>0.84179999999999999</v>
      </c>
      <c r="I1359" s="164">
        <v>0.54400000000000004</v>
      </c>
      <c r="J1359" s="2" t="str">
        <f>HYPERLINK(SetRGB(J1359,G1359*255,H1359*255,I1359*255),"HOVER!")</f>
        <v>HOVER!</v>
      </c>
      <c r="K1359">
        <f t="shared" si="42"/>
        <v>1.3333333333333333</v>
      </c>
    </row>
    <row r="1360" spans="1:11" x14ac:dyDescent="0.3">
      <c r="A1360">
        <f>LOOKUP(9E+307,--MID(D1360,1,{1,2,3,4,5}))</f>
        <v>7.5</v>
      </c>
      <c r="B1360">
        <f>VLOOKUP(MID(D1360,LOOKUP(2,1/ISNUMBER(-MID(D1360,1,{1,2,3,4,5})),{1,2,3,4,5})+1,9),'Hue codes'!$A$1:$B$10,2,FALSE)</f>
        <v>30</v>
      </c>
      <c r="C1360">
        <f t="shared" si="43"/>
        <v>37.5</v>
      </c>
      <c r="D1360" s="162" t="s">
        <v>35</v>
      </c>
      <c r="E1360" s="162">
        <v>8</v>
      </c>
      <c r="F1360" s="162">
        <v>8</v>
      </c>
      <c r="G1360" s="164">
        <v>0.65190000000000003</v>
      </c>
      <c r="H1360" s="164">
        <v>0.8538</v>
      </c>
      <c r="I1360" s="164">
        <v>0.46039999999999998</v>
      </c>
      <c r="J1360" s="2" t="str">
        <f>HYPERLINK(SetRGB(J1360,G1360*255,H1360*255,I1360*255),"HOVER!")</f>
        <v>HOVER!</v>
      </c>
      <c r="K1360">
        <f t="shared" si="42"/>
        <v>1</v>
      </c>
    </row>
    <row r="1361" spans="1:11" x14ac:dyDescent="0.3">
      <c r="A1361">
        <f>LOOKUP(9E+307,--MID(D1361,1,{1,2,3,4,5}))</f>
        <v>7.5</v>
      </c>
      <c r="B1361">
        <f>VLOOKUP(MID(D1361,LOOKUP(2,1/ISNUMBER(-MID(D1361,1,{1,2,3,4,5})),{1,2,3,4,5})+1,9),'Hue codes'!$A$1:$B$10,2,FALSE)</f>
        <v>30</v>
      </c>
      <c r="C1361">
        <f t="shared" si="43"/>
        <v>37.5</v>
      </c>
      <c r="D1361" s="162" t="s">
        <v>35</v>
      </c>
      <c r="E1361" s="162">
        <v>8</v>
      </c>
      <c r="F1361" s="162">
        <v>10</v>
      </c>
      <c r="G1361" s="164">
        <v>0.61339999999999995</v>
      </c>
      <c r="H1361" s="164">
        <v>0.86560000000000004</v>
      </c>
      <c r="I1361" s="164">
        <v>0.3669</v>
      </c>
      <c r="J1361" s="2" t="str">
        <f>HYPERLINK(SetRGB(J1361,G1361*255,H1361*255,I1361*255),"HOVER!")</f>
        <v>HOVER!</v>
      </c>
      <c r="K1361">
        <f t="shared" si="42"/>
        <v>0.8</v>
      </c>
    </row>
    <row r="1362" spans="1:11" x14ac:dyDescent="0.3">
      <c r="A1362">
        <f>LOOKUP(9E+307,--MID(D1362,1,{1,2,3,4,5}))</f>
        <v>7.5</v>
      </c>
      <c r="B1362">
        <f>VLOOKUP(MID(D1362,LOOKUP(2,1/ISNUMBER(-MID(D1362,1,{1,2,3,4,5})),{1,2,3,4,5})+1,9),'Hue codes'!$A$1:$B$10,2,FALSE)</f>
        <v>30</v>
      </c>
      <c r="C1362">
        <f t="shared" si="43"/>
        <v>37.5</v>
      </c>
      <c r="D1362" s="162" t="s">
        <v>35</v>
      </c>
      <c r="E1362" s="162">
        <v>8</v>
      </c>
      <c r="F1362" s="162">
        <v>12</v>
      </c>
      <c r="G1362" s="164">
        <v>0.57230000000000003</v>
      </c>
      <c r="H1362" s="164">
        <v>0.87660000000000005</v>
      </c>
      <c r="I1362" s="164">
        <v>0.2482</v>
      </c>
      <c r="J1362" s="2" t="str">
        <f>HYPERLINK(SetRGB(J1362,G1362*255,H1362*255,I1362*255),"HOVER!")</f>
        <v>HOVER!</v>
      </c>
      <c r="K1362">
        <f t="shared" si="42"/>
        <v>0.66666666666666663</v>
      </c>
    </row>
    <row r="1363" spans="1:11" x14ac:dyDescent="0.3">
      <c r="A1363">
        <f>LOOKUP(9E+307,--MID(D1363,1,{1,2,3,4,5}))</f>
        <v>10</v>
      </c>
      <c r="B1363">
        <f>VLOOKUP(MID(D1363,LOOKUP(2,1/ISNUMBER(-MID(D1363,1,{1,2,3,4,5})),{1,2,3,4,5})+1,9),'Hue codes'!$A$1:$B$10,2,FALSE)</f>
        <v>30</v>
      </c>
      <c r="C1363">
        <f t="shared" si="43"/>
        <v>40</v>
      </c>
      <c r="D1363" s="162" t="s">
        <v>36</v>
      </c>
      <c r="E1363" s="162">
        <v>8</v>
      </c>
      <c r="F1363" s="162">
        <v>2</v>
      </c>
      <c r="G1363" s="164">
        <v>0.73329999999999995</v>
      </c>
      <c r="H1363" s="164">
        <v>0.81640000000000001</v>
      </c>
      <c r="I1363" s="164">
        <v>0.71960000000000002</v>
      </c>
      <c r="J1363" s="2" t="str">
        <f>HYPERLINK(SetRGB(J1363,G1363*255,H1363*255,I1363*255),"HOVER!")</f>
        <v>HOVER!</v>
      </c>
      <c r="K1363">
        <f t="shared" si="42"/>
        <v>4</v>
      </c>
    </row>
    <row r="1364" spans="1:11" x14ac:dyDescent="0.3">
      <c r="A1364">
        <f>LOOKUP(9E+307,--MID(D1364,1,{1,2,3,4,5}))</f>
        <v>10</v>
      </c>
      <c r="B1364">
        <f>VLOOKUP(MID(D1364,LOOKUP(2,1/ISNUMBER(-MID(D1364,1,{1,2,3,4,5})),{1,2,3,4,5})+1,9),'Hue codes'!$A$1:$B$10,2,FALSE)</f>
        <v>30</v>
      </c>
      <c r="C1364">
        <f t="shared" si="43"/>
        <v>40</v>
      </c>
      <c r="D1364" s="162" t="s">
        <v>36</v>
      </c>
      <c r="E1364" s="162">
        <v>8</v>
      </c>
      <c r="F1364" s="162">
        <v>4</v>
      </c>
      <c r="G1364" s="164">
        <v>0.68379999999999996</v>
      </c>
      <c r="H1364" s="164">
        <v>0.83399999999999996</v>
      </c>
      <c r="I1364" s="164">
        <v>0.65700000000000003</v>
      </c>
      <c r="J1364" s="2" t="str">
        <f>HYPERLINK(SetRGB(J1364,G1364*255,H1364*255,I1364*255),"HOVER!")</f>
        <v>HOVER!</v>
      </c>
      <c r="K1364">
        <f t="shared" si="42"/>
        <v>2</v>
      </c>
    </row>
    <row r="1365" spans="1:11" x14ac:dyDescent="0.3">
      <c r="A1365">
        <f>LOOKUP(9E+307,--MID(D1365,1,{1,2,3,4,5}))</f>
        <v>10</v>
      </c>
      <c r="B1365">
        <f>VLOOKUP(MID(D1365,LOOKUP(2,1/ISNUMBER(-MID(D1365,1,{1,2,3,4,5})),{1,2,3,4,5})+1,9),'Hue codes'!$A$1:$B$10,2,FALSE)</f>
        <v>30</v>
      </c>
      <c r="C1365">
        <f t="shared" si="43"/>
        <v>40</v>
      </c>
      <c r="D1365" s="162" t="s">
        <v>36</v>
      </c>
      <c r="E1365" s="162">
        <v>8</v>
      </c>
      <c r="F1365" s="162">
        <v>6</v>
      </c>
      <c r="G1365" s="164">
        <v>0.62909999999999999</v>
      </c>
      <c r="H1365" s="164">
        <v>0.85070000000000001</v>
      </c>
      <c r="I1365" s="164">
        <v>0.59260000000000002</v>
      </c>
      <c r="J1365" s="2" t="str">
        <f>HYPERLINK(SetRGB(J1365,G1365*255,H1365*255,I1365*255),"HOVER!")</f>
        <v>HOVER!</v>
      </c>
      <c r="K1365">
        <f t="shared" si="42"/>
        <v>1.3333333333333333</v>
      </c>
    </row>
    <row r="1366" spans="1:11" x14ac:dyDescent="0.3">
      <c r="A1366">
        <f>LOOKUP(9E+307,--MID(D1366,1,{1,2,3,4,5}))</f>
        <v>10</v>
      </c>
      <c r="B1366">
        <f>VLOOKUP(MID(D1366,LOOKUP(2,1/ISNUMBER(-MID(D1366,1,{1,2,3,4,5})),{1,2,3,4,5})+1,9),'Hue codes'!$A$1:$B$10,2,FALSE)</f>
        <v>30</v>
      </c>
      <c r="C1366">
        <f t="shared" si="43"/>
        <v>40</v>
      </c>
      <c r="D1366" s="162" t="s">
        <v>36</v>
      </c>
      <c r="E1366" s="162">
        <v>8</v>
      </c>
      <c r="F1366" s="162">
        <v>8</v>
      </c>
      <c r="G1366" s="164">
        <v>0.57440000000000002</v>
      </c>
      <c r="H1366" s="164">
        <v>0.8649</v>
      </c>
      <c r="I1366" s="164">
        <v>0.53359999999999996</v>
      </c>
      <c r="J1366" s="2" t="str">
        <f>HYPERLINK(SetRGB(J1366,G1366*255,H1366*255,I1366*255),"HOVER!")</f>
        <v>HOVER!</v>
      </c>
      <c r="K1366">
        <f t="shared" si="42"/>
        <v>1</v>
      </c>
    </row>
    <row r="1367" spans="1:11" x14ac:dyDescent="0.3">
      <c r="A1367">
        <f>LOOKUP(9E+307,--MID(D1367,1,{1,2,3,4,5}))</f>
        <v>10</v>
      </c>
      <c r="B1367">
        <f>VLOOKUP(MID(D1367,LOOKUP(2,1/ISNUMBER(-MID(D1367,1,{1,2,3,4,5})),{1,2,3,4,5})+1,9),'Hue codes'!$A$1:$B$10,2,FALSE)</f>
        <v>30</v>
      </c>
      <c r="C1367">
        <f t="shared" si="43"/>
        <v>40</v>
      </c>
      <c r="D1367" s="162" t="s">
        <v>36</v>
      </c>
      <c r="E1367" s="162">
        <v>8</v>
      </c>
      <c r="F1367" s="162">
        <v>10</v>
      </c>
      <c r="G1367" s="164">
        <v>0.50639999999999996</v>
      </c>
      <c r="H1367" s="164">
        <v>0.87960000000000005</v>
      </c>
      <c r="I1367" s="164">
        <v>0.46410000000000001</v>
      </c>
      <c r="J1367" s="2" t="str">
        <f>HYPERLINK(SetRGB(J1367,G1367*255,H1367*255,I1367*255),"HOVER!")</f>
        <v>HOVER!</v>
      </c>
      <c r="K1367">
        <f t="shared" si="42"/>
        <v>0.8</v>
      </c>
    </row>
    <row r="1368" spans="1:11" x14ac:dyDescent="0.3">
      <c r="A1368">
        <f>LOOKUP(9E+307,--MID(D1368,1,{1,2,3,4,5}))</f>
        <v>10</v>
      </c>
      <c r="B1368">
        <f>VLOOKUP(MID(D1368,LOOKUP(2,1/ISNUMBER(-MID(D1368,1,{1,2,3,4,5})),{1,2,3,4,5})+1,9),'Hue codes'!$A$1:$B$10,2,FALSE)</f>
        <v>30</v>
      </c>
      <c r="C1368">
        <f t="shared" si="43"/>
        <v>40</v>
      </c>
      <c r="D1368" s="162" t="s">
        <v>36</v>
      </c>
      <c r="E1368" s="162">
        <v>8</v>
      </c>
      <c r="F1368" s="162">
        <v>12</v>
      </c>
      <c r="G1368" s="164">
        <v>0.43030000000000002</v>
      </c>
      <c r="H1368" s="164">
        <v>0.89290000000000003</v>
      </c>
      <c r="I1368" s="164">
        <v>0.38990000000000002</v>
      </c>
      <c r="J1368" s="2" t="str">
        <f>HYPERLINK(SetRGB(J1368,G1368*255,H1368*255,I1368*255),"HOVER!")</f>
        <v>HOVER!</v>
      </c>
      <c r="K1368">
        <f t="shared" si="42"/>
        <v>0.66666666666666663</v>
      </c>
    </row>
    <row r="1369" spans="1:11" x14ac:dyDescent="0.3">
      <c r="A1369">
        <f>LOOKUP(9E+307,--MID(D1369,1,{1,2,3,4,5}))</f>
        <v>10</v>
      </c>
      <c r="B1369">
        <f>VLOOKUP(MID(D1369,LOOKUP(2,1/ISNUMBER(-MID(D1369,1,{1,2,3,4,5})),{1,2,3,4,5})+1,9),'Hue codes'!$A$1:$B$10,2,FALSE)</f>
        <v>30</v>
      </c>
      <c r="C1369">
        <f t="shared" si="43"/>
        <v>40</v>
      </c>
      <c r="D1369" s="162" t="s">
        <v>36</v>
      </c>
      <c r="E1369" s="162">
        <v>8</v>
      </c>
      <c r="F1369" s="162">
        <v>14</v>
      </c>
      <c r="G1369" s="164">
        <v>0.3347</v>
      </c>
      <c r="H1369" s="164">
        <v>0.9052</v>
      </c>
      <c r="I1369" s="164">
        <v>0.311</v>
      </c>
      <c r="J1369" s="2" t="str">
        <f>HYPERLINK(SetRGB(J1369,G1369*255,H1369*255,I1369*255),"HOVER!")</f>
        <v>HOVER!</v>
      </c>
      <c r="K1369">
        <f t="shared" si="42"/>
        <v>0.5714285714285714</v>
      </c>
    </row>
    <row r="1370" spans="1:11" x14ac:dyDescent="0.3">
      <c r="A1370">
        <f>LOOKUP(9E+307,--MID(D1370,1,{1,2,3,4,5}))</f>
        <v>10</v>
      </c>
      <c r="B1370">
        <f>VLOOKUP(MID(D1370,LOOKUP(2,1/ISNUMBER(-MID(D1370,1,{1,2,3,4,5})),{1,2,3,4,5})+1,9),'Hue codes'!$A$1:$B$10,2,FALSE)</f>
        <v>30</v>
      </c>
      <c r="C1370">
        <f t="shared" si="43"/>
        <v>40</v>
      </c>
      <c r="D1370" s="162" t="s">
        <v>36</v>
      </c>
      <c r="E1370" s="162">
        <v>8</v>
      </c>
      <c r="F1370" s="162">
        <v>16</v>
      </c>
      <c r="G1370" s="164">
        <v>0.18360000000000001</v>
      </c>
      <c r="H1370" s="164">
        <v>0.91690000000000005</v>
      </c>
      <c r="I1370" s="164">
        <v>0.21299999999999999</v>
      </c>
      <c r="J1370" s="2" t="str">
        <f>HYPERLINK(SetRGB(J1370,G1370*255,H1370*255,I1370*255),"HOVER!")</f>
        <v>HOVER!</v>
      </c>
      <c r="K1370">
        <f t="shared" si="42"/>
        <v>0.5</v>
      </c>
    </row>
    <row r="1371" spans="1:11" x14ac:dyDescent="0.3">
      <c r="A1371">
        <f>LOOKUP(9E+307,--MID(D1371,1,{1,2,3,4,5}))</f>
        <v>2.5</v>
      </c>
      <c r="B1371">
        <f>VLOOKUP(MID(D1371,LOOKUP(2,1/ISNUMBER(-MID(D1371,1,{1,2,3,4,5})),{1,2,3,4,5})+1,9),'Hue codes'!$A$1:$B$10,2,FALSE)</f>
        <v>40</v>
      </c>
      <c r="C1371">
        <f t="shared" si="43"/>
        <v>42.5</v>
      </c>
      <c r="D1371" s="162" t="s">
        <v>37</v>
      </c>
      <c r="E1371" s="162">
        <v>8</v>
      </c>
      <c r="F1371" s="162">
        <v>2</v>
      </c>
      <c r="G1371" s="164">
        <v>0.71619999999999995</v>
      </c>
      <c r="H1371" s="164">
        <v>0.81889999999999996</v>
      </c>
      <c r="I1371" s="164">
        <v>0.73950000000000005</v>
      </c>
      <c r="J1371" s="2" t="str">
        <f>HYPERLINK(SetRGB(J1371,G1371*255,H1371*255,I1371*255),"HOVER!")</f>
        <v>HOVER!</v>
      </c>
      <c r="K1371">
        <f t="shared" si="42"/>
        <v>4</v>
      </c>
    </row>
    <row r="1372" spans="1:11" x14ac:dyDescent="0.3">
      <c r="A1372">
        <f>LOOKUP(9E+307,--MID(D1372,1,{1,2,3,4,5}))</f>
        <v>2.5</v>
      </c>
      <c r="B1372">
        <f>VLOOKUP(MID(D1372,LOOKUP(2,1/ISNUMBER(-MID(D1372,1,{1,2,3,4,5})),{1,2,3,4,5})+1,9),'Hue codes'!$A$1:$B$10,2,FALSE)</f>
        <v>40</v>
      </c>
      <c r="C1372">
        <f t="shared" si="43"/>
        <v>42.5</v>
      </c>
      <c r="D1372" s="162" t="s">
        <v>37</v>
      </c>
      <c r="E1372" s="162">
        <v>8</v>
      </c>
      <c r="F1372" s="162">
        <v>4</v>
      </c>
      <c r="G1372" s="164">
        <v>0.64910000000000001</v>
      </c>
      <c r="H1372" s="164">
        <v>0.83850000000000002</v>
      </c>
      <c r="I1372" s="164">
        <v>0.69640000000000002</v>
      </c>
      <c r="J1372" s="2" t="str">
        <f>HYPERLINK(SetRGB(J1372,G1372*255,H1372*255,I1372*255),"HOVER!")</f>
        <v>HOVER!</v>
      </c>
      <c r="K1372">
        <f t="shared" si="42"/>
        <v>2</v>
      </c>
    </row>
    <row r="1373" spans="1:11" x14ac:dyDescent="0.3">
      <c r="A1373">
        <f>LOOKUP(9E+307,--MID(D1373,1,{1,2,3,4,5}))</f>
        <v>2.5</v>
      </c>
      <c r="B1373">
        <f>VLOOKUP(MID(D1373,LOOKUP(2,1/ISNUMBER(-MID(D1373,1,{1,2,3,4,5})),{1,2,3,4,5})+1,9),'Hue codes'!$A$1:$B$10,2,FALSE)</f>
        <v>40</v>
      </c>
      <c r="C1373">
        <f t="shared" si="43"/>
        <v>42.5</v>
      </c>
      <c r="D1373" s="162" t="s">
        <v>37</v>
      </c>
      <c r="E1373" s="162">
        <v>8</v>
      </c>
      <c r="F1373" s="162">
        <v>6</v>
      </c>
      <c r="G1373" s="164">
        <v>0.56810000000000005</v>
      </c>
      <c r="H1373" s="164">
        <v>0.85809999999999997</v>
      </c>
      <c r="I1373" s="164">
        <v>0.65039999999999998</v>
      </c>
      <c r="J1373" s="2" t="str">
        <f>HYPERLINK(SetRGB(J1373,G1373*255,H1373*255,I1373*255),"HOVER!")</f>
        <v>HOVER!</v>
      </c>
      <c r="K1373">
        <f t="shared" si="42"/>
        <v>1.3333333333333333</v>
      </c>
    </row>
    <row r="1374" spans="1:11" x14ac:dyDescent="0.3">
      <c r="A1374">
        <f>LOOKUP(9E+307,--MID(D1374,1,{1,2,3,4,5}))</f>
        <v>2.5</v>
      </c>
      <c r="B1374">
        <f>VLOOKUP(MID(D1374,LOOKUP(2,1/ISNUMBER(-MID(D1374,1,{1,2,3,4,5})),{1,2,3,4,5})+1,9),'Hue codes'!$A$1:$B$10,2,FALSE)</f>
        <v>40</v>
      </c>
      <c r="C1374">
        <f t="shared" si="43"/>
        <v>42.5</v>
      </c>
      <c r="D1374" s="162" t="s">
        <v>37</v>
      </c>
      <c r="E1374" s="162">
        <v>8</v>
      </c>
      <c r="F1374" s="162">
        <v>8</v>
      </c>
      <c r="G1374" s="164">
        <v>0.48759999999999998</v>
      </c>
      <c r="H1374" s="164">
        <v>0.87380000000000002</v>
      </c>
      <c r="I1374" s="164">
        <v>0.61070000000000002</v>
      </c>
      <c r="J1374" s="2" t="str">
        <f>HYPERLINK(SetRGB(J1374,G1374*255,H1374*255,I1374*255),"HOVER!")</f>
        <v>HOVER!</v>
      </c>
      <c r="K1374">
        <f t="shared" si="42"/>
        <v>1</v>
      </c>
    </row>
    <row r="1375" spans="1:11" x14ac:dyDescent="0.3">
      <c r="A1375">
        <f>LOOKUP(9E+307,--MID(D1375,1,{1,2,3,4,5}))</f>
        <v>2.5</v>
      </c>
      <c r="B1375">
        <f>VLOOKUP(MID(D1375,LOOKUP(2,1/ISNUMBER(-MID(D1375,1,{1,2,3,4,5})),{1,2,3,4,5})+1,9),'Hue codes'!$A$1:$B$10,2,FALSE)</f>
        <v>40</v>
      </c>
      <c r="C1375">
        <f t="shared" si="43"/>
        <v>42.5</v>
      </c>
      <c r="D1375" s="162" t="s">
        <v>37</v>
      </c>
      <c r="E1375" s="162">
        <v>8</v>
      </c>
      <c r="F1375" s="162">
        <v>10</v>
      </c>
      <c r="G1375" s="164">
        <v>0.38290000000000002</v>
      </c>
      <c r="H1375" s="164">
        <v>0.88929999999999998</v>
      </c>
      <c r="I1375" s="164">
        <v>0.56850000000000001</v>
      </c>
      <c r="J1375" s="2" t="str">
        <f>HYPERLINK(SetRGB(J1375,G1375*255,H1375*255,I1375*255),"HOVER!")</f>
        <v>HOVER!</v>
      </c>
      <c r="K1375">
        <f t="shared" si="42"/>
        <v>0.8</v>
      </c>
    </row>
    <row r="1376" spans="1:11" x14ac:dyDescent="0.3">
      <c r="A1376">
        <f>LOOKUP(9E+307,--MID(D1376,1,{1,2,3,4,5}))</f>
        <v>2.5</v>
      </c>
      <c r="B1376">
        <f>VLOOKUP(MID(D1376,LOOKUP(2,1/ISNUMBER(-MID(D1376,1,{1,2,3,4,5})),{1,2,3,4,5})+1,9),'Hue codes'!$A$1:$B$10,2,FALSE)</f>
        <v>40</v>
      </c>
      <c r="C1376">
        <f t="shared" si="43"/>
        <v>42.5</v>
      </c>
      <c r="D1376" s="162" t="s">
        <v>37</v>
      </c>
      <c r="E1376" s="162">
        <v>8</v>
      </c>
      <c r="F1376" s="162">
        <v>12</v>
      </c>
      <c r="G1376" s="164">
        <v>0.20979999999999999</v>
      </c>
      <c r="H1376" s="164">
        <v>0.90469999999999995</v>
      </c>
      <c r="I1376" s="164">
        <v>0.52580000000000005</v>
      </c>
      <c r="J1376" s="2" t="str">
        <f>HYPERLINK(SetRGB(J1376,G1376*255,H1376*255,I1376*255),"HOVER!")</f>
        <v>HOVER!</v>
      </c>
      <c r="K1376">
        <f t="shared" si="42"/>
        <v>0.66666666666666663</v>
      </c>
    </row>
    <row r="1377" spans="1:11" x14ac:dyDescent="0.3">
      <c r="A1377">
        <f>LOOKUP(9E+307,--MID(D1377,1,{1,2,3,4,5}))</f>
        <v>5</v>
      </c>
      <c r="B1377">
        <f>VLOOKUP(MID(D1377,LOOKUP(2,1/ISNUMBER(-MID(D1377,1,{1,2,3,4,5})),{1,2,3,4,5})+1,9),'Hue codes'!$A$1:$B$10,2,FALSE)</f>
        <v>40</v>
      </c>
      <c r="C1377">
        <f t="shared" si="43"/>
        <v>45</v>
      </c>
      <c r="D1377" s="162" t="s">
        <v>38</v>
      </c>
      <c r="E1377" s="162">
        <v>8</v>
      </c>
      <c r="F1377" s="162">
        <v>2</v>
      </c>
      <c r="G1377" s="164">
        <v>0.70660000000000001</v>
      </c>
      <c r="H1377" s="164">
        <v>0.81979999999999997</v>
      </c>
      <c r="I1377" s="164">
        <v>0.75449999999999995</v>
      </c>
      <c r="J1377" s="2" t="str">
        <f>HYPERLINK(SetRGB(J1377,G1377*255,H1377*255,I1377*255),"HOVER!")</f>
        <v>HOVER!</v>
      </c>
      <c r="K1377">
        <f t="shared" si="42"/>
        <v>4</v>
      </c>
    </row>
    <row r="1378" spans="1:11" x14ac:dyDescent="0.3">
      <c r="A1378">
        <f>LOOKUP(9E+307,--MID(D1378,1,{1,2,3,4,5}))</f>
        <v>5</v>
      </c>
      <c r="B1378">
        <f>VLOOKUP(MID(D1378,LOOKUP(2,1/ISNUMBER(-MID(D1378,1,{1,2,3,4,5})),{1,2,3,4,5})+1,9),'Hue codes'!$A$1:$B$10,2,FALSE)</f>
        <v>40</v>
      </c>
      <c r="C1378">
        <f t="shared" si="43"/>
        <v>45</v>
      </c>
      <c r="D1378" s="162" t="s">
        <v>38</v>
      </c>
      <c r="E1378" s="162">
        <v>8</v>
      </c>
      <c r="F1378" s="162">
        <v>4</v>
      </c>
      <c r="G1378" s="164">
        <v>0.62809999999999999</v>
      </c>
      <c r="H1378" s="164">
        <v>0.84030000000000005</v>
      </c>
      <c r="I1378" s="164">
        <v>0.72570000000000001</v>
      </c>
      <c r="J1378" s="2" t="str">
        <f>HYPERLINK(SetRGB(J1378,G1378*255,H1378*255,I1378*255),"HOVER!")</f>
        <v>HOVER!</v>
      </c>
      <c r="K1378">
        <f t="shared" si="42"/>
        <v>2</v>
      </c>
    </row>
    <row r="1379" spans="1:11" x14ac:dyDescent="0.3">
      <c r="A1379">
        <f>LOOKUP(9E+307,--MID(D1379,1,{1,2,3,4,5}))</f>
        <v>5</v>
      </c>
      <c r="B1379">
        <f>VLOOKUP(MID(D1379,LOOKUP(2,1/ISNUMBER(-MID(D1379,1,{1,2,3,4,5})),{1,2,3,4,5})+1,9),'Hue codes'!$A$1:$B$10,2,FALSE)</f>
        <v>40</v>
      </c>
      <c r="C1379">
        <f t="shared" si="43"/>
        <v>45</v>
      </c>
      <c r="D1379" s="162" t="s">
        <v>38</v>
      </c>
      <c r="E1379" s="162">
        <v>8</v>
      </c>
      <c r="F1379" s="162">
        <v>6</v>
      </c>
      <c r="G1379" s="164">
        <v>0.52980000000000005</v>
      </c>
      <c r="H1379" s="164">
        <v>0.8609</v>
      </c>
      <c r="I1379" s="164">
        <v>0.69650000000000001</v>
      </c>
      <c r="J1379" s="2" t="str">
        <f>HYPERLINK(SetRGB(J1379,G1379*255,H1379*255,I1379*255),"HOVER!")</f>
        <v>HOVER!</v>
      </c>
      <c r="K1379">
        <f t="shared" si="42"/>
        <v>1.3333333333333333</v>
      </c>
    </row>
    <row r="1380" spans="1:11" x14ac:dyDescent="0.3">
      <c r="A1380">
        <f>LOOKUP(9E+307,--MID(D1380,1,{1,2,3,4,5}))</f>
        <v>5</v>
      </c>
      <c r="B1380">
        <f>VLOOKUP(MID(D1380,LOOKUP(2,1/ISNUMBER(-MID(D1380,1,{1,2,3,4,5})),{1,2,3,4,5})+1,9),'Hue codes'!$A$1:$B$10,2,FALSE)</f>
        <v>40</v>
      </c>
      <c r="C1380">
        <f t="shared" si="43"/>
        <v>45</v>
      </c>
      <c r="D1380" s="162" t="s">
        <v>38</v>
      </c>
      <c r="E1380" s="162">
        <v>8</v>
      </c>
      <c r="F1380" s="162">
        <v>8</v>
      </c>
      <c r="G1380" s="164">
        <v>0.42109999999999997</v>
      </c>
      <c r="H1380" s="164">
        <v>0.87790000000000001</v>
      </c>
      <c r="I1380" s="164">
        <v>0.67169999999999996</v>
      </c>
      <c r="J1380" s="2" t="str">
        <f>HYPERLINK(SetRGB(J1380,G1380*255,H1380*255,I1380*255),"HOVER!")</f>
        <v>HOVER!</v>
      </c>
      <c r="K1380">
        <f t="shared" si="42"/>
        <v>1</v>
      </c>
    </row>
    <row r="1381" spans="1:11" x14ac:dyDescent="0.3">
      <c r="A1381">
        <f>LOOKUP(9E+307,--MID(D1381,1,{1,2,3,4,5}))</f>
        <v>5</v>
      </c>
      <c r="B1381">
        <f>VLOOKUP(MID(D1381,LOOKUP(2,1/ISNUMBER(-MID(D1381,1,{1,2,3,4,5})),{1,2,3,4,5})+1,9),'Hue codes'!$A$1:$B$10,2,FALSE)</f>
        <v>40</v>
      </c>
      <c r="C1381">
        <f t="shared" si="43"/>
        <v>45</v>
      </c>
      <c r="D1381" s="162" t="s">
        <v>38</v>
      </c>
      <c r="E1381" s="162">
        <v>8</v>
      </c>
      <c r="F1381" s="162">
        <v>10</v>
      </c>
      <c r="G1381" s="164">
        <v>0.26140000000000002</v>
      </c>
      <c r="H1381" s="164">
        <v>0.89400000000000002</v>
      </c>
      <c r="I1381" s="164">
        <v>0.64939999999999998</v>
      </c>
      <c r="J1381" s="2" t="str">
        <f>HYPERLINK(SetRGB(J1381,G1381*255,H1381*255,I1381*255),"HOVER!")</f>
        <v>HOVER!</v>
      </c>
      <c r="K1381">
        <f t="shared" si="42"/>
        <v>0.8</v>
      </c>
    </row>
    <row r="1382" spans="1:11" x14ac:dyDescent="0.3">
      <c r="A1382">
        <f>LOOKUP(9E+307,--MID(D1382,1,{1,2,3,4,5}))</f>
        <v>7.5</v>
      </c>
      <c r="B1382">
        <f>VLOOKUP(MID(D1382,LOOKUP(2,1/ISNUMBER(-MID(D1382,1,{1,2,3,4,5})),{1,2,3,4,5})+1,9),'Hue codes'!$A$1:$B$10,2,FALSE)</f>
        <v>40</v>
      </c>
      <c r="C1382">
        <f t="shared" si="43"/>
        <v>47.5</v>
      </c>
      <c r="D1382" s="162" t="s">
        <v>39</v>
      </c>
      <c r="E1382" s="162">
        <v>8</v>
      </c>
      <c r="F1382" s="162">
        <v>2</v>
      </c>
      <c r="G1382" s="164">
        <v>0.70130000000000003</v>
      </c>
      <c r="H1382" s="164">
        <v>0.82010000000000005</v>
      </c>
      <c r="I1382" s="164">
        <v>0.7651</v>
      </c>
      <c r="J1382" s="2" t="str">
        <f>HYPERLINK(SetRGB(J1382,G1382*255,H1382*255,I1382*255),"HOVER!")</f>
        <v>HOVER!</v>
      </c>
      <c r="K1382">
        <f t="shared" si="42"/>
        <v>4</v>
      </c>
    </row>
    <row r="1383" spans="1:11" x14ac:dyDescent="0.3">
      <c r="A1383">
        <f>LOOKUP(9E+307,--MID(D1383,1,{1,2,3,4,5}))</f>
        <v>7.5</v>
      </c>
      <c r="B1383">
        <f>VLOOKUP(MID(D1383,LOOKUP(2,1/ISNUMBER(-MID(D1383,1,{1,2,3,4,5})),{1,2,3,4,5})+1,9),'Hue codes'!$A$1:$B$10,2,FALSE)</f>
        <v>40</v>
      </c>
      <c r="C1383">
        <f t="shared" si="43"/>
        <v>47.5</v>
      </c>
      <c r="D1383" s="162" t="s">
        <v>39</v>
      </c>
      <c r="E1383" s="162">
        <v>8</v>
      </c>
      <c r="F1383" s="162">
        <v>4</v>
      </c>
      <c r="G1383" s="164">
        <v>0.61599999999999999</v>
      </c>
      <c r="H1383" s="164">
        <v>0.84109999999999996</v>
      </c>
      <c r="I1383" s="164">
        <v>0.74409999999999998</v>
      </c>
      <c r="J1383" s="2" t="str">
        <f>HYPERLINK(SetRGB(J1383,G1383*255,H1383*255,I1383*255),"HOVER!")</f>
        <v>HOVER!</v>
      </c>
      <c r="K1383">
        <f t="shared" si="42"/>
        <v>2</v>
      </c>
    </row>
    <row r="1384" spans="1:11" x14ac:dyDescent="0.3">
      <c r="A1384">
        <f>LOOKUP(9E+307,--MID(D1384,1,{1,2,3,4,5}))</f>
        <v>7.5</v>
      </c>
      <c r="B1384">
        <f>VLOOKUP(MID(D1384,LOOKUP(2,1/ISNUMBER(-MID(D1384,1,{1,2,3,4,5})),{1,2,3,4,5})+1,9),'Hue codes'!$A$1:$B$10,2,FALSE)</f>
        <v>40</v>
      </c>
      <c r="C1384">
        <f t="shared" si="43"/>
        <v>47.5</v>
      </c>
      <c r="D1384" s="162" t="s">
        <v>39</v>
      </c>
      <c r="E1384" s="162">
        <v>8</v>
      </c>
      <c r="F1384" s="162">
        <v>6</v>
      </c>
      <c r="G1384" s="164">
        <v>0.51100000000000001</v>
      </c>
      <c r="H1384" s="164">
        <v>0.86140000000000005</v>
      </c>
      <c r="I1384" s="164">
        <v>0.72409999999999997</v>
      </c>
      <c r="J1384" s="2" t="str">
        <f>HYPERLINK(SetRGB(J1384,G1384*255,H1384*255,I1384*255),"HOVER!")</f>
        <v>HOVER!</v>
      </c>
      <c r="K1384">
        <f t="shared" si="42"/>
        <v>1.3333333333333333</v>
      </c>
    </row>
    <row r="1385" spans="1:11" x14ac:dyDescent="0.3">
      <c r="A1385">
        <f>LOOKUP(9E+307,--MID(D1385,1,{1,2,3,4,5}))</f>
        <v>7.5</v>
      </c>
      <c r="B1385">
        <f>VLOOKUP(MID(D1385,LOOKUP(2,1/ISNUMBER(-MID(D1385,1,{1,2,3,4,5})),{1,2,3,4,5})+1,9),'Hue codes'!$A$1:$B$10,2,FALSE)</f>
        <v>40</v>
      </c>
      <c r="C1385">
        <f t="shared" si="43"/>
        <v>47.5</v>
      </c>
      <c r="D1385" s="162" t="s">
        <v>39</v>
      </c>
      <c r="E1385" s="162">
        <v>8</v>
      </c>
      <c r="F1385" s="162">
        <v>8</v>
      </c>
      <c r="G1385" s="164">
        <v>0.39119999999999999</v>
      </c>
      <c r="H1385" s="164">
        <v>0.87829999999999997</v>
      </c>
      <c r="I1385" s="164">
        <v>0.70850000000000002</v>
      </c>
      <c r="J1385" s="2" t="str">
        <f>HYPERLINK(SetRGB(J1385,G1385*255,H1385*255,I1385*255),"HOVER!")</f>
        <v>HOVER!</v>
      </c>
      <c r="K1385">
        <f t="shared" si="42"/>
        <v>1</v>
      </c>
    </row>
    <row r="1386" spans="1:11" x14ac:dyDescent="0.3">
      <c r="A1386">
        <f>LOOKUP(9E+307,--MID(D1386,1,{1,2,3,4,5}))</f>
        <v>7.5</v>
      </c>
      <c r="B1386">
        <f>VLOOKUP(MID(D1386,LOOKUP(2,1/ISNUMBER(-MID(D1386,1,{1,2,3,4,5})),{1,2,3,4,5})+1,9),'Hue codes'!$A$1:$B$10,2,FALSE)</f>
        <v>40</v>
      </c>
      <c r="C1386">
        <f t="shared" si="43"/>
        <v>47.5</v>
      </c>
      <c r="D1386" s="162" t="s">
        <v>39</v>
      </c>
      <c r="E1386" s="162">
        <v>8</v>
      </c>
      <c r="F1386" s="162">
        <v>10</v>
      </c>
      <c r="G1386" s="164">
        <v>0.18540000000000001</v>
      </c>
      <c r="H1386" s="164">
        <v>0.89480000000000004</v>
      </c>
      <c r="I1386" s="164">
        <v>0.6925</v>
      </c>
      <c r="J1386" s="2" t="str">
        <f>HYPERLINK(SetRGB(J1386,G1386*255,H1386*255,I1386*255),"HOVER!")</f>
        <v>HOVER!</v>
      </c>
      <c r="K1386">
        <f t="shared" si="42"/>
        <v>0.8</v>
      </c>
    </row>
    <row r="1387" spans="1:11" x14ac:dyDescent="0.3">
      <c r="A1387">
        <f>LOOKUP(9E+307,--MID(D1387,1,{1,2,3,4,5}))</f>
        <v>10</v>
      </c>
      <c r="B1387">
        <f>VLOOKUP(MID(D1387,LOOKUP(2,1/ISNUMBER(-MID(D1387,1,{1,2,3,4,5})),{1,2,3,4,5})+1,9),'Hue codes'!$A$1:$B$10,2,FALSE)</f>
        <v>40</v>
      </c>
      <c r="C1387">
        <f t="shared" si="43"/>
        <v>50</v>
      </c>
      <c r="D1387" s="162" t="s">
        <v>40</v>
      </c>
      <c r="E1387" s="162">
        <v>8</v>
      </c>
      <c r="F1387" s="162">
        <v>2</v>
      </c>
      <c r="G1387" s="164">
        <v>0.69779999999999998</v>
      </c>
      <c r="H1387" s="164">
        <v>0.81989999999999996</v>
      </c>
      <c r="I1387" s="164">
        <v>0.77529999999999999</v>
      </c>
      <c r="J1387" s="2" t="str">
        <f>HYPERLINK(SetRGB(J1387,G1387*255,H1387*255,I1387*255),"HOVER!")</f>
        <v>HOVER!</v>
      </c>
      <c r="K1387">
        <f t="shared" si="42"/>
        <v>4</v>
      </c>
    </row>
    <row r="1388" spans="1:11" x14ac:dyDescent="0.3">
      <c r="A1388">
        <f>LOOKUP(9E+307,--MID(D1388,1,{1,2,3,4,5}))</f>
        <v>10</v>
      </c>
      <c r="B1388">
        <f>VLOOKUP(MID(D1388,LOOKUP(2,1/ISNUMBER(-MID(D1388,1,{1,2,3,4,5})),{1,2,3,4,5})+1,9),'Hue codes'!$A$1:$B$10,2,FALSE)</f>
        <v>40</v>
      </c>
      <c r="C1388">
        <f t="shared" si="43"/>
        <v>50</v>
      </c>
      <c r="D1388" s="162" t="s">
        <v>40</v>
      </c>
      <c r="E1388" s="162">
        <v>8</v>
      </c>
      <c r="F1388" s="162">
        <v>4</v>
      </c>
      <c r="G1388" s="164">
        <v>0.60589999999999999</v>
      </c>
      <c r="H1388" s="164">
        <v>0.84130000000000005</v>
      </c>
      <c r="I1388" s="164">
        <v>0.76270000000000004</v>
      </c>
      <c r="J1388" s="2" t="str">
        <f>HYPERLINK(SetRGB(J1388,G1388*255,H1388*255,I1388*255),"HOVER!")</f>
        <v>HOVER!</v>
      </c>
      <c r="K1388">
        <f t="shared" si="42"/>
        <v>2</v>
      </c>
    </row>
    <row r="1389" spans="1:11" x14ac:dyDescent="0.3">
      <c r="A1389">
        <f>LOOKUP(9E+307,--MID(D1389,1,{1,2,3,4,5}))</f>
        <v>10</v>
      </c>
      <c r="B1389">
        <f>VLOOKUP(MID(D1389,LOOKUP(2,1/ISNUMBER(-MID(D1389,1,{1,2,3,4,5})),{1,2,3,4,5})+1,9),'Hue codes'!$A$1:$B$10,2,FALSE)</f>
        <v>40</v>
      </c>
      <c r="C1389">
        <f t="shared" si="43"/>
        <v>50</v>
      </c>
      <c r="D1389" s="162" t="s">
        <v>40</v>
      </c>
      <c r="E1389" s="162">
        <v>8</v>
      </c>
      <c r="F1389" s="162">
        <v>6</v>
      </c>
      <c r="G1389" s="164">
        <v>0.49559999999999998</v>
      </c>
      <c r="H1389" s="164">
        <v>0.86129999999999995</v>
      </c>
      <c r="I1389" s="164">
        <v>0.75149999999999995</v>
      </c>
      <c r="J1389" s="2" t="str">
        <f>HYPERLINK(SetRGB(J1389,G1389*255,H1389*255,I1389*255),"HOVER!")</f>
        <v>HOVER!</v>
      </c>
      <c r="K1389">
        <f t="shared" si="42"/>
        <v>1.3333333333333333</v>
      </c>
    </row>
    <row r="1390" spans="1:11" x14ac:dyDescent="0.3">
      <c r="A1390">
        <f>LOOKUP(9E+307,--MID(D1390,1,{1,2,3,4,5}))</f>
        <v>10</v>
      </c>
      <c r="B1390">
        <f>VLOOKUP(MID(D1390,LOOKUP(2,1/ISNUMBER(-MID(D1390,1,{1,2,3,4,5})),{1,2,3,4,5})+1,9),'Hue codes'!$A$1:$B$10,2,FALSE)</f>
        <v>40</v>
      </c>
      <c r="C1390">
        <f t="shared" si="43"/>
        <v>50</v>
      </c>
      <c r="D1390" s="162" t="s">
        <v>40</v>
      </c>
      <c r="E1390" s="162">
        <v>8</v>
      </c>
      <c r="F1390" s="162">
        <v>8</v>
      </c>
      <c r="G1390" s="164">
        <v>0.36109999999999998</v>
      </c>
      <c r="H1390" s="164">
        <v>0.87849999999999995</v>
      </c>
      <c r="I1390" s="164">
        <v>0.74229999999999996</v>
      </c>
      <c r="J1390" s="2" t="str">
        <f>HYPERLINK(SetRGB(J1390,G1390*255,H1390*255,I1390*255),"HOVER!")</f>
        <v>HOVER!</v>
      </c>
      <c r="K1390">
        <f t="shared" si="42"/>
        <v>1</v>
      </c>
    </row>
    <row r="1391" spans="1:11" x14ac:dyDescent="0.3">
      <c r="A1391">
        <f>LOOKUP(9E+307,--MID(D1391,1,{1,2,3,4,5}))</f>
        <v>10</v>
      </c>
      <c r="B1391">
        <f>VLOOKUP(MID(D1391,LOOKUP(2,1/ISNUMBER(-MID(D1391,1,{1,2,3,4,5})),{1,2,3,4,5})+1,9),'Hue codes'!$A$1:$B$10,2,FALSE)</f>
        <v>40</v>
      </c>
      <c r="C1391">
        <f t="shared" si="43"/>
        <v>50</v>
      </c>
      <c r="D1391" s="162" t="s">
        <v>40</v>
      </c>
      <c r="E1391" s="162">
        <v>8</v>
      </c>
      <c r="F1391" s="162">
        <v>10</v>
      </c>
      <c r="G1391" s="164">
        <v>7.8600000000000003E-2</v>
      </c>
      <c r="H1391" s="164">
        <v>0.89480000000000004</v>
      </c>
      <c r="I1391" s="164">
        <v>0.73399999999999999</v>
      </c>
      <c r="J1391" s="2" t="str">
        <f>HYPERLINK(SetRGB(J1391,G1391*255,H1391*255,I1391*255),"HOVER!")</f>
        <v>HOVER!</v>
      </c>
      <c r="K1391">
        <f t="shared" si="42"/>
        <v>0.8</v>
      </c>
    </row>
    <row r="1392" spans="1:11" x14ac:dyDescent="0.3">
      <c r="A1392">
        <f>LOOKUP(9E+307,--MID(D1392,1,{1,2,3,4,5}))</f>
        <v>2.5</v>
      </c>
      <c r="B1392">
        <f>VLOOKUP(MID(D1392,LOOKUP(2,1/ISNUMBER(-MID(D1392,1,{1,2,3,4,5})),{1,2,3,4,5})+1,9),'Hue codes'!$A$1:$B$10,2,FALSE)</f>
        <v>50</v>
      </c>
      <c r="C1392">
        <f t="shared" si="43"/>
        <v>52.5</v>
      </c>
      <c r="D1392" s="162" t="s">
        <v>41</v>
      </c>
      <c r="E1392" s="162">
        <v>8</v>
      </c>
      <c r="F1392" s="162">
        <v>2</v>
      </c>
      <c r="G1392" s="164">
        <v>0.6956</v>
      </c>
      <c r="H1392" s="164">
        <v>0.8196</v>
      </c>
      <c r="I1392" s="164">
        <v>0.78290000000000004</v>
      </c>
      <c r="J1392" s="2" t="str">
        <f>HYPERLINK(SetRGB(J1392,G1392*255,H1392*255,I1392*255),"HOVER!")</f>
        <v>HOVER!</v>
      </c>
      <c r="K1392">
        <f t="shared" si="42"/>
        <v>4</v>
      </c>
    </row>
    <row r="1393" spans="1:11" x14ac:dyDescent="0.3">
      <c r="A1393">
        <f>LOOKUP(9E+307,--MID(D1393,1,{1,2,3,4,5}))</f>
        <v>2.5</v>
      </c>
      <c r="B1393">
        <f>VLOOKUP(MID(D1393,LOOKUP(2,1/ISNUMBER(-MID(D1393,1,{1,2,3,4,5})),{1,2,3,4,5})+1,9),'Hue codes'!$A$1:$B$10,2,FALSE)</f>
        <v>50</v>
      </c>
      <c r="C1393">
        <f t="shared" si="43"/>
        <v>52.5</v>
      </c>
      <c r="D1393" s="162" t="s">
        <v>41</v>
      </c>
      <c r="E1393" s="162">
        <v>8</v>
      </c>
      <c r="F1393" s="162">
        <v>4</v>
      </c>
      <c r="G1393" s="164">
        <v>0.59799999999999998</v>
      </c>
      <c r="H1393" s="164">
        <v>0.84130000000000005</v>
      </c>
      <c r="I1393" s="164">
        <v>0.77829999999999999</v>
      </c>
      <c r="J1393" s="2" t="str">
        <f>HYPERLINK(SetRGB(J1393,G1393*255,H1393*255,I1393*255),"HOVER!")</f>
        <v>HOVER!</v>
      </c>
      <c r="K1393">
        <f t="shared" si="42"/>
        <v>2</v>
      </c>
    </row>
    <row r="1394" spans="1:11" x14ac:dyDescent="0.3">
      <c r="A1394">
        <f>LOOKUP(9E+307,--MID(D1394,1,{1,2,3,4,5}))</f>
        <v>2.5</v>
      </c>
      <c r="B1394">
        <f>VLOOKUP(MID(D1394,LOOKUP(2,1/ISNUMBER(-MID(D1394,1,{1,2,3,4,5})),{1,2,3,4,5})+1,9),'Hue codes'!$A$1:$B$10,2,FALSE)</f>
        <v>50</v>
      </c>
      <c r="C1394">
        <f t="shared" si="43"/>
        <v>52.5</v>
      </c>
      <c r="D1394" s="162" t="s">
        <v>41</v>
      </c>
      <c r="E1394" s="162">
        <v>8</v>
      </c>
      <c r="F1394" s="162">
        <v>6</v>
      </c>
      <c r="G1394" s="164">
        <v>0.4859</v>
      </c>
      <c r="H1394" s="164">
        <v>0.86050000000000004</v>
      </c>
      <c r="I1394" s="164">
        <v>0.77459999999999996</v>
      </c>
      <c r="J1394" s="2" t="str">
        <f>HYPERLINK(SetRGB(J1394,G1394*255,H1394*255,I1394*255),"HOVER!")</f>
        <v>HOVER!</v>
      </c>
      <c r="K1394">
        <f t="shared" si="42"/>
        <v>1.3333333333333333</v>
      </c>
    </row>
    <row r="1395" spans="1:11" x14ac:dyDescent="0.3">
      <c r="A1395">
        <f>LOOKUP(9E+307,--MID(D1395,1,{1,2,3,4,5}))</f>
        <v>2.5</v>
      </c>
      <c r="B1395">
        <f>VLOOKUP(MID(D1395,LOOKUP(2,1/ISNUMBER(-MID(D1395,1,{1,2,3,4,5})),{1,2,3,4,5})+1,9),'Hue codes'!$A$1:$B$10,2,FALSE)</f>
        <v>50</v>
      </c>
      <c r="C1395">
        <f t="shared" si="43"/>
        <v>52.5</v>
      </c>
      <c r="D1395" s="162" t="s">
        <v>41</v>
      </c>
      <c r="E1395" s="162">
        <v>8</v>
      </c>
      <c r="F1395" s="162">
        <v>8</v>
      </c>
      <c r="G1395" s="164">
        <v>0.33360000000000001</v>
      </c>
      <c r="H1395" s="164">
        <v>0.87829999999999997</v>
      </c>
      <c r="I1395" s="164">
        <v>0.77290000000000003</v>
      </c>
      <c r="J1395" s="2" t="str">
        <f>HYPERLINK(SetRGB(J1395,G1395*255,H1395*255,I1395*255),"HOVER!")</f>
        <v>HOVER!</v>
      </c>
      <c r="K1395">
        <f t="shared" si="42"/>
        <v>1</v>
      </c>
    </row>
    <row r="1396" spans="1:11" x14ac:dyDescent="0.3">
      <c r="A1396">
        <f>LOOKUP(9E+307,--MID(D1396,1,{1,2,3,4,5}))</f>
        <v>5</v>
      </c>
      <c r="B1396">
        <f>VLOOKUP(MID(D1396,LOOKUP(2,1/ISNUMBER(-MID(D1396,1,{1,2,3,4,5})),{1,2,3,4,5})+1,9),'Hue codes'!$A$1:$B$10,2,FALSE)</f>
        <v>50</v>
      </c>
      <c r="C1396">
        <f t="shared" si="43"/>
        <v>55</v>
      </c>
      <c r="D1396" s="162" t="s">
        <v>42</v>
      </c>
      <c r="E1396" s="162">
        <v>8</v>
      </c>
      <c r="F1396" s="162">
        <v>2</v>
      </c>
      <c r="G1396" s="164">
        <v>0.69510000000000005</v>
      </c>
      <c r="H1396" s="164">
        <v>0.81859999999999999</v>
      </c>
      <c r="I1396" s="164">
        <v>0.79449999999999998</v>
      </c>
      <c r="J1396" s="2" t="str">
        <f>HYPERLINK(SetRGB(J1396,G1396*255,H1396*255,I1396*255),"HOVER!")</f>
        <v>HOVER!</v>
      </c>
      <c r="K1396">
        <f t="shared" si="42"/>
        <v>4</v>
      </c>
    </row>
    <row r="1397" spans="1:11" x14ac:dyDescent="0.3">
      <c r="A1397">
        <f>LOOKUP(9E+307,--MID(D1397,1,{1,2,3,4,5}))</f>
        <v>5</v>
      </c>
      <c r="B1397">
        <f>VLOOKUP(MID(D1397,LOOKUP(2,1/ISNUMBER(-MID(D1397,1,{1,2,3,4,5})),{1,2,3,4,5})+1,9),'Hue codes'!$A$1:$B$10,2,FALSE)</f>
        <v>50</v>
      </c>
      <c r="C1397">
        <f t="shared" si="43"/>
        <v>55</v>
      </c>
      <c r="D1397" s="162" t="s">
        <v>42</v>
      </c>
      <c r="E1397" s="162">
        <v>8</v>
      </c>
      <c r="F1397" s="162">
        <v>4</v>
      </c>
      <c r="G1397" s="164">
        <v>0.59399999999999997</v>
      </c>
      <c r="H1397" s="164">
        <v>0.84</v>
      </c>
      <c r="I1397" s="164">
        <v>0.79920000000000002</v>
      </c>
      <c r="J1397" s="2" t="str">
        <f>HYPERLINK(SetRGB(J1397,G1397*255,H1397*255,I1397*255),"HOVER!")</f>
        <v>HOVER!</v>
      </c>
      <c r="K1397">
        <f t="shared" si="42"/>
        <v>2</v>
      </c>
    </row>
    <row r="1398" spans="1:11" x14ac:dyDescent="0.3">
      <c r="A1398">
        <f>LOOKUP(9E+307,--MID(D1398,1,{1,2,3,4,5}))</f>
        <v>5</v>
      </c>
      <c r="B1398">
        <f>VLOOKUP(MID(D1398,LOOKUP(2,1/ISNUMBER(-MID(D1398,1,{1,2,3,4,5})),{1,2,3,4,5})+1,9),'Hue codes'!$A$1:$B$10,2,FALSE)</f>
        <v>50</v>
      </c>
      <c r="C1398">
        <f t="shared" si="43"/>
        <v>55</v>
      </c>
      <c r="D1398" s="162" t="s">
        <v>42</v>
      </c>
      <c r="E1398" s="162">
        <v>8</v>
      </c>
      <c r="F1398" s="162">
        <v>6</v>
      </c>
      <c r="G1398" s="164">
        <v>0.4738</v>
      </c>
      <c r="H1398" s="164">
        <v>0.85919999999999996</v>
      </c>
      <c r="I1398" s="164">
        <v>0.80569999999999997</v>
      </c>
      <c r="J1398" s="2" t="str">
        <f>HYPERLINK(SetRGB(J1398,G1398*255,H1398*255,I1398*255),"HOVER!")</f>
        <v>HOVER!</v>
      </c>
      <c r="K1398">
        <f t="shared" si="42"/>
        <v>1.3333333333333333</v>
      </c>
    </row>
    <row r="1399" spans="1:11" x14ac:dyDescent="0.3">
      <c r="A1399">
        <f>LOOKUP(9E+307,--MID(D1399,1,{1,2,3,4,5}))</f>
        <v>5</v>
      </c>
      <c r="B1399">
        <f>VLOOKUP(MID(D1399,LOOKUP(2,1/ISNUMBER(-MID(D1399,1,{1,2,3,4,5})),{1,2,3,4,5})+1,9),'Hue codes'!$A$1:$B$10,2,FALSE)</f>
        <v>50</v>
      </c>
      <c r="C1399">
        <f t="shared" si="43"/>
        <v>55</v>
      </c>
      <c r="D1399" s="162" t="s">
        <v>42</v>
      </c>
      <c r="E1399" s="162">
        <v>8</v>
      </c>
      <c r="F1399" s="162">
        <v>8</v>
      </c>
      <c r="G1399" s="164">
        <v>0.2944</v>
      </c>
      <c r="H1399" s="164">
        <v>0.87749999999999995</v>
      </c>
      <c r="I1399" s="164">
        <v>0.81379999999999997</v>
      </c>
      <c r="J1399" s="2" t="str">
        <f>HYPERLINK(SetRGB(J1399,G1399*255,H1399*255,I1399*255),"HOVER!")</f>
        <v>HOVER!</v>
      </c>
      <c r="K1399">
        <f t="shared" ref="K1399:K1462" si="44">E1399/F1399</f>
        <v>1</v>
      </c>
    </row>
    <row r="1400" spans="1:11" x14ac:dyDescent="0.3">
      <c r="A1400">
        <f>LOOKUP(9E+307,--MID(D1400,1,{1,2,3,4,5}))</f>
        <v>7.5</v>
      </c>
      <c r="B1400">
        <f>VLOOKUP(MID(D1400,LOOKUP(2,1/ISNUMBER(-MID(D1400,1,{1,2,3,4,5})),{1,2,3,4,5})+1,9),'Hue codes'!$A$1:$B$10,2,FALSE)</f>
        <v>50</v>
      </c>
      <c r="C1400">
        <f t="shared" si="43"/>
        <v>57.5</v>
      </c>
      <c r="D1400" s="162" t="s">
        <v>43</v>
      </c>
      <c r="E1400" s="162">
        <v>8</v>
      </c>
      <c r="F1400" s="162">
        <v>2</v>
      </c>
      <c r="G1400" s="164">
        <v>0.69669999999999999</v>
      </c>
      <c r="H1400" s="164">
        <v>0.81679999999999997</v>
      </c>
      <c r="I1400" s="164">
        <v>0.80720000000000003</v>
      </c>
      <c r="J1400" s="2" t="str">
        <f>HYPERLINK(SetRGB(J1400,G1400*255,H1400*255,I1400*255),"HOVER!")</f>
        <v>HOVER!</v>
      </c>
      <c r="K1400">
        <f t="shared" si="44"/>
        <v>4</v>
      </c>
    </row>
    <row r="1401" spans="1:11" x14ac:dyDescent="0.3">
      <c r="A1401">
        <f>LOOKUP(9E+307,--MID(D1401,1,{1,2,3,4,5}))</f>
        <v>7.5</v>
      </c>
      <c r="B1401">
        <f>VLOOKUP(MID(D1401,LOOKUP(2,1/ISNUMBER(-MID(D1401,1,{1,2,3,4,5})),{1,2,3,4,5})+1,9),'Hue codes'!$A$1:$B$10,2,FALSE)</f>
        <v>50</v>
      </c>
      <c r="C1401">
        <f t="shared" si="43"/>
        <v>57.5</v>
      </c>
      <c r="D1401" s="162" t="s">
        <v>43</v>
      </c>
      <c r="E1401" s="162">
        <v>8</v>
      </c>
      <c r="F1401" s="162">
        <v>4</v>
      </c>
      <c r="G1401" s="164">
        <v>0.59409999999999996</v>
      </c>
      <c r="H1401" s="164">
        <v>0.8377</v>
      </c>
      <c r="I1401" s="164">
        <v>0.82089999999999996</v>
      </c>
      <c r="J1401" s="2" t="str">
        <f>HYPERLINK(SetRGB(J1401,G1401*255,H1401*255,I1401*255),"HOVER!")</f>
        <v>HOVER!</v>
      </c>
      <c r="K1401">
        <f t="shared" si="44"/>
        <v>2</v>
      </c>
    </row>
    <row r="1402" spans="1:11" x14ac:dyDescent="0.3">
      <c r="A1402">
        <f>LOOKUP(9E+307,--MID(D1402,1,{1,2,3,4,5}))</f>
        <v>7.5</v>
      </c>
      <c r="B1402">
        <f>VLOOKUP(MID(D1402,LOOKUP(2,1/ISNUMBER(-MID(D1402,1,{1,2,3,4,5})),{1,2,3,4,5})+1,9),'Hue codes'!$A$1:$B$10,2,FALSE)</f>
        <v>50</v>
      </c>
      <c r="C1402">
        <f t="shared" si="43"/>
        <v>57.5</v>
      </c>
      <c r="D1402" s="162" t="s">
        <v>43</v>
      </c>
      <c r="E1402" s="162">
        <v>8</v>
      </c>
      <c r="F1402" s="162">
        <v>6</v>
      </c>
      <c r="G1402" s="164">
        <v>0.45989999999999998</v>
      </c>
      <c r="H1402" s="164">
        <v>0.85760000000000003</v>
      </c>
      <c r="I1402" s="164">
        <v>0.83979999999999999</v>
      </c>
      <c r="J1402" s="2" t="str">
        <f>HYPERLINK(SetRGB(J1402,G1402*255,H1402*255,I1402*255),"HOVER!")</f>
        <v>HOVER!</v>
      </c>
      <c r="K1402">
        <f t="shared" si="44"/>
        <v>1.3333333333333333</v>
      </c>
    </row>
    <row r="1403" spans="1:11" x14ac:dyDescent="0.3">
      <c r="A1403">
        <f>LOOKUP(9E+307,--MID(D1403,1,{1,2,3,4,5}))</f>
        <v>7.5</v>
      </c>
      <c r="B1403">
        <f>VLOOKUP(MID(D1403,LOOKUP(2,1/ISNUMBER(-MID(D1403,1,{1,2,3,4,5})),{1,2,3,4,5})+1,9),'Hue codes'!$A$1:$B$10,2,FALSE)</f>
        <v>50</v>
      </c>
      <c r="C1403">
        <f t="shared" si="43"/>
        <v>57.5</v>
      </c>
      <c r="D1403" s="162" t="s">
        <v>43</v>
      </c>
      <c r="E1403" s="162">
        <v>8</v>
      </c>
      <c r="F1403" s="162">
        <v>8</v>
      </c>
      <c r="G1403" s="164">
        <v>0.2697</v>
      </c>
      <c r="H1403" s="164">
        <v>0.875</v>
      </c>
      <c r="I1403" s="164">
        <v>0.85580000000000001</v>
      </c>
      <c r="J1403" s="2" t="str">
        <f>HYPERLINK(SetRGB(J1403,G1403*255,H1403*255,I1403*255),"HOVER!")</f>
        <v>HOVER!</v>
      </c>
      <c r="K1403">
        <f t="shared" si="44"/>
        <v>1</v>
      </c>
    </row>
    <row r="1404" spans="1:11" x14ac:dyDescent="0.3">
      <c r="A1404">
        <f>LOOKUP(9E+307,--MID(D1404,1,{1,2,3,4,5}))</f>
        <v>10</v>
      </c>
      <c r="B1404">
        <f>VLOOKUP(MID(D1404,LOOKUP(2,1/ISNUMBER(-MID(D1404,1,{1,2,3,4,5})),{1,2,3,4,5})+1,9),'Hue codes'!$A$1:$B$10,2,FALSE)</f>
        <v>50</v>
      </c>
      <c r="C1404">
        <f t="shared" si="43"/>
        <v>60</v>
      </c>
      <c r="D1404" s="162" t="s">
        <v>44</v>
      </c>
      <c r="E1404" s="162">
        <v>8</v>
      </c>
      <c r="F1404" s="162">
        <v>2</v>
      </c>
      <c r="G1404" s="164">
        <v>0.70130000000000003</v>
      </c>
      <c r="H1404" s="164">
        <v>0.81479999999999997</v>
      </c>
      <c r="I1404" s="164">
        <v>0.81530000000000002</v>
      </c>
      <c r="J1404" s="2" t="str">
        <f>HYPERLINK(SetRGB(J1404,G1404*255,H1404*255,I1404*255),"HOVER!")</f>
        <v>HOVER!</v>
      </c>
      <c r="K1404">
        <f t="shared" si="44"/>
        <v>4</v>
      </c>
    </row>
    <row r="1405" spans="1:11" x14ac:dyDescent="0.3">
      <c r="A1405">
        <f>LOOKUP(9E+307,--MID(D1405,1,{1,2,3,4,5}))</f>
        <v>10</v>
      </c>
      <c r="B1405">
        <f>VLOOKUP(MID(D1405,LOOKUP(2,1/ISNUMBER(-MID(D1405,1,{1,2,3,4,5})),{1,2,3,4,5})+1,9),'Hue codes'!$A$1:$B$10,2,FALSE)</f>
        <v>50</v>
      </c>
      <c r="C1405">
        <f t="shared" si="43"/>
        <v>60</v>
      </c>
      <c r="D1405" s="162" t="s">
        <v>44</v>
      </c>
      <c r="E1405" s="162">
        <v>8</v>
      </c>
      <c r="F1405" s="162">
        <v>4</v>
      </c>
      <c r="G1405" s="164">
        <v>0.59319999999999995</v>
      </c>
      <c r="H1405" s="164">
        <v>0.8357</v>
      </c>
      <c r="I1405" s="164">
        <v>0.84089999999999998</v>
      </c>
      <c r="J1405" s="2" t="str">
        <f>HYPERLINK(SetRGB(J1405,G1405*255,H1405*255,I1405*255),"HOVER!")</f>
        <v>HOVER!</v>
      </c>
      <c r="K1405">
        <f t="shared" si="44"/>
        <v>2</v>
      </c>
    </row>
    <row r="1406" spans="1:11" x14ac:dyDescent="0.3">
      <c r="A1406">
        <f>LOOKUP(9E+307,--MID(D1406,1,{1,2,3,4,5}))</f>
        <v>10</v>
      </c>
      <c r="B1406">
        <f>VLOOKUP(MID(D1406,LOOKUP(2,1/ISNUMBER(-MID(D1406,1,{1,2,3,4,5})),{1,2,3,4,5})+1,9),'Hue codes'!$A$1:$B$10,2,FALSE)</f>
        <v>50</v>
      </c>
      <c r="C1406">
        <f t="shared" si="43"/>
        <v>60</v>
      </c>
      <c r="D1406" s="162" t="s">
        <v>44</v>
      </c>
      <c r="E1406" s="162">
        <v>8</v>
      </c>
      <c r="F1406" s="162">
        <v>6</v>
      </c>
      <c r="G1406" s="164">
        <v>0.46100000000000002</v>
      </c>
      <c r="H1406" s="164">
        <v>0.85440000000000005</v>
      </c>
      <c r="I1406" s="164">
        <v>0.86699999999999999</v>
      </c>
      <c r="J1406" s="2" t="str">
        <f>HYPERLINK(SetRGB(J1406,G1406*255,H1406*255,I1406*255),"HOVER!")</f>
        <v>HOVER!</v>
      </c>
      <c r="K1406">
        <f t="shared" si="44"/>
        <v>1.3333333333333333</v>
      </c>
    </row>
    <row r="1407" spans="1:11" x14ac:dyDescent="0.3">
      <c r="A1407">
        <f>LOOKUP(9E+307,--MID(D1407,1,{1,2,3,4,5}))</f>
        <v>10</v>
      </c>
      <c r="B1407">
        <f>VLOOKUP(MID(D1407,LOOKUP(2,1/ISNUMBER(-MID(D1407,1,{1,2,3,4,5})),{1,2,3,4,5})+1,9),'Hue codes'!$A$1:$B$10,2,FALSE)</f>
        <v>50</v>
      </c>
      <c r="C1407">
        <f t="shared" si="43"/>
        <v>60</v>
      </c>
      <c r="D1407" s="162" t="s">
        <v>44</v>
      </c>
      <c r="E1407" s="162">
        <v>8</v>
      </c>
      <c r="F1407" s="162">
        <v>8</v>
      </c>
      <c r="G1407" s="164">
        <v>0.25890000000000002</v>
      </c>
      <c r="H1407" s="164">
        <v>0.87160000000000004</v>
      </c>
      <c r="I1407" s="164">
        <v>0.89290000000000003</v>
      </c>
      <c r="J1407" s="2" t="str">
        <f>HYPERLINK(SetRGB(J1407,G1407*255,H1407*255,I1407*255),"HOVER!")</f>
        <v>HOVER!</v>
      </c>
      <c r="K1407">
        <f t="shared" si="44"/>
        <v>1</v>
      </c>
    </row>
    <row r="1408" spans="1:11" x14ac:dyDescent="0.3">
      <c r="A1408">
        <f>LOOKUP(9E+307,--MID(D1408,1,{1,2,3,4,5}))</f>
        <v>2.5</v>
      </c>
      <c r="B1408">
        <f>VLOOKUP(MID(D1408,LOOKUP(2,1/ISNUMBER(-MID(D1408,1,{1,2,3,4,5})),{1,2,3,4,5})+1,9),'Hue codes'!$A$1:$B$10,2,FALSE)</f>
        <v>60</v>
      </c>
      <c r="C1408">
        <f t="shared" si="43"/>
        <v>62.5</v>
      </c>
      <c r="D1408" s="162" t="s">
        <v>45</v>
      </c>
      <c r="E1408" s="162">
        <v>8</v>
      </c>
      <c r="F1408" s="162">
        <v>2</v>
      </c>
      <c r="G1408" s="164">
        <v>0.7097</v>
      </c>
      <c r="H1408" s="164">
        <v>0.81200000000000006</v>
      </c>
      <c r="I1408" s="164">
        <v>0.82179999999999997</v>
      </c>
      <c r="J1408" s="2" t="str">
        <f>HYPERLINK(SetRGB(J1408,G1408*255,H1408*255,I1408*255),"HOVER!")</f>
        <v>HOVER!</v>
      </c>
      <c r="K1408">
        <f t="shared" si="44"/>
        <v>4</v>
      </c>
    </row>
    <row r="1409" spans="1:11" x14ac:dyDescent="0.3">
      <c r="A1409">
        <f>LOOKUP(9E+307,--MID(D1409,1,{1,2,3,4,5}))</f>
        <v>2.5</v>
      </c>
      <c r="B1409">
        <f>VLOOKUP(MID(D1409,LOOKUP(2,1/ISNUMBER(-MID(D1409,1,{1,2,3,4,5})),{1,2,3,4,5})+1,9),'Hue codes'!$A$1:$B$10,2,FALSE)</f>
        <v>60</v>
      </c>
      <c r="C1409">
        <f t="shared" si="43"/>
        <v>62.5</v>
      </c>
      <c r="D1409" s="162" t="s">
        <v>45</v>
      </c>
      <c r="E1409" s="162">
        <v>8</v>
      </c>
      <c r="F1409" s="162">
        <v>4</v>
      </c>
      <c r="G1409" s="164">
        <v>0.59909999999999997</v>
      </c>
      <c r="H1409" s="164">
        <v>0.83260000000000001</v>
      </c>
      <c r="I1409" s="164">
        <v>0.85799999999999998</v>
      </c>
      <c r="J1409" s="2" t="str">
        <f>HYPERLINK(SetRGB(J1409,G1409*255,H1409*255,I1409*255),"HOVER!")</f>
        <v>HOVER!</v>
      </c>
      <c r="K1409">
        <f t="shared" si="44"/>
        <v>2</v>
      </c>
    </row>
    <row r="1410" spans="1:11" x14ac:dyDescent="0.3">
      <c r="A1410">
        <f>LOOKUP(9E+307,--MID(D1410,1,{1,2,3,4,5}))</f>
        <v>2.5</v>
      </c>
      <c r="B1410">
        <f>VLOOKUP(MID(D1410,LOOKUP(2,1/ISNUMBER(-MID(D1410,1,{1,2,3,4,5})),{1,2,3,4,5})+1,9),'Hue codes'!$A$1:$B$10,2,FALSE)</f>
        <v>60</v>
      </c>
      <c r="C1410">
        <f t="shared" si="43"/>
        <v>62.5</v>
      </c>
      <c r="D1410" s="162" t="s">
        <v>45</v>
      </c>
      <c r="E1410" s="162">
        <v>8</v>
      </c>
      <c r="F1410" s="162">
        <v>6</v>
      </c>
      <c r="G1410" s="164">
        <v>0.47010000000000002</v>
      </c>
      <c r="H1410" s="164">
        <v>0.85009999999999997</v>
      </c>
      <c r="I1410" s="164">
        <v>0.89390000000000003</v>
      </c>
      <c r="J1410" s="2" t="str">
        <f>HYPERLINK(SetRGB(J1410,G1410*255,H1410*255,I1410*255),"HOVER!")</f>
        <v>HOVER!</v>
      </c>
      <c r="K1410">
        <f t="shared" si="44"/>
        <v>1.3333333333333333</v>
      </c>
    </row>
    <row r="1411" spans="1:11" x14ac:dyDescent="0.3">
      <c r="A1411">
        <f>LOOKUP(9E+307,--MID(D1411,1,{1,2,3,4,5}))</f>
        <v>2.5</v>
      </c>
      <c r="B1411">
        <f>VLOOKUP(MID(D1411,LOOKUP(2,1/ISNUMBER(-MID(D1411,1,{1,2,3,4,5})),{1,2,3,4,5})+1,9),'Hue codes'!$A$1:$B$10,2,FALSE)</f>
        <v>60</v>
      </c>
      <c r="C1411">
        <f t="shared" ref="C1411:C1474" si="45">IF(A1411+B1411=100,0,A1411+B1411)</f>
        <v>62.5</v>
      </c>
      <c r="D1411" s="162" t="s">
        <v>45</v>
      </c>
      <c r="E1411" s="162">
        <v>8</v>
      </c>
      <c r="F1411" s="162">
        <v>8</v>
      </c>
      <c r="G1411" s="164">
        <v>0.2712</v>
      </c>
      <c r="H1411" s="164">
        <v>0.86629999999999996</v>
      </c>
      <c r="I1411" s="164">
        <v>0.93140000000000001</v>
      </c>
      <c r="J1411" s="2" t="str">
        <f>HYPERLINK(SetRGB(J1411,G1411*255,H1411*255,I1411*255),"HOVER!")</f>
        <v>HOVER!</v>
      </c>
      <c r="K1411">
        <f t="shared" si="44"/>
        <v>1</v>
      </c>
    </row>
    <row r="1412" spans="1:11" x14ac:dyDescent="0.3">
      <c r="A1412">
        <f>LOOKUP(9E+307,--MID(D1412,1,{1,2,3,4,5}))</f>
        <v>5</v>
      </c>
      <c r="B1412">
        <f>VLOOKUP(MID(D1412,LOOKUP(2,1/ISNUMBER(-MID(D1412,1,{1,2,3,4,5})),{1,2,3,4,5})+1,9),'Hue codes'!$A$1:$B$10,2,FALSE)</f>
        <v>60</v>
      </c>
      <c r="C1412">
        <f t="shared" si="45"/>
        <v>65</v>
      </c>
      <c r="D1412" s="162" t="s">
        <v>46</v>
      </c>
      <c r="E1412" s="162">
        <v>8</v>
      </c>
      <c r="F1412" s="162">
        <v>2</v>
      </c>
      <c r="G1412" s="164">
        <v>0.72189999999999999</v>
      </c>
      <c r="H1412" s="164">
        <v>0.80820000000000003</v>
      </c>
      <c r="I1412" s="164">
        <v>0.8276</v>
      </c>
      <c r="J1412" s="2" t="str">
        <f>HYPERLINK(SetRGB(J1412,G1412*255,H1412*255,I1412*255),"HOVER!")</f>
        <v>HOVER!</v>
      </c>
      <c r="K1412">
        <f t="shared" si="44"/>
        <v>4</v>
      </c>
    </row>
    <row r="1413" spans="1:11" x14ac:dyDescent="0.3">
      <c r="A1413">
        <f>LOOKUP(9E+307,--MID(D1413,1,{1,2,3,4,5}))</f>
        <v>5</v>
      </c>
      <c r="B1413">
        <f>VLOOKUP(MID(D1413,LOOKUP(2,1/ISNUMBER(-MID(D1413,1,{1,2,3,4,5})),{1,2,3,4,5})+1,9),'Hue codes'!$A$1:$B$10,2,FALSE)</f>
        <v>60</v>
      </c>
      <c r="C1413">
        <f t="shared" si="45"/>
        <v>65</v>
      </c>
      <c r="D1413" s="162" t="s">
        <v>46</v>
      </c>
      <c r="E1413" s="162">
        <v>8</v>
      </c>
      <c r="F1413" s="162">
        <v>4</v>
      </c>
      <c r="G1413" s="164">
        <v>0.61980000000000002</v>
      </c>
      <c r="H1413" s="164">
        <v>0.82650000000000001</v>
      </c>
      <c r="I1413" s="164">
        <v>0.87490000000000001</v>
      </c>
      <c r="J1413" s="2" t="str">
        <f>HYPERLINK(SetRGB(J1413,G1413*255,H1413*255,I1413*255),"HOVER!")</f>
        <v>HOVER!</v>
      </c>
      <c r="K1413">
        <f t="shared" si="44"/>
        <v>2</v>
      </c>
    </row>
    <row r="1414" spans="1:11" x14ac:dyDescent="0.3">
      <c r="A1414">
        <f>LOOKUP(9E+307,--MID(D1414,1,{1,2,3,4,5}))</f>
        <v>5</v>
      </c>
      <c r="B1414">
        <f>VLOOKUP(MID(D1414,LOOKUP(2,1/ISNUMBER(-MID(D1414,1,{1,2,3,4,5})),{1,2,3,4,5})+1,9),'Hue codes'!$A$1:$B$10,2,FALSE)</f>
        <v>60</v>
      </c>
      <c r="C1414">
        <f t="shared" si="45"/>
        <v>65</v>
      </c>
      <c r="D1414" s="162" t="s">
        <v>46</v>
      </c>
      <c r="E1414" s="162">
        <v>8</v>
      </c>
      <c r="F1414" s="162">
        <v>6</v>
      </c>
      <c r="G1414" s="164">
        <v>0.50239999999999996</v>
      </c>
      <c r="H1414" s="164">
        <v>0.84179999999999999</v>
      </c>
      <c r="I1414" s="164">
        <v>0.92300000000000004</v>
      </c>
      <c r="J1414" s="2" t="str">
        <f>HYPERLINK(SetRGB(J1414,G1414*255,H1414*255,I1414*255),"HOVER!")</f>
        <v>HOVER!</v>
      </c>
      <c r="K1414">
        <f t="shared" si="44"/>
        <v>1.3333333333333333</v>
      </c>
    </row>
    <row r="1415" spans="1:11" x14ac:dyDescent="0.3">
      <c r="A1415">
        <f>LOOKUP(9E+307,--MID(D1415,1,{1,2,3,4,5}))</f>
        <v>5</v>
      </c>
      <c r="B1415">
        <f>VLOOKUP(MID(D1415,LOOKUP(2,1/ISNUMBER(-MID(D1415,1,{1,2,3,4,5})),{1,2,3,4,5})+1,9),'Hue codes'!$A$1:$B$10,2,FALSE)</f>
        <v>60</v>
      </c>
      <c r="C1415">
        <f t="shared" si="45"/>
        <v>65</v>
      </c>
      <c r="D1415" s="162" t="s">
        <v>46</v>
      </c>
      <c r="E1415" s="162">
        <v>8</v>
      </c>
      <c r="F1415" s="162">
        <v>8</v>
      </c>
      <c r="G1415" s="164">
        <v>0.3135</v>
      </c>
      <c r="H1415" s="164">
        <v>0.85729999999999995</v>
      </c>
      <c r="I1415" s="164">
        <v>0.97650000000000003</v>
      </c>
      <c r="J1415" s="2" t="str">
        <f>HYPERLINK(SetRGB(J1415,G1415*255,H1415*255,I1415*255),"HOVER!")</f>
        <v>HOVER!</v>
      </c>
      <c r="K1415">
        <f t="shared" si="44"/>
        <v>1</v>
      </c>
    </row>
    <row r="1416" spans="1:11" x14ac:dyDescent="0.3">
      <c r="A1416">
        <f>LOOKUP(9E+307,--MID(D1416,1,{1,2,3,4,5}))</f>
        <v>7.5</v>
      </c>
      <c r="B1416">
        <f>VLOOKUP(MID(D1416,LOOKUP(2,1/ISNUMBER(-MID(D1416,1,{1,2,3,4,5})),{1,2,3,4,5})+1,9),'Hue codes'!$A$1:$B$10,2,FALSE)</f>
        <v>60</v>
      </c>
      <c r="C1416">
        <f t="shared" si="45"/>
        <v>67.5</v>
      </c>
      <c r="D1416" s="162" t="s">
        <v>47</v>
      </c>
      <c r="E1416" s="162">
        <v>8</v>
      </c>
      <c r="F1416" s="162">
        <v>2</v>
      </c>
      <c r="G1416" s="164">
        <v>0.73329999999999995</v>
      </c>
      <c r="H1416" s="164">
        <v>0.80479999999999996</v>
      </c>
      <c r="I1416" s="164">
        <v>0.83089999999999997</v>
      </c>
      <c r="J1416" s="2" t="str">
        <f>HYPERLINK(SetRGB(J1416,G1416*255,H1416*255,I1416*255),"HOVER!")</f>
        <v>HOVER!</v>
      </c>
      <c r="K1416">
        <f t="shared" si="44"/>
        <v>4</v>
      </c>
    </row>
    <row r="1417" spans="1:11" x14ac:dyDescent="0.3">
      <c r="A1417">
        <f>LOOKUP(9E+307,--MID(D1417,1,{1,2,3,4,5}))</f>
        <v>7.5</v>
      </c>
      <c r="B1417">
        <f>VLOOKUP(MID(D1417,LOOKUP(2,1/ISNUMBER(-MID(D1417,1,{1,2,3,4,5})),{1,2,3,4,5})+1,9),'Hue codes'!$A$1:$B$10,2,FALSE)</f>
        <v>60</v>
      </c>
      <c r="C1417">
        <f t="shared" si="45"/>
        <v>67.5</v>
      </c>
      <c r="D1417" s="162" t="s">
        <v>47</v>
      </c>
      <c r="E1417" s="162">
        <v>8</v>
      </c>
      <c r="F1417" s="162">
        <v>4</v>
      </c>
      <c r="G1417" s="164">
        <v>0.64139999999999997</v>
      </c>
      <c r="H1417" s="164">
        <v>0.82079999999999997</v>
      </c>
      <c r="I1417" s="164">
        <v>0.88390000000000002</v>
      </c>
      <c r="J1417" s="2" t="str">
        <f>HYPERLINK(SetRGB(J1417,G1417*255,H1417*255,I1417*255),"HOVER!")</f>
        <v>HOVER!</v>
      </c>
      <c r="K1417">
        <f t="shared" si="44"/>
        <v>2</v>
      </c>
    </row>
    <row r="1418" spans="1:11" x14ac:dyDescent="0.3">
      <c r="A1418">
        <f>LOOKUP(9E+307,--MID(D1418,1,{1,2,3,4,5}))</f>
        <v>7.5</v>
      </c>
      <c r="B1418">
        <f>VLOOKUP(MID(D1418,LOOKUP(2,1/ISNUMBER(-MID(D1418,1,{1,2,3,4,5})),{1,2,3,4,5})+1,9),'Hue codes'!$A$1:$B$10,2,FALSE)</f>
        <v>60</v>
      </c>
      <c r="C1418">
        <f t="shared" si="45"/>
        <v>67.5</v>
      </c>
      <c r="D1418" s="162" t="s">
        <v>47</v>
      </c>
      <c r="E1418" s="162">
        <v>8</v>
      </c>
      <c r="F1418" s="162">
        <v>6</v>
      </c>
      <c r="G1418" s="164">
        <v>0.53580000000000005</v>
      </c>
      <c r="H1418" s="164">
        <v>0.83430000000000004</v>
      </c>
      <c r="I1418" s="164">
        <v>0.93920000000000003</v>
      </c>
      <c r="J1418" s="2" t="str">
        <f>HYPERLINK(SetRGB(J1418,G1418*255,H1418*255,I1418*255),"HOVER!")</f>
        <v>HOVER!</v>
      </c>
      <c r="K1418">
        <f t="shared" si="44"/>
        <v>1.3333333333333333</v>
      </c>
    </row>
    <row r="1419" spans="1:11" x14ac:dyDescent="0.3">
      <c r="A1419">
        <f>LOOKUP(9E+307,--MID(D1419,1,{1,2,3,4,5}))</f>
        <v>7.5</v>
      </c>
      <c r="B1419">
        <f>VLOOKUP(MID(D1419,LOOKUP(2,1/ISNUMBER(-MID(D1419,1,{1,2,3,4,5})),{1,2,3,4,5})+1,9),'Hue codes'!$A$1:$B$10,2,FALSE)</f>
        <v>60</v>
      </c>
      <c r="C1419">
        <f t="shared" si="45"/>
        <v>67.5</v>
      </c>
      <c r="D1419" s="162" t="s">
        <v>47</v>
      </c>
      <c r="E1419" s="162">
        <v>8</v>
      </c>
      <c r="F1419" s="162">
        <v>8</v>
      </c>
      <c r="G1419" s="164">
        <v>0.37830000000000003</v>
      </c>
      <c r="H1419" s="164">
        <v>0.84789999999999999</v>
      </c>
      <c r="I1419" s="164">
        <v>1</v>
      </c>
      <c r="J1419" s="2" t="str">
        <f>HYPERLINK(SetRGB(J1419,G1419*255,H1419*255,I1419*255),"HOVER!")</f>
        <v>HOVER!</v>
      </c>
      <c r="K1419">
        <f t="shared" si="44"/>
        <v>1</v>
      </c>
    </row>
    <row r="1420" spans="1:11" x14ac:dyDescent="0.3">
      <c r="A1420">
        <f>LOOKUP(9E+307,--MID(D1420,1,{1,2,3,4,5}))</f>
        <v>10</v>
      </c>
      <c r="B1420">
        <f>VLOOKUP(MID(D1420,LOOKUP(2,1/ISNUMBER(-MID(D1420,1,{1,2,3,4,5})),{1,2,3,4,5})+1,9),'Hue codes'!$A$1:$B$10,2,FALSE)</f>
        <v>60</v>
      </c>
      <c r="C1420">
        <f t="shared" si="45"/>
        <v>70</v>
      </c>
      <c r="D1420" s="162" t="s">
        <v>48</v>
      </c>
      <c r="E1420" s="162">
        <v>8</v>
      </c>
      <c r="F1420" s="162">
        <v>2</v>
      </c>
      <c r="G1420" s="164">
        <v>0.74319999999999997</v>
      </c>
      <c r="H1420" s="164">
        <v>0.80189999999999995</v>
      </c>
      <c r="I1420" s="164">
        <v>0.83330000000000004</v>
      </c>
      <c r="J1420" s="2" t="str">
        <f>HYPERLINK(SetRGB(J1420,G1420*255,H1420*255,I1420*255),"HOVER!")</f>
        <v>HOVER!</v>
      </c>
      <c r="K1420">
        <f t="shared" si="44"/>
        <v>4</v>
      </c>
    </row>
    <row r="1421" spans="1:11" x14ac:dyDescent="0.3">
      <c r="A1421">
        <f>LOOKUP(9E+307,--MID(D1421,1,{1,2,3,4,5}))</f>
        <v>10</v>
      </c>
      <c r="B1421">
        <f>VLOOKUP(MID(D1421,LOOKUP(2,1/ISNUMBER(-MID(D1421,1,{1,2,3,4,5})),{1,2,3,4,5})+1,9),'Hue codes'!$A$1:$B$10,2,FALSE)</f>
        <v>60</v>
      </c>
      <c r="C1421">
        <f t="shared" si="45"/>
        <v>70</v>
      </c>
      <c r="D1421" s="162" t="s">
        <v>48</v>
      </c>
      <c r="E1421" s="162">
        <v>8</v>
      </c>
      <c r="F1421" s="162">
        <v>4</v>
      </c>
      <c r="G1421" s="164">
        <v>0.67090000000000005</v>
      </c>
      <c r="H1421" s="164">
        <v>0.81310000000000004</v>
      </c>
      <c r="I1421" s="164">
        <v>0.89259999999999995</v>
      </c>
      <c r="J1421" s="2" t="str">
        <f>HYPERLINK(SetRGB(J1421,G1421*255,H1421*255,I1421*255),"HOVER!")</f>
        <v>HOVER!</v>
      </c>
      <c r="K1421">
        <f t="shared" si="44"/>
        <v>2</v>
      </c>
    </row>
    <row r="1422" spans="1:11" x14ac:dyDescent="0.3">
      <c r="A1422">
        <f>LOOKUP(9E+307,--MID(D1422,1,{1,2,3,4,5}))</f>
        <v>10</v>
      </c>
      <c r="B1422">
        <f>VLOOKUP(MID(D1422,LOOKUP(2,1/ISNUMBER(-MID(D1422,1,{1,2,3,4,5})),{1,2,3,4,5})+1,9),'Hue codes'!$A$1:$B$10,2,FALSE)</f>
        <v>60</v>
      </c>
      <c r="C1422">
        <f t="shared" si="45"/>
        <v>70</v>
      </c>
      <c r="D1422" s="162" t="s">
        <v>48</v>
      </c>
      <c r="E1422" s="162">
        <v>8</v>
      </c>
      <c r="F1422" s="162">
        <v>6</v>
      </c>
      <c r="G1422" s="164">
        <v>0.58450000000000002</v>
      </c>
      <c r="H1422" s="164">
        <v>0.82389999999999997</v>
      </c>
      <c r="I1422" s="164">
        <v>0.95179999999999998</v>
      </c>
      <c r="J1422" s="2" t="str">
        <f>HYPERLINK(SetRGB(J1422,G1422*255,H1422*255,I1422*255),"HOVER!")</f>
        <v>HOVER!</v>
      </c>
      <c r="K1422">
        <f t="shared" si="44"/>
        <v>1.3333333333333333</v>
      </c>
    </row>
    <row r="1423" spans="1:11" x14ac:dyDescent="0.3">
      <c r="A1423">
        <f>LOOKUP(9E+307,--MID(D1423,1,{1,2,3,4,5}))</f>
        <v>10</v>
      </c>
      <c r="B1423">
        <f>VLOOKUP(MID(D1423,LOOKUP(2,1/ISNUMBER(-MID(D1423,1,{1,2,3,4,5})),{1,2,3,4,5})+1,9),'Hue codes'!$A$1:$B$10,2,FALSE)</f>
        <v>60</v>
      </c>
      <c r="C1423">
        <f t="shared" si="45"/>
        <v>70</v>
      </c>
      <c r="D1423" s="162" t="s">
        <v>48</v>
      </c>
      <c r="E1423" s="162">
        <v>8</v>
      </c>
      <c r="F1423" s="162">
        <v>8</v>
      </c>
      <c r="G1423" s="164">
        <v>0.45929999999999999</v>
      </c>
      <c r="H1423" s="164">
        <v>0.83520000000000005</v>
      </c>
      <c r="I1423" s="164">
        <v>1</v>
      </c>
      <c r="J1423" s="2" t="str">
        <f>HYPERLINK(SetRGB(J1423,G1423*255,H1423*255,I1423*255),"HOVER!")</f>
        <v>HOVER!</v>
      </c>
      <c r="K1423">
        <f t="shared" si="44"/>
        <v>1</v>
      </c>
    </row>
    <row r="1424" spans="1:11" x14ac:dyDescent="0.3">
      <c r="A1424">
        <f>LOOKUP(9E+307,--MID(D1424,1,{1,2,3,4,5}))</f>
        <v>2.5</v>
      </c>
      <c r="B1424">
        <f>VLOOKUP(MID(D1424,LOOKUP(2,1/ISNUMBER(-MID(D1424,1,{1,2,3,4,5})),{1,2,3,4,5})+1,9),'Hue codes'!$A$1:$B$10,2,FALSE)</f>
        <v>70</v>
      </c>
      <c r="C1424">
        <f t="shared" si="45"/>
        <v>72.5</v>
      </c>
      <c r="D1424" s="162" t="s">
        <v>49</v>
      </c>
      <c r="E1424" s="162">
        <v>8</v>
      </c>
      <c r="F1424" s="162">
        <v>2</v>
      </c>
      <c r="G1424" s="164">
        <v>0.7571</v>
      </c>
      <c r="H1424" s="164">
        <v>0.79779999999999995</v>
      </c>
      <c r="I1424" s="164">
        <v>0.83489999999999998</v>
      </c>
      <c r="J1424" s="2" t="str">
        <f>HYPERLINK(SetRGB(J1424,G1424*255,H1424*255,I1424*255),"HOVER!")</f>
        <v>HOVER!</v>
      </c>
      <c r="K1424">
        <f t="shared" si="44"/>
        <v>4</v>
      </c>
    </row>
    <row r="1425" spans="1:11" x14ac:dyDescent="0.3">
      <c r="A1425">
        <f>LOOKUP(9E+307,--MID(D1425,1,{1,2,3,4,5}))</f>
        <v>2.5</v>
      </c>
      <c r="B1425">
        <f>VLOOKUP(MID(D1425,LOOKUP(2,1/ISNUMBER(-MID(D1425,1,{1,2,3,4,5})),{1,2,3,4,5})+1,9),'Hue codes'!$A$1:$B$10,2,FALSE)</f>
        <v>70</v>
      </c>
      <c r="C1425">
        <f t="shared" si="45"/>
        <v>72.5</v>
      </c>
      <c r="D1425" s="162" t="s">
        <v>49</v>
      </c>
      <c r="E1425" s="162">
        <v>8</v>
      </c>
      <c r="F1425" s="162">
        <v>4</v>
      </c>
      <c r="G1425" s="164">
        <v>0.7016</v>
      </c>
      <c r="H1425" s="164">
        <v>0.80500000000000005</v>
      </c>
      <c r="I1425" s="164">
        <v>0.89710000000000001</v>
      </c>
      <c r="J1425" s="2" t="str">
        <f>HYPERLINK(SetRGB(J1425,G1425*255,H1425*255,I1425*255),"HOVER!")</f>
        <v>HOVER!</v>
      </c>
      <c r="K1425">
        <f t="shared" si="44"/>
        <v>2</v>
      </c>
    </row>
    <row r="1426" spans="1:11" x14ac:dyDescent="0.3">
      <c r="A1426">
        <f>LOOKUP(9E+307,--MID(D1426,1,{1,2,3,4,5}))</f>
        <v>2.5</v>
      </c>
      <c r="B1426">
        <f>VLOOKUP(MID(D1426,LOOKUP(2,1/ISNUMBER(-MID(D1426,1,{1,2,3,4,5})),{1,2,3,4,5})+1,9),'Hue codes'!$A$1:$B$10,2,FALSE)</f>
        <v>70</v>
      </c>
      <c r="C1426">
        <f t="shared" si="45"/>
        <v>72.5</v>
      </c>
      <c r="D1426" s="162" t="s">
        <v>49</v>
      </c>
      <c r="E1426" s="162">
        <v>8</v>
      </c>
      <c r="F1426" s="162">
        <v>6</v>
      </c>
      <c r="G1426" s="164">
        <v>0.63390000000000002</v>
      </c>
      <c r="H1426" s="164">
        <v>0.8125</v>
      </c>
      <c r="I1426" s="164">
        <v>0.96120000000000005</v>
      </c>
      <c r="J1426" s="2" t="str">
        <f>HYPERLINK(SetRGB(J1426,G1426*255,H1426*255,I1426*255),"HOVER!")</f>
        <v>HOVER!</v>
      </c>
      <c r="K1426">
        <f t="shared" si="44"/>
        <v>1.3333333333333333</v>
      </c>
    </row>
    <row r="1427" spans="1:11" x14ac:dyDescent="0.3">
      <c r="A1427">
        <f>LOOKUP(9E+307,--MID(D1427,1,{1,2,3,4,5}))</f>
        <v>5</v>
      </c>
      <c r="B1427">
        <f>VLOOKUP(MID(D1427,LOOKUP(2,1/ISNUMBER(-MID(D1427,1,{1,2,3,4,5})),{1,2,3,4,5})+1,9),'Hue codes'!$A$1:$B$10,2,FALSE)</f>
        <v>70</v>
      </c>
      <c r="C1427">
        <f t="shared" si="45"/>
        <v>75</v>
      </c>
      <c r="D1427" s="162" t="s">
        <v>50</v>
      </c>
      <c r="E1427" s="162">
        <v>8</v>
      </c>
      <c r="F1427" s="162">
        <v>2</v>
      </c>
      <c r="G1427" s="164">
        <v>0.76690000000000003</v>
      </c>
      <c r="H1427" s="164">
        <v>0.79500000000000004</v>
      </c>
      <c r="I1427" s="164">
        <v>0.83520000000000005</v>
      </c>
      <c r="J1427" s="2" t="str">
        <f>HYPERLINK(SetRGB(J1427,G1427*255,H1427*255,I1427*255),"HOVER!")</f>
        <v>HOVER!</v>
      </c>
      <c r="K1427">
        <f t="shared" si="44"/>
        <v>4</v>
      </c>
    </row>
    <row r="1428" spans="1:11" x14ac:dyDescent="0.3">
      <c r="A1428">
        <f>LOOKUP(9E+307,--MID(D1428,1,{1,2,3,4,5}))</f>
        <v>5</v>
      </c>
      <c r="B1428">
        <f>VLOOKUP(MID(D1428,LOOKUP(2,1/ISNUMBER(-MID(D1428,1,{1,2,3,4,5})),{1,2,3,4,5})+1,9),'Hue codes'!$A$1:$B$10,2,FALSE)</f>
        <v>70</v>
      </c>
      <c r="C1428">
        <f t="shared" si="45"/>
        <v>75</v>
      </c>
      <c r="D1428" s="162" t="s">
        <v>50</v>
      </c>
      <c r="E1428" s="162">
        <v>8</v>
      </c>
      <c r="F1428" s="162">
        <v>4</v>
      </c>
      <c r="G1428" s="164">
        <v>0.72750000000000004</v>
      </c>
      <c r="H1428" s="164">
        <v>0.79820000000000002</v>
      </c>
      <c r="I1428" s="164">
        <v>0.89800000000000002</v>
      </c>
      <c r="J1428" s="2" t="str">
        <f>HYPERLINK(SetRGB(J1428,G1428*255,H1428*255,I1428*255),"HOVER!")</f>
        <v>HOVER!</v>
      </c>
      <c r="K1428">
        <f t="shared" si="44"/>
        <v>2</v>
      </c>
    </row>
    <row r="1429" spans="1:11" x14ac:dyDescent="0.3">
      <c r="A1429">
        <f>LOOKUP(9E+307,--MID(D1429,1,{1,2,3,4,5}))</f>
        <v>5</v>
      </c>
      <c r="B1429">
        <f>VLOOKUP(MID(D1429,LOOKUP(2,1/ISNUMBER(-MID(D1429,1,{1,2,3,4,5})),{1,2,3,4,5})+1,9),'Hue codes'!$A$1:$B$10,2,FALSE)</f>
        <v>70</v>
      </c>
      <c r="C1429">
        <f t="shared" si="45"/>
        <v>75</v>
      </c>
      <c r="D1429" s="162" t="s">
        <v>50</v>
      </c>
      <c r="E1429" s="162">
        <v>8</v>
      </c>
      <c r="F1429" s="162">
        <v>6</v>
      </c>
      <c r="G1429" s="164">
        <v>0.67810000000000004</v>
      </c>
      <c r="H1429" s="164">
        <v>0.80149999999999999</v>
      </c>
      <c r="I1429" s="164">
        <v>0.96719999999999995</v>
      </c>
      <c r="J1429" s="2" t="str">
        <f>HYPERLINK(SetRGB(J1429,G1429*255,H1429*255,I1429*255),"HOVER!")</f>
        <v>HOVER!</v>
      </c>
      <c r="K1429">
        <f t="shared" si="44"/>
        <v>1.3333333333333333</v>
      </c>
    </row>
    <row r="1430" spans="1:11" x14ac:dyDescent="0.3">
      <c r="A1430">
        <f>LOOKUP(9E+307,--MID(D1430,1,{1,2,3,4,5}))</f>
        <v>7.5</v>
      </c>
      <c r="B1430">
        <f>VLOOKUP(MID(D1430,LOOKUP(2,1/ISNUMBER(-MID(D1430,1,{1,2,3,4,5})),{1,2,3,4,5})+1,9),'Hue codes'!$A$1:$B$10,2,FALSE)</f>
        <v>70</v>
      </c>
      <c r="C1430">
        <f t="shared" si="45"/>
        <v>77.5</v>
      </c>
      <c r="D1430" s="162" t="s">
        <v>51</v>
      </c>
      <c r="E1430" s="162">
        <v>8</v>
      </c>
      <c r="F1430" s="162">
        <v>2</v>
      </c>
      <c r="G1430" s="164">
        <v>0.78110000000000002</v>
      </c>
      <c r="H1430" s="164">
        <v>0.79110000000000003</v>
      </c>
      <c r="I1430" s="164">
        <v>0.83360000000000001</v>
      </c>
      <c r="J1430" s="2" t="str">
        <f>HYPERLINK(SetRGB(J1430,G1430*255,H1430*255,I1430*255),"HOVER!")</f>
        <v>HOVER!</v>
      </c>
      <c r="K1430">
        <f t="shared" si="44"/>
        <v>4</v>
      </c>
    </row>
    <row r="1431" spans="1:11" x14ac:dyDescent="0.3">
      <c r="A1431">
        <f>LOOKUP(9E+307,--MID(D1431,1,{1,2,3,4,5}))</f>
        <v>7.5</v>
      </c>
      <c r="B1431">
        <f>VLOOKUP(MID(D1431,LOOKUP(2,1/ISNUMBER(-MID(D1431,1,{1,2,3,4,5})),{1,2,3,4,5})+1,9),'Hue codes'!$A$1:$B$10,2,FALSE)</f>
        <v>70</v>
      </c>
      <c r="C1431">
        <f t="shared" si="45"/>
        <v>77.5</v>
      </c>
      <c r="D1431" s="162" t="s">
        <v>51</v>
      </c>
      <c r="E1431" s="162">
        <v>8</v>
      </c>
      <c r="F1431" s="162">
        <v>4</v>
      </c>
      <c r="G1431" s="164">
        <v>0.76060000000000005</v>
      </c>
      <c r="H1431" s="164">
        <v>0.7893</v>
      </c>
      <c r="I1431" s="164">
        <v>0.89639999999999997</v>
      </c>
      <c r="J1431" s="2" t="str">
        <f>HYPERLINK(SetRGB(J1431,G1431*255,H1431*255,I1431*255),"HOVER!")</f>
        <v>HOVER!</v>
      </c>
      <c r="K1431">
        <f t="shared" si="44"/>
        <v>2</v>
      </c>
    </row>
    <row r="1432" spans="1:11" x14ac:dyDescent="0.3">
      <c r="A1432">
        <f>LOOKUP(9E+307,--MID(D1432,1,{1,2,3,4,5}))</f>
        <v>7.5</v>
      </c>
      <c r="B1432">
        <f>VLOOKUP(MID(D1432,LOOKUP(2,1/ISNUMBER(-MID(D1432,1,{1,2,3,4,5})),{1,2,3,4,5})+1,9),'Hue codes'!$A$1:$B$10,2,FALSE)</f>
        <v>70</v>
      </c>
      <c r="C1432">
        <f t="shared" si="45"/>
        <v>77.5</v>
      </c>
      <c r="D1432" s="162" t="s">
        <v>51</v>
      </c>
      <c r="E1432" s="162">
        <v>8</v>
      </c>
      <c r="F1432" s="162">
        <v>6</v>
      </c>
      <c r="G1432" s="164">
        <v>0.73529999999999995</v>
      </c>
      <c r="H1432" s="164">
        <v>0.78700000000000003</v>
      </c>
      <c r="I1432" s="164">
        <v>0.96509999999999996</v>
      </c>
      <c r="J1432" s="2" t="str">
        <f>HYPERLINK(SetRGB(J1432,G1432*255,H1432*255,I1432*255),"HOVER!")</f>
        <v>HOVER!</v>
      </c>
      <c r="K1432">
        <f t="shared" si="44"/>
        <v>1.3333333333333333</v>
      </c>
    </row>
    <row r="1433" spans="1:11" x14ac:dyDescent="0.3">
      <c r="A1433">
        <f>LOOKUP(9E+307,--MID(D1433,1,{1,2,3,4,5}))</f>
        <v>10</v>
      </c>
      <c r="B1433">
        <f>VLOOKUP(MID(D1433,LOOKUP(2,1/ISNUMBER(-MID(D1433,1,{1,2,3,4,5})),{1,2,3,4,5})+1,9),'Hue codes'!$A$1:$B$10,2,FALSE)</f>
        <v>70</v>
      </c>
      <c r="C1433">
        <f t="shared" si="45"/>
        <v>80</v>
      </c>
      <c r="D1433" s="162" t="s">
        <v>52</v>
      </c>
      <c r="E1433" s="162">
        <v>8</v>
      </c>
      <c r="F1433" s="162">
        <v>2</v>
      </c>
      <c r="G1433" s="164">
        <v>0.79139999999999999</v>
      </c>
      <c r="H1433" s="164">
        <v>0.7883</v>
      </c>
      <c r="I1433" s="164">
        <v>0.83089999999999997</v>
      </c>
      <c r="J1433" s="2" t="str">
        <f>HYPERLINK(SetRGB(J1433,G1433*255,H1433*255,I1433*255),"HOVER!")</f>
        <v>HOVER!</v>
      </c>
      <c r="K1433">
        <f t="shared" si="44"/>
        <v>4</v>
      </c>
    </row>
    <row r="1434" spans="1:11" x14ac:dyDescent="0.3">
      <c r="A1434">
        <f>LOOKUP(9E+307,--MID(D1434,1,{1,2,3,4,5}))</f>
        <v>10</v>
      </c>
      <c r="B1434">
        <f>VLOOKUP(MID(D1434,LOOKUP(2,1/ISNUMBER(-MID(D1434,1,{1,2,3,4,5})),{1,2,3,4,5})+1,9),'Hue codes'!$A$1:$B$10,2,FALSE)</f>
        <v>70</v>
      </c>
      <c r="C1434">
        <f t="shared" si="45"/>
        <v>80</v>
      </c>
      <c r="D1434" s="162" t="s">
        <v>52</v>
      </c>
      <c r="E1434" s="162">
        <v>8</v>
      </c>
      <c r="F1434" s="162">
        <v>4</v>
      </c>
      <c r="G1434" s="164">
        <v>0.78639999999999999</v>
      </c>
      <c r="H1434" s="164">
        <v>0.78239999999999998</v>
      </c>
      <c r="I1434" s="164">
        <v>0.89049999999999996</v>
      </c>
      <c r="J1434" s="2" t="str">
        <f>HYPERLINK(SetRGB(J1434,G1434*255,H1434*255,I1434*255),"HOVER!")</f>
        <v>HOVER!</v>
      </c>
      <c r="K1434">
        <f t="shared" si="44"/>
        <v>2</v>
      </c>
    </row>
    <row r="1435" spans="1:11" x14ac:dyDescent="0.3">
      <c r="A1435">
        <f>LOOKUP(9E+307,--MID(D1435,1,{1,2,3,4,5}))</f>
        <v>10</v>
      </c>
      <c r="B1435">
        <f>VLOOKUP(MID(D1435,LOOKUP(2,1/ISNUMBER(-MID(D1435,1,{1,2,3,4,5})),{1,2,3,4,5})+1,9),'Hue codes'!$A$1:$B$10,2,FALSE)</f>
        <v>70</v>
      </c>
      <c r="C1435">
        <f t="shared" si="45"/>
        <v>80</v>
      </c>
      <c r="D1435" s="162" t="s">
        <v>52</v>
      </c>
      <c r="E1435" s="162">
        <v>8</v>
      </c>
      <c r="F1435" s="162">
        <v>6</v>
      </c>
      <c r="G1435" s="164">
        <v>0.78249999999999997</v>
      </c>
      <c r="H1435" s="164">
        <v>0.77449999999999997</v>
      </c>
      <c r="I1435" s="164">
        <v>0.95630000000000004</v>
      </c>
      <c r="J1435" s="2" t="str">
        <f>HYPERLINK(SetRGB(J1435,G1435*255,H1435*255,I1435*255),"HOVER!")</f>
        <v>HOVER!</v>
      </c>
      <c r="K1435">
        <f t="shared" si="44"/>
        <v>1.3333333333333333</v>
      </c>
    </row>
    <row r="1436" spans="1:11" x14ac:dyDescent="0.3">
      <c r="A1436">
        <f>LOOKUP(9E+307,--MID(D1436,1,{1,2,3,4,5}))</f>
        <v>10</v>
      </c>
      <c r="B1436">
        <f>VLOOKUP(MID(D1436,LOOKUP(2,1/ISNUMBER(-MID(D1436,1,{1,2,3,4,5})),{1,2,3,4,5})+1,9),'Hue codes'!$A$1:$B$10,2,FALSE)</f>
        <v>70</v>
      </c>
      <c r="C1436">
        <f t="shared" si="45"/>
        <v>80</v>
      </c>
      <c r="D1436" s="162" t="s">
        <v>52</v>
      </c>
      <c r="E1436" s="162">
        <v>8</v>
      </c>
      <c r="F1436" s="162">
        <v>8</v>
      </c>
      <c r="G1436" s="164">
        <v>0.7823</v>
      </c>
      <c r="H1436" s="164">
        <v>0.76359999999999995</v>
      </c>
      <c r="I1436" s="164">
        <v>1</v>
      </c>
      <c r="J1436" s="2" t="str">
        <f>HYPERLINK(SetRGB(J1436,G1436*255,H1436*255,I1436*255),"HOVER!")</f>
        <v>HOVER!</v>
      </c>
      <c r="K1436">
        <f t="shared" si="44"/>
        <v>1</v>
      </c>
    </row>
    <row r="1437" spans="1:11" x14ac:dyDescent="0.3">
      <c r="A1437">
        <f>LOOKUP(9E+307,--MID(D1437,1,{1,2,3,4,5}))</f>
        <v>2.5</v>
      </c>
      <c r="B1437">
        <f>VLOOKUP(MID(D1437,LOOKUP(2,1/ISNUMBER(-MID(D1437,1,{1,2,3,4,5})),{1,2,3,4,5})+1,9),'Hue codes'!$A$1:$B$10,2,FALSE)</f>
        <v>80</v>
      </c>
      <c r="C1437">
        <f t="shared" si="45"/>
        <v>82.5</v>
      </c>
      <c r="D1437" s="162" t="s">
        <v>53</v>
      </c>
      <c r="E1437" s="162">
        <v>8</v>
      </c>
      <c r="F1437" s="162">
        <v>2</v>
      </c>
      <c r="G1437" s="164">
        <v>0.79930000000000001</v>
      </c>
      <c r="H1437" s="164">
        <v>0.7863</v>
      </c>
      <c r="I1437" s="164">
        <v>0.8276</v>
      </c>
      <c r="J1437" s="2" t="str">
        <f>HYPERLINK(SetRGB(J1437,G1437*255,H1437*255,I1437*255),"HOVER!")</f>
        <v>HOVER!</v>
      </c>
      <c r="K1437">
        <f t="shared" si="44"/>
        <v>4</v>
      </c>
    </row>
    <row r="1438" spans="1:11" x14ac:dyDescent="0.3">
      <c r="A1438">
        <f>LOOKUP(9E+307,--MID(D1438,1,{1,2,3,4,5}))</f>
        <v>2.5</v>
      </c>
      <c r="B1438">
        <f>VLOOKUP(MID(D1438,LOOKUP(2,1/ISNUMBER(-MID(D1438,1,{1,2,3,4,5})),{1,2,3,4,5})+1,9),'Hue codes'!$A$1:$B$10,2,FALSE)</f>
        <v>80</v>
      </c>
      <c r="C1438">
        <f t="shared" si="45"/>
        <v>82.5</v>
      </c>
      <c r="D1438" s="162" t="s">
        <v>53</v>
      </c>
      <c r="E1438" s="162">
        <v>8</v>
      </c>
      <c r="F1438" s="162">
        <v>4</v>
      </c>
      <c r="G1438" s="164">
        <v>0.80930000000000002</v>
      </c>
      <c r="H1438" s="164">
        <v>0.77600000000000002</v>
      </c>
      <c r="I1438" s="164">
        <v>0.88500000000000001</v>
      </c>
      <c r="J1438" s="2" t="str">
        <f>HYPERLINK(SetRGB(J1438,G1438*255,H1438*255,I1438*255),"HOVER!")</f>
        <v>HOVER!</v>
      </c>
      <c r="K1438">
        <f t="shared" si="44"/>
        <v>2</v>
      </c>
    </row>
    <row r="1439" spans="1:11" x14ac:dyDescent="0.3">
      <c r="A1439">
        <f>LOOKUP(9E+307,--MID(D1439,1,{1,2,3,4,5}))</f>
        <v>2.5</v>
      </c>
      <c r="B1439">
        <f>VLOOKUP(MID(D1439,LOOKUP(2,1/ISNUMBER(-MID(D1439,1,{1,2,3,4,5})),{1,2,3,4,5})+1,9),'Hue codes'!$A$1:$B$10,2,FALSE)</f>
        <v>80</v>
      </c>
      <c r="C1439">
        <f t="shared" si="45"/>
        <v>82.5</v>
      </c>
      <c r="D1439" s="162" t="s">
        <v>53</v>
      </c>
      <c r="E1439" s="162">
        <v>8</v>
      </c>
      <c r="F1439" s="162">
        <v>6</v>
      </c>
      <c r="G1439" s="164">
        <v>0.81989999999999996</v>
      </c>
      <c r="H1439" s="164">
        <v>0.76480000000000004</v>
      </c>
      <c r="I1439" s="164">
        <v>0.9415</v>
      </c>
      <c r="J1439" s="2" t="str">
        <f>HYPERLINK(SetRGB(J1439,G1439*255,H1439*255,I1439*255),"HOVER!")</f>
        <v>HOVER!</v>
      </c>
      <c r="K1439">
        <f t="shared" si="44"/>
        <v>1.3333333333333333</v>
      </c>
    </row>
    <row r="1440" spans="1:11" x14ac:dyDescent="0.3">
      <c r="A1440">
        <f>LOOKUP(9E+307,--MID(D1440,1,{1,2,3,4,5}))</f>
        <v>2.5</v>
      </c>
      <c r="B1440">
        <f>VLOOKUP(MID(D1440,LOOKUP(2,1/ISNUMBER(-MID(D1440,1,{1,2,3,4,5})),{1,2,3,4,5})+1,9),'Hue codes'!$A$1:$B$10,2,FALSE)</f>
        <v>80</v>
      </c>
      <c r="C1440">
        <f t="shared" si="45"/>
        <v>82.5</v>
      </c>
      <c r="D1440" s="162" t="s">
        <v>53</v>
      </c>
      <c r="E1440" s="162">
        <v>8</v>
      </c>
      <c r="F1440" s="162">
        <v>8</v>
      </c>
      <c r="G1440" s="164">
        <v>0.83299999999999996</v>
      </c>
      <c r="H1440" s="164">
        <v>0.75109999999999999</v>
      </c>
      <c r="I1440" s="164">
        <v>1</v>
      </c>
      <c r="J1440" s="2" t="str">
        <f>HYPERLINK(SetRGB(J1440,G1440*255,H1440*255,I1440*255),"HOVER!")</f>
        <v>HOVER!</v>
      </c>
      <c r="K1440">
        <f t="shared" si="44"/>
        <v>1</v>
      </c>
    </row>
    <row r="1441" spans="1:11" x14ac:dyDescent="0.3">
      <c r="A1441">
        <f>LOOKUP(9E+307,--MID(D1441,1,{1,2,3,4,5}))</f>
        <v>5</v>
      </c>
      <c r="B1441">
        <f>VLOOKUP(MID(D1441,LOOKUP(2,1/ISNUMBER(-MID(D1441,1,{1,2,3,4,5})),{1,2,3,4,5})+1,9),'Hue codes'!$A$1:$B$10,2,FALSE)</f>
        <v>80</v>
      </c>
      <c r="C1441">
        <f t="shared" si="45"/>
        <v>85</v>
      </c>
      <c r="D1441" s="162" t="s">
        <v>54</v>
      </c>
      <c r="E1441" s="162">
        <v>8</v>
      </c>
      <c r="F1441" s="162">
        <v>2</v>
      </c>
      <c r="G1441" s="164">
        <v>0.80489999999999995</v>
      </c>
      <c r="H1441" s="164">
        <v>0.78500000000000003</v>
      </c>
      <c r="I1441" s="164">
        <v>0.82410000000000005</v>
      </c>
      <c r="J1441" s="2" t="str">
        <f>HYPERLINK(SetRGB(J1441,G1441*255,H1441*255,I1441*255),"HOVER!")</f>
        <v>HOVER!</v>
      </c>
      <c r="K1441">
        <f t="shared" si="44"/>
        <v>4</v>
      </c>
    </row>
    <row r="1442" spans="1:11" x14ac:dyDescent="0.3">
      <c r="A1442">
        <f>LOOKUP(9E+307,--MID(D1442,1,{1,2,3,4,5}))</f>
        <v>5</v>
      </c>
      <c r="B1442">
        <f>VLOOKUP(MID(D1442,LOOKUP(2,1/ISNUMBER(-MID(D1442,1,{1,2,3,4,5})),{1,2,3,4,5})+1,9),'Hue codes'!$A$1:$B$10,2,FALSE)</f>
        <v>80</v>
      </c>
      <c r="C1442">
        <f t="shared" si="45"/>
        <v>85</v>
      </c>
      <c r="D1442" s="162" t="s">
        <v>54</v>
      </c>
      <c r="E1442" s="162">
        <v>8</v>
      </c>
      <c r="F1442" s="162">
        <v>4</v>
      </c>
      <c r="G1442" s="164">
        <v>0.82679999999999998</v>
      </c>
      <c r="H1442" s="164">
        <v>0.77159999999999995</v>
      </c>
      <c r="I1442" s="164">
        <v>0.87529999999999997</v>
      </c>
      <c r="J1442" s="2" t="str">
        <f>HYPERLINK(SetRGB(J1442,G1442*255,H1442*255,I1442*255),"HOVER!")</f>
        <v>HOVER!</v>
      </c>
      <c r="K1442">
        <f t="shared" si="44"/>
        <v>2</v>
      </c>
    </row>
    <row r="1443" spans="1:11" x14ac:dyDescent="0.3">
      <c r="A1443">
        <f>LOOKUP(9E+307,--MID(D1443,1,{1,2,3,4,5}))</f>
        <v>5</v>
      </c>
      <c r="B1443">
        <f>VLOOKUP(MID(D1443,LOOKUP(2,1/ISNUMBER(-MID(D1443,1,{1,2,3,4,5})),{1,2,3,4,5})+1,9),'Hue codes'!$A$1:$B$10,2,FALSE)</f>
        <v>80</v>
      </c>
      <c r="C1443">
        <f t="shared" si="45"/>
        <v>85</v>
      </c>
      <c r="D1443" s="162" t="s">
        <v>54</v>
      </c>
      <c r="E1443" s="162">
        <v>8</v>
      </c>
      <c r="F1443" s="162">
        <v>6</v>
      </c>
      <c r="G1443" s="164">
        <v>0.84860000000000002</v>
      </c>
      <c r="H1443" s="164">
        <v>0.75749999999999995</v>
      </c>
      <c r="I1443" s="164">
        <v>0.9244</v>
      </c>
      <c r="J1443" s="2" t="str">
        <f>HYPERLINK(SetRGB(J1443,G1443*255,H1443*255,I1443*255),"HOVER!")</f>
        <v>HOVER!</v>
      </c>
      <c r="K1443">
        <f t="shared" si="44"/>
        <v>1.3333333333333333</v>
      </c>
    </row>
    <row r="1444" spans="1:11" x14ac:dyDescent="0.3">
      <c r="A1444">
        <f>LOOKUP(9E+307,--MID(D1444,1,{1,2,3,4,5}))</f>
        <v>5</v>
      </c>
      <c r="B1444">
        <f>VLOOKUP(MID(D1444,LOOKUP(2,1/ISNUMBER(-MID(D1444,1,{1,2,3,4,5})),{1,2,3,4,5})+1,9),'Hue codes'!$A$1:$B$10,2,FALSE)</f>
        <v>80</v>
      </c>
      <c r="C1444">
        <f t="shared" si="45"/>
        <v>85</v>
      </c>
      <c r="D1444" s="162" t="s">
        <v>54</v>
      </c>
      <c r="E1444" s="162">
        <v>8</v>
      </c>
      <c r="F1444" s="162">
        <v>8</v>
      </c>
      <c r="G1444" s="164">
        <v>0.874</v>
      </c>
      <c r="H1444" s="164">
        <v>0.74029999999999996</v>
      </c>
      <c r="I1444" s="164">
        <v>0.97770000000000001</v>
      </c>
      <c r="J1444" s="2" t="str">
        <f>HYPERLINK(SetRGB(J1444,G1444*255,H1444*255,I1444*255),"HOVER!")</f>
        <v>HOVER!</v>
      </c>
      <c r="K1444">
        <f t="shared" si="44"/>
        <v>1</v>
      </c>
    </row>
    <row r="1445" spans="1:11" x14ac:dyDescent="0.3">
      <c r="A1445">
        <f>LOOKUP(9E+307,--MID(D1445,1,{1,2,3,4,5}))</f>
        <v>5</v>
      </c>
      <c r="B1445">
        <f>VLOOKUP(MID(D1445,LOOKUP(2,1/ISNUMBER(-MID(D1445,1,{1,2,3,4,5})),{1,2,3,4,5})+1,9),'Hue codes'!$A$1:$B$10,2,FALSE)</f>
        <v>80</v>
      </c>
      <c r="C1445">
        <f t="shared" si="45"/>
        <v>85</v>
      </c>
      <c r="D1445" s="162" t="s">
        <v>54</v>
      </c>
      <c r="E1445" s="162">
        <v>8</v>
      </c>
      <c r="F1445" s="162">
        <v>10</v>
      </c>
      <c r="G1445" s="164">
        <v>0.89929999999999999</v>
      </c>
      <c r="H1445" s="164">
        <v>0.72199999999999998</v>
      </c>
      <c r="I1445" s="164">
        <v>1</v>
      </c>
      <c r="J1445" s="2" t="str">
        <f>HYPERLINK(SetRGB(J1445,G1445*255,H1445*255,I1445*255),"HOVER!")</f>
        <v>HOVER!</v>
      </c>
      <c r="K1445">
        <f t="shared" si="44"/>
        <v>0.8</v>
      </c>
    </row>
    <row r="1446" spans="1:11" x14ac:dyDescent="0.3">
      <c r="A1446">
        <f>LOOKUP(9E+307,--MID(D1446,1,{1,2,3,4,5}))</f>
        <v>7.5</v>
      </c>
      <c r="B1446">
        <f>VLOOKUP(MID(D1446,LOOKUP(2,1/ISNUMBER(-MID(D1446,1,{1,2,3,4,5})),{1,2,3,4,5})+1,9),'Hue codes'!$A$1:$B$10,2,FALSE)</f>
        <v>80</v>
      </c>
      <c r="C1446">
        <f t="shared" si="45"/>
        <v>87.5</v>
      </c>
      <c r="D1446" s="162" t="s">
        <v>55</v>
      </c>
      <c r="E1446" s="162">
        <v>8</v>
      </c>
      <c r="F1446" s="162">
        <v>2</v>
      </c>
      <c r="G1446" s="164">
        <v>0.81689999999999996</v>
      </c>
      <c r="H1446" s="164">
        <v>0.7823</v>
      </c>
      <c r="I1446" s="164">
        <v>0.81410000000000005</v>
      </c>
      <c r="J1446" s="2" t="str">
        <f>HYPERLINK(SetRGB(J1446,G1446*255,H1446*255,I1446*255),"HOVER!")</f>
        <v>HOVER!</v>
      </c>
      <c r="K1446">
        <f t="shared" si="44"/>
        <v>4</v>
      </c>
    </row>
    <row r="1447" spans="1:11" x14ac:dyDescent="0.3">
      <c r="A1447">
        <f>LOOKUP(9E+307,--MID(D1447,1,{1,2,3,4,5}))</f>
        <v>7.5</v>
      </c>
      <c r="B1447">
        <f>VLOOKUP(MID(D1447,LOOKUP(2,1/ISNUMBER(-MID(D1447,1,{1,2,3,4,5})),{1,2,3,4,5})+1,9),'Hue codes'!$A$1:$B$10,2,FALSE)</f>
        <v>80</v>
      </c>
      <c r="C1447">
        <f t="shared" si="45"/>
        <v>87.5</v>
      </c>
      <c r="D1447" s="162" t="s">
        <v>55</v>
      </c>
      <c r="E1447" s="162">
        <v>8</v>
      </c>
      <c r="F1447" s="162">
        <v>4</v>
      </c>
      <c r="G1447" s="164">
        <v>0.8579</v>
      </c>
      <c r="H1447" s="164">
        <v>0.76390000000000002</v>
      </c>
      <c r="I1447" s="164">
        <v>0.8528</v>
      </c>
      <c r="J1447" s="2" t="str">
        <f>HYPERLINK(SetRGB(J1447,G1447*255,H1447*255,I1447*255),"HOVER!")</f>
        <v>HOVER!</v>
      </c>
      <c r="K1447">
        <f t="shared" si="44"/>
        <v>2</v>
      </c>
    </row>
    <row r="1448" spans="1:11" x14ac:dyDescent="0.3">
      <c r="A1448">
        <f>LOOKUP(9E+307,--MID(D1448,1,{1,2,3,4,5}))</f>
        <v>7.5</v>
      </c>
      <c r="B1448">
        <f>VLOOKUP(MID(D1448,LOOKUP(2,1/ISNUMBER(-MID(D1448,1,{1,2,3,4,5})),{1,2,3,4,5})+1,9),'Hue codes'!$A$1:$B$10,2,FALSE)</f>
        <v>80</v>
      </c>
      <c r="C1448">
        <f t="shared" si="45"/>
        <v>87.5</v>
      </c>
      <c r="D1448" s="162" t="s">
        <v>55</v>
      </c>
      <c r="E1448" s="162">
        <v>8</v>
      </c>
      <c r="F1448" s="162">
        <v>6</v>
      </c>
      <c r="G1448" s="164">
        <v>0.89129999999999998</v>
      </c>
      <c r="H1448" s="164">
        <v>0.74719999999999998</v>
      </c>
      <c r="I1448" s="164">
        <v>0.88729999999999998</v>
      </c>
      <c r="J1448" s="2" t="str">
        <f>HYPERLINK(SetRGB(J1448,G1448*255,H1448*255,I1448*255),"HOVER!")</f>
        <v>HOVER!</v>
      </c>
      <c r="K1448">
        <f t="shared" si="44"/>
        <v>1.3333333333333333</v>
      </c>
    </row>
    <row r="1449" spans="1:11" x14ac:dyDescent="0.3">
      <c r="A1449">
        <f>LOOKUP(9E+307,--MID(D1449,1,{1,2,3,4,5}))</f>
        <v>7.5</v>
      </c>
      <c r="B1449">
        <f>VLOOKUP(MID(D1449,LOOKUP(2,1/ISNUMBER(-MID(D1449,1,{1,2,3,4,5})),{1,2,3,4,5})+1,9),'Hue codes'!$A$1:$B$10,2,FALSE)</f>
        <v>80</v>
      </c>
      <c r="C1449">
        <f t="shared" si="45"/>
        <v>87.5</v>
      </c>
      <c r="D1449" s="162" t="s">
        <v>55</v>
      </c>
      <c r="E1449" s="162">
        <v>8</v>
      </c>
      <c r="F1449" s="162">
        <v>8</v>
      </c>
      <c r="G1449" s="164">
        <v>0.93489999999999995</v>
      </c>
      <c r="H1449" s="164">
        <v>0.72340000000000004</v>
      </c>
      <c r="I1449" s="164">
        <v>0.93120000000000003</v>
      </c>
      <c r="J1449" s="2" t="str">
        <f>HYPERLINK(SetRGB(J1449,G1449*255,H1449*255,I1449*255),"HOVER!")</f>
        <v>HOVER!</v>
      </c>
      <c r="K1449">
        <f t="shared" si="44"/>
        <v>1</v>
      </c>
    </row>
    <row r="1450" spans="1:11" x14ac:dyDescent="0.3">
      <c r="A1450">
        <f>LOOKUP(9E+307,--MID(D1450,1,{1,2,3,4,5}))</f>
        <v>7.5</v>
      </c>
      <c r="B1450">
        <f>VLOOKUP(MID(D1450,LOOKUP(2,1/ISNUMBER(-MID(D1450,1,{1,2,3,4,5})),{1,2,3,4,5})+1,9),'Hue codes'!$A$1:$B$10,2,FALSE)</f>
        <v>80</v>
      </c>
      <c r="C1450">
        <f t="shared" si="45"/>
        <v>87.5</v>
      </c>
      <c r="D1450" s="162" t="s">
        <v>55</v>
      </c>
      <c r="E1450" s="162">
        <v>8</v>
      </c>
      <c r="F1450" s="162">
        <v>10</v>
      </c>
      <c r="G1450" s="164">
        <v>0.97150000000000003</v>
      </c>
      <c r="H1450" s="164">
        <v>0.70109999999999995</v>
      </c>
      <c r="I1450" s="164">
        <v>0.96889999999999998</v>
      </c>
      <c r="J1450" s="2" t="str">
        <f>HYPERLINK(SetRGB(J1450,G1450*255,H1450*255,I1450*255),"HOVER!")</f>
        <v>HOVER!</v>
      </c>
      <c r="K1450">
        <f t="shared" si="44"/>
        <v>0.8</v>
      </c>
    </row>
    <row r="1451" spans="1:11" x14ac:dyDescent="0.3">
      <c r="A1451">
        <f>LOOKUP(9E+307,--MID(D1451,1,{1,2,3,4,5}))</f>
        <v>7.5</v>
      </c>
      <c r="B1451">
        <f>VLOOKUP(MID(D1451,LOOKUP(2,1/ISNUMBER(-MID(D1451,1,{1,2,3,4,5})),{1,2,3,4,5})+1,9),'Hue codes'!$A$1:$B$10,2,FALSE)</f>
        <v>80</v>
      </c>
      <c r="C1451">
        <f t="shared" si="45"/>
        <v>87.5</v>
      </c>
      <c r="D1451" s="162" t="s">
        <v>55</v>
      </c>
      <c r="E1451" s="162">
        <v>8</v>
      </c>
      <c r="F1451" s="162">
        <v>12</v>
      </c>
      <c r="G1451" s="164">
        <v>1</v>
      </c>
      <c r="H1451" s="164">
        <v>0.67559999999999998</v>
      </c>
      <c r="I1451" s="164">
        <v>1</v>
      </c>
      <c r="J1451" s="2" t="str">
        <f>HYPERLINK(SetRGB(J1451,G1451*255,H1451*255,I1451*255),"HOVER!")</f>
        <v>HOVER!</v>
      </c>
      <c r="K1451">
        <f t="shared" si="44"/>
        <v>0.66666666666666663</v>
      </c>
    </row>
    <row r="1452" spans="1:11" x14ac:dyDescent="0.3">
      <c r="A1452">
        <f>LOOKUP(9E+307,--MID(D1452,1,{1,2,3,4,5}))</f>
        <v>10</v>
      </c>
      <c r="B1452">
        <f>VLOOKUP(MID(D1452,LOOKUP(2,1/ISNUMBER(-MID(D1452,1,{1,2,3,4,5})),{1,2,3,4,5})+1,9),'Hue codes'!$A$1:$B$10,2,FALSE)</f>
        <v>80</v>
      </c>
      <c r="C1452">
        <f t="shared" si="45"/>
        <v>90</v>
      </c>
      <c r="D1452" s="162" t="s">
        <v>56</v>
      </c>
      <c r="E1452" s="162">
        <v>8</v>
      </c>
      <c r="F1452" s="162">
        <v>2</v>
      </c>
      <c r="G1452" s="164">
        <v>0.82340000000000002</v>
      </c>
      <c r="H1452" s="164">
        <v>0.78090000000000004</v>
      </c>
      <c r="I1452" s="164">
        <v>0.80810000000000004</v>
      </c>
      <c r="J1452" s="2" t="str">
        <f>HYPERLINK(SetRGB(J1452,G1452*255,H1452*255,I1452*255),"HOVER!")</f>
        <v>HOVER!</v>
      </c>
      <c r="K1452">
        <f t="shared" si="44"/>
        <v>4</v>
      </c>
    </row>
    <row r="1453" spans="1:11" x14ac:dyDescent="0.3">
      <c r="A1453">
        <f>LOOKUP(9E+307,--MID(D1453,1,{1,2,3,4,5}))</f>
        <v>10</v>
      </c>
      <c r="B1453">
        <f>VLOOKUP(MID(D1453,LOOKUP(2,1/ISNUMBER(-MID(D1453,1,{1,2,3,4,5})),{1,2,3,4,5})+1,9),'Hue codes'!$A$1:$B$10,2,FALSE)</f>
        <v>80</v>
      </c>
      <c r="C1453">
        <f t="shared" si="45"/>
        <v>90</v>
      </c>
      <c r="D1453" s="162" t="s">
        <v>56</v>
      </c>
      <c r="E1453" s="162">
        <v>8</v>
      </c>
      <c r="F1453" s="162">
        <v>4</v>
      </c>
      <c r="G1453" s="164">
        <v>0.87239999999999995</v>
      </c>
      <c r="H1453" s="164">
        <v>0.76090000000000002</v>
      </c>
      <c r="I1453" s="164">
        <v>0.83630000000000004</v>
      </c>
      <c r="J1453" s="2" t="str">
        <f>HYPERLINK(SetRGB(J1453,G1453*255,H1453*255,I1453*255),"HOVER!")</f>
        <v>HOVER!</v>
      </c>
      <c r="K1453">
        <f t="shared" si="44"/>
        <v>2</v>
      </c>
    </row>
    <row r="1454" spans="1:11" x14ac:dyDescent="0.3">
      <c r="A1454">
        <f>LOOKUP(9E+307,--MID(D1454,1,{1,2,3,4,5}))</f>
        <v>10</v>
      </c>
      <c r="B1454">
        <f>VLOOKUP(MID(D1454,LOOKUP(2,1/ISNUMBER(-MID(D1454,1,{1,2,3,4,5})),{1,2,3,4,5})+1,9),'Hue codes'!$A$1:$B$10,2,FALSE)</f>
        <v>80</v>
      </c>
      <c r="C1454">
        <f t="shared" si="45"/>
        <v>90</v>
      </c>
      <c r="D1454" s="162" t="s">
        <v>56</v>
      </c>
      <c r="E1454" s="162">
        <v>8</v>
      </c>
      <c r="F1454" s="162">
        <v>6</v>
      </c>
      <c r="G1454" s="164">
        <v>0.91900000000000004</v>
      </c>
      <c r="H1454" s="164">
        <v>0.73939999999999995</v>
      </c>
      <c r="I1454" s="164">
        <v>0.86539999999999995</v>
      </c>
      <c r="J1454" s="2" t="str">
        <f>HYPERLINK(SetRGB(J1454,G1454*255,H1454*255,I1454*255),"HOVER!")</f>
        <v>HOVER!</v>
      </c>
      <c r="K1454">
        <f t="shared" si="44"/>
        <v>1.3333333333333333</v>
      </c>
    </row>
    <row r="1455" spans="1:11" x14ac:dyDescent="0.3">
      <c r="A1455">
        <f>LOOKUP(9E+307,--MID(D1455,1,{1,2,3,4,5}))</f>
        <v>10</v>
      </c>
      <c r="B1455">
        <f>VLOOKUP(MID(D1455,LOOKUP(2,1/ISNUMBER(-MID(D1455,1,{1,2,3,4,5})),{1,2,3,4,5})+1,9),'Hue codes'!$A$1:$B$10,2,FALSE)</f>
        <v>80</v>
      </c>
      <c r="C1455">
        <f t="shared" si="45"/>
        <v>90</v>
      </c>
      <c r="D1455" s="162" t="s">
        <v>56</v>
      </c>
      <c r="E1455" s="162">
        <v>8</v>
      </c>
      <c r="F1455" s="162">
        <v>8</v>
      </c>
      <c r="G1455" s="164">
        <v>0.96699999999999997</v>
      </c>
      <c r="H1455" s="164">
        <v>0.71460000000000001</v>
      </c>
      <c r="I1455" s="164">
        <v>0.89680000000000004</v>
      </c>
      <c r="J1455" s="2" t="str">
        <f>HYPERLINK(SetRGB(J1455,G1455*255,H1455*255,I1455*255),"HOVER!")</f>
        <v>HOVER!</v>
      </c>
      <c r="K1455">
        <f t="shared" si="44"/>
        <v>1</v>
      </c>
    </row>
    <row r="1456" spans="1:11" x14ac:dyDescent="0.3">
      <c r="A1456">
        <f>LOOKUP(9E+307,--MID(D1456,1,{1,2,3,4,5}))</f>
        <v>10</v>
      </c>
      <c r="B1456">
        <f>VLOOKUP(MID(D1456,LOOKUP(2,1/ISNUMBER(-MID(D1456,1,{1,2,3,4,5})),{1,2,3,4,5})+1,9),'Hue codes'!$A$1:$B$10,2,FALSE)</f>
        <v>80</v>
      </c>
      <c r="C1456">
        <f t="shared" si="45"/>
        <v>90</v>
      </c>
      <c r="D1456" s="162" t="s">
        <v>56</v>
      </c>
      <c r="E1456" s="162">
        <v>8</v>
      </c>
      <c r="F1456" s="162">
        <v>10</v>
      </c>
      <c r="G1456" s="164">
        <v>1</v>
      </c>
      <c r="H1456" s="164">
        <v>0.68889999999999996</v>
      </c>
      <c r="I1456" s="164">
        <v>0.92710000000000004</v>
      </c>
      <c r="J1456" s="2" t="str">
        <f>HYPERLINK(SetRGB(J1456,G1456*255,H1456*255,I1456*255),"HOVER!")</f>
        <v>HOVER!</v>
      </c>
      <c r="K1456">
        <f t="shared" si="44"/>
        <v>0.8</v>
      </c>
    </row>
    <row r="1457" spans="1:11" x14ac:dyDescent="0.3">
      <c r="A1457">
        <f>LOOKUP(9E+307,--MID(D1457,1,{1,2,3,4,5}))</f>
        <v>10</v>
      </c>
      <c r="B1457">
        <f>VLOOKUP(MID(D1457,LOOKUP(2,1/ISNUMBER(-MID(D1457,1,{1,2,3,4,5})),{1,2,3,4,5})+1,9),'Hue codes'!$A$1:$B$10,2,FALSE)</f>
        <v>80</v>
      </c>
      <c r="C1457">
        <f t="shared" si="45"/>
        <v>90</v>
      </c>
      <c r="D1457" s="162" t="s">
        <v>56</v>
      </c>
      <c r="E1457" s="162">
        <v>8</v>
      </c>
      <c r="F1457" s="162">
        <v>12</v>
      </c>
      <c r="G1457" s="164">
        <v>1</v>
      </c>
      <c r="H1457" s="164">
        <v>0.66090000000000004</v>
      </c>
      <c r="I1457" s="164">
        <v>0.95720000000000005</v>
      </c>
      <c r="J1457" s="2" t="str">
        <f>HYPERLINK(SetRGB(J1457,G1457*255,H1457*255,I1457*255),"HOVER!")</f>
        <v>HOVER!</v>
      </c>
      <c r="K1457">
        <f t="shared" si="44"/>
        <v>0.66666666666666663</v>
      </c>
    </row>
    <row r="1458" spans="1:11" x14ac:dyDescent="0.3">
      <c r="A1458">
        <f>LOOKUP(9E+307,--MID(D1458,1,{1,2,3,4,5}))</f>
        <v>10</v>
      </c>
      <c r="B1458">
        <f>VLOOKUP(MID(D1458,LOOKUP(2,1/ISNUMBER(-MID(D1458,1,{1,2,3,4,5})),{1,2,3,4,5})+1,9),'Hue codes'!$A$1:$B$10,2,FALSE)</f>
        <v>80</v>
      </c>
      <c r="C1458">
        <f t="shared" si="45"/>
        <v>90</v>
      </c>
      <c r="D1458" s="162" t="s">
        <v>56</v>
      </c>
      <c r="E1458" s="162">
        <v>8</v>
      </c>
      <c r="F1458" s="162">
        <v>14</v>
      </c>
      <c r="G1458" s="164">
        <v>1</v>
      </c>
      <c r="H1458" s="164">
        <v>0.626</v>
      </c>
      <c r="I1458" s="164">
        <v>0.99170000000000003</v>
      </c>
      <c r="J1458" s="2" t="str">
        <f>HYPERLINK(SetRGB(J1458,G1458*255,H1458*255,I1458*255),"HOVER!")</f>
        <v>HOVER!</v>
      </c>
      <c r="K1458">
        <f t="shared" si="44"/>
        <v>0.5714285714285714</v>
      </c>
    </row>
    <row r="1459" spans="1:11" x14ac:dyDescent="0.3">
      <c r="A1459">
        <f>LOOKUP(9E+307,--MID(D1459,1,{1,2,3,4,5}))</f>
        <v>2.5</v>
      </c>
      <c r="B1459">
        <f>VLOOKUP(MID(D1459,LOOKUP(2,1/ISNUMBER(-MID(D1459,1,{1,2,3,4,5})),{1,2,3,4,5})+1,9),'Hue codes'!$A$1:$B$10,2,FALSE)</f>
        <v>90</v>
      </c>
      <c r="C1459">
        <f t="shared" si="45"/>
        <v>92.5</v>
      </c>
      <c r="D1459" s="162" t="s">
        <v>57</v>
      </c>
      <c r="E1459" s="162">
        <v>8</v>
      </c>
      <c r="F1459" s="162">
        <v>2</v>
      </c>
      <c r="G1459" s="164">
        <v>0.82889999999999997</v>
      </c>
      <c r="H1459" s="164">
        <v>0.77990000000000004</v>
      </c>
      <c r="I1459" s="164">
        <v>0.80179999999999996</v>
      </c>
      <c r="J1459" s="2" t="str">
        <f>HYPERLINK(SetRGB(J1459,G1459*255,H1459*255,I1459*255),"HOVER!")</f>
        <v>HOVER!</v>
      </c>
      <c r="K1459">
        <f t="shared" si="44"/>
        <v>4</v>
      </c>
    </row>
    <row r="1460" spans="1:11" x14ac:dyDescent="0.3">
      <c r="A1460">
        <f>LOOKUP(9E+307,--MID(D1460,1,{1,2,3,4,5}))</f>
        <v>2.5</v>
      </c>
      <c r="B1460">
        <f>VLOOKUP(MID(D1460,LOOKUP(2,1/ISNUMBER(-MID(D1460,1,{1,2,3,4,5})),{1,2,3,4,5})+1,9),'Hue codes'!$A$1:$B$10,2,FALSE)</f>
        <v>90</v>
      </c>
      <c r="C1460">
        <f t="shared" si="45"/>
        <v>92.5</v>
      </c>
      <c r="D1460" s="162" t="s">
        <v>57</v>
      </c>
      <c r="E1460" s="162">
        <v>8</v>
      </c>
      <c r="F1460" s="162">
        <v>4</v>
      </c>
      <c r="G1460" s="164">
        <v>0.8861</v>
      </c>
      <c r="H1460" s="164">
        <v>0.7581</v>
      </c>
      <c r="I1460" s="164">
        <v>0.81820000000000004</v>
      </c>
      <c r="J1460" s="2" t="str">
        <f>HYPERLINK(SetRGB(J1460,G1460*255,H1460*255,I1460*255),"HOVER!")</f>
        <v>HOVER!</v>
      </c>
      <c r="K1460">
        <f t="shared" si="44"/>
        <v>2</v>
      </c>
    </row>
    <row r="1461" spans="1:11" x14ac:dyDescent="0.3">
      <c r="A1461">
        <f>LOOKUP(9E+307,--MID(D1461,1,{1,2,3,4,5}))</f>
        <v>2.5</v>
      </c>
      <c r="B1461">
        <f>VLOOKUP(MID(D1461,LOOKUP(2,1/ISNUMBER(-MID(D1461,1,{1,2,3,4,5})),{1,2,3,4,5})+1,9),'Hue codes'!$A$1:$B$10,2,FALSE)</f>
        <v>90</v>
      </c>
      <c r="C1461">
        <f t="shared" si="45"/>
        <v>92.5</v>
      </c>
      <c r="D1461" s="162" t="s">
        <v>57</v>
      </c>
      <c r="E1461" s="162">
        <v>8</v>
      </c>
      <c r="F1461" s="162">
        <v>6</v>
      </c>
      <c r="G1461" s="164">
        <v>0.94399999999999995</v>
      </c>
      <c r="H1461" s="164">
        <v>0.73309999999999997</v>
      </c>
      <c r="I1461" s="164">
        <v>0.83540000000000003</v>
      </c>
      <c r="J1461" s="2" t="str">
        <f>HYPERLINK(SetRGB(J1461,G1461*255,H1461*255,I1461*255),"HOVER!")</f>
        <v>HOVER!</v>
      </c>
      <c r="K1461">
        <f t="shared" si="44"/>
        <v>1.3333333333333333</v>
      </c>
    </row>
    <row r="1462" spans="1:11" x14ac:dyDescent="0.3">
      <c r="A1462">
        <f>LOOKUP(9E+307,--MID(D1462,1,{1,2,3,4,5}))</f>
        <v>2.5</v>
      </c>
      <c r="B1462">
        <f>VLOOKUP(MID(D1462,LOOKUP(2,1/ISNUMBER(-MID(D1462,1,{1,2,3,4,5})),{1,2,3,4,5})+1,9),'Hue codes'!$A$1:$B$10,2,FALSE)</f>
        <v>90</v>
      </c>
      <c r="C1462">
        <f t="shared" si="45"/>
        <v>92.5</v>
      </c>
      <c r="D1462" s="162" t="s">
        <v>57</v>
      </c>
      <c r="E1462" s="162">
        <v>8</v>
      </c>
      <c r="F1462" s="162">
        <v>8</v>
      </c>
      <c r="G1462" s="164">
        <v>0.99890000000000001</v>
      </c>
      <c r="H1462" s="164">
        <v>0.70589999999999997</v>
      </c>
      <c r="I1462" s="164">
        <v>0.85519999999999996</v>
      </c>
      <c r="J1462" s="2" t="str">
        <f>HYPERLINK(SetRGB(J1462,G1462*255,H1462*255,I1462*255),"HOVER!")</f>
        <v>HOVER!</v>
      </c>
      <c r="K1462">
        <f t="shared" si="44"/>
        <v>1</v>
      </c>
    </row>
    <row r="1463" spans="1:11" x14ac:dyDescent="0.3">
      <c r="A1463">
        <f>LOOKUP(9E+307,--MID(D1463,1,{1,2,3,4,5}))</f>
        <v>2.5</v>
      </c>
      <c r="B1463">
        <f>VLOOKUP(MID(D1463,LOOKUP(2,1/ISNUMBER(-MID(D1463,1,{1,2,3,4,5})),{1,2,3,4,5})+1,9),'Hue codes'!$A$1:$B$10,2,FALSE)</f>
        <v>90</v>
      </c>
      <c r="C1463">
        <f t="shared" si="45"/>
        <v>92.5</v>
      </c>
      <c r="D1463" s="162" t="s">
        <v>57</v>
      </c>
      <c r="E1463" s="162">
        <v>8</v>
      </c>
      <c r="F1463" s="162">
        <v>10</v>
      </c>
      <c r="G1463" s="164">
        <v>1</v>
      </c>
      <c r="H1463" s="164">
        <v>0.67810000000000004</v>
      </c>
      <c r="I1463" s="164">
        <v>0.87339999999999995</v>
      </c>
      <c r="J1463" s="2" t="str">
        <f>HYPERLINK(SetRGB(J1463,G1463*255,H1463*255,I1463*255),"HOVER!")</f>
        <v>HOVER!</v>
      </c>
      <c r="K1463">
        <f t="shared" ref="K1463:K1526" si="46">E1463/F1463</f>
        <v>0.8</v>
      </c>
    </row>
    <row r="1464" spans="1:11" x14ac:dyDescent="0.3">
      <c r="A1464">
        <f>LOOKUP(9E+307,--MID(D1464,1,{1,2,3,4,5}))</f>
        <v>2.5</v>
      </c>
      <c r="B1464">
        <f>VLOOKUP(MID(D1464,LOOKUP(2,1/ISNUMBER(-MID(D1464,1,{1,2,3,4,5})),{1,2,3,4,5})+1,9),'Hue codes'!$A$1:$B$10,2,FALSE)</f>
        <v>90</v>
      </c>
      <c r="C1464">
        <f t="shared" si="45"/>
        <v>92.5</v>
      </c>
      <c r="D1464" s="162" t="s">
        <v>57</v>
      </c>
      <c r="E1464" s="162">
        <v>8</v>
      </c>
      <c r="F1464" s="162">
        <v>12</v>
      </c>
      <c r="G1464" s="164">
        <v>1</v>
      </c>
      <c r="H1464" s="164">
        <v>0.64400000000000002</v>
      </c>
      <c r="I1464" s="164">
        <v>0.89549999999999996</v>
      </c>
      <c r="J1464" s="2" t="str">
        <f>HYPERLINK(SetRGB(J1464,G1464*255,H1464*255,I1464*255),"HOVER!")</f>
        <v>HOVER!</v>
      </c>
      <c r="K1464">
        <f t="shared" si="46"/>
        <v>0.66666666666666663</v>
      </c>
    </row>
    <row r="1465" spans="1:11" x14ac:dyDescent="0.3">
      <c r="A1465">
        <f>LOOKUP(9E+307,--MID(D1465,1,{1,2,3,4,5}))</f>
        <v>2.5</v>
      </c>
      <c r="B1465">
        <f>VLOOKUP(MID(D1465,LOOKUP(2,1/ISNUMBER(-MID(D1465,1,{1,2,3,4,5})),{1,2,3,4,5})+1,9),'Hue codes'!$A$1:$B$10,2,FALSE)</f>
        <v>90</v>
      </c>
      <c r="C1465">
        <f t="shared" si="45"/>
        <v>92.5</v>
      </c>
      <c r="D1465" s="162" t="s">
        <v>57</v>
      </c>
      <c r="E1465" s="162">
        <v>8</v>
      </c>
      <c r="F1465" s="162">
        <v>14</v>
      </c>
      <c r="G1465" s="164">
        <v>1</v>
      </c>
      <c r="H1465" s="164">
        <v>0.6069</v>
      </c>
      <c r="I1465" s="164">
        <v>0.91710000000000003</v>
      </c>
      <c r="J1465" s="2" t="str">
        <f>HYPERLINK(SetRGB(J1465,G1465*255,H1465*255,I1465*255),"HOVER!")</f>
        <v>HOVER!</v>
      </c>
      <c r="K1465">
        <f t="shared" si="46"/>
        <v>0.5714285714285714</v>
      </c>
    </row>
    <row r="1466" spans="1:11" x14ac:dyDescent="0.3">
      <c r="A1466">
        <f>LOOKUP(9E+307,--MID(D1466,1,{1,2,3,4,5}))</f>
        <v>5</v>
      </c>
      <c r="B1466">
        <f>VLOOKUP(MID(D1466,LOOKUP(2,1/ISNUMBER(-MID(D1466,1,{1,2,3,4,5})),{1,2,3,4,5})+1,9),'Hue codes'!$A$1:$B$10,2,FALSE)</f>
        <v>90</v>
      </c>
      <c r="C1466">
        <f t="shared" si="45"/>
        <v>95</v>
      </c>
      <c r="D1466" s="162" t="s">
        <v>58</v>
      </c>
      <c r="E1466" s="162">
        <v>8</v>
      </c>
      <c r="F1466" s="162">
        <v>2</v>
      </c>
      <c r="G1466" s="164">
        <v>0.83450000000000002</v>
      </c>
      <c r="H1466" s="164">
        <v>0.77890000000000004</v>
      </c>
      <c r="I1466" s="164">
        <v>0.79420000000000002</v>
      </c>
      <c r="J1466" s="2" t="str">
        <f>HYPERLINK(SetRGB(J1466,G1466*255,H1466*255,I1466*255),"HOVER!")</f>
        <v>HOVER!</v>
      </c>
      <c r="K1466">
        <f t="shared" si="46"/>
        <v>4</v>
      </c>
    </row>
    <row r="1467" spans="1:11" x14ac:dyDescent="0.3">
      <c r="A1467">
        <f>LOOKUP(9E+307,--MID(D1467,1,{1,2,3,4,5}))</f>
        <v>5</v>
      </c>
      <c r="B1467">
        <f>VLOOKUP(MID(D1467,LOOKUP(2,1/ISNUMBER(-MID(D1467,1,{1,2,3,4,5})),{1,2,3,4,5})+1,9),'Hue codes'!$A$1:$B$10,2,FALSE)</f>
        <v>90</v>
      </c>
      <c r="C1467">
        <f t="shared" si="45"/>
        <v>95</v>
      </c>
      <c r="D1467" s="162" t="s">
        <v>58</v>
      </c>
      <c r="E1467" s="162">
        <v>8</v>
      </c>
      <c r="F1467" s="162">
        <v>4</v>
      </c>
      <c r="G1467" s="164">
        <v>0.89929999999999999</v>
      </c>
      <c r="H1467" s="164">
        <v>0.75560000000000005</v>
      </c>
      <c r="I1467" s="164">
        <v>0.79779999999999995</v>
      </c>
      <c r="J1467" s="2" t="str">
        <f>HYPERLINK(SetRGB(J1467,G1467*255,H1467*255,I1467*255),"HOVER!")</f>
        <v>HOVER!</v>
      </c>
      <c r="K1467">
        <f t="shared" si="46"/>
        <v>2</v>
      </c>
    </row>
    <row r="1468" spans="1:11" x14ac:dyDescent="0.3">
      <c r="A1468">
        <f>LOOKUP(9E+307,--MID(D1468,1,{1,2,3,4,5}))</f>
        <v>5</v>
      </c>
      <c r="B1468">
        <f>VLOOKUP(MID(D1468,LOOKUP(2,1/ISNUMBER(-MID(D1468,1,{1,2,3,4,5})),{1,2,3,4,5})+1,9),'Hue codes'!$A$1:$B$10,2,FALSE)</f>
        <v>90</v>
      </c>
      <c r="C1468">
        <f t="shared" si="45"/>
        <v>95</v>
      </c>
      <c r="D1468" s="162" t="s">
        <v>58</v>
      </c>
      <c r="E1468" s="162">
        <v>8</v>
      </c>
      <c r="F1468" s="162">
        <v>6</v>
      </c>
      <c r="G1468" s="164">
        <v>0.96399999999999997</v>
      </c>
      <c r="H1468" s="164">
        <v>0.7288</v>
      </c>
      <c r="I1468" s="164">
        <v>0.80269999999999997</v>
      </c>
      <c r="J1468" s="2" t="str">
        <f>HYPERLINK(SetRGB(J1468,G1468*255,H1468*255,I1468*255),"HOVER!")</f>
        <v>HOVER!</v>
      </c>
      <c r="K1468">
        <f t="shared" si="46"/>
        <v>1.3333333333333333</v>
      </c>
    </row>
    <row r="1469" spans="1:11" x14ac:dyDescent="0.3">
      <c r="A1469">
        <f>LOOKUP(9E+307,--MID(D1469,1,{1,2,3,4,5}))</f>
        <v>5</v>
      </c>
      <c r="B1469">
        <f>VLOOKUP(MID(D1469,LOOKUP(2,1/ISNUMBER(-MID(D1469,1,{1,2,3,4,5})),{1,2,3,4,5})+1,9),'Hue codes'!$A$1:$B$10,2,FALSE)</f>
        <v>90</v>
      </c>
      <c r="C1469">
        <f t="shared" si="45"/>
        <v>95</v>
      </c>
      <c r="D1469" s="162" t="s">
        <v>58</v>
      </c>
      <c r="E1469" s="162">
        <v>8</v>
      </c>
      <c r="F1469" s="162">
        <v>8</v>
      </c>
      <c r="G1469" s="164">
        <v>1</v>
      </c>
      <c r="H1469" s="164">
        <v>0.69879999999999998</v>
      </c>
      <c r="I1469" s="164">
        <v>0.80900000000000005</v>
      </c>
      <c r="J1469" s="2" t="str">
        <f>HYPERLINK(SetRGB(J1469,G1469*255,H1469*255,I1469*255),"HOVER!")</f>
        <v>HOVER!</v>
      </c>
      <c r="K1469">
        <f t="shared" si="46"/>
        <v>1</v>
      </c>
    </row>
    <row r="1470" spans="1:11" x14ac:dyDescent="0.3">
      <c r="A1470">
        <f>LOOKUP(9E+307,--MID(D1470,1,{1,2,3,4,5}))</f>
        <v>5</v>
      </c>
      <c r="B1470">
        <f>VLOOKUP(MID(D1470,LOOKUP(2,1/ISNUMBER(-MID(D1470,1,{1,2,3,4,5})),{1,2,3,4,5})+1,9),'Hue codes'!$A$1:$B$10,2,FALSE)</f>
        <v>90</v>
      </c>
      <c r="C1470">
        <f t="shared" si="45"/>
        <v>95</v>
      </c>
      <c r="D1470" s="162" t="s">
        <v>58</v>
      </c>
      <c r="E1470" s="162">
        <v>8</v>
      </c>
      <c r="F1470" s="162">
        <v>10</v>
      </c>
      <c r="G1470" s="164">
        <v>1</v>
      </c>
      <c r="H1470" s="164">
        <v>0.66869999999999996</v>
      </c>
      <c r="I1470" s="164">
        <v>0.81569999999999998</v>
      </c>
      <c r="J1470" s="2" t="str">
        <f>HYPERLINK(SetRGB(J1470,G1470*255,H1470*255,I1470*255),"HOVER!")</f>
        <v>HOVER!</v>
      </c>
      <c r="K1470">
        <f t="shared" si="46"/>
        <v>0.8</v>
      </c>
    </row>
    <row r="1471" spans="1:11" x14ac:dyDescent="0.3">
      <c r="A1471">
        <f>LOOKUP(9E+307,--MID(D1471,1,{1,2,3,4,5}))</f>
        <v>5</v>
      </c>
      <c r="B1471">
        <f>VLOOKUP(MID(D1471,LOOKUP(2,1/ISNUMBER(-MID(D1471,1,{1,2,3,4,5})),{1,2,3,4,5})+1,9),'Hue codes'!$A$1:$B$10,2,FALSE)</f>
        <v>90</v>
      </c>
      <c r="C1471">
        <f t="shared" si="45"/>
        <v>95</v>
      </c>
      <c r="D1471" s="162" t="s">
        <v>58</v>
      </c>
      <c r="E1471" s="162">
        <v>8</v>
      </c>
      <c r="F1471" s="162">
        <v>12</v>
      </c>
      <c r="G1471" s="164">
        <v>1</v>
      </c>
      <c r="H1471" s="164">
        <v>0.62880000000000003</v>
      </c>
      <c r="I1471" s="164">
        <v>0.82450000000000001</v>
      </c>
      <c r="J1471" s="2" t="str">
        <f>HYPERLINK(SetRGB(J1471,G1471*255,H1471*255,I1471*255),"HOVER!")</f>
        <v>HOVER!</v>
      </c>
      <c r="K1471">
        <f t="shared" si="46"/>
        <v>0.66666666666666663</v>
      </c>
    </row>
    <row r="1472" spans="1:11" x14ac:dyDescent="0.3">
      <c r="A1472">
        <f>LOOKUP(9E+307,--MID(D1472,1,{1,2,3,4,5}))</f>
        <v>7.5</v>
      </c>
      <c r="B1472">
        <f>VLOOKUP(MID(D1472,LOOKUP(2,1/ISNUMBER(-MID(D1472,1,{1,2,3,4,5})),{1,2,3,4,5})+1,9),'Hue codes'!$A$1:$B$10,2,FALSE)</f>
        <v>90</v>
      </c>
      <c r="C1472">
        <f t="shared" si="45"/>
        <v>97.5</v>
      </c>
      <c r="D1472" s="162" t="s">
        <v>59</v>
      </c>
      <c r="E1472" s="162">
        <v>8</v>
      </c>
      <c r="F1472" s="162">
        <v>2</v>
      </c>
      <c r="G1472" s="164">
        <v>0.83860000000000001</v>
      </c>
      <c r="H1472" s="164">
        <v>0.7782</v>
      </c>
      <c r="I1472" s="164">
        <v>0.78820000000000001</v>
      </c>
      <c r="J1472" s="2" t="str">
        <f>HYPERLINK(SetRGB(J1472,G1472*255,H1472*255,I1472*255),"HOVER!")</f>
        <v>HOVER!</v>
      </c>
      <c r="K1472">
        <f t="shared" si="46"/>
        <v>4</v>
      </c>
    </row>
    <row r="1473" spans="1:11" x14ac:dyDescent="0.3">
      <c r="A1473">
        <f>LOOKUP(9E+307,--MID(D1473,1,{1,2,3,4,5}))</f>
        <v>7.5</v>
      </c>
      <c r="B1473">
        <f>VLOOKUP(MID(D1473,LOOKUP(2,1/ISNUMBER(-MID(D1473,1,{1,2,3,4,5})),{1,2,3,4,5})+1,9),'Hue codes'!$A$1:$B$10,2,FALSE)</f>
        <v>90</v>
      </c>
      <c r="C1473">
        <f t="shared" si="45"/>
        <v>97.5</v>
      </c>
      <c r="D1473" s="162" t="s">
        <v>59</v>
      </c>
      <c r="E1473" s="162">
        <v>8</v>
      </c>
      <c r="F1473" s="162">
        <v>4</v>
      </c>
      <c r="G1473" s="164">
        <v>0.90869999999999995</v>
      </c>
      <c r="H1473" s="164">
        <v>0.75380000000000003</v>
      </c>
      <c r="I1473" s="164">
        <v>0.78220000000000001</v>
      </c>
      <c r="J1473" s="2" t="str">
        <f>HYPERLINK(SetRGB(J1473,G1473*255,H1473*255,I1473*255),"HOVER!")</f>
        <v>HOVER!</v>
      </c>
      <c r="K1473">
        <f t="shared" si="46"/>
        <v>2</v>
      </c>
    </row>
    <row r="1474" spans="1:11" x14ac:dyDescent="0.3">
      <c r="A1474">
        <f>LOOKUP(9E+307,--MID(D1474,1,{1,2,3,4,5}))</f>
        <v>7.5</v>
      </c>
      <c r="B1474">
        <f>VLOOKUP(MID(D1474,LOOKUP(2,1/ISNUMBER(-MID(D1474,1,{1,2,3,4,5})),{1,2,3,4,5})+1,9),'Hue codes'!$A$1:$B$10,2,FALSE)</f>
        <v>90</v>
      </c>
      <c r="C1474">
        <f t="shared" si="45"/>
        <v>97.5</v>
      </c>
      <c r="D1474" s="162" t="s">
        <v>59</v>
      </c>
      <c r="E1474" s="162">
        <v>8</v>
      </c>
      <c r="F1474" s="162">
        <v>6</v>
      </c>
      <c r="G1474" s="164">
        <v>0.97570000000000001</v>
      </c>
      <c r="H1474" s="164">
        <v>0.72670000000000001</v>
      </c>
      <c r="I1474" s="164">
        <v>0.77749999999999997</v>
      </c>
      <c r="J1474" s="2" t="str">
        <f>HYPERLINK(SetRGB(J1474,G1474*255,H1474*255,I1474*255),"HOVER!")</f>
        <v>HOVER!</v>
      </c>
      <c r="K1474">
        <f t="shared" si="46"/>
        <v>1.3333333333333333</v>
      </c>
    </row>
    <row r="1475" spans="1:11" x14ac:dyDescent="0.3">
      <c r="A1475">
        <f>LOOKUP(9E+307,--MID(D1475,1,{1,2,3,4,5}))</f>
        <v>7.5</v>
      </c>
      <c r="B1475">
        <f>VLOOKUP(MID(D1475,LOOKUP(2,1/ISNUMBER(-MID(D1475,1,{1,2,3,4,5})),{1,2,3,4,5})+1,9),'Hue codes'!$A$1:$B$10,2,FALSE)</f>
        <v>90</v>
      </c>
      <c r="C1475">
        <f t="shared" ref="C1475:C1538" si="47">IF(A1475+B1475=100,0,A1475+B1475)</f>
        <v>97.5</v>
      </c>
      <c r="D1475" s="162" t="s">
        <v>59</v>
      </c>
      <c r="E1475" s="162">
        <v>8</v>
      </c>
      <c r="F1475" s="162">
        <v>8</v>
      </c>
      <c r="G1475" s="164">
        <v>1</v>
      </c>
      <c r="H1475" s="164">
        <v>0.69569999999999999</v>
      </c>
      <c r="I1475" s="164">
        <v>0.77490000000000003</v>
      </c>
      <c r="J1475" s="2" t="str">
        <f>HYPERLINK(SetRGB(J1475,G1475*255,H1475*255,I1475*255),"HOVER!")</f>
        <v>HOVER!</v>
      </c>
      <c r="K1475">
        <f t="shared" si="46"/>
        <v>1</v>
      </c>
    </row>
    <row r="1476" spans="1:11" x14ac:dyDescent="0.3">
      <c r="A1476">
        <f>LOOKUP(9E+307,--MID(D1476,1,{1,2,3,4,5}))</f>
        <v>7.5</v>
      </c>
      <c r="B1476">
        <f>VLOOKUP(MID(D1476,LOOKUP(2,1/ISNUMBER(-MID(D1476,1,{1,2,3,4,5})),{1,2,3,4,5})+1,9),'Hue codes'!$A$1:$B$10,2,FALSE)</f>
        <v>90</v>
      </c>
      <c r="C1476">
        <f t="shared" si="47"/>
        <v>97.5</v>
      </c>
      <c r="D1476" s="162" t="s">
        <v>59</v>
      </c>
      <c r="E1476" s="162">
        <v>8</v>
      </c>
      <c r="F1476" s="162">
        <v>10</v>
      </c>
      <c r="G1476" s="164">
        <v>1</v>
      </c>
      <c r="H1476" s="164">
        <v>0.66459999999999997</v>
      </c>
      <c r="I1476" s="164">
        <v>0.77210000000000001</v>
      </c>
      <c r="J1476" s="2" t="str">
        <f>HYPERLINK(SetRGB(J1476,G1476*255,H1476*255,I1476*255),"HOVER!")</f>
        <v>HOVER!</v>
      </c>
      <c r="K1476">
        <f t="shared" si="46"/>
        <v>0.8</v>
      </c>
    </row>
    <row r="1477" spans="1:11" x14ac:dyDescent="0.3">
      <c r="A1477">
        <f>LOOKUP(9E+307,--MID(D1477,1,{1,2,3,4,5}))</f>
        <v>7.5</v>
      </c>
      <c r="B1477">
        <f>VLOOKUP(MID(D1477,LOOKUP(2,1/ISNUMBER(-MID(D1477,1,{1,2,3,4,5})),{1,2,3,4,5})+1,9),'Hue codes'!$A$1:$B$10,2,FALSE)</f>
        <v>90</v>
      </c>
      <c r="C1477">
        <f t="shared" si="47"/>
        <v>97.5</v>
      </c>
      <c r="D1477" s="162" t="s">
        <v>59</v>
      </c>
      <c r="E1477" s="162">
        <v>8</v>
      </c>
      <c r="F1477" s="162">
        <v>12</v>
      </c>
      <c r="G1477" s="164">
        <v>1</v>
      </c>
      <c r="H1477" s="164">
        <v>0.62219999999999998</v>
      </c>
      <c r="I1477" s="164">
        <v>0.77129999999999999</v>
      </c>
      <c r="J1477" s="2" t="str">
        <f>HYPERLINK(SetRGB(J1477,G1477*255,H1477*255,I1477*255),"HOVER!")</f>
        <v>HOVER!</v>
      </c>
      <c r="K1477">
        <f t="shared" si="46"/>
        <v>0.66666666666666663</v>
      </c>
    </row>
    <row r="1478" spans="1:11" x14ac:dyDescent="0.3">
      <c r="A1478">
        <f>LOOKUP(9E+307,--MID(D1478,1,{1,2,3,4,5}))</f>
        <v>10</v>
      </c>
      <c r="B1478">
        <f>VLOOKUP(MID(D1478,LOOKUP(2,1/ISNUMBER(-MID(D1478,1,{1,2,3,4,5})),{1,2,3,4,5})+1,9),'Hue codes'!$A$1:$B$10,2,FALSE)</f>
        <v>90</v>
      </c>
      <c r="C1478">
        <f t="shared" si="47"/>
        <v>0</v>
      </c>
      <c r="D1478" s="162" t="s">
        <v>20</v>
      </c>
      <c r="E1478" s="162">
        <v>9</v>
      </c>
      <c r="F1478" s="162">
        <v>2</v>
      </c>
      <c r="G1478" s="164">
        <v>0.94879999999999998</v>
      </c>
      <c r="H1478" s="164">
        <v>0.88519999999999999</v>
      </c>
      <c r="I1478" s="164">
        <v>0.88900000000000001</v>
      </c>
      <c r="J1478" s="2" t="str">
        <f>HYPERLINK(SetRGB(J1478,G1478*255,H1478*255,I1478*255),"HOVER!")</f>
        <v>HOVER!</v>
      </c>
      <c r="K1478">
        <f t="shared" si="46"/>
        <v>4.5</v>
      </c>
    </row>
    <row r="1479" spans="1:11" x14ac:dyDescent="0.3">
      <c r="A1479">
        <f>LOOKUP(9E+307,--MID(D1479,1,{1,2,3,4,5}))</f>
        <v>10</v>
      </c>
      <c r="B1479">
        <f>VLOOKUP(MID(D1479,LOOKUP(2,1/ISNUMBER(-MID(D1479,1,{1,2,3,4,5})),{1,2,3,4,5})+1,9),'Hue codes'!$A$1:$B$10,2,FALSE)</f>
        <v>90</v>
      </c>
      <c r="C1479">
        <f t="shared" si="47"/>
        <v>0</v>
      </c>
      <c r="D1479" s="162" t="s">
        <v>20</v>
      </c>
      <c r="E1479" s="162">
        <v>9</v>
      </c>
      <c r="F1479" s="162">
        <v>4</v>
      </c>
      <c r="G1479" s="164">
        <v>1</v>
      </c>
      <c r="H1479" s="164">
        <v>0.85699999999999998</v>
      </c>
      <c r="I1479" s="164">
        <v>0.86990000000000001</v>
      </c>
      <c r="J1479" s="2" t="str">
        <f>HYPERLINK(SetRGB(J1479,G1479*255,H1479*255,I1479*255),"HOVER!")</f>
        <v>HOVER!</v>
      </c>
      <c r="K1479">
        <f t="shared" si="46"/>
        <v>2.25</v>
      </c>
    </row>
    <row r="1480" spans="1:11" x14ac:dyDescent="0.3">
      <c r="A1480">
        <f>LOOKUP(9E+307,--MID(D1480,1,{1,2,3,4,5}))</f>
        <v>10</v>
      </c>
      <c r="B1480">
        <f>VLOOKUP(MID(D1480,LOOKUP(2,1/ISNUMBER(-MID(D1480,1,{1,2,3,4,5})),{1,2,3,4,5})+1,9),'Hue codes'!$A$1:$B$10,2,FALSE)</f>
        <v>90</v>
      </c>
      <c r="C1480">
        <f t="shared" si="47"/>
        <v>0</v>
      </c>
      <c r="D1480" s="162" t="s">
        <v>20</v>
      </c>
      <c r="E1480" s="162">
        <v>9</v>
      </c>
      <c r="F1480" s="162">
        <v>6</v>
      </c>
      <c r="G1480" s="164">
        <v>1</v>
      </c>
      <c r="H1480" s="164">
        <v>0.82689999999999997</v>
      </c>
      <c r="I1480" s="164">
        <v>0.85260000000000002</v>
      </c>
      <c r="J1480" s="2" t="str">
        <f>HYPERLINK(SetRGB(J1480,G1480*255,H1480*255,I1480*255),"HOVER!")</f>
        <v>HOVER!</v>
      </c>
      <c r="K1480">
        <f t="shared" si="46"/>
        <v>1.5</v>
      </c>
    </row>
    <row r="1481" spans="1:11" x14ac:dyDescent="0.3">
      <c r="A1481">
        <f>LOOKUP(9E+307,--MID(D1481,1,{1,2,3,4,5}))</f>
        <v>2.5</v>
      </c>
      <c r="B1481">
        <f>VLOOKUP(MID(D1481,LOOKUP(2,1/ISNUMBER(-MID(D1481,1,{1,2,3,4,5})),{1,2,3,4,5})+1,9),'Hue codes'!$A$1:$B$10,2,FALSE)</f>
        <v>0</v>
      </c>
      <c r="C1481">
        <f t="shared" si="47"/>
        <v>2.5</v>
      </c>
      <c r="D1481" s="162" t="s">
        <v>21</v>
      </c>
      <c r="E1481" s="162">
        <v>9</v>
      </c>
      <c r="F1481" s="162">
        <v>2</v>
      </c>
      <c r="G1481" s="164">
        <v>0.9476</v>
      </c>
      <c r="H1481" s="164">
        <v>0.8861</v>
      </c>
      <c r="I1481" s="164">
        <v>0.88480000000000003</v>
      </c>
      <c r="J1481" s="2" t="str">
        <f>HYPERLINK(SetRGB(J1481,G1481*255,H1481*255,I1481*255),"HOVER!")</f>
        <v>HOVER!</v>
      </c>
      <c r="K1481">
        <f t="shared" si="46"/>
        <v>4.5</v>
      </c>
    </row>
    <row r="1482" spans="1:11" x14ac:dyDescent="0.3">
      <c r="A1482">
        <f>LOOKUP(9E+307,--MID(D1482,1,{1,2,3,4,5}))</f>
        <v>2.5</v>
      </c>
      <c r="B1482">
        <f>VLOOKUP(MID(D1482,LOOKUP(2,1/ISNUMBER(-MID(D1482,1,{1,2,3,4,5})),{1,2,3,4,5})+1,9),'Hue codes'!$A$1:$B$10,2,FALSE)</f>
        <v>0</v>
      </c>
      <c r="C1482">
        <f t="shared" si="47"/>
        <v>2.5</v>
      </c>
      <c r="D1482" s="162" t="s">
        <v>21</v>
      </c>
      <c r="E1482" s="162">
        <v>9</v>
      </c>
      <c r="F1482" s="162">
        <v>4</v>
      </c>
      <c r="G1482" s="164">
        <v>1</v>
      </c>
      <c r="H1482" s="164">
        <v>0.85589999999999999</v>
      </c>
      <c r="I1482" s="164">
        <v>0.85350000000000004</v>
      </c>
      <c r="J1482" s="2" t="str">
        <f>HYPERLINK(SetRGB(J1482,G1482*255,H1482*255,I1482*255),"HOVER!")</f>
        <v>HOVER!</v>
      </c>
      <c r="K1482">
        <f t="shared" si="46"/>
        <v>2.25</v>
      </c>
    </row>
    <row r="1483" spans="1:11" x14ac:dyDescent="0.3">
      <c r="A1483">
        <f>LOOKUP(9E+307,--MID(D1483,1,{1,2,3,4,5}))</f>
        <v>2.5</v>
      </c>
      <c r="B1483">
        <f>VLOOKUP(MID(D1483,LOOKUP(2,1/ISNUMBER(-MID(D1483,1,{1,2,3,4,5})),{1,2,3,4,5})+1,9),'Hue codes'!$A$1:$B$10,2,FALSE)</f>
        <v>0</v>
      </c>
      <c r="C1483">
        <f t="shared" si="47"/>
        <v>2.5</v>
      </c>
      <c r="D1483" s="162" t="s">
        <v>21</v>
      </c>
      <c r="E1483" s="162">
        <v>9</v>
      </c>
      <c r="F1483" s="162">
        <v>6</v>
      </c>
      <c r="G1483" s="164">
        <v>1</v>
      </c>
      <c r="H1483" s="164">
        <v>0.8256</v>
      </c>
      <c r="I1483" s="164">
        <v>0.82469999999999999</v>
      </c>
      <c r="J1483" s="2" t="str">
        <f>HYPERLINK(SetRGB(J1483,G1483*255,H1483*255,I1483*255),"HOVER!")</f>
        <v>HOVER!</v>
      </c>
      <c r="K1483">
        <f t="shared" si="46"/>
        <v>1.5</v>
      </c>
    </row>
    <row r="1484" spans="1:11" x14ac:dyDescent="0.3">
      <c r="A1484">
        <f>LOOKUP(9E+307,--MID(D1484,1,{1,2,3,4,5}))</f>
        <v>5</v>
      </c>
      <c r="B1484">
        <f>VLOOKUP(MID(D1484,LOOKUP(2,1/ISNUMBER(-MID(D1484,1,{1,2,3,4,5})),{1,2,3,4,5})+1,9),'Hue codes'!$A$1:$B$10,2,FALSE)</f>
        <v>0</v>
      </c>
      <c r="C1484">
        <f t="shared" si="47"/>
        <v>5</v>
      </c>
      <c r="D1484" s="162" t="s">
        <v>22</v>
      </c>
      <c r="E1484" s="162">
        <v>9</v>
      </c>
      <c r="F1484" s="162">
        <v>2</v>
      </c>
      <c r="G1484" s="164">
        <v>0.95550000000000002</v>
      </c>
      <c r="H1484" s="164">
        <v>0.88449999999999995</v>
      </c>
      <c r="I1484" s="164">
        <v>0.87580000000000002</v>
      </c>
      <c r="J1484" s="2" t="str">
        <f>HYPERLINK(SetRGB(J1484,G1484*255,H1484*255,I1484*255),"HOVER!")</f>
        <v>HOVER!</v>
      </c>
      <c r="K1484">
        <f t="shared" si="46"/>
        <v>4.5</v>
      </c>
    </row>
    <row r="1485" spans="1:11" x14ac:dyDescent="0.3">
      <c r="A1485">
        <f>LOOKUP(9E+307,--MID(D1485,1,{1,2,3,4,5}))</f>
        <v>5</v>
      </c>
      <c r="B1485">
        <f>VLOOKUP(MID(D1485,LOOKUP(2,1/ISNUMBER(-MID(D1485,1,{1,2,3,4,5})),{1,2,3,4,5})+1,9),'Hue codes'!$A$1:$B$10,2,FALSE)</f>
        <v>0</v>
      </c>
      <c r="C1485">
        <f t="shared" si="47"/>
        <v>5</v>
      </c>
      <c r="D1485" s="162" t="s">
        <v>22</v>
      </c>
      <c r="E1485" s="162">
        <v>9</v>
      </c>
      <c r="F1485" s="162">
        <v>4</v>
      </c>
      <c r="G1485" s="164">
        <v>1</v>
      </c>
      <c r="H1485" s="164">
        <v>0.85519999999999996</v>
      </c>
      <c r="I1485" s="164">
        <v>0.83430000000000004</v>
      </c>
      <c r="J1485" s="2" t="str">
        <f>HYPERLINK(SetRGB(J1485,G1485*255,H1485*255,I1485*255),"HOVER!")</f>
        <v>HOVER!</v>
      </c>
      <c r="K1485">
        <f t="shared" si="46"/>
        <v>2.25</v>
      </c>
    </row>
    <row r="1486" spans="1:11" x14ac:dyDescent="0.3">
      <c r="A1486">
        <f>LOOKUP(9E+307,--MID(D1486,1,{1,2,3,4,5}))</f>
        <v>5</v>
      </c>
      <c r="B1486">
        <f>VLOOKUP(MID(D1486,LOOKUP(2,1/ISNUMBER(-MID(D1486,1,{1,2,3,4,5})),{1,2,3,4,5})+1,9),'Hue codes'!$A$1:$B$10,2,FALSE)</f>
        <v>0</v>
      </c>
      <c r="C1486">
        <f t="shared" si="47"/>
        <v>5</v>
      </c>
      <c r="D1486" s="162" t="s">
        <v>22</v>
      </c>
      <c r="E1486" s="162">
        <v>9</v>
      </c>
      <c r="F1486" s="162">
        <v>6</v>
      </c>
      <c r="G1486" s="164">
        <v>1</v>
      </c>
      <c r="H1486" s="164">
        <v>0.82640000000000002</v>
      </c>
      <c r="I1486" s="164">
        <v>0.79530000000000001</v>
      </c>
      <c r="J1486" s="2" t="str">
        <f>HYPERLINK(SetRGB(J1486,G1486*255,H1486*255,I1486*255),"HOVER!")</f>
        <v>HOVER!</v>
      </c>
      <c r="K1486">
        <f t="shared" si="46"/>
        <v>1.5</v>
      </c>
    </row>
    <row r="1487" spans="1:11" x14ac:dyDescent="0.3">
      <c r="A1487">
        <f>LOOKUP(9E+307,--MID(D1487,1,{1,2,3,4,5}))</f>
        <v>7.5</v>
      </c>
      <c r="B1487">
        <f>VLOOKUP(MID(D1487,LOOKUP(2,1/ISNUMBER(-MID(D1487,1,{1,2,3,4,5})),{1,2,3,4,5})+1,9),'Hue codes'!$A$1:$B$10,2,FALSE)</f>
        <v>0</v>
      </c>
      <c r="C1487">
        <f t="shared" si="47"/>
        <v>7.5</v>
      </c>
      <c r="D1487" s="162" t="s">
        <v>23</v>
      </c>
      <c r="E1487" s="162">
        <v>9</v>
      </c>
      <c r="F1487" s="162">
        <v>2</v>
      </c>
      <c r="G1487" s="164">
        <v>0.95960000000000001</v>
      </c>
      <c r="H1487" s="164">
        <v>0.88400000000000001</v>
      </c>
      <c r="I1487" s="164">
        <v>0.86699999999999999</v>
      </c>
      <c r="J1487" s="2" t="str">
        <f>HYPERLINK(SetRGB(J1487,G1487*255,H1487*255,I1487*255),"HOVER!")</f>
        <v>HOVER!</v>
      </c>
      <c r="K1487">
        <f t="shared" si="46"/>
        <v>4.5</v>
      </c>
    </row>
    <row r="1488" spans="1:11" x14ac:dyDescent="0.3">
      <c r="A1488">
        <f>LOOKUP(9E+307,--MID(D1488,1,{1,2,3,4,5}))</f>
        <v>7.5</v>
      </c>
      <c r="B1488">
        <f>VLOOKUP(MID(D1488,LOOKUP(2,1/ISNUMBER(-MID(D1488,1,{1,2,3,4,5})),{1,2,3,4,5})+1,9),'Hue codes'!$A$1:$B$10,2,FALSE)</f>
        <v>0</v>
      </c>
      <c r="C1488">
        <f t="shared" si="47"/>
        <v>7.5</v>
      </c>
      <c r="D1488" s="162" t="s">
        <v>23</v>
      </c>
      <c r="E1488" s="162">
        <v>9</v>
      </c>
      <c r="F1488" s="162">
        <v>4</v>
      </c>
      <c r="G1488" s="164">
        <v>1</v>
      </c>
      <c r="H1488" s="164">
        <v>0.85509999999999997</v>
      </c>
      <c r="I1488" s="164">
        <v>0.81159999999999999</v>
      </c>
      <c r="J1488" s="2" t="str">
        <f>HYPERLINK(SetRGB(J1488,G1488*255,H1488*255,I1488*255),"HOVER!")</f>
        <v>HOVER!</v>
      </c>
      <c r="K1488">
        <f t="shared" si="46"/>
        <v>2.25</v>
      </c>
    </row>
    <row r="1489" spans="1:11" x14ac:dyDescent="0.3">
      <c r="A1489">
        <f>LOOKUP(9E+307,--MID(D1489,1,{1,2,3,4,5}))</f>
        <v>7.5</v>
      </c>
      <c r="B1489">
        <f>VLOOKUP(MID(D1489,LOOKUP(2,1/ISNUMBER(-MID(D1489,1,{1,2,3,4,5})),{1,2,3,4,5})+1,9),'Hue codes'!$A$1:$B$10,2,FALSE)</f>
        <v>0</v>
      </c>
      <c r="C1489">
        <f t="shared" si="47"/>
        <v>7.5</v>
      </c>
      <c r="D1489" s="162" t="s">
        <v>23</v>
      </c>
      <c r="E1489" s="162">
        <v>9</v>
      </c>
      <c r="F1489" s="162">
        <v>6</v>
      </c>
      <c r="G1489" s="164">
        <v>1</v>
      </c>
      <c r="H1489" s="164">
        <v>0.8286</v>
      </c>
      <c r="I1489" s="164">
        <v>0.75929999999999997</v>
      </c>
      <c r="J1489" s="2" t="str">
        <f>HYPERLINK(SetRGB(J1489,G1489*255,H1489*255,I1489*255),"HOVER!")</f>
        <v>HOVER!</v>
      </c>
      <c r="K1489">
        <f t="shared" si="46"/>
        <v>1.5</v>
      </c>
    </row>
    <row r="1490" spans="1:11" x14ac:dyDescent="0.3">
      <c r="A1490">
        <f>LOOKUP(9E+307,--MID(D1490,1,{1,2,3,4,5}))</f>
        <v>10</v>
      </c>
      <c r="B1490">
        <f>VLOOKUP(MID(D1490,LOOKUP(2,1/ISNUMBER(-MID(D1490,1,{1,2,3,4,5})),{1,2,3,4,5})+1,9),'Hue codes'!$A$1:$B$10,2,FALSE)</f>
        <v>0</v>
      </c>
      <c r="C1490">
        <f t="shared" si="47"/>
        <v>10</v>
      </c>
      <c r="D1490" s="162" t="s">
        <v>24</v>
      </c>
      <c r="E1490" s="162">
        <v>9</v>
      </c>
      <c r="F1490" s="162">
        <v>2</v>
      </c>
      <c r="G1490" s="164">
        <v>0.96260000000000001</v>
      </c>
      <c r="H1490" s="164">
        <v>0.88400000000000001</v>
      </c>
      <c r="I1490" s="164">
        <v>0.85819999999999996</v>
      </c>
      <c r="J1490" s="2" t="str">
        <f>HYPERLINK(SetRGB(J1490,G1490*255,H1490*255,I1490*255),"HOVER!")</f>
        <v>HOVER!</v>
      </c>
      <c r="K1490">
        <f t="shared" si="46"/>
        <v>4.5</v>
      </c>
    </row>
    <row r="1491" spans="1:11" x14ac:dyDescent="0.3">
      <c r="A1491">
        <f>LOOKUP(9E+307,--MID(D1491,1,{1,2,3,4,5}))</f>
        <v>10</v>
      </c>
      <c r="B1491">
        <f>VLOOKUP(MID(D1491,LOOKUP(2,1/ISNUMBER(-MID(D1491,1,{1,2,3,4,5})),{1,2,3,4,5})+1,9),'Hue codes'!$A$1:$B$10,2,FALSE)</f>
        <v>0</v>
      </c>
      <c r="C1491">
        <f t="shared" si="47"/>
        <v>10</v>
      </c>
      <c r="D1491" s="162" t="s">
        <v>24</v>
      </c>
      <c r="E1491" s="162">
        <v>9</v>
      </c>
      <c r="F1491" s="162">
        <v>4</v>
      </c>
      <c r="G1491" s="164">
        <v>1</v>
      </c>
      <c r="H1491" s="164">
        <v>0.85680000000000001</v>
      </c>
      <c r="I1491" s="164">
        <v>0.78749999999999998</v>
      </c>
      <c r="J1491" s="2" t="str">
        <f>HYPERLINK(SetRGB(J1491,G1491*255,H1491*255,I1491*255),"HOVER!")</f>
        <v>HOVER!</v>
      </c>
      <c r="K1491">
        <f t="shared" si="46"/>
        <v>2.25</v>
      </c>
    </row>
    <row r="1492" spans="1:11" x14ac:dyDescent="0.3">
      <c r="A1492">
        <f>LOOKUP(9E+307,--MID(D1492,1,{1,2,3,4,5}))</f>
        <v>10</v>
      </c>
      <c r="B1492">
        <f>VLOOKUP(MID(D1492,LOOKUP(2,1/ISNUMBER(-MID(D1492,1,{1,2,3,4,5})),{1,2,3,4,5})+1,9),'Hue codes'!$A$1:$B$10,2,FALSE)</f>
        <v>0</v>
      </c>
      <c r="C1492">
        <f t="shared" si="47"/>
        <v>10</v>
      </c>
      <c r="D1492" s="162" t="s">
        <v>24</v>
      </c>
      <c r="E1492" s="162">
        <v>9</v>
      </c>
      <c r="F1492" s="162">
        <v>6</v>
      </c>
      <c r="G1492" s="164">
        <v>1</v>
      </c>
      <c r="H1492" s="164">
        <v>0.83189999999999997</v>
      </c>
      <c r="I1492" s="164">
        <v>0.7248</v>
      </c>
      <c r="J1492" s="2" t="str">
        <f>HYPERLINK(SetRGB(J1492,G1492*255,H1492*255,I1492*255),"HOVER!")</f>
        <v>HOVER!</v>
      </c>
      <c r="K1492">
        <f t="shared" si="46"/>
        <v>1.5</v>
      </c>
    </row>
    <row r="1493" spans="1:11" x14ac:dyDescent="0.3">
      <c r="A1493">
        <f>LOOKUP(9E+307,--MID(D1493,1,{1,2,3,4,5}))</f>
        <v>2.5</v>
      </c>
      <c r="B1493">
        <f>VLOOKUP(MID(D1493,LOOKUP(2,1/ISNUMBER(-MID(D1493,1,{1,2,3,4,5})),{1,2,3,4,5})+1,9),'Hue codes'!$A$1:$B$10,2,FALSE)</f>
        <v>10</v>
      </c>
      <c r="C1493">
        <f t="shared" si="47"/>
        <v>12.5</v>
      </c>
      <c r="D1493" s="162" t="s">
        <v>25</v>
      </c>
      <c r="E1493" s="162">
        <v>9</v>
      </c>
      <c r="F1493" s="162">
        <v>2</v>
      </c>
      <c r="G1493" s="164">
        <v>0.96740000000000004</v>
      </c>
      <c r="H1493" s="164">
        <v>0.88390000000000002</v>
      </c>
      <c r="I1493" s="164">
        <v>0.84299999999999997</v>
      </c>
      <c r="J1493" s="2" t="str">
        <f>HYPERLINK(SetRGB(J1493,G1493*255,H1493*255,I1493*255),"HOVER!")</f>
        <v>HOVER!</v>
      </c>
      <c r="K1493">
        <f t="shared" si="46"/>
        <v>4.5</v>
      </c>
    </row>
    <row r="1494" spans="1:11" x14ac:dyDescent="0.3">
      <c r="A1494">
        <f>LOOKUP(9E+307,--MID(D1494,1,{1,2,3,4,5}))</f>
        <v>2.5</v>
      </c>
      <c r="B1494">
        <f>VLOOKUP(MID(D1494,LOOKUP(2,1/ISNUMBER(-MID(D1494,1,{1,2,3,4,5})),{1,2,3,4,5})+1,9),'Hue codes'!$A$1:$B$10,2,FALSE)</f>
        <v>10</v>
      </c>
      <c r="C1494">
        <f t="shared" si="47"/>
        <v>12.5</v>
      </c>
      <c r="D1494" s="162" t="s">
        <v>25</v>
      </c>
      <c r="E1494" s="162">
        <v>9</v>
      </c>
      <c r="F1494" s="162">
        <v>4</v>
      </c>
      <c r="G1494" s="164">
        <v>1</v>
      </c>
      <c r="H1494" s="164">
        <v>0.86050000000000004</v>
      </c>
      <c r="I1494" s="164">
        <v>0.76200000000000001</v>
      </c>
      <c r="J1494" s="2" t="str">
        <f>HYPERLINK(SetRGB(J1494,G1494*255,H1494*255,I1494*255),"HOVER!")</f>
        <v>HOVER!</v>
      </c>
      <c r="K1494">
        <f t="shared" si="46"/>
        <v>2.25</v>
      </c>
    </row>
    <row r="1495" spans="1:11" x14ac:dyDescent="0.3">
      <c r="A1495">
        <f>LOOKUP(9E+307,--MID(D1495,1,{1,2,3,4,5}))</f>
        <v>2.5</v>
      </c>
      <c r="B1495">
        <f>VLOOKUP(MID(D1495,LOOKUP(2,1/ISNUMBER(-MID(D1495,1,{1,2,3,4,5})),{1,2,3,4,5})+1,9),'Hue codes'!$A$1:$B$10,2,FALSE)</f>
        <v>10</v>
      </c>
      <c r="C1495">
        <f t="shared" si="47"/>
        <v>12.5</v>
      </c>
      <c r="D1495" s="162" t="s">
        <v>25</v>
      </c>
      <c r="E1495" s="162">
        <v>9</v>
      </c>
      <c r="F1495" s="162">
        <v>6</v>
      </c>
      <c r="G1495" s="164">
        <v>1</v>
      </c>
      <c r="H1495" s="164">
        <v>0.84009999999999996</v>
      </c>
      <c r="I1495" s="164">
        <v>0.68740000000000001</v>
      </c>
      <c r="J1495" s="2" t="str">
        <f>HYPERLINK(SetRGB(J1495,G1495*255,H1495*255,I1495*255),"HOVER!")</f>
        <v>HOVER!</v>
      </c>
      <c r="K1495">
        <f t="shared" si="46"/>
        <v>1.5</v>
      </c>
    </row>
    <row r="1496" spans="1:11" x14ac:dyDescent="0.3">
      <c r="A1496">
        <f>LOOKUP(9E+307,--MID(D1496,1,{1,2,3,4,5}))</f>
        <v>5</v>
      </c>
      <c r="B1496">
        <f>VLOOKUP(MID(D1496,LOOKUP(2,1/ISNUMBER(-MID(D1496,1,{1,2,3,4,5})),{1,2,3,4,5})+1,9),'Hue codes'!$A$1:$B$10,2,FALSE)</f>
        <v>10</v>
      </c>
      <c r="C1496">
        <f t="shared" si="47"/>
        <v>15</v>
      </c>
      <c r="D1496" s="162" t="s">
        <v>26</v>
      </c>
      <c r="E1496" s="162">
        <v>9</v>
      </c>
      <c r="F1496" s="162">
        <v>2</v>
      </c>
      <c r="G1496" s="164">
        <v>0.96789999999999998</v>
      </c>
      <c r="H1496" s="164">
        <v>0.88560000000000005</v>
      </c>
      <c r="I1496" s="164">
        <v>0.82489999999999997</v>
      </c>
      <c r="J1496" s="2" t="str">
        <f>HYPERLINK(SetRGB(J1496,G1496*255,H1496*255,I1496*255),"HOVER!")</f>
        <v>HOVER!</v>
      </c>
      <c r="K1496">
        <f t="shared" si="46"/>
        <v>4.5</v>
      </c>
    </row>
    <row r="1497" spans="1:11" x14ac:dyDescent="0.3">
      <c r="A1497">
        <f>LOOKUP(9E+307,--MID(D1497,1,{1,2,3,4,5}))</f>
        <v>5</v>
      </c>
      <c r="B1497">
        <f>VLOOKUP(MID(D1497,LOOKUP(2,1/ISNUMBER(-MID(D1497,1,{1,2,3,4,5})),{1,2,3,4,5})+1,9),'Hue codes'!$A$1:$B$10,2,FALSE)</f>
        <v>10</v>
      </c>
      <c r="C1497">
        <f t="shared" si="47"/>
        <v>15</v>
      </c>
      <c r="D1497" s="162" t="s">
        <v>26</v>
      </c>
      <c r="E1497" s="162">
        <v>9</v>
      </c>
      <c r="F1497" s="162">
        <v>4</v>
      </c>
      <c r="G1497" s="164">
        <v>1</v>
      </c>
      <c r="H1497" s="164">
        <v>0.86729999999999996</v>
      </c>
      <c r="I1497" s="164">
        <v>0.73499999999999999</v>
      </c>
      <c r="J1497" s="2" t="str">
        <f>HYPERLINK(SetRGB(J1497,G1497*255,H1497*255,I1497*255),"HOVER!")</f>
        <v>HOVER!</v>
      </c>
      <c r="K1497">
        <f t="shared" si="46"/>
        <v>2.25</v>
      </c>
    </row>
    <row r="1498" spans="1:11" x14ac:dyDescent="0.3">
      <c r="A1498">
        <f>LOOKUP(9E+307,--MID(D1498,1,{1,2,3,4,5}))</f>
        <v>5</v>
      </c>
      <c r="B1498">
        <f>VLOOKUP(MID(D1498,LOOKUP(2,1/ISNUMBER(-MID(D1498,1,{1,2,3,4,5})),{1,2,3,4,5})+1,9),'Hue codes'!$A$1:$B$10,2,FALSE)</f>
        <v>10</v>
      </c>
      <c r="C1498">
        <f t="shared" si="47"/>
        <v>15</v>
      </c>
      <c r="D1498" s="162" t="s">
        <v>26</v>
      </c>
      <c r="E1498" s="162">
        <v>9</v>
      </c>
      <c r="F1498" s="162">
        <v>6</v>
      </c>
      <c r="G1498" s="164">
        <v>1</v>
      </c>
      <c r="H1498" s="164">
        <v>0.85070000000000001</v>
      </c>
      <c r="I1498" s="164">
        <v>0.6542</v>
      </c>
      <c r="J1498" s="2" t="str">
        <f>HYPERLINK(SetRGB(J1498,G1498*255,H1498*255,I1498*255),"HOVER!")</f>
        <v>HOVER!</v>
      </c>
      <c r="K1498">
        <f t="shared" si="46"/>
        <v>1.5</v>
      </c>
    </row>
    <row r="1499" spans="1:11" x14ac:dyDescent="0.3">
      <c r="A1499">
        <f>LOOKUP(9E+307,--MID(D1499,1,{1,2,3,4,5}))</f>
        <v>7.5</v>
      </c>
      <c r="B1499">
        <f>VLOOKUP(MID(D1499,LOOKUP(2,1/ISNUMBER(-MID(D1499,1,{1,2,3,4,5})),{1,2,3,4,5})+1,9),'Hue codes'!$A$1:$B$10,2,FALSE)</f>
        <v>10</v>
      </c>
      <c r="C1499">
        <f t="shared" si="47"/>
        <v>17.5</v>
      </c>
      <c r="D1499" s="162" t="s">
        <v>27</v>
      </c>
      <c r="E1499" s="162">
        <v>9</v>
      </c>
      <c r="F1499" s="162">
        <v>2</v>
      </c>
      <c r="G1499" s="164">
        <v>0.96599999999999997</v>
      </c>
      <c r="H1499" s="164">
        <v>0.88800000000000001</v>
      </c>
      <c r="I1499" s="164">
        <v>0.80759999999999998</v>
      </c>
      <c r="J1499" s="2" t="str">
        <f>HYPERLINK(SetRGB(J1499,G1499*255,H1499*255,I1499*255),"HOVER!")</f>
        <v>HOVER!</v>
      </c>
      <c r="K1499">
        <f t="shared" si="46"/>
        <v>4.5</v>
      </c>
    </row>
    <row r="1500" spans="1:11" x14ac:dyDescent="0.3">
      <c r="A1500">
        <f>LOOKUP(9E+307,--MID(D1500,1,{1,2,3,4,5}))</f>
        <v>7.5</v>
      </c>
      <c r="B1500">
        <f>VLOOKUP(MID(D1500,LOOKUP(2,1/ISNUMBER(-MID(D1500,1,{1,2,3,4,5})),{1,2,3,4,5})+1,9),'Hue codes'!$A$1:$B$10,2,FALSE)</f>
        <v>10</v>
      </c>
      <c r="C1500">
        <f t="shared" si="47"/>
        <v>17.5</v>
      </c>
      <c r="D1500" s="162" t="s">
        <v>27</v>
      </c>
      <c r="E1500" s="162">
        <v>9</v>
      </c>
      <c r="F1500" s="162">
        <v>4</v>
      </c>
      <c r="G1500" s="164">
        <v>1</v>
      </c>
      <c r="H1500" s="164">
        <v>0.87439999999999996</v>
      </c>
      <c r="I1500" s="164">
        <v>0.71309999999999996</v>
      </c>
      <c r="J1500" s="2" t="str">
        <f>HYPERLINK(SetRGB(J1500,G1500*255,H1500*255,I1500*255),"HOVER!")</f>
        <v>HOVER!</v>
      </c>
      <c r="K1500">
        <f t="shared" si="46"/>
        <v>2.25</v>
      </c>
    </row>
    <row r="1501" spans="1:11" x14ac:dyDescent="0.3">
      <c r="A1501">
        <f>LOOKUP(9E+307,--MID(D1501,1,{1,2,3,4,5}))</f>
        <v>7.5</v>
      </c>
      <c r="B1501">
        <f>VLOOKUP(MID(D1501,LOOKUP(2,1/ISNUMBER(-MID(D1501,1,{1,2,3,4,5})),{1,2,3,4,5})+1,9),'Hue codes'!$A$1:$B$10,2,FALSE)</f>
        <v>10</v>
      </c>
      <c r="C1501">
        <f t="shared" si="47"/>
        <v>17.5</v>
      </c>
      <c r="D1501" s="162" t="s">
        <v>27</v>
      </c>
      <c r="E1501" s="162">
        <v>9</v>
      </c>
      <c r="F1501" s="162">
        <v>6</v>
      </c>
      <c r="G1501" s="164">
        <v>1</v>
      </c>
      <c r="H1501" s="164">
        <v>0.86209999999999998</v>
      </c>
      <c r="I1501" s="164">
        <v>0.62519999999999998</v>
      </c>
      <c r="J1501" s="2" t="str">
        <f>HYPERLINK(SetRGB(J1501,G1501*255,H1501*255,I1501*255),"HOVER!")</f>
        <v>HOVER!</v>
      </c>
      <c r="K1501">
        <f t="shared" si="46"/>
        <v>1.5</v>
      </c>
    </row>
    <row r="1502" spans="1:11" x14ac:dyDescent="0.3">
      <c r="A1502">
        <f>LOOKUP(9E+307,--MID(D1502,1,{1,2,3,4,5}))</f>
        <v>7.5</v>
      </c>
      <c r="B1502">
        <f>VLOOKUP(MID(D1502,LOOKUP(2,1/ISNUMBER(-MID(D1502,1,{1,2,3,4,5})),{1,2,3,4,5})+1,9),'Hue codes'!$A$1:$B$10,2,FALSE)</f>
        <v>10</v>
      </c>
      <c r="C1502">
        <f t="shared" si="47"/>
        <v>17.5</v>
      </c>
      <c r="D1502" s="162" t="s">
        <v>27</v>
      </c>
      <c r="E1502" s="162">
        <v>9</v>
      </c>
      <c r="F1502" s="162">
        <v>8</v>
      </c>
      <c r="G1502" s="164">
        <v>1</v>
      </c>
      <c r="H1502" s="164">
        <v>0.84960000000000002</v>
      </c>
      <c r="I1502" s="164">
        <v>0.53200000000000003</v>
      </c>
      <c r="J1502" s="2" t="str">
        <f>HYPERLINK(SetRGB(J1502,G1502*255,H1502*255,I1502*255),"HOVER!")</f>
        <v>HOVER!</v>
      </c>
      <c r="K1502">
        <f t="shared" si="46"/>
        <v>1.125</v>
      </c>
    </row>
    <row r="1503" spans="1:11" x14ac:dyDescent="0.3">
      <c r="A1503">
        <f>LOOKUP(9E+307,--MID(D1503,1,{1,2,3,4,5}))</f>
        <v>10</v>
      </c>
      <c r="B1503">
        <f>VLOOKUP(MID(D1503,LOOKUP(2,1/ISNUMBER(-MID(D1503,1,{1,2,3,4,5})),{1,2,3,4,5})+1,9),'Hue codes'!$A$1:$B$10,2,FALSE)</f>
        <v>10</v>
      </c>
      <c r="C1503">
        <f t="shared" si="47"/>
        <v>20</v>
      </c>
      <c r="D1503" s="162" t="s">
        <v>28</v>
      </c>
      <c r="E1503" s="162">
        <v>9</v>
      </c>
      <c r="F1503" s="162">
        <v>2</v>
      </c>
      <c r="G1503" s="164">
        <v>0.95789999999999997</v>
      </c>
      <c r="H1503" s="164">
        <v>0.8921</v>
      </c>
      <c r="I1503" s="164">
        <v>0.79200000000000004</v>
      </c>
      <c r="J1503" s="2" t="str">
        <f>HYPERLINK(SetRGB(J1503,G1503*255,H1503*255,I1503*255),"HOVER!")</f>
        <v>HOVER!</v>
      </c>
      <c r="K1503">
        <f t="shared" si="46"/>
        <v>4.5</v>
      </c>
    </row>
    <row r="1504" spans="1:11" x14ac:dyDescent="0.3">
      <c r="A1504">
        <f>LOOKUP(9E+307,--MID(D1504,1,{1,2,3,4,5}))</f>
        <v>10</v>
      </c>
      <c r="B1504">
        <f>VLOOKUP(MID(D1504,LOOKUP(2,1/ISNUMBER(-MID(D1504,1,{1,2,3,4,5})),{1,2,3,4,5})+1,9),'Hue codes'!$A$1:$B$10,2,FALSE)</f>
        <v>10</v>
      </c>
      <c r="C1504">
        <f t="shared" si="47"/>
        <v>20</v>
      </c>
      <c r="D1504" s="162" t="s">
        <v>28</v>
      </c>
      <c r="E1504" s="162">
        <v>9</v>
      </c>
      <c r="F1504" s="162">
        <v>4</v>
      </c>
      <c r="G1504" s="164">
        <v>1</v>
      </c>
      <c r="H1504" s="164">
        <v>0.88339999999999996</v>
      </c>
      <c r="I1504" s="164">
        <v>0.69130000000000003</v>
      </c>
      <c r="J1504" s="2" t="str">
        <f>HYPERLINK(SetRGB(J1504,G1504*255,H1504*255,I1504*255),"HOVER!")</f>
        <v>HOVER!</v>
      </c>
      <c r="K1504">
        <f t="shared" si="46"/>
        <v>2.25</v>
      </c>
    </row>
    <row r="1505" spans="1:11" x14ac:dyDescent="0.3">
      <c r="A1505">
        <f>LOOKUP(9E+307,--MID(D1505,1,{1,2,3,4,5}))</f>
        <v>10</v>
      </c>
      <c r="B1505">
        <f>VLOOKUP(MID(D1505,LOOKUP(2,1/ISNUMBER(-MID(D1505,1,{1,2,3,4,5})),{1,2,3,4,5})+1,9),'Hue codes'!$A$1:$B$10,2,FALSE)</f>
        <v>10</v>
      </c>
      <c r="C1505">
        <f t="shared" si="47"/>
        <v>20</v>
      </c>
      <c r="D1505" s="162" t="s">
        <v>28</v>
      </c>
      <c r="E1505" s="162">
        <v>9</v>
      </c>
      <c r="F1505" s="162">
        <v>6</v>
      </c>
      <c r="G1505" s="164">
        <v>1</v>
      </c>
      <c r="H1505" s="164">
        <v>0.87490000000000001</v>
      </c>
      <c r="I1505" s="164">
        <v>0.59509999999999996</v>
      </c>
      <c r="J1505" s="2" t="str">
        <f>HYPERLINK(SetRGB(J1505,G1505*255,H1505*255,I1505*255),"HOVER!")</f>
        <v>HOVER!</v>
      </c>
      <c r="K1505">
        <f t="shared" si="46"/>
        <v>1.5</v>
      </c>
    </row>
    <row r="1506" spans="1:11" x14ac:dyDescent="0.3">
      <c r="A1506">
        <f>LOOKUP(9E+307,--MID(D1506,1,{1,2,3,4,5}))</f>
        <v>10</v>
      </c>
      <c r="B1506">
        <f>VLOOKUP(MID(D1506,LOOKUP(2,1/ISNUMBER(-MID(D1506,1,{1,2,3,4,5})),{1,2,3,4,5})+1,9),'Hue codes'!$A$1:$B$10,2,FALSE)</f>
        <v>10</v>
      </c>
      <c r="C1506">
        <f t="shared" si="47"/>
        <v>20</v>
      </c>
      <c r="D1506" s="162" t="s">
        <v>28</v>
      </c>
      <c r="E1506" s="162">
        <v>9</v>
      </c>
      <c r="F1506" s="162">
        <v>8</v>
      </c>
      <c r="G1506" s="164">
        <v>1</v>
      </c>
      <c r="H1506" s="164">
        <v>0.86629999999999996</v>
      </c>
      <c r="I1506" s="164">
        <v>0.49380000000000002</v>
      </c>
      <c r="J1506" s="2" t="str">
        <f>HYPERLINK(SetRGB(J1506,G1506*255,H1506*255,I1506*255),"HOVER!")</f>
        <v>HOVER!</v>
      </c>
      <c r="K1506">
        <f t="shared" si="46"/>
        <v>1.125</v>
      </c>
    </row>
    <row r="1507" spans="1:11" x14ac:dyDescent="0.3">
      <c r="A1507">
        <f>LOOKUP(9E+307,--MID(D1507,1,{1,2,3,4,5}))</f>
        <v>2.5</v>
      </c>
      <c r="B1507">
        <f>VLOOKUP(MID(D1507,LOOKUP(2,1/ISNUMBER(-MID(D1507,1,{1,2,3,4,5})),{1,2,3,4,5})+1,9),'Hue codes'!$A$1:$B$10,2,FALSE)</f>
        <v>20</v>
      </c>
      <c r="C1507">
        <f t="shared" si="47"/>
        <v>22.5</v>
      </c>
      <c r="D1507" s="162" t="s">
        <v>29</v>
      </c>
      <c r="E1507" s="162">
        <v>9</v>
      </c>
      <c r="F1507" s="162">
        <v>2</v>
      </c>
      <c r="G1507" s="164">
        <v>0.94699999999999995</v>
      </c>
      <c r="H1507" s="164">
        <v>0.89670000000000005</v>
      </c>
      <c r="I1507" s="164">
        <v>0.78120000000000001</v>
      </c>
      <c r="J1507" s="2" t="str">
        <f>HYPERLINK(SetRGB(J1507,G1507*255,H1507*255,I1507*255),"HOVER!")</f>
        <v>HOVER!</v>
      </c>
      <c r="K1507">
        <f t="shared" si="46"/>
        <v>4.5</v>
      </c>
    </row>
    <row r="1508" spans="1:11" x14ac:dyDescent="0.3">
      <c r="A1508">
        <f>LOOKUP(9E+307,--MID(D1508,1,{1,2,3,4,5}))</f>
        <v>2.5</v>
      </c>
      <c r="B1508">
        <f>VLOOKUP(MID(D1508,LOOKUP(2,1/ISNUMBER(-MID(D1508,1,{1,2,3,4,5})),{1,2,3,4,5})+1,9),'Hue codes'!$A$1:$B$10,2,FALSE)</f>
        <v>20</v>
      </c>
      <c r="C1508">
        <f t="shared" si="47"/>
        <v>22.5</v>
      </c>
      <c r="D1508" s="162" t="s">
        <v>29</v>
      </c>
      <c r="E1508" s="162">
        <v>9</v>
      </c>
      <c r="F1508" s="162">
        <v>4</v>
      </c>
      <c r="G1508" s="164">
        <v>0.98550000000000004</v>
      </c>
      <c r="H1508" s="164">
        <v>0.89270000000000005</v>
      </c>
      <c r="I1508" s="164">
        <v>0.67579999999999996</v>
      </c>
      <c r="J1508" s="2" t="str">
        <f>HYPERLINK(SetRGB(J1508,G1508*255,H1508*255,I1508*255),"HOVER!")</f>
        <v>HOVER!</v>
      </c>
      <c r="K1508">
        <f t="shared" si="46"/>
        <v>2.25</v>
      </c>
    </row>
    <row r="1509" spans="1:11" x14ac:dyDescent="0.3">
      <c r="A1509">
        <f>LOOKUP(9E+307,--MID(D1509,1,{1,2,3,4,5}))</f>
        <v>2.5</v>
      </c>
      <c r="B1509">
        <f>VLOOKUP(MID(D1509,LOOKUP(2,1/ISNUMBER(-MID(D1509,1,{1,2,3,4,5})),{1,2,3,4,5})+1,9),'Hue codes'!$A$1:$B$10,2,FALSE)</f>
        <v>20</v>
      </c>
      <c r="C1509">
        <f t="shared" si="47"/>
        <v>22.5</v>
      </c>
      <c r="D1509" s="162" t="s">
        <v>29</v>
      </c>
      <c r="E1509" s="162">
        <v>9</v>
      </c>
      <c r="F1509" s="162">
        <v>6</v>
      </c>
      <c r="G1509" s="164">
        <v>1</v>
      </c>
      <c r="H1509" s="164">
        <v>0.88739999999999997</v>
      </c>
      <c r="I1509" s="164">
        <v>0.57369999999999999</v>
      </c>
      <c r="J1509" s="2" t="str">
        <f>HYPERLINK(SetRGB(J1509,G1509*255,H1509*255,I1509*255),"HOVER!")</f>
        <v>HOVER!</v>
      </c>
      <c r="K1509">
        <f t="shared" si="46"/>
        <v>1.5</v>
      </c>
    </row>
    <row r="1510" spans="1:11" x14ac:dyDescent="0.3">
      <c r="A1510">
        <f>LOOKUP(9E+307,--MID(D1510,1,{1,2,3,4,5}))</f>
        <v>2.5</v>
      </c>
      <c r="B1510">
        <f>VLOOKUP(MID(D1510,LOOKUP(2,1/ISNUMBER(-MID(D1510,1,{1,2,3,4,5})),{1,2,3,4,5})+1,9),'Hue codes'!$A$1:$B$10,2,FALSE)</f>
        <v>20</v>
      </c>
      <c r="C1510">
        <f t="shared" si="47"/>
        <v>22.5</v>
      </c>
      <c r="D1510" s="162" t="s">
        <v>29</v>
      </c>
      <c r="E1510" s="162">
        <v>9</v>
      </c>
      <c r="F1510" s="162">
        <v>8</v>
      </c>
      <c r="G1510" s="164">
        <v>1</v>
      </c>
      <c r="H1510" s="164">
        <v>0.88190000000000002</v>
      </c>
      <c r="I1510" s="164">
        <v>0.46639999999999998</v>
      </c>
      <c r="J1510" s="2" t="str">
        <f>HYPERLINK(SetRGB(J1510,G1510*255,H1510*255,I1510*255),"HOVER!")</f>
        <v>HOVER!</v>
      </c>
      <c r="K1510">
        <f t="shared" si="46"/>
        <v>1.125</v>
      </c>
    </row>
    <row r="1511" spans="1:11" x14ac:dyDescent="0.3">
      <c r="A1511">
        <f>LOOKUP(9E+307,--MID(D1511,1,{1,2,3,4,5}))</f>
        <v>2.5</v>
      </c>
      <c r="B1511">
        <f>VLOOKUP(MID(D1511,LOOKUP(2,1/ISNUMBER(-MID(D1511,1,{1,2,3,4,5})),{1,2,3,4,5})+1,9),'Hue codes'!$A$1:$B$10,2,FALSE)</f>
        <v>20</v>
      </c>
      <c r="C1511">
        <f t="shared" si="47"/>
        <v>22.5</v>
      </c>
      <c r="D1511" s="162" t="s">
        <v>29</v>
      </c>
      <c r="E1511" s="162">
        <v>9</v>
      </c>
      <c r="F1511" s="162">
        <v>10</v>
      </c>
      <c r="G1511" s="164">
        <v>1</v>
      </c>
      <c r="H1511" s="164">
        <v>0.87690000000000001</v>
      </c>
      <c r="I1511" s="164">
        <v>0.35239999999999999</v>
      </c>
      <c r="J1511" s="2" t="str">
        <f>HYPERLINK(SetRGB(J1511,G1511*255,H1511*255,I1511*255),"HOVER!")</f>
        <v>HOVER!</v>
      </c>
      <c r="K1511">
        <f t="shared" si="46"/>
        <v>0.9</v>
      </c>
    </row>
    <row r="1512" spans="1:11" x14ac:dyDescent="0.3">
      <c r="A1512">
        <f>LOOKUP(9E+307,--MID(D1512,1,{1,2,3,4,5}))</f>
        <v>2.5</v>
      </c>
      <c r="B1512">
        <f>VLOOKUP(MID(D1512,LOOKUP(2,1/ISNUMBER(-MID(D1512,1,{1,2,3,4,5})),{1,2,3,4,5})+1,9),'Hue codes'!$A$1:$B$10,2,FALSE)</f>
        <v>20</v>
      </c>
      <c r="C1512">
        <f t="shared" si="47"/>
        <v>22.5</v>
      </c>
      <c r="D1512" s="162" t="s">
        <v>29</v>
      </c>
      <c r="E1512" s="162">
        <v>9</v>
      </c>
      <c r="F1512" s="162">
        <v>12</v>
      </c>
      <c r="G1512" s="164">
        <v>1</v>
      </c>
      <c r="H1512" s="164">
        <v>0.87170000000000003</v>
      </c>
      <c r="I1512" s="164">
        <v>0.20330000000000001</v>
      </c>
      <c r="J1512" s="2" t="str">
        <f>HYPERLINK(SetRGB(J1512,G1512*255,H1512*255,I1512*255),"HOVER!")</f>
        <v>HOVER!</v>
      </c>
      <c r="K1512">
        <f t="shared" si="46"/>
        <v>0.75</v>
      </c>
    </row>
    <row r="1513" spans="1:11" x14ac:dyDescent="0.3">
      <c r="A1513">
        <f>LOOKUP(9E+307,--MID(D1513,1,{1,2,3,4,5}))</f>
        <v>5</v>
      </c>
      <c r="B1513">
        <f>VLOOKUP(MID(D1513,LOOKUP(2,1/ISNUMBER(-MID(D1513,1,{1,2,3,4,5})),{1,2,3,4,5})+1,9),'Hue codes'!$A$1:$B$10,2,FALSE)</f>
        <v>20</v>
      </c>
      <c r="C1513">
        <f t="shared" si="47"/>
        <v>25</v>
      </c>
      <c r="D1513" s="162" t="s">
        <v>30</v>
      </c>
      <c r="E1513" s="162">
        <v>9</v>
      </c>
      <c r="F1513" s="162">
        <v>2</v>
      </c>
      <c r="G1513" s="164">
        <v>0.93459999999999999</v>
      </c>
      <c r="H1513" s="164">
        <v>0.90129999999999999</v>
      </c>
      <c r="I1513" s="164">
        <v>0.77429999999999999</v>
      </c>
      <c r="J1513" s="2" t="str">
        <f>HYPERLINK(SetRGB(J1513,G1513*255,H1513*255,I1513*255),"HOVER!")</f>
        <v>HOVER!</v>
      </c>
      <c r="K1513">
        <f t="shared" si="46"/>
        <v>4.5</v>
      </c>
    </row>
    <row r="1514" spans="1:11" x14ac:dyDescent="0.3">
      <c r="A1514">
        <f>LOOKUP(9E+307,--MID(D1514,1,{1,2,3,4,5}))</f>
        <v>5</v>
      </c>
      <c r="B1514">
        <f>VLOOKUP(MID(D1514,LOOKUP(2,1/ISNUMBER(-MID(D1514,1,{1,2,3,4,5})),{1,2,3,4,5})+1,9),'Hue codes'!$A$1:$B$10,2,FALSE)</f>
        <v>20</v>
      </c>
      <c r="C1514">
        <f t="shared" si="47"/>
        <v>25</v>
      </c>
      <c r="D1514" s="162" t="s">
        <v>30</v>
      </c>
      <c r="E1514" s="162">
        <v>9</v>
      </c>
      <c r="F1514" s="162">
        <v>4</v>
      </c>
      <c r="G1514" s="164">
        <v>0.96009999999999995</v>
      </c>
      <c r="H1514" s="164">
        <v>0.90210000000000001</v>
      </c>
      <c r="I1514" s="164">
        <v>0.66449999999999998</v>
      </c>
      <c r="J1514" s="2" t="str">
        <f>HYPERLINK(SetRGB(J1514,G1514*255,H1514*255,I1514*255),"HOVER!")</f>
        <v>HOVER!</v>
      </c>
      <c r="K1514">
        <f t="shared" si="46"/>
        <v>2.25</v>
      </c>
    </row>
    <row r="1515" spans="1:11" x14ac:dyDescent="0.3">
      <c r="A1515">
        <f>LOOKUP(9E+307,--MID(D1515,1,{1,2,3,4,5}))</f>
        <v>5</v>
      </c>
      <c r="B1515">
        <f>VLOOKUP(MID(D1515,LOOKUP(2,1/ISNUMBER(-MID(D1515,1,{1,2,3,4,5})),{1,2,3,4,5})+1,9),'Hue codes'!$A$1:$B$10,2,FALSE)</f>
        <v>20</v>
      </c>
      <c r="C1515">
        <f t="shared" si="47"/>
        <v>25</v>
      </c>
      <c r="D1515" s="162" t="s">
        <v>30</v>
      </c>
      <c r="E1515" s="162">
        <v>9</v>
      </c>
      <c r="F1515" s="162">
        <v>6</v>
      </c>
      <c r="G1515" s="164">
        <v>0.9839</v>
      </c>
      <c r="H1515" s="164">
        <v>0.90139999999999998</v>
      </c>
      <c r="I1515" s="164">
        <v>0.55469999999999997</v>
      </c>
      <c r="J1515" s="2" t="str">
        <f>HYPERLINK(SetRGB(J1515,G1515*255,H1515*255,I1515*255),"HOVER!")</f>
        <v>HOVER!</v>
      </c>
      <c r="K1515">
        <f t="shared" si="46"/>
        <v>1.5</v>
      </c>
    </row>
    <row r="1516" spans="1:11" x14ac:dyDescent="0.3">
      <c r="A1516">
        <f>LOOKUP(9E+307,--MID(D1516,1,{1,2,3,4,5}))</f>
        <v>5</v>
      </c>
      <c r="B1516">
        <f>VLOOKUP(MID(D1516,LOOKUP(2,1/ISNUMBER(-MID(D1516,1,{1,2,3,4,5})),{1,2,3,4,5})+1,9),'Hue codes'!$A$1:$B$10,2,FALSE)</f>
        <v>20</v>
      </c>
      <c r="C1516">
        <f t="shared" si="47"/>
        <v>25</v>
      </c>
      <c r="D1516" s="162" t="s">
        <v>30</v>
      </c>
      <c r="E1516" s="162">
        <v>9</v>
      </c>
      <c r="F1516" s="162">
        <v>8</v>
      </c>
      <c r="G1516" s="164">
        <v>1</v>
      </c>
      <c r="H1516" s="164">
        <v>0.90039999999999998</v>
      </c>
      <c r="I1516" s="164">
        <v>0.43959999999999999</v>
      </c>
      <c r="J1516" s="2" t="str">
        <f>HYPERLINK(SetRGB(J1516,G1516*255,H1516*255,I1516*255),"HOVER!")</f>
        <v>HOVER!</v>
      </c>
      <c r="K1516">
        <f t="shared" si="46"/>
        <v>1.125</v>
      </c>
    </row>
    <row r="1517" spans="1:11" x14ac:dyDescent="0.3">
      <c r="A1517">
        <f>LOOKUP(9E+307,--MID(D1517,1,{1,2,3,4,5}))</f>
        <v>5</v>
      </c>
      <c r="B1517">
        <f>VLOOKUP(MID(D1517,LOOKUP(2,1/ISNUMBER(-MID(D1517,1,{1,2,3,4,5})),{1,2,3,4,5})+1,9),'Hue codes'!$A$1:$B$10,2,FALSE)</f>
        <v>20</v>
      </c>
      <c r="C1517">
        <f t="shared" si="47"/>
        <v>25</v>
      </c>
      <c r="D1517" s="162" t="s">
        <v>30</v>
      </c>
      <c r="E1517" s="162">
        <v>9</v>
      </c>
      <c r="F1517" s="162">
        <v>10</v>
      </c>
      <c r="G1517" s="164">
        <v>1</v>
      </c>
      <c r="H1517" s="164">
        <v>0.89890000000000003</v>
      </c>
      <c r="I1517" s="164">
        <v>0.31430000000000002</v>
      </c>
      <c r="J1517" s="2" t="str">
        <f>HYPERLINK(SetRGB(J1517,G1517*255,H1517*255,I1517*255),"HOVER!")</f>
        <v>HOVER!</v>
      </c>
      <c r="K1517">
        <f t="shared" si="46"/>
        <v>0.9</v>
      </c>
    </row>
    <row r="1518" spans="1:11" x14ac:dyDescent="0.3">
      <c r="A1518">
        <f>LOOKUP(9E+307,--MID(D1518,1,{1,2,3,4,5}))</f>
        <v>5</v>
      </c>
      <c r="B1518">
        <f>VLOOKUP(MID(D1518,LOOKUP(2,1/ISNUMBER(-MID(D1518,1,{1,2,3,4,5})),{1,2,3,4,5})+1,9),'Hue codes'!$A$1:$B$10,2,FALSE)</f>
        <v>20</v>
      </c>
      <c r="C1518">
        <f t="shared" si="47"/>
        <v>25</v>
      </c>
      <c r="D1518" s="162" t="s">
        <v>30</v>
      </c>
      <c r="E1518" s="162">
        <v>9</v>
      </c>
      <c r="F1518" s="162">
        <v>12</v>
      </c>
      <c r="G1518" s="164">
        <v>1</v>
      </c>
      <c r="H1518" s="164">
        <v>0.89739999999999998</v>
      </c>
      <c r="I1518" s="164">
        <v>0.1138</v>
      </c>
      <c r="J1518" s="2" t="str">
        <f>HYPERLINK(SetRGB(J1518,G1518*255,H1518*255,I1518*255),"HOVER!")</f>
        <v>HOVER!</v>
      </c>
      <c r="K1518">
        <f t="shared" si="46"/>
        <v>0.75</v>
      </c>
    </row>
    <row r="1519" spans="1:11" x14ac:dyDescent="0.3">
      <c r="A1519">
        <f>LOOKUP(9E+307,--MID(D1519,1,{1,2,3,4,5}))</f>
        <v>7.5</v>
      </c>
      <c r="B1519">
        <f>VLOOKUP(MID(D1519,LOOKUP(2,1/ISNUMBER(-MID(D1519,1,{1,2,3,4,5})),{1,2,3,4,5})+1,9),'Hue codes'!$A$1:$B$10,2,FALSE)</f>
        <v>20</v>
      </c>
      <c r="C1519">
        <f t="shared" si="47"/>
        <v>27.5</v>
      </c>
      <c r="D1519" s="162" t="s">
        <v>31</v>
      </c>
      <c r="E1519" s="162">
        <v>9</v>
      </c>
      <c r="F1519" s="162">
        <v>2</v>
      </c>
      <c r="G1519" s="164">
        <v>0.92390000000000005</v>
      </c>
      <c r="H1519" s="164">
        <v>0.90510000000000002</v>
      </c>
      <c r="I1519" s="164">
        <v>0.76990000000000003</v>
      </c>
      <c r="J1519" s="2" t="str">
        <f>HYPERLINK(SetRGB(J1519,G1519*255,H1519*255,I1519*255),"HOVER!")</f>
        <v>HOVER!</v>
      </c>
      <c r="K1519">
        <f t="shared" si="46"/>
        <v>4.5</v>
      </c>
    </row>
    <row r="1520" spans="1:11" x14ac:dyDescent="0.3">
      <c r="A1520">
        <f>LOOKUP(9E+307,--MID(D1520,1,{1,2,3,4,5}))</f>
        <v>7.5</v>
      </c>
      <c r="B1520">
        <f>VLOOKUP(MID(D1520,LOOKUP(2,1/ISNUMBER(-MID(D1520,1,{1,2,3,4,5})),{1,2,3,4,5})+1,9),'Hue codes'!$A$1:$B$10,2,FALSE)</f>
        <v>20</v>
      </c>
      <c r="C1520">
        <f t="shared" si="47"/>
        <v>27.5</v>
      </c>
      <c r="D1520" s="162" t="s">
        <v>31</v>
      </c>
      <c r="E1520" s="162">
        <v>9</v>
      </c>
      <c r="F1520" s="162">
        <v>4</v>
      </c>
      <c r="G1520" s="164">
        <v>0.94199999999999995</v>
      </c>
      <c r="H1520" s="164">
        <v>0.90820000000000001</v>
      </c>
      <c r="I1520" s="164">
        <v>0.66020000000000001</v>
      </c>
      <c r="J1520" s="2" t="str">
        <f>HYPERLINK(SetRGB(J1520,G1520*255,H1520*255,I1520*255),"HOVER!")</f>
        <v>HOVER!</v>
      </c>
      <c r="K1520">
        <f t="shared" si="46"/>
        <v>2.25</v>
      </c>
    </row>
    <row r="1521" spans="1:11" x14ac:dyDescent="0.3">
      <c r="A1521">
        <f>LOOKUP(9E+307,--MID(D1521,1,{1,2,3,4,5}))</f>
        <v>7.5</v>
      </c>
      <c r="B1521">
        <f>VLOOKUP(MID(D1521,LOOKUP(2,1/ISNUMBER(-MID(D1521,1,{1,2,3,4,5})),{1,2,3,4,5})+1,9),'Hue codes'!$A$1:$B$10,2,FALSE)</f>
        <v>20</v>
      </c>
      <c r="C1521">
        <f t="shared" si="47"/>
        <v>27.5</v>
      </c>
      <c r="D1521" s="162" t="s">
        <v>31</v>
      </c>
      <c r="E1521" s="162">
        <v>9</v>
      </c>
      <c r="F1521" s="162">
        <v>6</v>
      </c>
      <c r="G1521" s="164">
        <v>0.95799999999999996</v>
      </c>
      <c r="H1521" s="164">
        <v>0.91039999999999999</v>
      </c>
      <c r="I1521" s="164">
        <v>0.54820000000000002</v>
      </c>
      <c r="J1521" s="2" t="str">
        <f>HYPERLINK(SetRGB(J1521,G1521*255,H1521*255,I1521*255),"HOVER!")</f>
        <v>HOVER!</v>
      </c>
      <c r="K1521">
        <f t="shared" si="46"/>
        <v>1.5</v>
      </c>
    </row>
    <row r="1522" spans="1:11" x14ac:dyDescent="0.3">
      <c r="A1522">
        <f>LOOKUP(9E+307,--MID(D1522,1,{1,2,3,4,5}))</f>
        <v>7.5</v>
      </c>
      <c r="B1522">
        <f>VLOOKUP(MID(D1522,LOOKUP(2,1/ISNUMBER(-MID(D1522,1,{1,2,3,4,5})),{1,2,3,4,5})+1,9),'Hue codes'!$A$1:$B$10,2,FALSE)</f>
        <v>20</v>
      </c>
      <c r="C1522">
        <f t="shared" si="47"/>
        <v>27.5</v>
      </c>
      <c r="D1522" s="162" t="s">
        <v>31</v>
      </c>
      <c r="E1522" s="162">
        <v>9</v>
      </c>
      <c r="F1522" s="162">
        <v>8</v>
      </c>
      <c r="G1522" s="164">
        <v>0.97199999999999998</v>
      </c>
      <c r="H1522" s="164">
        <v>0.91169999999999995</v>
      </c>
      <c r="I1522" s="164">
        <v>0.42909999999999998</v>
      </c>
      <c r="J1522" s="2" t="str">
        <f>HYPERLINK(SetRGB(J1522,G1522*255,H1522*255,I1522*255),"HOVER!")</f>
        <v>HOVER!</v>
      </c>
      <c r="K1522">
        <f t="shared" si="46"/>
        <v>1.125</v>
      </c>
    </row>
    <row r="1523" spans="1:11" x14ac:dyDescent="0.3">
      <c r="A1523">
        <f>LOOKUP(9E+307,--MID(D1523,1,{1,2,3,4,5}))</f>
        <v>7.5</v>
      </c>
      <c r="B1523">
        <f>VLOOKUP(MID(D1523,LOOKUP(2,1/ISNUMBER(-MID(D1523,1,{1,2,3,4,5})),{1,2,3,4,5})+1,9),'Hue codes'!$A$1:$B$10,2,FALSE)</f>
        <v>20</v>
      </c>
      <c r="C1523">
        <f t="shared" si="47"/>
        <v>27.5</v>
      </c>
      <c r="D1523" s="162" t="s">
        <v>31</v>
      </c>
      <c r="E1523" s="162">
        <v>9</v>
      </c>
      <c r="F1523" s="162">
        <v>10</v>
      </c>
      <c r="G1523" s="164">
        <v>0.98370000000000002</v>
      </c>
      <c r="H1523" s="164">
        <v>0.9123</v>
      </c>
      <c r="I1523" s="164">
        <v>0.29699999999999999</v>
      </c>
      <c r="J1523" s="2" t="str">
        <f>HYPERLINK(SetRGB(J1523,G1523*255,H1523*255,I1523*255),"HOVER!")</f>
        <v>HOVER!</v>
      </c>
      <c r="K1523">
        <f t="shared" si="46"/>
        <v>0.9</v>
      </c>
    </row>
    <row r="1524" spans="1:11" x14ac:dyDescent="0.3">
      <c r="A1524">
        <f>LOOKUP(9E+307,--MID(D1524,1,{1,2,3,4,5}))</f>
        <v>7.5</v>
      </c>
      <c r="B1524">
        <f>VLOOKUP(MID(D1524,LOOKUP(2,1/ISNUMBER(-MID(D1524,1,{1,2,3,4,5})),{1,2,3,4,5})+1,9),'Hue codes'!$A$1:$B$10,2,FALSE)</f>
        <v>20</v>
      </c>
      <c r="C1524">
        <f t="shared" si="47"/>
        <v>27.5</v>
      </c>
      <c r="D1524" s="162" t="s">
        <v>31</v>
      </c>
      <c r="E1524" s="162">
        <v>9</v>
      </c>
      <c r="F1524" s="162">
        <v>12</v>
      </c>
      <c r="G1524" s="164">
        <v>0.99429999999999996</v>
      </c>
      <c r="H1524" s="164">
        <v>0.91249999999999998</v>
      </c>
      <c r="I1524" s="164">
        <v>4.6800000000000001E-2</v>
      </c>
      <c r="J1524" s="2" t="str">
        <f>HYPERLINK(SetRGB(J1524,G1524*255,H1524*255,I1524*255),"HOVER!")</f>
        <v>HOVER!</v>
      </c>
      <c r="K1524">
        <f t="shared" si="46"/>
        <v>0.75</v>
      </c>
    </row>
    <row r="1525" spans="1:11" x14ac:dyDescent="0.3">
      <c r="A1525">
        <f>LOOKUP(9E+307,--MID(D1525,1,{1,2,3,4,5}))</f>
        <v>10</v>
      </c>
      <c r="B1525">
        <f>VLOOKUP(MID(D1525,LOOKUP(2,1/ISNUMBER(-MID(D1525,1,{1,2,3,4,5})),{1,2,3,4,5})+1,9),'Hue codes'!$A$1:$B$10,2,FALSE)</f>
        <v>20</v>
      </c>
      <c r="C1525">
        <f t="shared" si="47"/>
        <v>30</v>
      </c>
      <c r="D1525" s="162" t="s">
        <v>32</v>
      </c>
      <c r="E1525" s="162">
        <v>9</v>
      </c>
      <c r="F1525" s="162">
        <v>2</v>
      </c>
      <c r="G1525" s="164">
        <v>0.91490000000000005</v>
      </c>
      <c r="H1525" s="164">
        <v>0.90780000000000005</v>
      </c>
      <c r="I1525" s="164">
        <v>0.76929999999999998</v>
      </c>
      <c r="J1525" s="2" t="str">
        <f>HYPERLINK(SetRGB(J1525,G1525*255,H1525*255,I1525*255),"HOVER!")</f>
        <v>HOVER!</v>
      </c>
      <c r="K1525">
        <f t="shared" si="46"/>
        <v>4.5</v>
      </c>
    </row>
    <row r="1526" spans="1:11" x14ac:dyDescent="0.3">
      <c r="A1526">
        <f>LOOKUP(9E+307,--MID(D1526,1,{1,2,3,4,5}))</f>
        <v>10</v>
      </c>
      <c r="B1526">
        <f>VLOOKUP(MID(D1526,LOOKUP(2,1/ISNUMBER(-MID(D1526,1,{1,2,3,4,5})),{1,2,3,4,5})+1,9),'Hue codes'!$A$1:$B$10,2,FALSE)</f>
        <v>20</v>
      </c>
      <c r="C1526">
        <f t="shared" si="47"/>
        <v>30</v>
      </c>
      <c r="D1526" s="162" t="s">
        <v>32</v>
      </c>
      <c r="E1526" s="162">
        <v>9</v>
      </c>
      <c r="F1526" s="162">
        <v>4</v>
      </c>
      <c r="G1526" s="164">
        <v>0.92549999999999999</v>
      </c>
      <c r="H1526" s="164">
        <v>0.91339999999999999</v>
      </c>
      <c r="I1526" s="164">
        <v>0.65959999999999996</v>
      </c>
      <c r="J1526" s="2" t="str">
        <f>HYPERLINK(SetRGB(J1526,G1526*255,H1526*255,I1526*255),"HOVER!")</f>
        <v>HOVER!</v>
      </c>
      <c r="K1526">
        <f t="shared" si="46"/>
        <v>2.25</v>
      </c>
    </row>
    <row r="1527" spans="1:11" x14ac:dyDescent="0.3">
      <c r="A1527">
        <f>LOOKUP(9E+307,--MID(D1527,1,{1,2,3,4,5}))</f>
        <v>10</v>
      </c>
      <c r="B1527">
        <f>VLOOKUP(MID(D1527,LOOKUP(2,1/ISNUMBER(-MID(D1527,1,{1,2,3,4,5})),{1,2,3,4,5})+1,9),'Hue codes'!$A$1:$B$10,2,FALSE)</f>
        <v>20</v>
      </c>
      <c r="C1527">
        <f t="shared" si="47"/>
        <v>30</v>
      </c>
      <c r="D1527" s="162" t="s">
        <v>32</v>
      </c>
      <c r="E1527" s="162">
        <v>9</v>
      </c>
      <c r="F1527" s="162">
        <v>6</v>
      </c>
      <c r="G1527" s="164">
        <v>0.93469999999999998</v>
      </c>
      <c r="H1527" s="164">
        <v>0.91769999999999996</v>
      </c>
      <c r="I1527" s="164">
        <v>0.54769999999999996</v>
      </c>
      <c r="J1527" s="2" t="str">
        <f>HYPERLINK(SetRGB(J1527,G1527*255,H1527*255,I1527*255),"HOVER!")</f>
        <v>HOVER!</v>
      </c>
      <c r="K1527">
        <f t="shared" ref="K1527:K1590" si="48">E1527/F1527</f>
        <v>1.5</v>
      </c>
    </row>
    <row r="1528" spans="1:11" x14ac:dyDescent="0.3">
      <c r="A1528">
        <f>LOOKUP(9E+307,--MID(D1528,1,{1,2,3,4,5}))</f>
        <v>10</v>
      </c>
      <c r="B1528">
        <f>VLOOKUP(MID(D1528,LOOKUP(2,1/ISNUMBER(-MID(D1528,1,{1,2,3,4,5})),{1,2,3,4,5})+1,9),'Hue codes'!$A$1:$B$10,2,FALSE)</f>
        <v>20</v>
      </c>
      <c r="C1528">
        <f t="shared" si="47"/>
        <v>30</v>
      </c>
      <c r="D1528" s="162" t="s">
        <v>32</v>
      </c>
      <c r="E1528" s="162">
        <v>9</v>
      </c>
      <c r="F1528" s="162">
        <v>8</v>
      </c>
      <c r="G1528" s="164">
        <v>0.94189999999999996</v>
      </c>
      <c r="H1528" s="164">
        <v>0.92149999999999999</v>
      </c>
      <c r="I1528" s="164">
        <v>0.42370000000000002</v>
      </c>
      <c r="J1528" s="2" t="str">
        <f>HYPERLINK(SetRGB(J1528,G1528*255,H1528*255,I1528*255),"HOVER!")</f>
        <v>HOVER!</v>
      </c>
      <c r="K1528">
        <f t="shared" si="48"/>
        <v>1.125</v>
      </c>
    </row>
    <row r="1529" spans="1:11" x14ac:dyDescent="0.3">
      <c r="A1529">
        <f>LOOKUP(9E+307,--MID(D1529,1,{1,2,3,4,5}))</f>
        <v>10</v>
      </c>
      <c r="B1529">
        <f>VLOOKUP(MID(D1529,LOOKUP(2,1/ISNUMBER(-MID(D1529,1,{1,2,3,4,5})),{1,2,3,4,5})+1,9),'Hue codes'!$A$1:$B$10,2,FALSE)</f>
        <v>20</v>
      </c>
      <c r="C1529">
        <f t="shared" si="47"/>
        <v>30</v>
      </c>
      <c r="D1529" s="162" t="s">
        <v>32</v>
      </c>
      <c r="E1529" s="162">
        <v>9</v>
      </c>
      <c r="F1529" s="162">
        <v>10</v>
      </c>
      <c r="G1529" s="164">
        <v>0.94730000000000003</v>
      </c>
      <c r="H1529" s="164">
        <v>0.92420000000000002</v>
      </c>
      <c r="I1529" s="164">
        <v>0.29089999999999999</v>
      </c>
      <c r="J1529" s="2" t="str">
        <f>HYPERLINK(SetRGB(J1529,G1529*255,H1529*255,I1529*255),"HOVER!")</f>
        <v>HOVER!</v>
      </c>
      <c r="K1529">
        <f t="shared" si="48"/>
        <v>0.9</v>
      </c>
    </row>
    <row r="1530" spans="1:11" x14ac:dyDescent="0.3">
      <c r="A1530">
        <f>LOOKUP(9E+307,--MID(D1530,1,{1,2,3,4,5}))</f>
        <v>2.5</v>
      </c>
      <c r="B1530">
        <f>VLOOKUP(MID(D1530,LOOKUP(2,1/ISNUMBER(-MID(D1530,1,{1,2,3,4,5})),{1,2,3,4,5})+1,9),'Hue codes'!$A$1:$B$10,2,FALSE)</f>
        <v>30</v>
      </c>
      <c r="C1530">
        <f t="shared" si="47"/>
        <v>32.5</v>
      </c>
      <c r="D1530" s="162" t="s">
        <v>33</v>
      </c>
      <c r="E1530" s="162">
        <v>9</v>
      </c>
      <c r="F1530" s="162">
        <v>2</v>
      </c>
      <c r="G1530" s="164">
        <v>0.90290000000000004</v>
      </c>
      <c r="H1530" s="164">
        <v>0.91120000000000001</v>
      </c>
      <c r="I1530" s="164">
        <v>0.77239999999999998</v>
      </c>
      <c r="J1530" s="2" t="str">
        <f>HYPERLINK(SetRGB(J1530,G1530*255,H1530*255,I1530*255),"HOVER!")</f>
        <v>HOVER!</v>
      </c>
      <c r="K1530">
        <f t="shared" si="48"/>
        <v>4.5</v>
      </c>
    </row>
    <row r="1531" spans="1:11" x14ac:dyDescent="0.3">
      <c r="A1531">
        <f>LOOKUP(9E+307,--MID(D1531,1,{1,2,3,4,5}))</f>
        <v>2.5</v>
      </c>
      <c r="B1531">
        <f>VLOOKUP(MID(D1531,LOOKUP(2,1/ISNUMBER(-MID(D1531,1,{1,2,3,4,5})),{1,2,3,4,5})+1,9),'Hue codes'!$A$1:$B$10,2,FALSE)</f>
        <v>30</v>
      </c>
      <c r="C1531">
        <f t="shared" si="47"/>
        <v>32.5</v>
      </c>
      <c r="D1531" s="162" t="s">
        <v>33</v>
      </c>
      <c r="E1531" s="162">
        <v>9</v>
      </c>
      <c r="F1531" s="162">
        <v>4</v>
      </c>
      <c r="G1531" s="164">
        <v>0.9002</v>
      </c>
      <c r="H1531" s="164">
        <v>0.92069999999999996</v>
      </c>
      <c r="I1531" s="164">
        <v>0.6643</v>
      </c>
      <c r="J1531" s="2" t="str">
        <f>HYPERLINK(SetRGB(J1531,G1531*255,H1531*255,I1531*255),"HOVER!")</f>
        <v>HOVER!</v>
      </c>
      <c r="K1531">
        <f t="shared" si="48"/>
        <v>2.25</v>
      </c>
    </row>
    <row r="1532" spans="1:11" x14ac:dyDescent="0.3">
      <c r="A1532">
        <f>LOOKUP(9E+307,--MID(D1532,1,{1,2,3,4,5}))</f>
        <v>2.5</v>
      </c>
      <c r="B1532">
        <f>VLOOKUP(MID(D1532,LOOKUP(2,1/ISNUMBER(-MID(D1532,1,{1,2,3,4,5})),{1,2,3,4,5})+1,9),'Hue codes'!$A$1:$B$10,2,FALSE)</f>
        <v>30</v>
      </c>
      <c r="C1532">
        <f t="shared" si="47"/>
        <v>32.5</v>
      </c>
      <c r="D1532" s="162" t="s">
        <v>33</v>
      </c>
      <c r="E1532" s="162">
        <v>9</v>
      </c>
      <c r="F1532" s="162">
        <v>6</v>
      </c>
      <c r="G1532" s="164">
        <v>0.89839999999999998</v>
      </c>
      <c r="H1532" s="164">
        <v>0.92810000000000004</v>
      </c>
      <c r="I1532" s="164">
        <v>0.55640000000000001</v>
      </c>
      <c r="J1532" s="2" t="str">
        <f>HYPERLINK(SetRGB(J1532,G1532*255,H1532*255,I1532*255),"HOVER!")</f>
        <v>HOVER!</v>
      </c>
      <c r="K1532">
        <f t="shared" si="48"/>
        <v>1.5</v>
      </c>
    </row>
    <row r="1533" spans="1:11" x14ac:dyDescent="0.3">
      <c r="A1533">
        <f>LOOKUP(9E+307,--MID(D1533,1,{1,2,3,4,5}))</f>
        <v>2.5</v>
      </c>
      <c r="B1533">
        <f>VLOOKUP(MID(D1533,LOOKUP(2,1/ISNUMBER(-MID(D1533,1,{1,2,3,4,5})),{1,2,3,4,5})+1,9),'Hue codes'!$A$1:$B$10,2,FALSE)</f>
        <v>30</v>
      </c>
      <c r="C1533">
        <f t="shared" si="47"/>
        <v>32.5</v>
      </c>
      <c r="D1533" s="162" t="s">
        <v>33</v>
      </c>
      <c r="E1533" s="162">
        <v>9</v>
      </c>
      <c r="F1533" s="162">
        <v>8</v>
      </c>
      <c r="G1533" s="164">
        <v>0.89449999999999996</v>
      </c>
      <c r="H1533" s="164">
        <v>0.93500000000000005</v>
      </c>
      <c r="I1533" s="164">
        <v>0.43690000000000001</v>
      </c>
      <c r="J1533" s="2" t="str">
        <f>HYPERLINK(SetRGB(J1533,G1533*255,H1533*255,I1533*255),"HOVER!")</f>
        <v>HOVER!</v>
      </c>
      <c r="K1533">
        <f t="shared" si="48"/>
        <v>1.125</v>
      </c>
    </row>
    <row r="1534" spans="1:11" x14ac:dyDescent="0.3">
      <c r="A1534">
        <f>LOOKUP(9E+307,--MID(D1534,1,{1,2,3,4,5}))</f>
        <v>2.5</v>
      </c>
      <c r="B1534">
        <f>VLOOKUP(MID(D1534,LOOKUP(2,1/ISNUMBER(-MID(D1534,1,{1,2,3,4,5})),{1,2,3,4,5})+1,9),'Hue codes'!$A$1:$B$10,2,FALSE)</f>
        <v>30</v>
      </c>
      <c r="C1534">
        <f t="shared" si="47"/>
        <v>32.5</v>
      </c>
      <c r="D1534" s="162" t="s">
        <v>33</v>
      </c>
      <c r="E1534" s="162">
        <v>9</v>
      </c>
      <c r="F1534" s="162">
        <v>10</v>
      </c>
      <c r="G1534" s="164">
        <v>0.89049999999999996</v>
      </c>
      <c r="H1534" s="164">
        <v>0.9405</v>
      </c>
      <c r="I1534" s="164">
        <v>0.3075</v>
      </c>
      <c r="J1534" s="2" t="str">
        <f>HYPERLINK(SetRGB(J1534,G1534*255,H1534*255,I1534*255),"HOVER!")</f>
        <v>HOVER!</v>
      </c>
      <c r="K1534">
        <f t="shared" si="48"/>
        <v>0.9</v>
      </c>
    </row>
    <row r="1535" spans="1:11" x14ac:dyDescent="0.3">
      <c r="A1535">
        <f>LOOKUP(9E+307,--MID(D1535,1,{1,2,3,4,5}))</f>
        <v>2.5</v>
      </c>
      <c r="B1535">
        <f>VLOOKUP(MID(D1535,LOOKUP(2,1/ISNUMBER(-MID(D1535,1,{1,2,3,4,5})),{1,2,3,4,5})+1,9),'Hue codes'!$A$1:$B$10,2,FALSE)</f>
        <v>30</v>
      </c>
      <c r="C1535">
        <f t="shared" si="47"/>
        <v>32.5</v>
      </c>
      <c r="D1535" s="162" t="s">
        <v>33</v>
      </c>
      <c r="E1535" s="162">
        <v>9</v>
      </c>
      <c r="F1535" s="162">
        <v>12</v>
      </c>
      <c r="G1535" s="164">
        <v>0.88629999999999998</v>
      </c>
      <c r="H1535" s="164">
        <v>0.94550000000000001</v>
      </c>
      <c r="I1535" s="164">
        <v>5.1900000000000002E-2</v>
      </c>
      <c r="J1535" s="2" t="str">
        <f>HYPERLINK(SetRGB(J1535,G1535*255,H1535*255,I1535*255),"HOVER!")</f>
        <v>HOVER!</v>
      </c>
      <c r="K1535">
        <f t="shared" si="48"/>
        <v>0.75</v>
      </c>
    </row>
    <row r="1536" spans="1:11" x14ac:dyDescent="0.3">
      <c r="A1536">
        <f>LOOKUP(9E+307,--MID(D1536,1,{1,2,3,4,5}))</f>
        <v>5</v>
      </c>
      <c r="B1536">
        <f>VLOOKUP(MID(D1536,LOOKUP(2,1/ISNUMBER(-MID(D1536,1,{1,2,3,4,5})),{1,2,3,4,5})+1,9),'Hue codes'!$A$1:$B$10,2,FALSE)</f>
        <v>30</v>
      </c>
      <c r="C1536">
        <f t="shared" si="47"/>
        <v>35</v>
      </c>
      <c r="D1536" s="162" t="s">
        <v>34</v>
      </c>
      <c r="E1536" s="162">
        <v>9</v>
      </c>
      <c r="F1536" s="162">
        <v>2</v>
      </c>
      <c r="G1536" s="164">
        <v>0.88839999999999997</v>
      </c>
      <c r="H1536" s="164">
        <v>0.91490000000000005</v>
      </c>
      <c r="I1536" s="164">
        <v>0.77829999999999999</v>
      </c>
      <c r="J1536" s="2" t="str">
        <f>HYPERLINK(SetRGB(J1536,G1536*255,H1536*255,I1536*255),"HOVER!")</f>
        <v>HOVER!</v>
      </c>
      <c r="K1536">
        <f t="shared" si="48"/>
        <v>4.5</v>
      </c>
    </row>
    <row r="1537" spans="1:11" x14ac:dyDescent="0.3">
      <c r="A1537">
        <f>LOOKUP(9E+307,--MID(D1537,1,{1,2,3,4,5}))</f>
        <v>5</v>
      </c>
      <c r="B1537">
        <f>VLOOKUP(MID(D1537,LOOKUP(2,1/ISNUMBER(-MID(D1537,1,{1,2,3,4,5})),{1,2,3,4,5})+1,9),'Hue codes'!$A$1:$B$10,2,FALSE)</f>
        <v>30</v>
      </c>
      <c r="C1537">
        <f t="shared" si="47"/>
        <v>35</v>
      </c>
      <c r="D1537" s="162" t="s">
        <v>34</v>
      </c>
      <c r="E1537" s="162">
        <v>9</v>
      </c>
      <c r="F1537" s="162">
        <v>4</v>
      </c>
      <c r="G1537" s="164">
        <v>0.877</v>
      </c>
      <c r="H1537" s="164">
        <v>0.92659999999999998</v>
      </c>
      <c r="I1537" s="164">
        <v>0.67420000000000002</v>
      </c>
      <c r="J1537" s="2" t="str">
        <f>HYPERLINK(SetRGB(J1537,G1537*255,H1537*255,I1537*255),"HOVER!")</f>
        <v>HOVER!</v>
      </c>
      <c r="K1537">
        <f t="shared" si="48"/>
        <v>2.25</v>
      </c>
    </row>
    <row r="1538" spans="1:11" x14ac:dyDescent="0.3">
      <c r="A1538">
        <f>LOOKUP(9E+307,--MID(D1538,1,{1,2,3,4,5}))</f>
        <v>5</v>
      </c>
      <c r="B1538">
        <f>VLOOKUP(MID(D1538,LOOKUP(2,1/ISNUMBER(-MID(D1538,1,{1,2,3,4,5})),{1,2,3,4,5})+1,9),'Hue codes'!$A$1:$B$10,2,FALSE)</f>
        <v>30</v>
      </c>
      <c r="C1538">
        <f t="shared" si="47"/>
        <v>35</v>
      </c>
      <c r="D1538" s="162" t="s">
        <v>34</v>
      </c>
      <c r="E1538" s="162">
        <v>9</v>
      </c>
      <c r="F1538" s="162">
        <v>6</v>
      </c>
      <c r="G1538" s="164">
        <v>0.86229999999999996</v>
      </c>
      <c r="H1538" s="164">
        <v>0.93730000000000002</v>
      </c>
      <c r="I1538" s="164">
        <v>0.57179999999999997</v>
      </c>
      <c r="J1538" s="2" t="str">
        <f>HYPERLINK(SetRGB(J1538,G1538*255,H1538*255,I1538*255),"HOVER!")</f>
        <v>HOVER!</v>
      </c>
      <c r="K1538">
        <f t="shared" si="48"/>
        <v>1.5</v>
      </c>
    </row>
    <row r="1539" spans="1:11" x14ac:dyDescent="0.3">
      <c r="A1539">
        <f>LOOKUP(9E+307,--MID(D1539,1,{1,2,3,4,5}))</f>
        <v>5</v>
      </c>
      <c r="B1539">
        <f>VLOOKUP(MID(D1539,LOOKUP(2,1/ISNUMBER(-MID(D1539,1,{1,2,3,4,5})),{1,2,3,4,5})+1,9),'Hue codes'!$A$1:$B$10,2,FALSE)</f>
        <v>30</v>
      </c>
      <c r="C1539">
        <f t="shared" ref="C1539:C1602" si="49">IF(A1539+B1539=100,0,A1539+B1539)</f>
        <v>35</v>
      </c>
      <c r="D1539" s="162" t="s">
        <v>34</v>
      </c>
      <c r="E1539" s="162">
        <v>9</v>
      </c>
      <c r="F1539" s="162">
        <v>8</v>
      </c>
      <c r="G1539" s="164">
        <v>0.84619999999999995</v>
      </c>
      <c r="H1539" s="164">
        <v>0.94710000000000005</v>
      </c>
      <c r="I1539" s="164">
        <v>0.4617</v>
      </c>
      <c r="J1539" s="2" t="str">
        <f>HYPERLINK(SetRGB(J1539,G1539*255,H1539*255,I1539*255),"HOVER!")</f>
        <v>HOVER!</v>
      </c>
      <c r="K1539">
        <f t="shared" si="48"/>
        <v>1.125</v>
      </c>
    </row>
    <row r="1540" spans="1:11" x14ac:dyDescent="0.3">
      <c r="A1540">
        <f>LOOKUP(9E+307,--MID(D1540,1,{1,2,3,4,5}))</f>
        <v>5</v>
      </c>
      <c r="B1540">
        <f>VLOOKUP(MID(D1540,LOOKUP(2,1/ISNUMBER(-MID(D1540,1,{1,2,3,4,5})),{1,2,3,4,5})+1,9),'Hue codes'!$A$1:$B$10,2,FALSE)</f>
        <v>30</v>
      </c>
      <c r="C1540">
        <f t="shared" si="49"/>
        <v>35</v>
      </c>
      <c r="D1540" s="162" t="s">
        <v>34</v>
      </c>
      <c r="E1540" s="162">
        <v>9</v>
      </c>
      <c r="F1540" s="162">
        <v>10</v>
      </c>
      <c r="G1540" s="164">
        <v>0.83130000000000004</v>
      </c>
      <c r="H1540" s="164">
        <v>0.95530000000000004</v>
      </c>
      <c r="I1540" s="164">
        <v>0.34110000000000001</v>
      </c>
      <c r="J1540" s="2" t="str">
        <f>HYPERLINK(SetRGB(J1540,G1540*255,H1540*255,I1540*255),"HOVER!")</f>
        <v>HOVER!</v>
      </c>
      <c r="K1540">
        <f t="shared" si="48"/>
        <v>0.9</v>
      </c>
    </row>
    <row r="1541" spans="1:11" x14ac:dyDescent="0.3">
      <c r="A1541">
        <f>LOOKUP(9E+307,--MID(D1541,1,{1,2,3,4,5}))</f>
        <v>5</v>
      </c>
      <c r="B1541">
        <f>VLOOKUP(MID(D1541,LOOKUP(2,1/ISNUMBER(-MID(D1541,1,{1,2,3,4,5})),{1,2,3,4,5})+1,9),'Hue codes'!$A$1:$B$10,2,FALSE)</f>
        <v>30</v>
      </c>
      <c r="C1541">
        <f t="shared" si="49"/>
        <v>35</v>
      </c>
      <c r="D1541" s="162" t="s">
        <v>34</v>
      </c>
      <c r="E1541" s="162">
        <v>9</v>
      </c>
      <c r="F1541" s="162">
        <v>12</v>
      </c>
      <c r="G1541" s="164">
        <v>0.81479999999999997</v>
      </c>
      <c r="H1541" s="164">
        <v>0.96309999999999996</v>
      </c>
      <c r="I1541" s="164">
        <v>0.16059999999999999</v>
      </c>
      <c r="J1541" s="2" t="str">
        <f>HYPERLINK(SetRGB(J1541,G1541*255,H1541*255,I1541*255),"HOVER!")</f>
        <v>HOVER!</v>
      </c>
      <c r="K1541">
        <f t="shared" si="48"/>
        <v>0.75</v>
      </c>
    </row>
    <row r="1542" spans="1:11" x14ac:dyDescent="0.3">
      <c r="A1542">
        <f>LOOKUP(9E+307,--MID(D1542,1,{1,2,3,4,5}))</f>
        <v>7.5</v>
      </c>
      <c r="B1542">
        <f>VLOOKUP(MID(D1542,LOOKUP(2,1/ISNUMBER(-MID(D1542,1,{1,2,3,4,5})),{1,2,3,4,5})+1,9),'Hue codes'!$A$1:$B$10,2,FALSE)</f>
        <v>30</v>
      </c>
      <c r="C1542">
        <f t="shared" si="49"/>
        <v>37.5</v>
      </c>
      <c r="D1542" s="162" t="s">
        <v>35</v>
      </c>
      <c r="E1542" s="162">
        <v>9</v>
      </c>
      <c r="F1542" s="162">
        <v>2</v>
      </c>
      <c r="G1542" s="164">
        <v>0.85870000000000002</v>
      </c>
      <c r="H1542" s="164">
        <v>0.92159999999999997</v>
      </c>
      <c r="I1542" s="164">
        <v>0.79769999999999996</v>
      </c>
      <c r="J1542" s="2" t="str">
        <f>HYPERLINK(SetRGB(J1542,G1542*255,H1542*255,I1542*255),"HOVER!")</f>
        <v>HOVER!</v>
      </c>
      <c r="K1542">
        <f t="shared" si="48"/>
        <v>4.5</v>
      </c>
    </row>
    <row r="1543" spans="1:11" x14ac:dyDescent="0.3">
      <c r="A1543">
        <f>LOOKUP(9E+307,--MID(D1543,1,{1,2,3,4,5}))</f>
        <v>7.5</v>
      </c>
      <c r="B1543">
        <f>VLOOKUP(MID(D1543,LOOKUP(2,1/ISNUMBER(-MID(D1543,1,{1,2,3,4,5})),{1,2,3,4,5})+1,9),'Hue codes'!$A$1:$B$10,2,FALSE)</f>
        <v>30</v>
      </c>
      <c r="C1543">
        <f t="shared" si="49"/>
        <v>37.5</v>
      </c>
      <c r="D1543" s="162" t="s">
        <v>35</v>
      </c>
      <c r="E1543" s="162">
        <v>9</v>
      </c>
      <c r="F1543" s="162">
        <v>4</v>
      </c>
      <c r="G1543" s="164">
        <v>0.82389999999999997</v>
      </c>
      <c r="H1543" s="164">
        <v>0.93779999999999997</v>
      </c>
      <c r="I1543" s="164">
        <v>0.71340000000000003</v>
      </c>
      <c r="J1543" s="2" t="str">
        <f>HYPERLINK(SetRGB(J1543,G1543*255,H1543*255,I1543*255),"HOVER!")</f>
        <v>HOVER!</v>
      </c>
      <c r="K1543">
        <f t="shared" si="48"/>
        <v>2.25</v>
      </c>
    </row>
    <row r="1544" spans="1:11" x14ac:dyDescent="0.3">
      <c r="A1544">
        <f>LOOKUP(9E+307,--MID(D1544,1,{1,2,3,4,5}))</f>
        <v>7.5</v>
      </c>
      <c r="B1544">
        <f>VLOOKUP(MID(D1544,LOOKUP(2,1/ISNUMBER(-MID(D1544,1,{1,2,3,4,5})),{1,2,3,4,5})+1,9),'Hue codes'!$A$1:$B$10,2,FALSE)</f>
        <v>30</v>
      </c>
      <c r="C1544">
        <f t="shared" si="49"/>
        <v>37.5</v>
      </c>
      <c r="D1544" s="162" t="s">
        <v>35</v>
      </c>
      <c r="E1544" s="162">
        <v>9</v>
      </c>
      <c r="F1544" s="162">
        <v>6</v>
      </c>
      <c r="G1544" s="164">
        <v>0.78749999999999998</v>
      </c>
      <c r="H1544" s="164">
        <v>0.95299999999999996</v>
      </c>
      <c r="I1544" s="164">
        <v>0.62260000000000004</v>
      </c>
      <c r="J1544" s="2" t="str">
        <f>HYPERLINK(SetRGB(J1544,G1544*255,H1544*255,I1544*255),"HOVER!")</f>
        <v>HOVER!</v>
      </c>
      <c r="K1544">
        <f t="shared" si="48"/>
        <v>1.5</v>
      </c>
    </row>
    <row r="1545" spans="1:11" x14ac:dyDescent="0.3">
      <c r="A1545">
        <f>LOOKUP(9E+307,--MID(D1545,1,{1,2,3,4,5}))</f>
        <v>7.5</v>
      </c>
      <c r="B1545">
        <f>VLOOKUP(MID(D1545,LOOKUP(2,1/ISNUMBER(-MID(D1545,1,{1,2,3,4,5})),{1,2,3,4,5})+1,9),'Hue codes'!$A$1:$B$10,2,FALSE)</f>
        <v>30</v>
      </c>
      <c r="C1545">
        <f t="shared" si="49"/>
        <v>37.5</v>
      </c>
      <c r="D1545" s="162" t="s">
        <v>35</v>
      </c>
      <c r="E1545" s="162">
        <v>9</v>
      </c>
      <c r="F1545" s="162">
        <v>8</v>
      </c>
      <c r="G1545" s="164">
        <v>0.75139999999999996</v>
      </c>
      <c r="H1545" s="164">
        <v>0.96619999999999995</v>
      </c>
      <c r="I1545" s="164">
        <v>0.53449999999999998</v>
      </c>
      <c r="J1545" s="2" t="str">
        <f>HYPERLINK(SetRGB(J1545,G1545*255,H1545*255,I1545*255),"HOVER!")</f>
        <v>HOVER!</v>
      </c>
      <c r="K1545">
        <f t="shared" si="48"/>
        <v>1.125</v>
      </c>
    </row>
    <row r="1546" spans="1:11" x14ac:dyDescent="0.3">
      <c r="A1546">
        <f>LOOKUP(9E+307,--MID(D1546,1,{1,2,3,4,5}))</f>
        <v>7.5</v>
      </c>
      <c r="B1546">
        <f>VLOOKUP(MID(D1546,LOOKUP(2,1/ISNUMBER(-MID(D1546,1,{1,2,3,4,5})),{1,2,3,4,5})+1,9),'Hue codes'!$A$1:$B$10,2,FALSE)</f>
        <v>30</v>
      </c>
      <c r="C1546">
        <f t="shared" si="49"/>
        <v>37.5</v>
      </c>
      <c r="D1546" s="162" t="s">
        <v>35</v>
      </c>
      <c r="E1546" s="162">
        <v>9</v>
      </c>
      <c r="F1546" s="162">
        <v>10</v>
      </c>
      <c r="G1546" s="164">
        <v>0.71230000000000004</v>
      </c>
      <c r="H1546" s="164">
        <v>0.97870000000000001</v>
      </c>
      <c r="I1546" s="164">
        <v>0.43540000000000001</v>
      </c>
      <c r="J1546" s="2" t="str">
        <f>HYPERLINK(SetRGB(J1546,G1546*255,H1546*255,I1546*255),"HOVER!")</f>
        <v>HOVER!</v>
      </c>
      <c r="K1546">
        <f t="shared" si="48"/>
        <v>0.9</v>
      </c>
    </row>
    <row r="1547" spans="1:11" x14ac:dyDescent="0.3">
      <c r="A1547">
        <f>LOOKUP(9E+307,--MID(D1547,1,{1,2,3,4,5}))</f>
        <v>7.5</v>
      </c>
      <c r="B1547">
        <f>VLOOKUP(MID(D1547,LOOKUP(2,1/ISNUMBER(-MID(D1547,1,{1,2,3,4,5})),{1,2,3,4,5})+1,9),'Hue codes'!$A$1:$B$10,2,FALSE)</f>
        <v>30</v>
      </c>
      <c r="C1547">
        <f t="shared" si="49"/>
        <v>37.5</v>
      </c>
      <c r="D1547" s="162" t="s">
        <v>35</v>
      </c>
      <c r="E1547" s="162">
        <v>9</v>
      </c>
      <c r="F1547" s="162">
        <v>12</v>
      </c>
      <c r="G1547" s="164">
        <v>0.67379999999999995</v>
      </c>
      <c r="H1547" s="164">
        <v>0.98960000000000004</v>
      </c>
      <c r="I1547" s="164">
        <v>0.32440000000000002</v>
      </c>
      <c r="J1547" s="2" t="str">
        <f>HYPERLINK(SetRGB(J1547,G1547*255,H1547*255,I1547*255),"HOVER!")</f>
        <v>HOVER!</v>
      </c>
      <c r="K1547">
        <f t="shared" si="48"/>
        <v>0.75</v>
      </c>
    </row>
    <row r="1548" spans="1:11" x14ac:dyDescent="0.3">
      <c r="A1548">
        <f>LOOKUP(9E+307,--MID(D1548,1,{1,2,3,4,5}))</f>
        <v>7.5</v>
      </c>
      <c r="B1548">
        <f>VLOOKUP(MID(D1548,LOOKUP(2,1/ISNUMBER(-MID(D1548,1,{1,2,3,4,5})),{1,2,3,4,5})+1,9),'Hue codes'!$A$1:$B$10,2,FALSE)</f>
        <v>30</v>
      </c>
      <c r="C1548">
        <f t="shared" si="49"/>
        <v>37.5</v>
      </c>
      <c r="D1548" s="162" t="s">
        <v>35</v>
      </c>
      <c r="E1548" s="162">
        <v>9</v>
      </c>
      <c r="F1548" s="162">
        <v>14</v>
      </c>
      <c r="G1548" s="164">
        <v>0.63300000000000001</v>
      </c>
      <c r="H1548" s="164">
        <v>0.99970000000000003</v>
      </c>
      <c r="I1548" s="164">
        <v>0.17150000000000001</v>
      </c>
      <c r="J1548" s="2" t="str">
        <f>HYPERLINK(SetRGB(J1548,G1548*255,H1548*255,I1548*255),"HOVER!")</f>
        <v>HOVER!</v>
      </c>
      <c r="K1548">
        <f t="shared" si="48"/>
        <v>0.6428571428571429</v>
      </c>
    </row>
    <row r="1549" spans="1:11" x14ac:dyDescent="0.3">
      <c r="A1549">
        <f>LOOKUP(9E+307,--MID(D1549,1,{1,2,3,4,5}))</f>
        <v>10</v>
      </c>
      <c r="B1549">
        <f>VLOOKUP(MID(D1549,LOOKUP(2,1/ISNUMBER(-MID(D1549,1,{1,2,3,4,5})),{1,2,3,4,5})+1,9),'Hue codes'!$A$1:$B$10,2,FALSE)</f>
        <v>30</v>
      </c>
      <c r="C1549">
        <f t="shared" si="49"/>
        <v>40</v>
      </c>
      <c r="D1549" s="162" t="s">
        <v>36</v>
      </c>
      <c r="E1549" s="162">
        <v>9</v>
      </c>
      <c r="F1549" s="162">
        <v>2</v>
      </c>
      <c r="G1549" s="164">
        <v>0.8357</v>
      </c>
      <c r="H1549" s="164">
        <v>0.92579999999999996</v>
      </c>
      <c r="I1549" s="164">
        <v>0.81859999999999999</v>
      </c>
      <c r="J1549" s="2" t="str">
        <f>HYPERLINK(SetRGB(J1549,G1549*255,H1549*255,I1549*255),"HOVER!")</f>
        <v>HOVER!</v>
      </c>
      <c r="K1549">
        <f t="shared" si="48"/>
        <v>4.5</v>
      </c>
    </row>
    <row r="1550" spans="1:11" x14ac:dyDescent="0.3">
      <c r="A1550">
        <f>LOOKUP(9E+307,--MID(D1550,1,{1,2,3,4,5}))</f>
        <v>10</v>
      </c>
      <c r="B1550">
        <f>VLOOKUP(MID(D1550,LOOKUP(2,1/ISNUMBER(-MID(D1550,1,{1,2,3,4,5})),{1,2,3,4,5})+1,9),'Hue codes'!$A$1:$B$10,2,FALSE)</f>
        <v>30</v>
      </c>
      <c r="C1550">
        <f t="shared" si="49"/>
        <v>40</v>
      </c>
      <c r="D1550" s="162" t="s">
        <v>36</v>
      </c>
      <c r="E1550" s="162">
        <v>9</v>
      </c>
      <c r="F1550" s="162">
        <v>4</v>
      </c>
      <c r="G1550" s="164">
        <v>0.78300000000000003</v>
      </c>
      <c r="H1550" s="164">
        <v>0.94489999999999996</v>
      </c>
      <c r="I1550" s="164">
        <v>0.75060000000000004</v>
      </c>
      <c r="J1550" s="2" t="str">
        <f>HYPERLINK(SetRGB(J1550,G1550*255,H1550*255,I1550*255),"HOVER!")</f>
        <v>HOVER!</v>
      </c>
      <c r="K1550">
        <f t="shared" si="48"/>
        <v>2.25</v>
      </c>
    </row>
    <row r="1551" spans="1:11" x14ac:dyDescent="0.3">
      <c r="A1551">
        <f>LOOKUP(9E+307,--MID(D1551,1,{1,2,3,4,5}))</f>
        <v>10</v>
      </c>
      <c r="B1551">
        <f>VLOOKUP(MID(D1551,LOOKUP(2,1/ISNUMBER(-MID(D1551,1,{1,2,3,4,5})),{1,2,3,4,5})+1,9),'Hue codes'!$A$1:$B$10,2,FALSE)</f>
        <v>30</v>
      </c>
      <c r="C1551">
        <f t="shared" si="49"/>
        <v>40</v>
      </c>
      <c r="D1551" s="162" t="s">
        <v>36</v>
      </c>
      <c r="E1551" s="162">
        <v>9</v>
      </c>
      <c r="F1551" s="162">
        <v>6</v>
      </c>
      <c r="G1551" s="164">
        <v>0.71850000000000003</v>
      </c>
      <c r="H1551" s="164">
        <v>0.96460000000000001</v>
      </c>
      <c r="I1551" s="164">
        <v>0.67559999999999998</v>
      </c>
      <c r="J1551" s="2" t="str">
        <f>HYPERLINK(SetRGB(J1551,G1551*255,H1551*255,I1551*255),"HOVER!")</f>
        <v>HOVER!</v>
      </c>
      <c r="K1551">
        <f t="shared" si="48"/>
        <v>1.5</v>
      </c>
    </row>
    <row r="1552" spans="1:11" x14ac:dyDescent="0.3">
      <c r="A1552">
        <f>LOOKUP(9E+307,--MID(D1552,1,{1,2,3,4,5}))</f>
        <v>10</v>
      </c>
      <c r="B1552">
        <f>VLOOKUP(MID(D1552,LOOKUP(2,1/ISNUMBER(-MID(D1552,1,{1,2,3,4,5})),{1,2,3,4,5})+1,9),'Hue codes'!$A$1:$B$10,2,FALSE)</f>
        <v>30</v>
      </c>
      <c r="C1552">
        <f t="shared" si="49"/>
        <v>40</v>
      </c>
      <c r="D1552" s="162" t="s">
        <v>36</v>
      </c>
      <c r="E1552" s="162">
        <v>9</v>
      </c>
      <c r="F1552" s="162">
        <v>8</v>
      </c>
      <c r="G1552" s="164">
        <v>0.66379999999999995</v>
      </c>
      <c r="H1552" s="164">
        <v>0.97919999999999996</v>
      </c>
      <c r="I1552" s="164">
        <v>0.61309999999999998</v>
      </c>
      <c r="J1552" s="2" t="str">
        <f>HYPERLINK(SetRGB(J1552,G1552*255,H1552*255,I1552*255),"HOVER!")</f>
        <v>HOVER!</v>
      </c>
      <c r="K1552">
        <f t="shared" si="48"/>
        <v>1.125</v>
      </c>
    </row>
    <row r="1553" spans="1:11" x14ac:dyDescent="0.3">
      <c r="A1553">
        <f>LOOKUP(9E+307,--MID(D1553,1,{1,2,3,4,5}))</f>
        <v>10</v>
      </c>
      <c r="B1553">
        <f>VLOOKUP(MID(D1553,LOOKUP(2,1/ISNUMBER(-MID(D1553,1,{1,2,3,4,5})),{1,2,3,4,5})+1,9),'Hue codes'!$A$1:$B$10,2,FALSE)</f>
        <v>30</v>
      </c>
      <c r="C1553">
        <f t="shared" si="49"/>
        <v>40</v>
      </c>
      <c r="D1553" s="162" t="s">
        <v>36</v>
      </c>
      <c r="E1553" s="162">
        <v>9</v>
      </c>
      <c r="F1553" s="162">
        <v>10</v>
      </c>
      <c r="G1553" s="164">
        <v>0.59570000000000001</v>
      </c>
      <c r="H1553" s="164">
        <v>0.99470000000000003</v>
      </c>
      <c r="I1553" s="164">
        <v>0.53849999999999998</v>
      </c>
      <c r="J1553" s="2" t="str">
        <f>HYPERLINK(SetRGB(J1553,G1553*255,H1553*255,I1553*255),"HOVER!")</f>
        <v>HOVER!</v>
      </c>
      <c r="K1553">
        <f t="shared" si="48"/>
        <v>0.9</v>
      </c>
    </row>
    <row r="1554" spans="1:11" x14ac:dyDescent="0.3">
      <c r="A1554">
        <f>LOOKUP(9E+307,--MID(D1554,1,{1,2,3,4,5}))</f>
        <v>10</v>
      </c>
      <c r="B1554">
        <f>VLOOKUP(MID(D1554,LOOKUP(2,1/ISNUMBER(-MID(D1554,1,{1,2,3,4,5})),{1,2,3,4,5})+1,9),'Hue codes'!$A$1:$B$10,2,FALSE)</f>
        <v>30</v>
      </c>
      <c r="C1554">
        <f t="shared" si="49"/>
        <v>40</v>
      </c>
      <c r="D1554" s="162" t="s">
        <v>36</v>
      </c>
      <c r="E1554" s="162">
        <v>9</v>
      </c>
      <c r="F1554" s="162">
        <v>12</v>
      </c>
      <c r="G1554" s="164">
        <v>0.52429999999999999</v>
      </c>
      <c r="H1554" s="164">
        <v>1</v>
      </c>
      <c r="I1554" s="164">
        <v>0.47010000000000002</v>
      </c>
      <c r="J1554" s="2" t="str">
        <f>HYPERLINK(SetRGB(J1554,G1554*255,H1554*255,I1554*255),"HOVER!")</f>
        <v>HOVER!</v>
      </c>
      <c r="K1554">
        <f t="shared" si="48"/>
        <v>0.75</v>
      </c>
    </row>
    <row r="1555" spans="1:11" x14ac:dyDescent="0.3">
      <c r="A1555">
        <f>LOOKUP(9E+307,--MID(D1555,1,{1,2,3,4,5}))</f>
        <v>10</v>
      </c>
      <c r="B1555">
        <f>VLOOKUP(MID(D1555,LOOKUP(2,1/ISNUMBER(-MID(D1555,1,{1,2,3,4,5})),{1,2,3,4,5})+1,9),'Hue codes'!$A$1:$B$10,2,FALSE)</f>
        <v>30</v>
      </c>
      <c r="C1555">
        <f t="shared" si="49"/>
        <v>40</v>
      </c>
      <c r="D1555" s="162" t="s">
        <v>36</v>
      </c>
      <c r="E1555" s="162">
        <v>9</v>
      </c>
      <c r="F1555" s="162">
        <v>14</v>
      </c>
      <c r="G1555" s="164">
        <v>0.43480000000000002</v>
      </c>
      <c r="H1555" s="164">
        <v>1</v>
      </c>
      <c r="I1555" s="164">
        <v>0.3891</v>
      </c>
      <c r="J1555" s="2" t="str">
        <f>HYPERLINK(SetRGB(J1555,G1555*255,H1555*255,I1555*255),"HOVER!")</f>
        <v>HOVER!</v>
      </c>
      <c r="K1555">
        <f t="shared" si="48"/>
        <v>0.6428571428571429</v>
      </c>
    </row>
    <row r="1556" spans="1:11" x14ac:dyDescent="0.3">
      <c r="A1556">
        <f>LOOKUP(9E+307,--MID(D1556,1,{1,2,3,4,5}))</f>
        <v>10</v>
      </c>
      <c r="B1556">
        <f>VLOOKUP(MID(D1556,LOOKUP(2,1/ISNUMBER(-MID(D1556,1,{1,2,3,4,5})),{1,2,3,4,5})+1,9),'Hue codes'!$A$1:$B$10,2,FALSE)</f>
        <v>30</v>
      </c>
      <c r="C1556">
        <f t="shared" si="49"/>
        <v>40</v>
      </c>
      <c r="D1556" s="162" t="s">
        <v>36</v>
      </c>
      <c r="E1556" s="162">
        <v>9</v>
      </c>
      <c r="F1556" s="162">
        <v>16</v>
      </c>
      <c r="G1556" s="164">
        <v>0.31359999999999999</v>
      </c>
      <c r="H1556" s="164">
        <v>1</v>
      </c>
      <c r="I1556" s="164">
        <v>0.2928</v>
      </c>
      <c r="J1556" s="2" t="str">
        <f>HYPERLINK(SetRGB(J1556,G1556*255,H1556*255,I1556*255),"HOVER!")</f>
        <v>HOVER!</v>
      </c>
      <c r="K1556">
        <f t="shared" si="48"/>
        <v>0.5625</v>
      </c>
    </row>
    <row r="1557" spans="1:11" x14ac:dyDescent="0.3">
      <c r="A1557">
        <f>LOOKUP(9E+307,--MID(D1557,1,{1,2,3,4,5}))</f>
        <v>10</v>
      </c>
      <c r="B1557">
        <f>VLOOKUP(MID(D1557,LOOKUP(2,1/ISNUMBER(-MID(D1557,1,{1,2,3,4,5})),{1,2,3,4,5})+1,9),'Hue codes'!$A$1:$B$10,2,FALSE)</f>
        <v>30</v>
      </c>
      <c r="C1557">
        <f t="shared" si="49"/>
        <v>40</v>
      </c>
      <c r="D1557" s="162" t="s">
        <v>36</v>
      </c>
      <c r="E1557" s="162">
        <v>9</v>
      </c>
      <c r="F1557" s="162">
        <v>18</v>
      </c>
      <c r="G1557" s="164">
        <v>6.1199999999999997E-2</v>
      </c>
      <c r="H1557" s="164">
        <v>1</v>
      </c>
      <c r="I1557" s="164">
        <v>0.16009999999999999</v>
      </c>
      <c r="J1557" s="2" t="str">
        <f>HYPERLINK(SetRGB(J1557,G1557*255,H1557*255,I1557*255),"HOVER!")</f>
        <v>HOVER!</v>
      </c>
      <c r="K1557">
        <f t="shared" si="48"/>
        <v>0.5</v>
      </c>
    </row>
    <row r="1558" spans="1:11" x14ac:dyDescent="0.3">
      <c r="A1558">
        <f>LOOKUP(9E+307,--MID(D1558,1,{1,2,3,4,5}))</f>
        <v>2.5</v>
      </c>
      <c r="B1558">
        <f>VLOOKUP(MID(D1558,LOOKUP(2,1/ISNUMBER(-MID(D1558,1,{1,2,3,4,5})),{1,2,3,4,5})+1,9),'Hue codes'!$A$1:$B$10,2,FALSE)</f>
        <v>40</v>
      </c>
      <c r="C1558">
        <f t="shared" si="49"/>
        <v>42.5</v>
      </c>
      <c r="D1558" s="162" t="s">
        <v>37</v>
      </c>
      <c r="E1558" s="162">
        <v>9</v>
      </c>
      <c r="F1558" s="162">
        <v>2</v>
      </c>
      <c r="G1558" s="164">
        <v>0.81720000000000004</v>
      </c>
      <c r="H1558" s="164">
        <v>0.92849999999999999</v>
      </c>
      <c r="I1558" s="164">
        <v>0.84050000000000002</v>
      </c>
      <c r="J1558" s="2" t="str">
        <f>HYPERLINK(SetRGB(J1558,G1558*255,H1558*255,I1558*255),"HOVER!")</f>
        <v>HOVER!</v>
      </c>
      <c r="K1558">
        <f t="shared" si="48"/>
        <v>4.5</v>
      </c>
    </row>
    <row r="1559" spans="1:11" x14ac:dyDescent="0.3">
      <c r="A1559">
        <f>LOOKUP(9E+307,--MID(D1559,1,{1,2,3,4,5}))</f>
        <v>2.5</v>
      </c>
      <c r="B1559">
        <f>VLOOKUP(MID(D1559,LOOKUP(2,1/ISNUMBER(-MID(D1559,1,{1,2,3,4,5})),{1,2,3,4,5})+1,9),'Hue codes'!$A$1:$B$10,2,FALSE)</f>
        <v>40</v>
      </c>
      <c r="C1559">
        <f t="shared" si="49"/>
        <v>42.5</v>
      </c>
      <c r="D1559" s="162" t="s">
        <v>37</v>
      </c>
      <c r="E1559" s="162">
        <v>9</v>
      </c>
      <c r="F1559" s="162">
        <v>4</v>
      </c>
      <c r="G1559" s="164">
        <v>0.745</v>
      </c>
      <c r="H1559" s="164">
        <v>0.95</v>
      </c>
      <c r="I1559" s="164">
        <v>0.79239999999999999</v>
      </c>
      <c r="J1559" s="2" t="str">
        <f>HYPERLINK(SetRGB(J1559,G1559*255,H1559*255,I1559*255),"HOVER!")</f>
        <v>HOVER!</v>
      </c>
      <c r="K1559">
        <f t="shared" si="48"/>
        <v>2.25</v>
      </c>
    </row>
    <row r="1560" spans="1:11" x14ac:dyDescent="0.3">
      <c r="A1560">
        <f>LOOKUP(9E+307,--MID(D1560,1,{1,2,3,4,5}))</f>
        <v>2.5</v>
      </c>
      <c r="B1560">
        <f>VLOOKUP(MID(D1560,LOOKUP(2,1/ISNUMBER(-MID(D1560,1,{1,2,3,4,5})),{1,2,3,4,5})+1,9),'Hue codes'!$A$1:$B$10,2,FALSE)</f>
        <v>40</v>
      </c>
      <c r="C1560">
        <f t="shared" si="49"/>
        <v>42.5</v>
      </c>
      <c r="D1560" s="162" t="s">
        <v>37</v>
      </c>
      <c r="E1560" s="162">
        <v>9</v>
      </c>
      <c r="F1560" s="162">
        <v>6</v>
      </c>
      <c r="G1560" s="164">
        <v>0.65639999999999998</v>
      </c>
      <c r="H1560" s="164">
        <v>0.97199999999999998</v>
      </c>
      <c r="I1560" s="164">
        <v>0.73909999999999998</v>
      </c>
      <c r="J1560" s="2" t="str">
        <f>HYPERLINK(SetRGB(J1560,G1560*255,H1560*255,I1560*255),"HOVER!")</f>
        <v>HOVER!</v>
      </c>
      <c r="K1560">
        <f t="shared" si="48"/>
        <v>1.5</v>
      </c>
    </row>
    <row r="1561" spans="1:11" x14ac:dyDescent="0.3">
      <c r="A1561">
        <f>LOOKUP(9E+307,--MID(D1561,1,{1,2,3,4,5}))</f>
        <v>2.5</v>
      </c>
      <c r="B1561">
        <f>VLOOKUP(MID(D1561,LOOKUP(2,1/ISNUMBER(-MID(D1561,1,{1,2,3,4,5})),{1,2,3,4,5})+1,9),'Hue codes'!$A$1:$B$10,2,FALSE)</f>
        <v>40</v>
      </c>
      <c r="C1561">
        <f t="shared" si="49"/>
        <v>42.5</v>
      </c>
      <c r="D1561" s="162" t="s">
        <v>37</v>
      </c>
      <c r="E1561" s="162">
        <v>9</v>
      </c>
      <c r="F1561" s="162">
        <v>8</v>
      </c>
      <c r="G1561" s="164">
        <v>0.56989999999999996</v>
      </c>
      <c r="H1561" s="164">
        <v>0.98919999999999997</v>
      </c>
      <c r="I1561" s="164">
        <v>0.69550000000000001</v>
      </c>
      <c r="J1561" s="2" t="str">
        <f>HYPERLINK(SetRGB(J1561,G1561*255,H1561*255,I1561*255),"HOVER!")</f>
        <v>HOVER!</v>
      </c>
      <c r="K1561">
        <f t="shared" si="48"/>
        <v>1.125</v>
      </c>
    </row>
    <row r="1562" spans="1:11" x14ac:dyDescent="0.3">
      <c r="A1562">
        <f>LOOKUP(9E+307,--MID(D1562,1,{1,2,3,4,5}))</f>
        <v>2.5</v>
      </c>
      <c r="B1562">
        <f>VLOOKUP(MID(D1562,LOOKUP(2,1/ISNUMBER(-MID(D1562,1,{1,2,3,4,5})),{1,2,3,4,5})+1,9),'Hue codes'!$A$1:$B$10,2,FALSE)</f>
        <v>40</v>
      </c>
      <c r="C1562">
        <f t="shared" si="49"/>
        <v>42.5</v>
      </c>
      <c r="D1562" s="162" t="s">
        <v>37</v>
      </c>
      <c r="E1562" s="162">
        <v>9</v>
      </c>
      <c r="F1562" s="162">
        <v>10</v>
      </c>
      <c r="G1562" s="164">
        <v>0.46460000000000001</v>
      </c>
      <c r="H1562" s="164">
        <v>1</v>
      </c>
      <c r="I1562" s="164">
        <v>0.65069999999999995</v>
      </c>
      <c r="J1562" s="2" t="str">
        <f>HYPERLINK(SetRGB(J1562,G1562*255,H1562*255,I1562*255),"HOVER!")</f>
        <v>HOVER!</v>
      </c>
      <c r="K1562">
        <f t="shared" si="48"/>
        <v>0.9</v>
      </c>
    </row>
    <row r="1563" spans="1:11" x14ac:dyDescent="0.3">
      <c r="A1563">
        <f>LOOKUP(9E+307,--MID(D1563,1,{1,2,3,4,5}))</f>
        <v>2.5</v>
      </c>
      <c r="B1563">
        <f>VLOOKUP(MID(D1563,LOOKUP(2,1/ISNUMBER(-MID(D1563,1,{1,2,3,4,5})),{1,2,3,4,5})+1,9),'Hue codes'!$A$1:$B$10,2,FALSE)</f>
        <v>40</v>
      </c>
      <c r="C1563">
        <f t="shared" si="49"/>
        <v>42.5</v>
      </c>
      <c r="D1563" s="162" t="s">
        <v>37</v>
      </c>
      <c r="E1563" s="162">
        <v>9</v>
      </c>
      <c r="F1563" s="162">
        <v>12</v>
      </c>
      <c r="G1563" s="164">
        <v>0.33069999999999999</v>
      </c>
      <c r="H1563" s="164">
        <v>1</v>
      </c>
      <c r="I1563" s="164">
        <v>0.60829999999999995</v>
      </c>
      <c r="J1563" s="2" t="str">
        <f>HYPERLINK(SetRGB(J1563,G1563*255,H1563*255,I1563*255),"HOVER!")</f>
        <v>HOVER!</v>
      </c>
      <c r="K1563">
        <f t="shared" si="48"/>
        <v>0.75</v>
      </c>
    </row>
    <row r="1564" spans="1:11" x14ac:dyDescent="0.3">
      <c r="A1564">
        <f>LOOKUP(9E+307,--MID(D1564,1,{1,2,3,4,5}))</f>
        <v>5</v>
      </c>
      <c r="B1564">
        <f>VLOOKUP(MID(D1564,LOOKUP(2,1/ISNUMBER(-MID(D1564,1,{1,2,3,4,5})),{1,2,3,4,5})+1,9),'Hue codes'!$A$1:$B$10,2,FALSE)</f>
        <v>40</v>
      </c>
      <c r="C1564">
        <f t="shared" si="49"/>
        <v>45</v>
      </c>
      <c r="D1564" s="162" t="s">
        <v>38</v>
      </c>
      <c r="E1564" s="162">
        <v>9</v>
      </c>
      <c r="F1564" s="162">
        <v>2</v>
      </c>
      <c r="G1564" s="164">
        <v>0.80759999999999998</v>
      </c>
      <c r="H1564" s="164">
        <v>0.9294</v>
      </c>
      <c r="I1564" s="164">
        <v>0.85650000000000004</v>
      </c>
      <c r="J1564" s="2" t="str">
        <f>HYPERLINK(SetRGB(J1564,G1564*255,H1564*255,I1564*255),"HOVER!")</f>
        <v>HOVER!</v>
      </c>
      <c r="K1564">
        <f t="shared" si="48"/>
        <v>4.5</v>
      </c>
    </row>
    <row r="1565" spans="1:11" x14ac:dyDescent="0.3">
      <c r="A1565">
        <f>LOOKUP(9E+307,--MID(D1565,1,{1,2,3,4,5}))</f>
        <v>5</v>
      </c>
      <c r="B1565">
        <f>VLOOKUP(MID(D1565,LOOKUP(2,1/ISNUMBER(-MID(D1565,1,{1,2,3,4,5})),{1,2,3,4,5})+1,9),'Hue codes'!$A$1:$B$10,2,FALSE)</f>
        <v>40</v>
      </c>
      <c r="C1565">
        <f t="shared" si="49"/>
        <v>45</v>
      </c>
      <c r="D1565" s="162" t="s">
        <v>38</v>
      </c>
      <c r="E1565" s="162">
        <v>9</v>
      </c>
      <c r="F1565" s="162">
        <v>4</v>
      </c>
      <c r="G1565" s="164">
        <v>0.72070000000000001</v>
      </c>
      <c r="H1565" s="164">
        <v>0.95230000000000004</v>
      </c>
      <c r="I1565" s="164">
        <v>0.82440000000000002</v>
      </c>
      <c r="J1565" s="2" t="str">
        <f>HYPERLINK(SetRGB(J1565,G1565*255,H1565*255,I1565*255),"HOVER!")</f>
        <v>HOVER!</v>
      </c>
      <c r="K1565">
        <f t="shared" si="48"/>
        <v>2.25</v>
      </c>
    </row>
    <row r="1566" spans="1:11" x14ac:dyDescent="0.3">
      <c r="A1566">
        <f>LOOKUP(9E+307,--MID(D1566,1,{1,2,3,4,5}))</f>
        <v>5</v>
      </c>
      <c r="B1566">
        <f>VLOOKUP(MID(D1566,LOOKUP(2,1/ISNUMBER(-MID(D1566,1,{1,2,3,4,5})),{1,2,3,4,5})+1,9),'Hue codes'!$A$1:$B$10,2,FALSE)</f>
        <v>40</v>
      </c>
      <c r="C1566">
        <f t="shared" si="49"/>
        <v>45</v>
      </c>
      <c r="D1566" s="162" t="s">
        <v>38</v>
      </c>
      <c r="E1566" s="162">
        <v>9</v>
      </c>
      <c r="F1566" s="162">
        <v>6</v>
      </c>
      <c r="G1566" s="164">
        <v>0.61180000000000001</v>
      </c>
      <c r="H1566" s="164">
        <v>0.97540000000000004</v>
      </c>
      <c r="I1566" s="164">
        <v>0.79169999999999996</v>
      </c>
      <c r="J1566" s="2" t="str">
        <f>HYPERLINK(SetRGB(J1566,G1566*255,H1566*255,I1566*255),"HOVER!")</f>
        <v>HOVER!</v>
      </c>
      <c r="K1566">
        <f t="shared" si="48"/>
        <v>1.5</v>
      </c>
    </row>
    <row r="1567" spans="1:11" x14ac:dyDescent="0.3">
      <c r="A1567">
        <f>LOOKUP(9E+307,--MID(D1567,1,{1,2,3,4,5}))</f>
        <v>5</v>
      </c>
      <c r="B1567">
        <f>VLOOKUP(MID(D1567,LOOKUP(2,1/ISNUMBER(-MID(D1567,1,{1,2,3,4,5})),{1,2,3,4,5})+1,9),'Hue codes'!$A$1:$B$10,2,FALSE)</f>
        <v>40</v>
      </c>
      <c r="C1567">
        <f t="shared" si="49"/>
        <v>45</v>
      </c>
      <c r="D1567" s="162" t="s">
        <v>38</v>
      </c>
      <c r="E1567" s="162">
        <v>9</v>
      </c>
      <c r="F1567" s="162">
        <v>8</v>
      </c>
      <c r="G1567" s="164">
        <v>0.49490000000000001</v>
      </c>
      <c r="H1567" s="164">
        <v>0.99419999999999997</v>
      </c>
      <c r="I1567" s="164">
        <v>0.76490000000000002</v>
      </c>
      <c r="J1567" s="2" t="str">
        <f>HYPERLINK(SetRGB(J1567,G1567*255,H1567*255,I1567*255),"HOVER!")</f>
        <v>HOVER!</v>
      </c>
      <c r="K1567">
        <f t="shared" si="48"/>
        <v>1.125</v>
      </c>
    </row>
    <row r="1568" spans="1:11" x14ac:dyDescent="0.3">
      <c r="A1568">
        <f>LOOKUP(9E+307,--MID(D1568,1,{1,2,3,4,5}))</f>
        <v>5</v>
      </c>
      <c r="B1568">
        <f>VLOOKUP(MID(D1568,LOOKUP(2,1/ISNUMBER(-MID(D1568,1,{1,2,3,4,5})),{1,2,3,4,5})+1,9),'Hue codes'!$A$1:$B$10,2,FALSE)</f>
        <v>40</v>
      </c>
      <c r="C1568">
        <f t="shared" si="49"/>
        <v>45</v>
      </c>
      <c r="D1568" s="162" t="s">
        <v>38</v>
      </c>
      <c r="E1568" s="162">
        <v>9</v>
      </c>
      <c r="F1568" s="162">
        <v>10</v>
      </c>
      <c r="G1568" s="164">
        <v>0.34749999999999998</v>
      </c>
      <c r="H1568" s="164">
        <v>1</v>
      </c>
      <c r="I1568" s="164">
        <v>0.74129999999999996</v>
      </c>
      <c r="J1568" s="2" t="str">
        <f>HYPERLINK(SetRGB(J1568,G1568*255,H1568*255,I1568*255),"HOVER!")</f>
        <v>HOVER!</v>
      </c>
      <c r="K1568">
        <f t="shared" si="48"/>
        <v>0.9</v>
      </c>
    </row>
    <row r="1569" spans="1:11" x14ac:dyDescent="0.3">
      <c r="A1569">
        <f>LOOKUP(9E+307,--MID(D1569,1,{1,2,3,4,5}))</f>
        <v>7.5</v>
      </c>
      <c r="B1569">
        <f>VLOOKUP(MID(D1569,LOOKUP(2,1/ISNUMBER(-MID(D1569,1,{1,2,3,4,5})),{1,2,3,4,5})+1,9),'Hue codes'!$A$1:$B$10,2,FALSE)</f>
        <v>40</v>
      </c>
      <c r="C1569">
        <f t="shared" si="49"/>
        <v>47.5</v>
      </c>
      <c r="D1569" s="162" t="s">
        <v>39</v>
      </c>
      <c r="E1569" s="162">
        <v>9</v>
      </c>
      <c r="F1569" s="162">
        <v>2</v>
      </c>
      <c r="G1569" s="164">
        <v>0.80100000000000005</v>
      </c>
      <c r="H1569" s="164">
        <v>0.92979999999999996</v>
      </c>
      <c r="I1569" s="164">
        <v>0.86890000000000001</v>
      </c>
      <c r="J1569" s="2" t="str">
        <f>HYPERLINK(SetRGB(J1569,G1569*255,H1569*255,I1569*255),"HOVER!")</f>
        <v>HOVER!</v>
      </c>
      <c r="K1569">
        <f t="shared" si="48"/>
        <v>4.5</v>
      </c>
    </row>
    <row r="1570" spans="1:11" x14ac:dyDescent="0.3">
      <c r="A1570">
        <f>LOOKUP(9E+307,--MID(D1570,1,{1,2,3,4,5}))</f>
        <v>7.5</v>
      </c>
      <c r="B1570">
        <f>VLOOKUP(MID(D1570,LOOKUP(2,1/ISNUMBER(-MID(D1570,1,{1,2,3,4,5})),{1,2,3,4,5})+1,9),'Hue codes'!$A$1:$B$10,2,FALSE)</f>
        <v>40</v>
      </c>
      <c r="C1570">
        <f t="shared" si="49"/>
        <v>47.5</v>
      </c>
      <c r="D1570" s="162" t="s">
        <v>39</v>
      </c>
      <c r="E1570" s="162">
        <v>9</v>
      </c>
      <c r="F1570" s="162">
        <v>4</v>
      </c>
      <c r="G1570" s="164">
        <v>0.70640000000000003</v>
      </c>
      <c r="H1570" s="164">
        <v>0.95340000000000003</v>
      </c>
      <c r="I1570" s="164">
        <v>0.84509999999999996</v>
      </c>
      <c r="J1570" s="2" t="str">
        <f>HYPERLINK(SetRGB(J1570,G1570*255,H1570*255,I1570*255),"HOVER!")</f>
        <v>HOVER!</v>
      </c>
      <c r="K1570">
        <f t="shared" si="48"/>
        <v>2.25</v>
      </c>
    </row>
    <row r="1571" spans="1:11" x14ac:dyDescent="0.3">
      <c r="A1571">
        <f>LOOKUP(9E+307,--MID(D1571,1,{1,2,3,4,5}))</f>
        <v>7.5</v>
      </c>
      <c r="B1571">
        <f>VLOOKUP(MID(D1571,LOOKUP(2,1/ISNUMBER(-MID(D1571,1,{1,2,3,4,5})),{1,2,3,4,5})+1,9),'Hue codes'!$A$1:$B$10,2,FALSE)</f>
        <v>40</v>
      </c>
      <c r="C1571">
        <f t="shared" si="49"/>
        <v>47.5</v>
      </c>
      <c r="D1571" s="162" t="s">
        <v>39</v>
      </c>
      <c r="E1571" s="162">
        <v>9</v>
      </c>
      <c r="F1571" s="162">
        <v>6</v>
      </c>
      <c r="G1571" s="164">
        <v>0.58940000000000003</v>
      </c>
      <c r="H1571" s="164">
        <v>0.97640000000000005</v>
      </c>
      <c r="I1571" s="164">
        <v>0.82189999999999996</v>
      </c>
      <c r="J1571" s="2" t="str">
        <f>HYPERLINK(SetRGB(J1571,G1571*255,H1571*255,I1571*255),"HOVER!")</f>
        <v>HOVER!</v>
      </c>
      <c r="K1571">
        <f t="shared" si="48"/>
        <v>1.5</v>
      </c>
    </row>
    <row r="1572" spans="1:11" x14ac:dyDescent="0.3">
      <c r="A1572">
        <f>LOOKUP(9E+307,--MID(D1572,1,{1,2,3,4,5}))</f>
        <v>7.5</v>
      </c>
      <c r="B1572">
        <f>VLOOKUP(MID(D1572,LOOKUP(2,1/ISNUMBER(-MID(D1572,1,{1,2,3,4,5})),{1,2,3,4,5})+1,9),'Hue codes'!$A$1:$B$10,2,FALSE)</f>
        <v>40</v>
      </c>
      <c r="C1572">
        <f t="shared" si="49"/>
        <v>47.5</v>
      </c>
      <c r="D1572" s="162" t="s">
        <v>39</v>
      </c>
      <c r="E1572" s="162">
        <v>9</v>
      </c>
      <c r="F1572" s="162">
        <v>8</v>
      </c>
      <c r="G1572" s="164">
        <v>0.45839999999999997</v>
      </c>
      <c r="H1572" s="164">
        <v>0.99539999999999995</v>
      </c>
      <c r="I1572" s="164">
        <v>0.8024</v>
      </c>
      <c r="J1572" s="2" t="str">
        <f>HYPERLINK(SetRGB(J1572,G1572*255,H1572*255,I1572*255),"HOVER!")</f>
        <v>HOVER!</v>
      </c>
      <c r="K1572">
        <f t="shared" si="48"/>
        <v>1.125</v>
      </c>
    </row>
    <row r="1573" spans="1:11" x14ac:dyDescent="0.3">
      <c r="A1573">
        <f>LOOKUP(9E+307,--MID(D1573,1,{1,2,3,4,5}))</f>
        <v>7.5</v>
      </c>
      <c r="B1573">
        <f>VLOOKUP(MID(D1573,LOOKUP(2,1/ISNUMBER(-MID(D1573,1,{1,2,3,4,5})),{1,2,3,4,5})+1,9),'Hue codes'!$A$1:$B$10,2,FALSE)</f>
        <v>40</v>
      </c>
      <c r="C1573">
        <f t="shared" si="49"/>
        <v>47.5</v>
      </c>
      <c r="D1573" s="162" t="s">
        <v>39</v>
      </c>
      <c r="E1573" s="162">
        <v>9</v>
      </c>
      <c r="F1573" s="162">
        <v>10</v>
      </c>
      <c r="G1573" s="164">
        <v>0.28060000000000002</v>
      </c>
      <c r="H1573" s="164">
        <v>1</v>
      </c>
      <c r="I1573" s="164">
        <v>0.78649999999999998</v>
      </c>
      <c r="J1573" s="2" t="str">
        <f>HYPERLINK(SetRGB(J1573,G1573*255,H1573*255,I1573*255),"HOVER!")</f>
        <v>HOVER!</v>
      </c>
      <c r="K1573">
        <f t="shared" si="48"/>
        <v>0.9</v>
      </c>
    </row>
    <row r="1574" spans="1:11" x14ac:dyDescent="0.3">
      <c r="A1574">
        <f>LOOKUP(9E+307,--MID(D1574,1,{1,2,3,4,5}))</f>
        <v>10</v>
      </c>
      <c r="B1574">
        <f>VLOOKUP(MID(D1574,LOOKUP(2,1/ISNUMBER(-MID(D1574,1,{1,2,3,4,5})),{1,2,3,4,5})+1,9),'Hue codes'!$A$1:$B$10,2,FALSE)</f>
        <v>40</v>
      </c>
      <c r="C1574">
        <f t="shared" si="49"/>
        <v>50</v>
      </c>
      <c r="D1574" s="162" t="s">
        <v>40</v>
      </c>
      <c r="E1574" s="162">
        <v>9</v>
      </c>
      <c r="F1574" s="162">
        <v>2</v>
      </c>
      <c r="G1574" s="164">
        <v>0.79730000000000001</v>
      </c>
      <c r="H1574" s="164">
        <v>0.92959999999999998</v>
      </c>
      <c r="I1574" s="164">
        <v>0.87939999999999996</v>
      </c>
      <c r="J1574" s="2" t="str">
        <f>HYPERLINK(SetRGB(J1574,G1574*255,H1574*255,I1574*255),"HOVER!")</f>
        <v>HOVER!</v>
      </c>
      <c r="K1574">
        <f t="shared" si="48"/>
        <v>4.5</v>
      </c>
    </row>
    <row r="1575" spans="1:11" x14ac:dyDescent="0.3">
      <c r="A1575">
        <f>LOOKUP(9E+307,--MID(D1575,1,{1,2,3,4,5}))</f>
        <v>10</v>
      </c>
      <c r="B1575">
        <f>VLOOKUP(MID(D1575,LOOKUP(2,1/ISNUMBER(-MID(D1575,1,{1,2,3,4,5})),{1,2,3,4,5})+1,9),'Hue codes'!$A$1:$B$10,2,FALSE)</f>
        <v>40</v>
      </c>
      <c r="C1575">
        <f t="shared" si="49"/>
        <v>50</v>
      </c>
      <c r="D1575" s="162" t="s">
        <v>40</v>
      </c>
      <c r="E1575" s="162">
        <v>9</v>
      </c>
      <c r="F1575" s="162">
        <v>4</v>
      </c>
      <c r="G1575" s="164">
        <v>0.69710000000000005</v>
      </c>
      <c r="H1575" s="164">
        <v>0.95330000000000004</v>
      </c>
      <c r="I1575" s="164">
        <v>0.86499999999999999</v>
      </c>
      <c r="J1575" s="2" t="str">
        <f>HYPERLINK(SetRGB(J1575,G1575*255,H1575*255,I1575*255),"HOVER!")</f>
        <v>HOVER!</v>
      </c>
      <c r="K1575">
        <f t="shared" si="48"/>
        <v>2.25</v>
      </c>
    </row>
    <row r="1576" spans="1:11" x14ac:dyDescent="0.3">
      <c r="A1576">
        <f>LOOKUP(9E+307,--MID(D1576,1,{1,2,3,4,5}))</f>
        <v>10</v>
      </c>
      <c r="B1576">
        <f>VLOOKUP(MID(D1576,LOOKUP(2,1/ISNUMBER(-MID(D1576,1,{1,2,3,4,5})),{1,2,3,4,5})+1,9),'Hue codes'!$A$1:$B$10,2,FALSE)</f>
        <v>40</v>
      </c>
      <c r="C1576">
        <f t="shared" si="49"/>
        <v>50</v>
      </c>
      <c r="D1576" s="162" t="s">
        <v>40</v>
      </c>
      <c r="E1576" s="162">
        <v>9</v>
      </c>
      <c r="F1576" s="162">
        <v>6</v>
      </c>
      <c r="G1576" s="164">
        <v>0.5726</v>
      </c>
      <c r="H1576" s="164">
        <v>0.97629999999999995</v>
      </c>
      <c r="I1576" s="164">
        <v>0.85209999999999997</v>
      </c>
      <c r="J1576" s="2" t="str">
        <f>HYPERLINK(SetRGB(J1576,G1576*255,H1576*255,I1576*255),"HOVER!")</f>
        <v>HOVER!</v>
      </c>
      <c r="K1576">
        <f t="shared" si="48"/>
        <v>1.5</v>
      </c>
    </row>
    <row r="1577" spans="1:11" x14ac:dyDescent="0.3">
      <c r="A1577">
        <f>LOOKUP(9E+307,--MID(D1577,1,{1,2,3,4,5}))</f>
        <v>10</v>
      </c>
      <c r="B1577">
        <f>VLOOKUP(MID(D1577,LOOKUP(2,1/ISNUMBER(-MID(D1577,1,{1,2,3,4,5})),{1,2,3,4,5})+1,9),'Hue codes'!$A$1:$B$10,2,FALSE)</f>
        <v>40</v>
      </c>
      <c r="C1577">
        <f t="shared" si="49"/>
        <v>50</v>
      </c>
      <c r="D1577" s="162" t="s">
        <v>40</v>
      </c>
      <c r="E1577" s="162">
        <v>9</v>
      </c>
      <c r="F1577" s="162">
        <v>8</v>
      </c>
      <c r="G1577" s="164">
        <v>0.42209999999999998</v>
      </c>
      <c r="H1577" s="164">
        <v>0.996</v>
      </c>
      <c r="I1577" s="164">
        <v>0.84030000000000005</v>
      </c>
      <c r="J1577" s="2" t="str">
        <f>HYPERLINK(SetRGB(J1577,G1577*255,H1577*255,I1577*255),"HOVER!")</f>
        <v>HOVER!</v>
      </c>
      <c r="K1577">
        <f t="shared" si="48"/>
        <v>1.125</v>
      </c>
    </row>
    <row r="1578" spans="1:11" x14ac:dyDescent="0.3">
      <c r="A1578">
        <f>LOOKUP(9E+307,--MID(D1578,1,{1,2,3,4,5}))</f>
        <v>10</v>
      </c>
      <c r="B1578">
        <f>VLOOKUP(MID(D1578,LOOKUP(2,1/ISNUMBER(-MID(D1578,1,{1,2,3,4,5})),{1,2,3,4,5})+1,9),'Hue codes'!$A$1:$B$10,2,FALSE)</f>
        <v>40</v>
      </c>
      <c r="C1578">
        <f t="shared" si="49"/>
        <v>50</v>
      </c>
      <c r="D1578" s="162" t="s">
        <v>40</v>
      </c>
      <c r="E1578" s="162">
        <v>9</v>
      </c>
      <c r="F1578" s="162">
        <v>10</v>
      </c>
      <c r="G1578" s="164">
        <v>0.19869999999999999</v>
      </c>
      <c r="H1578" s="164">
        <v>1</v>
      </c>
      <c r="I1578" s="164">
        <v>0.83279999999999998</v>
      </c>
      <c r="J1578" s="2" t="str">
        <f>HYPERLINK(SetRGB(J1578,G1578*255,H1578*255,I1578*255),"HOVER!")</f>
        <v>HOVER!</v>
      </c>
      <c r="K1578">
        <f t="shared" si="48"/>
        <v>0.9</v>
      </c>
    </row>
    <row r="1579" spans="1:11" x14ac:dyDescent="0.3">
      <c r="A1579">
        <f>LOOKUP(9E+307,--MID(D1579,1,{1,2,3,4,5}))</f>
        <v>2.5</v>
      </c>
      <c r="B1579">
        <f>VLOOKUP(MID(D1579,LOOKUP(2,1/ISNUMBER(-MID(D1579,1,{1,2,3,4,5})),{1,2,3,4,5})+1,9),'Hue codes'!$A$1:$B$10,2,FALSE)</f>
        <v>50</v>
      </c>
      <c r="C1579">
        <f t="shared" si="49"/>
        <v>52.5</v>
      </c>
      <c r="D1579" s="162" t="s">
        <v>41</v>
      </c>
      <c r="E1579" s="162">
        <v>9</v>
      </c>
      <c r="F1579" s="162">
        <v>2</v>
      </c>
      <c r="G1579" s="164">
        <v>0.79459999999999997</v>
      </c>
      <c r="H1579" s="164">
        <v>0.9294</v>
      </c>
      <c r="I1579" s="164">
        <v>0.88839999999999997</v>
      </c>
      <c r="J1579" s="2" t="str">
        <f>HYPERLINK(SetRGB(J1579,G1579*255,H1579*255,I1579*255),"HOVER!")</f>
        <v>HOVER!</v>
      </c>
      <c r="K1579">
        <f t="shared" si="48"/>
        <v>4.5</v>
      </c>
    </row>
    <row r="1580" spans="1:11" x14ac:dyDescent="0.3">
      <c r="A1580">
        <f>LOOKUP(9E+307,--MID(D1580,1,{1,2,3,4,5}))</f>
        <v>2.5</v>
      </c>
      <c r="B1580">
        <f>VLOOKUP(MID(D1580,LOOKUP(2,1/ISNUMBER(-MID(D1580,1,{1,2,3,4,5})),{1,2,3,4,5})+1,9),'Hue codes'!$A$1:$B$10,2,FALSE)</f>
        <v>50</v>
      </c>
      <c r="C1580">
        <f t="shared" si="49"/>
        <v>52.5</v>
      </c>
      <c r="D1580" s="162" t="s">
        <v>41</v>
      </c>
      <c r="E1580" s="162">
        <v>9</v>
      </c>
      <c r="F1580" s="162">
        <v>4</v>
      </c>
      <c r="G1580" s="164">
        <v>0.69010000000000005</v>
      </c>
      <c r="H1580" s="164">
        <v>0.95299999999999996</v>
      </c>
      <c r="I1580" s="164">
        <v>0.88270000000000004</v>
      </c>
      <c r="J1580" s="2" t="str">
        <f>HYPERLINK(SetRGB(J1580,G1580*255,H1580*255,I1580*255),"HOVER!")</f>
        <v>HOVER!</v>
      </c>
      <c r="K1580">
        <f t="shared" si="48"/>
        <v>2.25</v>
      </c>
    </row>
    <row r="1581" spans="1:11" x14ac:dyDescent="0.3">
      <c r="A1581">
        <f>LOOKUP(9E+307,--MID(D1581,1,{1,2,3,4,5}))</f>
        <v>2.5</v>
      </c>
      <c r="B1581">
        <f>VLOOKUP(MID(D1581,LOOKUP(2,1/ISNUMBER(-MID(D1581,1,{1,2,3,4,5})),{1,2,3,4,5})+1,9),'Hue codes'!$A$1:$B$10,2,FALSE)</f>
        <v>50</v>
      </c>
      <c r="C1581">
        <f t="shared" si="49"/>
        <v>52.5</v>
      </c>
      <c r="D1581" s="162" t="s">
        <v>41</v>
      </c>
      <c r="E1581" s="162">
        <v>9</v>
      </c>
      <c r="F1581" s="162">
        <v>6</v>
      </c>
      <c r="G1581" s="164">
        <v>0.55720000000000003</v>
      </c>
      <c r="H1581" s="164">
        <v>0.97609999999999997</v>
      </c>
      <c r="I1581" s="164">
        <v>0.878</v>
      </c>
      <c r="J1581" s="2" t="str">
        <f>HYPERLINK(SetRGB(J1581,G1581*255,H1581*255,I1581*255),"HOVER!")</f>
        <v>HOVER!</v>
      </c>
      <c r="K1581">
        <f t="shared" si="48"/>
        <v>1.5</v>
      </c>
    </row>
    <row r="1582" spans="1:11" x14ac:dyDescent="0.3">
      <c r="A1582">
        <f>LOOKUP(9E+307,--MID(D1582,1,{1,2,3,4,5}))</f>
        <v>2.5</v>
      </c>
      <c r="B1582">
        <f>VLOOKUP(MID(D1582,LOOKUP(2,1/ISNUMBER(-MID(D1582,1,{1,2,3,4,5})),{1,2,3,4,5})+1,9),'Hue codes'!$A$1:$B$10,2,FALSE)</f>
        <v>50</v>
      </c>
      <c r="C1582">
        <f t="shared" si="49"/>
        <v>52.5</v>
      </c>
      <c r="D1582" s="162" t="s">
        <v>41</v>
      </c>
      <c r="E1582" s="162">
        <v>9</v>
      </c>
      <c r="F1582" s="162">
        <v>8</v>
      </c>
      <c r="G1582" s="164">
        <v>0.39100000000000001</v>
      </c>
      <c r="H1582" s="164">
        <v>0.99580000000000002</v>
      </c>
      <c r="I1582" s="164">
        <v>0.87490000000000001</v>
      </c>
      <c r="J1582" s="2" t="str">
        <f>HYPERLINK(SetRGB(J1582,G1582*255,H1582*255,I1582*255),"HOVER!")</f>
        <v>HOVER!</v>
      </c>
      <c r="K1582">
        <f t="shared" si="48"/>
        <v>1.125</v>
      </c>
    </row>
    <row r="1583" spans="1:11" x14ac:dyDescent="0.3">
      <c r="A1583">
        <f>LOOKUP(9E+307,--MID(D1583,1,{1,2,3,4,5}))</f>
        <v>2.5</v>
      </c>
      <c r="B1583">
        <f>VLOOKUP(MID(D1583,LOOKUP(2,1/ISNUMBER(-MID(D1583,1,{1,2,3,4,5})),{1,2,3,4,5})+1,9),'Hue codes'!$A$1:$B$10,2,FALSE)</f>
        <v>50</v>
      </c>
      <c r="C1583">
        <f t="shared" si="49"/>
        <v>52.5</v>
      </c>
      <c r="D1583" s="162" t="s">
        <v>41</v>
      </c>
      <c r="E1583" s="162">
        <v>9</v>
      </c>
      <c r="F1583" s="162">
        <v>10</v>
      </c>
      <c r="G1583" s="164">
        <v>5.9200000000000003E-2</v>
      </c>
      <c r="H1583" s="164">
        <v>1</v>
      </c>
      <c r="I1583" s="164">
        <v>0.87339999999999995</v>
      </c>
      <c r="J1583" s="2" t="str">
        <f>HYPERLINK(SetRGB(J1583,G1583*255,H1583*255,I1583*255),"HOVER!")</f>
        <v>HOVER!</v>
      </c>
      <c r="K1583">
        <f t="shared" si="48"/>
        <v>0.9</v>
      </c>
    </row>
    <row r="1584" spans="1:11" x14ac:dyDescent="0.3">
      <c r="A1584">
        <f>LOOKUP(9E+307,--MID(D1584,1,{1,2,3,4,5}))</f>
        <v>5</v>
      </c>
      <c r="B1584">
        <f>VLOOKUP(MID(D1584,LOOKUP(2,1/ISNUMBER(-MID(D1584,1,{1,2,3,4,5})),{1,2,3,4,5})+1,9),'Hue codes'!$A$1:$B$10,2,FALSE)</f>
        <v>50</v>
      </c>
      <c r="C1584">
        <f t="shared" si="49"/>
        <v>55</v>
      </c>
      <c r="D1584" s="162" t="s">
        <v>42</v>
      </c>
      <c r="E1584" s="162">
        <v>9</v>
      </c>
      <c r="F1584" s="162">
        <v>2</v>
      </c>
      <c r="G1584" s="164">
        <v>0.79490000000000005</v>
      </c>
      <c r="H1584" s="164">
        <v>0.92810000000000004</v>
      </c>
      <c r="I1584" s="164">
        <v>0.89970000000000006</v>
      </c>
      <c r="J1584" s="2" t="str">
        <f>HYPERLINK(SetRGB(J1584,G1584*255,H1584*255,I1584*255),"HOVER!")</f>
        <v>HOVER!</v>
      </c>
      <c r="K1584">
        <f t="shared" si="48"/>
        <v>4.5</v>
      </c>
    </row>
    <row r="1585" spans="1:11" x14ac:dyDescent="0.3">
      <c r="A1585">
        <f>LOOKUP(9E+307,--MID(D1585,1,{1,2,3,4,5}))</f>
        <v>5</v>
      </c>
      <c r="B1585">
        <f>VLOOKUP(MID(D1585,LOOKUP(2,1/ISNUMBER(-MID(D1585,1,{1,2,3,4,5})),{1,2,3,4,5})+1,9),'Hue codes'!$A$1:$B$10,2,FALSE)</f>
        <v>50</v>
      </c>
      <c r="C1585">
        <f t="shared" si="49"/>
        <v>55</v>
      </c>
      <c r="D1585" s="162" t="s">
        <v>42</v>
      </c>
      <c r="E1585" s="162">
        <v>9</v>
      </c>
      <c r="F1585" s="162">
        <v>4</v>
      </c>
      <c r="G1585" s="164">
        <v>0.68400000000000005</v>
      </c>
      <c r="H1585" s="164">
        <v>0.95209999999999995</v>
      </c>
      <c r="I1585" s="164">
        <v>0.90310000000000001</v>
      </c>
      <c r="J1585" s="2" t="str">
        <f>HYPERLINK(SetRGB(J1585,G1585*255,H1585*255,I1585*255),"HOVER!")</f>
        <v>HOVER!</v>
      </c>
      <c r="K1585">
        <f t="shared" si="48"/>
        <v>2.25</v>
      </c>
    </row>
    <row r="1586" spans="1:11" x14ac:dyDescent="0.3">
      <c r="A1586">
        <f>LOOKUP(9E+307,--MID(D1586,1,{1,2,3,4,5}))</f>
        <v>5</v>
      </c>
      <c r="B1586">
        <f>VLOOKUP(MID(D1586,LOOKUP(2,1/ISNUMBER(-MID(D1586,1,{1,2,3,4,5})),{1,2,3,4,5})+1,9),'Hue codes'!$A$1:$B$10,2,FALSE)</f>
        <v>50</v>
      </c>
      <c r="C1586">
        <f t="shared" si="49"/>
        <v>55</v>
      </c>
      <c r="D1586" s="162" t="s">
        <v>42</v>
      </c>
      <c r="E1586" s="162">
        <v>9</v>
      </c>
      <c r="F1586" s="162">
        <v>6</v>
      </c>
      <c r="G1586" s="164">
        <v>0.54359999999999997</v>
      </c>
      <c r="H1586" s="164">
        <v>0.97509999999999997</v>
      </c>
      <c r="I1586" s="164">
        <v>0.90820000000000001</v>
      </c>
      <c r="J1586" s="2" t="str">
        <f>HYPERLINK(SetRGB(J1586,G1586*255,H1586*255,I1586*255),"HOVER!")</f>
        <v>HOVER!</v>
      </c>
      <c r="K1586">
        <f t="shared" si="48"/>
        <v>1.5</v>
      </c>
    </row>
    <row r="1587" spans="1:11" x14ac:dyDescent="0.3">
      <c r="A1587">
        <f>LOOKUP(9E+307,--MID(D1587,1,{1,2,3,4,5}))</f>
        <v>5</v>
      </c>
      <c r="B1587">
        <f>VLOOKUP(MID(D1587,LOOKUP(2,1/ISNUMBER(-MID(D1587,1,{1,2,3,4,5})),{1,2,3,4,5})+1,9),'Hue codes'!$A$1:$B$10,2,FALSE)</f>
        <v>50</v>
      </c>
      <c r="C1587">
        <f t="shared" si="49"/>
        <v>55</v>
      </c>
      <c r="D1587" s="162" t="s">
        <v>42</v>
      </c>
      <c r="E1587" s="162">
        <v>9</v>
      </c>
      <c r="F1587" s="162">
        <v>8</v>
      </c>
      <c r="G1587" s="164">
        <v>0.35270000000000001</v>
      </c>
      <c r="H1587" s="164">
        <v>0.99529999999999996</v>
      </c>
      <c r="I1587" s="164">
        <v>0.91520000000000001</v>
      </c>
      <c r="J1587" s="2" t="str">
        <f>HYPERLINK(SetRGB(J1587,G1587*255,H1587*255,I1587*255),"HOVER!")</f>
        <v>HOVER!</v>
      </c>
      <c r="K1587">
        <f t="shared" si="48"/>
        <v>1.125</v>
      </c>
    </row>
    <row r="1588" spans="1:11" x14ac:dyDescent="0.3">
      <c r="A1588">
        <f>LOOKUP(9E+307,--MID(D1588,1,{1,2,3,4,5}))</f>
        <v>7.5</v>
      </c>
      <c r="B1588">
        <f>VLOOKUP(MID(D1588,LOOKUP(2,1/ISNUMBER(-MID(D1588,1,{1,2,3,4,5})),{1,2,3,4,5})+1,9),'Hue codes'!$A$1:$B$10,2,FALSE)</f>
        <v>50</v>
      </c>
      <c r="C1588">
        <f t="shared" si="49"/>
        <v>57.5</v>
      </c>
      <c r="D1588" s="162" t="s">
        <v>43</v>
      </c>
      <c r="E1588" s="162">
        <v>9</v>
      </c>
      <c r="F1588" s="162">
        <v>2</v>
      </c>
      <c r="G1588" s="164">
        <v>0.79649999999999999</v>
      </c>
      <c r="H1588" s="164">
        <v>0.92620000000000002</v>
      </c>
      <c r="I1588" s="164">
        <v>0.91369999999999996</v>
      </c>
      <c r="J1588" s="2" t="str">
        <f>HYPERLINK(SetRGB(J1588,G1588*255,H1588*255,I1588*255),"HOVER!")</f>
        <v>HOVER!</v>
      </c>
      <c r="K1588">
        <f t="shared" si="48"/>
        <v>4.5</v>
      </c>
    </row>
    <row r="1589" spans="1:11" x14ac:dyDescent="0.3">
      <c r="A1589">
        <f>LOOKUP(9E+307,--MID(D1589,1,{1,2,3,4,5}))</f>
        <v>7.5</v>
      </c>
      <c r="B1589">
        <f>VLOOKUP(MID(D1589,LOOKUP(2,1/ISNUMBER(-MID(D1589,1,{1,2,3,4,5})),{1,2,3,4,5})+1,9),'Hue codes'!$A$1:$B$10,2,FALSE)</f>
        <v>50</v>
      </c>
      <c r="C1589">
        <f t="shared" si="49"/>
        <v>57.5</v>
      </c>
      <c r="D1589" s="162" t="s">
        <v>43</v>
      </c>
      <c r="E1589" s="162">
        <v>9</v>
      </c>
      <c r="F1589" s="162">
        <v>4</v>
      </c>
      <c r="G1589" s="164">
        <v>0.68049999999999999</v>
      </c>
      <c r="H1589" s="164">
        <v>0.95009999999999994</v>
      </c>
      <c r="I1589" s="164">
        <v>0.92849999999999999</v>
      </c>
      <c r="J1589" s="2" t="str">
        <f>HYPERLINK(SetRGB(J1589,G1589*255,H1589*255,I1589*255),"HOVER!")</f>
        <v>HOVER!</v>
      </c>
      <c r="K1589">
        <f t="shared" si="48"/>
        <v>2.25</v>
      </c>
    </row>
    <row r="1590" spans="1:11" x14ac:dyDescent="0.3">
      <c r="A1590">
        <f>LOOKUP(9E+307,--MID(D1590,1,{1,2,3,4,5}))</f>
        <v>7.5</v>
      </c>
      <c r="B1590">
        <f>VLOOKUP(MID(D1590,LOOKUP(2,1/ISNUMBER(-MID(D1590,1,{1,2,3,4,5})),{1,2,3,4,5})+1,9),'Hue codes'!$A$1:$B$10,2,FALSE)</f>
        <v>50</v>
      </c>
      <c r="C1590">
        <f t="shared" si="49"/>
        <v>57.5</v>
      </c>
      <c r="D1590" s="162" t="s">
        <v>43</v>
      </c>
      <c r="E1590" s="162">
        <v>9</v>
      </c>
      <c r="F1590" s="162">
        <v>6</v>
      </c>
      <c r="G1590" s="164">
        <v>0.53390000000000004</v>
      </c>
      <c r="H1590" s="164">
        <v>0.97260000000000002</v>
      </c>
      <c r="I1590" s="164">
        <v>0.94520000000000004</v>
      </c>
      <c r="J1590" s="2" t="str">
        <f>HYPERLINK(SetRGB(J1590,G1590*255,H1590*255,I1590*255),"HOVER!")</f>
        <v>HOVER!</v>
      </c>
      <c r="K1590">
        <f t="shared" si="48"/>
        <v>1.5</v>
      </c>
    </row>
    <row r="1591" spans="1:11" x14ac:dyDescent="0.3">
      <c r="A1591">
        <f>LOOKUP(9E+307,--MID(D1591,1,{1,2,3,4,5}))</f>
        <v>7.5</v>
      </c>
      <c r="B1591">
        <f>VLOOKUP(MID(D1591,LOOKUP(2,1/ISNUMBER(-MID(D1591,1,{1,2,3,4,5})),{1,2,3,4,5})+1,9),'Hue codes'!$A$1:$B$10,2,FALSE)</f>
        <v>50</v>
      </c>
      <c r="C1591">
        <f t="shared" si="49"/>
        <v>57.5</v>
      </c>
      <c r="D1591" s="162" t="s">
        <v>43</v>
      </c>
      <c r="E1591" s="162">
        <v>9</v>
      </c>
      <c r="F1591" s="162">
        <v>8</v>
      </c>
      <c r="G1591" s="164">
        <v>0.31130000000000002</v>
      </c>
      <c r="H1591" s="164">
        <v>0.99350000000000005</v>
      </c>
      <c r="I1591" s="164">
        <v>0.96289999999999998</v>
      </c>
      <c r="J1591" s="2" t="str">
        <f>HYPERLINK(SetRGB(J1591,G1591*255,H1591*255,I1591*255),"HOVER!")</f>
        <v>HOVER!</v>
      </c>
      <c r="K1591">
        <f t="shared" ref="K1591:K1626" si="50">E1591/F1591</f>
        <v>1.125</v>
      </c>
    </row>
    <row r="1592" spans="1:11" x14ac:dyDescent="0.3">
      <c r="A1592">
        <f>LOOKUP(9E+307,--MID(D1592,1,{1,2,3,4,5}))</f>
        <v>10</v>
      </c>
      <c r="B1592">
        <f>VLOOKUP(MID(D1592,LOOKUP(2,1/ISNUMBER(-MID(D1592,1,{1,2,3,4,5})),{1,2,3,4,5})+1,9),'Hue codes'!$A$1:$B$10,2,FALSE)</f>
        <v>50</v>
      </c>
      <c r="C1592">
        <f t="shared" si="49"/>
        <v>60</v>
      </c>
      <c r="D1592" s="162" t="s">
        <v>44</v>
      </c>
      <c r="E1592" s="162">
        <v>9</v>
      </c>
      <c r="F1592" s="162">
        <v>2</v>
      </c>
      <c r="G1592" s="164">
        <v>0.80220000000000002</v>
      </c>
      <c r="H1592" s="164">
        <v>0.92390000000000005</v>
      </c>
      <c r="I1592" s="164">
        <v>0.92200000000000004</v>
      </c>
      <c r="J1592" s="2" t="str">
        <f>HYPERLINK(SetRGB(J1592,G1592*255,H1592*255,I1592*255),"HOVER!")</f>
        <v>HOVER!</v>
      </c>
      <c r="K1592">
        <f t="shared" si="50"/>
        <v>4.5</v>
      </c>
    </row>
    <row r="1593" spans="1:11" x14ac:dyDescent="0.3">
      <c r="A1593">
        <f>LOOKUP(9E+307,--MID(D1593,1,{1,2,3,4,5}))</f>
        <v>10</v>
      </c>
      <c r="B1593">
        <f>VLOOKUP(MID(D1593,LOOKUP(2,1/ISNUMBER(-MID(D1593,1,{1,2,3,4,5})),{1,2,3,4,5})+1,9),'Hue codes'!$A$1:$B$10,2,FALSE)</f>
        <v>50</v>
      </c>
      <c r="C1593">
        <f t="shared" si="49"/>
        <v>60</v>
      </c>
      <c r="D1593" s="162" t="s">
        <v>44</v>
      </c>
      <c r="E1593" s="162">
        <v>9</v>
      </c>
      <c r="F1593" s="162">
        <v>4</v>
      </c>
      <c r="G1593" s="164">
        <v>0.68179999999999996</v>
      </c>
      <c r="H1593" s="164">
        <v>0.9476</v>
      </c>
      <c r="I1593" s="164">
        <v>0.95</v>
      </c>
      <c r="J1593" s="2" t="str">
        <f>HYPERLINK(SetRGB(J1593,G1593*255,H1593*255,I1593*255),"HOVER!")</f>
        <v>HOVER!</v>
      </c>
      <c r="K1593">
        <f t="shared" si="50"/>
        <v>2.25</v>
      </c>
    </row>
    <row r="1594" spans="1:11" x14ac:dyDescent="0.3">
      <c r="A1594">
        <f>LOOKUP(9E+307,--MID(D1594,1,{1,2,3,4,5}))</f>
        <v>10</v>
      </c>
      <c r="B1594">
        <f>VLOOKUP(MID(D1594,LOOKUP(2,1/ISNUMBER(-MID(D1594,1,{1,2,3,4,5})),{1,2,3,4,5})+1,9),'Hue codes'!$A$1:$B$10,2,FALSE)</f>
        <v>50</v>
      </c>
      <c r="C1594">
        <f t="shared" si="49"/>
        <v>60</v>
      </c>
      <c r="D1594" s="162" t="s">
        <v>44</v>
      </c>
      <c r="E1594" s="162">
        <v>9</v>
      </c>
      <c r="F1594" s="162">
        <v>6</v>
      </c>
      <c r="G1594" s="164">
        <v>0.53090000000000004</v>
      </c>
      <c r="H1594" s="164">
        <v>0.96960000000000002</v>
      </c>
      <c r="I1594" s="164">
        <v>0.97719999999999996</v>
      </c>
      <c r="J1594" s="2" t="str">
        <f>HYPERLINK(SetRGB(J1594,G1594*255,H1594*255,I1594*255),"HOVER!")</f>
        <v>HOVER!</v>
      </c>
      <c r="K1594">
        <f t="shared" si="50"/>
        <v>1.5</v>
      </c>
    </row>
    <row r="1595" spans="1:11" x14ac:dyDescent="0.3">
      <c r="A1595">
        <f>LOOKUP(9E+307,--MID(D1595,1,{1,2,3,4,5}))</f>
        <v>2.5</v>
      </c>
      <c r="B1595">
        <f>VLOOKUP(MID(D1595,LOOKUP(2,1/ISNUMBER(-MID(D1595,1,{1,2,3,4,5})),{1,2,3,4,5})+1,9),'Hue codes'!$A$1:$B$10,2,FALSE)</f>
        <v>60</v>
      </c>
      <c r="C1595">
        <f t="shared" si="49"/>
        <v>62.5</v>
      </c>
      <c r="D1595" s="162" t="s">
        <v>45</v>
      </c>
      <c r="E1595" s="162">
        <v>9</v>
      </c>
      <c r="F1595" s="162">
        <v>2</v>
      </c>
      <c r="G1595" s="164">
        <v>0.81269999999999998</v>
      </c>
      <c r="H1595" s="164">
        <v>0.92020000000000002</v>
      </c>
      <c r="I1595" s="164">
        <v>0.93110000000000004</v>
      </c>
      <c r="J1595" s="2" t="str">
        <f>HYPERLINK(SetRGB(J1595,G1595*255,H1595*255,I1595*255),"HOVER!")</f>
        <v>HOVER!</v>
      </c>
      <c r="K1595">
        <f t="shared" si="50"/>
        <v>4.5</v>
      </c>
    </row>
    <row r="1596" spans="1:11" x14ac:dyDescent="0.3">
      <c r="A1596">
        <f>LOOKUP(9E+307,--MID(D1596,1,{1,2,3,4,5}))</f>
        <v>2.5</v>
      </c>
      <c r="B1596">
        <f>VLOOKUP(MID(D1596,LOOKUP(2,1/ISNUMBER(-MID(D1596,1,{1,2,3,4,5})),{1,2,3,4,5})+1,9),'Hue codes'!$A$1:$B$10,2,FALSE)</f>
        <v>60</v>
      </c>
      <c r="C1596">
        <f t="shared" si="49"/>
        <v>62.5</v>
      </c>
      <c r="D1596" s="162" t="s">
        <v>45</v>
      </c>
      <c r="E1596" s="162">
        <v>9</v>
      </c>
      <c r="F1596" s="162">
        <v>4</v>
      </c>
      <c r="G1596" s="164">
        <v>0.68840000000000001</v>
      </c>
      <c r="H1596" s="164">
        <v>0.94399999999999995</v>
      </c>
      <c r="I1596" s="164">
        <v>0.97060000000000002</v>
      </c>
      <c r="J1596" s="2" t="str">
        <f>HYPERLINK(SetRGB(J1596,G1596*255,H1596*255,I1596*255),"HOVER!")</f>
        <v>HOVER!</v>
      </c>
      <c r="K1596">
        <f t="shared" si="50"/>
        <v>2.25</v>
      </c>
    </row>
    <row r="1597" spans="1:11" x14ac:dyDescent="0.3">
      <c r="A1597">
        <f>LOOKUP(9E+307,--MID(D1597,1,{1,2,3,4,5}))</f>
        <v>5</v>
      </c>
      <c r="B1597">
        <f>VLOOKUP(MID(D1597,LOOKUP(2,1/ISNUMBER(-MID(D1597,1,{1,2,3,4,5})),{1,2,3,4,5})+1,9),'Hue codes'!$A$1:$B$10,2,FALSE)</f>
        <v>60</v>
      </c>
      <c r="C1597">
        <f t="shared" si="49"/>
        <v>65</v>
      </c>
      <c r="D1597" s="162" t="s">
        <v>46</v>
      </c>
      <c r="E1597" s="162">
        <v>9</v>
      </c>
      <c r="F1597" s="162">
        <v>2</v>
      </c>
      <c r="G1597" s="164">
        <v>0.82450000000000001</v>
      </c>
      <c r="H1597" s="164">
        <v>0.91659999999999997</v>
      </c>
      <c r="I1597" s="164">
        <v>0.93640000000000001</v>
      </c>
      <c r="J1597" s="2" t="str">
        <f>HYPERLINK(SetRGB(J1597,G1597*255,H1597*255,I1597*255),"HOVER!")</f>
        <v>HOVER!</v>
      </c>
      <c r="K1597">
        <f t="shared" si="50"/>
        <v>4.5</v>
      </c>
    </row>
    <row r="1598" spans="1:11" x14ac:dyDescent="0.3">
      <c r="A1598">
        <f>LOOKUP(9E+307,--MID(D1598,1,{1,2,3,4,5}))</f>
        <v>5</v>
      </c>
      <c r="B1598">
        <f>VLOOKUP(MID(D1598,LOOKUP(2,1/ISNUMBER(-MID(D1598,1,{1,2,3,4,5})),{1,2,3,4,5})+1,9),'Hue codes'!$A$1:$B$10,2,FALSE)</f>
        <v>60</v>
      </c>
      <c r="C1598">
        <f t="shared" si="49"/>
        <v>65</v>
      </c>
      <c r="D1598" s="162" t="s">
        <v>46</v>
      </c>
      <c r="E1598" s="162">
        <v>9</v>
      </c>
      <c r="F1598" s="162">
        <v>4</v>
      </c>
      <c r="G1598" s="164">
        <v>0.70569999999999999</v>
      </c>
      <c r="H1598" s="164">
        <v>0.93820000000000003</v>
      </c>
      <c r="I1598" s="164">
        <v>0.99019999999999997</v>
      </c>
      <c r="J1598" s="2" t="str">
        <f>HYPERLINK(SetRGB(J1598,G1598*255,H1598*255,I1598*255),"HOVER!")</f>
        <v>HOVER!</v>
      </c>
      <c r="K1598">
        <f t="shared" si="50"/>
        <v>2.25</v>
      </c>
    </row>
    <row r="1599" spans="1:11" x14ac:dyDescent="0.3">
      <c r="A1599">
        <f>LOOKUP(9E+307,--MID(D1599,1,{1,2,3,4,5}))</f>
        <v>7.5</v>
      </c>
      <c r="B1599">
        <f>VLOOKUP(MID(D1599,LOOKUP(2,1/ISNUMBER(-MID(D1599,1,{1,2,3,4,5})),{1,2,3,4,5})+1,9),'Hue codes'!$A$1:$B$10,2,FALSE)</f>
        <v>60</v>
      </c>
      <c r="C1599">
        <f t="shared" si="49"/>
        <v>67.5</v>
      </c>
      <c r="D1599" s="162" t="s">
        <v>47</v>
      </c>
      <c r="E1599" s="162">
        <v>9</v>
      </c>
      <c r="F1599" s="162">
        <v>2</v>
      </c>
      <c r="G1599" s="164">
        <v>0.83830000000000005</v>
      </c>
      <c r="H1599" s="164">
        <v>0.91269999999999996</v>
      </c>
      <c r="I1599" s="164">
        <v>0.9385</v>
      </c>
      <c r="J1599" s="2" t="str">
        <f>HYPERLINK(SetRGB(J1599,G1599*255,H1599*255,I1599*255),"HOVER!")</f>
        <v>HOVER!</v>
      </c>
      <c r="K1599">
        <f t="shared" si="50"/>
        <v>4.5</v>
      </c>
    </row>
    <row r="1600" spans="1:11" x14ac:dyDescent="0.3">
      <c r="A1600">
        <f>LOOKUP(9E+307,--MID(D1600,1,{1,2,3,4,5}))</f>
        <v>7.5</v>
      </c>
      <c r="B1600">
        <f>VLOOKUP(MID(D1600,LOOKUP(2,1/ISNUMBER(-MID(D1600,1,{1,2,3,4,5})),{1,2,3,4,5})+1,9),'Hue codes'!$A$1:$B$10,2,FALSE)</f>
        <v>60</v>
      </c>
      <c r="C1600">
        <f t="shared" si="49"/>
        <v>67.5</v>
      </c>
      <c r="D1600" s="162" t="s">
        <v>47</v>
      </c>
      <c r="E1600" s="162">
        <v>9</v>
      </c>
      <c r="F1600" s="162">
        <v>4</v>
      </c>
      <c r="G1600" s="164">
        <v>0.72799999999999998</v>
      </c>
      <c r="H1600" s="164">
        <v>0.93210000000000004</v>
      </c>
      <c r="I1600" s="164">
        <v>1</v>
      </c>
      <c r="J1600" s="2" t="str">
        <f>HYPERLINK(SetRGB(J1600,G1600*255,H1600*255,I1600*255),"HOVER!")</f>
        <v>HOVER!</v>
      </c>
      <c r="K1600">
        <f t="shared" si="50"/>
        <v>2.25</v>
      </c>
    </row>
    <row r="1601" spans="1:11" x14ac:dyDescent="0.3">
      <c r="A1601">
        <f>LOOKUP(9E+307,--MID(D1601,1,{1,2,3,4,5}))</f>
        <v>10</v>
      </c>
      <c r="B1601">
        <f>VLOOKUP(MID(D1601,LOOKUP(2,1/ISNUMBER(-MID(D1601,1,{1,2,3,4,5})),{1,2,3,4,5})+1,9),'Hue codes'!$A$1:$B$10,2,FALSE)</f>
        <v>60</v>
      </c>
      <c r="C1601">
        <f t="shared" si="49"/>
        <v>70</v>
      </c>
      <c r="D1601" s="162" t="s">
        <v>48</v>
      </c>
      <c r="E1601" s="162">
        <v>9</v>
      </c>
      <c r="F1601" s="162">
        <v>2</v>
      </c>
      <c r="G1601" s="164">
        <v>0.84760000000000002</v>
      </c>
      <c r="H1601" s="164">
        <v>0.91</v>
      </c>
      <c r="I1601" s="164">
        <v>0.94020000000000004</v>
      </c>
      <c r="J1601" s="2" t="str">
        <f>HYPERLINK(SetRGB(J1601,G1601*255,H1601*255,I1601*255),"HOVER!")</f>
        <v>HOVER!</v>
      </c>
      <c r="K1601">
        <f t="shared" si="50"/>
        <v>4.5</v>
      </c>
    </row>
    <row r="1602" spans="1:11" x14ac:dyDescent="0.3">
      <c r="A1602">
        <f>LOOKUP(9E+307,--MID(D1602,1,{1,2,3,4,5}))</f>
        <v>10</v>
      </c>
      <c r="B1602">
        <f>VLOOKUP(MID(D1602,LOOKUP(2,1/ISNUMBER(-MID(D1602,1,{1,2,3,4,5})),{1,2,3,4,5})+1,9),'Hue codes'!$A$1:$B$10,2,FALSE)</f>
        <v>60</v>
      </c>
      <c r="C1602">
        <f t="shared" si="49"/>
        <v>70</v>
      </c>
      <c r="D1602" s="162" t="s">
        <v>48</v>
      </c>
      <c r="E1602" s="162">
        <v>9</v>
      </c>
      <c r="F1602" s="162">
        <v>4</v>
      </c>
      <c r="G1602" s="164">
        <v>0.75490000000000002</v>
      </c>
      <c r="H1602" s="164">
        <v>0.92510000000000003</v>
      </c>
      <c r="I1602" s="164">
        <v>1</v>
      </c>
      <c r="J1602" s="2" t="str">
        <f>HYPERLINK(SetRGB(J1602,G1602*255,H1602*255,I1602*255),"HOVER!")</f>
        <v>HOVER!</v>
      </c>
      <c r="K1602">
        <f t="shared" si="50"/>
        <v>2.25</v>
      </c>
    </row>
    <row r="1603" spans="1:11" x14ac:dyDescent="0.3">
      <c r="A1603">
        <f>LOOKUP(9E+307,--MID(D1603,1,{1,2,3,4,5}))</f>
        <v>2.5</v>
      </c>
      <c r="B1603">
        <f>VLOOKUP(MID(D1603,LOOKUP(2,1/ISNUMBER(-MID(D1603,1,{1,2,3,4,5})),{1,2,3,4,5})+1,9),'Hue codes'!$A$1:$B$10,2,FALSE)</f>
        <v>70</v>
      </c>
      <c r="C1603">
        <f t="shared" ref="C1603:C1626" si="51">IF(A1603+B1603=100,0,A1603+B1603)</f>
        <v>72.5</v>
      </c>
      <c r="D1603" s="162" t="s">
        <v>49</v>
      </c>
      <c r="E1603" s="162">
        <v>9</v>
      </c>
      <c r="F1603" s="162">
        <v>2</v>
      </c>
      <c r="G1603" s="164">
        <v>0.86470000000000002</v>
      </c>
      <c r="H1603" s="164">
        <v>0.90510000000000002</v>
      </c>
      <c r="I1603" s="164">
        <v>0.94099999999999995</v>
      </c>
      <c r="J1603" s="2" t="str">
        <f>HYPERLINK(SetRGB(J1603,G1603*255,H1603*255,I1603*255),"HOVER!")</f>
        <v>HOVER!</v>
      </c>
      <c r="K1603">
        <f t="shared" si="50"/>
        <v>4.5</v>
      </c>
    </row>
    <row r="1604" spans="1:11" x14ac:dyDescent="0.3">
      <c r="A1604">
        <f>LOOKUP(9E+307,--MID(D1604,1,{1,2,3,4,5}))</f>
        <v>5</v>
      </c>
      <c r="B1604">
        <f>VLOOKUP(MID(D1604,LOOKUP(2,1/ISNUMBER(-MID(D1604,1,{1,2,3,4,5})),{1,2,3,4,5})+1,9),'Hue codes'!$A$1:$B$10,2,FALSE)</f>
        <v>70</v>
      </c>
      <c r="C1604">
        <f t="shared" si="51"/>
        <v>75</v>
      </c>
      <c r="D1604" s="162" t="s">
        <v>50</v>
      </c>
      <c r="E1604" s="162">
        <v>9</v>
      </c>
      <c r="F1604" s="162">
        <v>2</v>
      </c>
      <c r="G1604" s="164">
        <v>0.87450000000000006</v>
      </c>
      <c r="H1604" s="164">
        <v>0.90229999999999999</v>
      </c>
      <c r="I1604" s="164">
        <v>0.94089999999999996</v>
      </c>
      <c r="J1604" s="2" t="str">
        <f>HYPERLINK(SetRGB(J1604,G1604*255,H1604*255,I1604*255),"HOVER!")</f>
        <v>HOVER!</v>
      </c>
      <c r="K1604">
        <f t="shared" si="50"/>
        <v>4.5</v>
      </c>
    </row>
    <row r="1605" spans="1:11" x14ac:dyDescent="0.3">
      <c r="A1605">
        <f>LOOKUP(9E+307,--MID(D1605,1,{1,2,3,4,5}))</f>
        <v>7.5</v>
      </c>
      <c r="B1605">
        <f>VLOOKUP(MID(D1605,LOOKUP(2,1/ISNUMBER(-MID(D1605,1,{1,2,3,4,5})),{1,2,3,4,5})+1,9),'Hue codes'!$A$1:$B$10,2,FALSE)</f>
        <v>70</v>
      </c>
      <c r="C1605">
        <f t="shared" si="51"/>
        <v>77.5</v>
      </c>
      <c r="D1605" s="162" t="s">
        <v>51</v>
      </c>
      <c r="E1605" s="162">
        <v>9</v>
      </c>
      <c r="F1605" s="162">
        <v>2</v>
      </c>
      <c r="G1605" s="164">
        <v>0.88790000000000002</v>
      </c>
      <c r="H1605" s="164">
        <v>0.89859999999999995</v>
      </c>
      <c r="I1605" s="164">
        <v>0.93959999999999999</v>
      </c>
      <c r="J1605" s="2" t="str">
        <f>HYPERLINK(SetRGB(J1605,G1605*255,H1605*255,I1605*255),"HOVER!")</f>
        <v>HOVER!</v>
      </c>
      <c r="K1605">
        <f t="shared" si="50"/>
        <v>4.5</v>
      </c>
    </row>
    <row r="1606" spans="1:11" x14ac:dyDescent="0.3">
      <c r="A1606">
        <f>LOOKUP(9E+307,--MID(D1606,1,{1,2,3,4,5}))</f>
        <v>10</v>
      </c>
      <c r="B1606">
        <f>VLOOKUP(MID(D1606,LOOKUP(2,1/ISNUMBER(-MID(D1606,1,{1,2,3,4,5})),{1,2,3,4,5})+1,9),'Hue codes'!$A$1:$B$10,2,FALSE)</f>
        <v>70</v>
      </c>
      <c r="C1606">
        <f t="shared" si="51"/>
        <v>80</v>
      </c>
      <c r="D1606" s="162" t="s">
        <v>52</v>
      </c>
      <c r="E1606" s="162">
        <v>9</v>
      </c>
      <c r="F1606" s="162">
        <v>2</v>
      </c>
      <c r="G1606" s="164">
        <v>0.89870000000000005</v>
      </c>
      <c r="H1606" s="164">
        <v>0.89570000000000005</v>
      </c>
      <c r="I1606" s="164">
        <v>0.93640000000000001</v>
      </c>
      <c r="J1606" s="2" t="str">
        <f>HYPERLINK(SetRGB(J1606,G1606*255,H1606*255,I1606*255),"HOVER!")</f>
        <v>HOVER!</v>
      </c>
      <c r="K1606">
        <f t="shared" si="50"/>
        <v>4.5</v>
      </c>
    </row>
    <row r="1607" spans="1:11" x14ac:dyDescent="0.3">
      <c r="A1607">
        <f>LOOKUP(9E+307,--MID(D1607,1,{1,2,3,4,5}))</f>
        <v>10</v>
      </c>
      <c r="B1607">
        <f>VLOOKUP(MID(D1607,LOOKUP(2,1/ISNUMBER(-MID(D1607,1,{1,2,3,4,5})),{1,2,3,4,5})+1,9),'Hue codes'!$A$1:$B$10,2,FALSE)</f>
        <v>70</v>
      </c>
      <c r="C1607">
        <f t="shared" si="51"/>
        <v>80</v>
      </c>
      <c r="D1607" s="162" t="s">
        <v>52</v>
      </c>
      <c r="E1607" s="162">
        <v>9</v>
      </c>
      <c r="F1607" s="162">
        <v>4</v>
      </c>
      <c r="G1607" s="164">
        <v>0.89170000000000005</v>
      </c>
      <c r="H1607" s="164">
        <v>0.88880000000000003</v>
      </c>
      <c r="I1607" s="164">
        <v>1</v>
      </c>
      <c r="J1607" s="2" t="str">
        <f>HYPERLINK(SetRGB(J1607,G1607*255,H1607*255,I1607*255),"HOVER!")</f>
        <v>HOVER!</v>
      </c>
      <c r="K1607">
        <f t="shared" si="50"/>
        <v>2.25</v>
      </c>
    </row>
    <row r="1608" spans="1:11" x14ac:dyDescent="0.3">
      <c r="A1608">
        <f>LOOKUP(9E+307,--MID(D1608,1,{1,2,3,4,5}))</f>
        <v>2.5</v>
      </c>
      <c r="B1608">
        <f>VLOOKUP(MID(D1608,LOOKUP(2,1/ISNUMBER(-MID(D1608,1,{1,2,3,4,5})),{1,2,3,4,5})+1,9),'Hue codes'!$A$1:$B$10,2,FALSE)</f>
        <v>80</v>
      </c>
      <c r="C1608">
        <f t="shared" si="51"/>
        <v>82.5</v>
      </c>
      <c r="D1608" s="162" t="s">
        <v>53</v>
      </c>
      <c r="E1608" s="162">
        <v>9</v>
      </c>
      <c r="F1608" s="162">
        <v>2</v>
      </c>
      <c r="G1608" s="164">
        <v>0.90529999999999999</v>
      </c>
      <c r="H1608" s="164">
        <v>0.89370000000000005</v>
      </c>
      <c r="I1608" s="164">
        <v>0.93589999999999995</v>
      </c>
      <c r="J1608" s="2" t="str">
        <f>HYPERLINK(SetRGB(J1608,G1608*255,H1608*255,I1608*255),"HOVER!")</f>
        <v>HOVER!</v>
      </c>
      <c r="K1608">
        <f t="shared" si="50"/>
        <v>4.5</v>
      </c>
    </row>
    <row r="1609" spans="1:11" x14ac:dyDescent="0.3">
      <c r="A1609">
        <f>LOOKUP(9E+307,--MID(D1609,1,{1,2,3,4,5}))</f>
        <v>2.5</v>
      </c>
      <c r="B1609">
        <f>VLOOKUP(MID(D1609,LOOKUP(2,1/ISNUMBER(-MID(D1609,1,{1,2,3,4,5})),{1,2,3,4,5})+1,9),'Hue codes'!$A$1:$B$10,2,FALSE)</f>
        <v>80</v>
      </c>
      <c r="C1609">
        <f t="shared" si="51"/>
        <v>82.5</v>
      </c>
      <c r="D1609" s="162" t="s">
        <v>53</v>
      </c>
      <c r="E1609" s="162">
        <v>9</v>
      </c>
      <c r="F1609" s="162">
        <v>4</v>
      </c>
      <c r="G1609" s="164">
        <v>0.91479999999999995</v>
      </c>
      <c r="H1609" s="164">
        <v>0.88300000000000001</v>
      </c>
      <c r="I1609" s="164">
        <v>0.99929999999999997</v>
      </c>
      <c r="J1609" s="2" t="str">
        <f>HYPERLINK(SetRGB(J1609,G1609*255,H1609*255,I1609*255),"HOVER!")</f>
        <v>HOVER!</v>
      </c>
      <c r="K1609">
        <f t="shared" si="50"/>
        <v>2.25</v>
      </c>
    </row>
    <row r="1610" spans="1:11" x14ac:dyDescent="0.3">
      <c r="A1610">
        <f>LOOKUP(9E+307,--MID(D1610,1,{1,2,3,4,5}))</f>
        <v>5</v>
      </c>
      <c r="B1610">
        <f>VLOOKUP(MID(D1610,LOOKUP(2,1/ISNUMBER(-MID(D1610,1,{1,2,3,4,5})),{1,2,3,4,5})+1,9),'Hue codes'!$A$1:$B$10,2,FALSE)</f>
        <v>80</v>
      </c>
      <c r="C1610">
        <f t="shared" si="51"/>
        <v>85</v>
      </c>
      <c r="D1610" s="162" t="s">
        <v>54</v>
      </c>
      <c r="E1610" s="162">
        <v>9</v>
      </c>
      <c r="F1610" s="162">
        <v>2</v>
      </c>
      <c r="G1610" s="164">
        <v>0.91100000000000003</v>
      </c>
      <c r="H1610" s="164">
        <v>0.89249999999999996</v>
      </c>
      <c r="I1610" s="164">
        <v>0.93140000000000001</v>
      </c>
      <c r="J1610" s="2" t="str">
        <f>HYPERLINK(SetRGB(J1610,G1610*255,H1610*255,I1610*255),"HOVER!")</f>
        <v>HOVER!</v>
      </c>
      <c r="K1610">
        <f t="shared" si="50"/>
        <v>4.5</v>
      </c>
    </row>
    <row r="1611" spans="1:11" x14ac:dyDescent="0.3">
      <c r="A1611">
        <f>LOOKUP(9E+307,--MID(D1611,1,{1,2,3,4,5}))</f>
        <v>5</v>
      </c>
      <c r="B1611">
        <f>VLOOKUP(MID(D1611,LOOKUP(2,1/ISNUMBER(-MID(D1611,1,{1,2,3,4,5})),{1,2,3,4,5})+1,9),'Hue codes'!$A$1:$B$10,2,FALSE)</f>
        <v>80</v>
      </c>
      <c r="C1611">
        <f t="shared" si="51"/>
        <v>85</v>
      </c>
      <c r="D1611" s="162" t="s">
        <v>54</v>
      </c>
      <c r="E1611" s="162">
        <v>9</v>
      </c>
      <c r="F1611" s="162">
        <v>4</v>
      </c>
      <c r="G1611" s="164">
        <v>0.93340000000000001</v>
      </c>
      <c r="H1611" s="164">
        <v>0.87780000000000002</v>
      </c>
      <c r="I1611" s="164">
        <v>0.99339999999999995</v>
      </c>
      <c r="J1611" s="95" t="str">
        <f>HYPERLINK(SetRGB(J1611,G1611*255,H1611*255,I1611*255),"HOVER!")</f>
        <v>HOVER!</v>
      </c>
      <c r="K1611">
        <f t="shared" si="50"/>
        <v>2.25</v>
      </c>
    </row>
    <row r="1612" spans="1:11" x14ac:dyDescent="0.3">
      <c r="A1612">
        <f>LOOKUP(9E+307,--MID(D1612,1,{1,2,3,4,5}))</f>
        <v>7.5</v>
      </c>
      <c r="B1612">
        <f>VLOOKUP(MID(D1612,LOOKUP(2,1/ISNUMBER(-MID(D1612,1,{1,2,3,4,5})),{1,2,3,4,5})+1,9),'Hue codes'!$A$1:$B$10,2,FALSE)</f>
        <v>80</v>
      </c>
      <c r="C1612">
        <f t="shared" si="51"/>
        <v>87.5</v>
      </c>
      <c r="D1612" s="162" t="s">
        <v>55</v>
      </c>
      <c r="E1612" s="162">
        <v>9</v>
      </c>
      <c r="F1612" s="162">
        <v>2</v>
      </c>
      <c r="G1612" s="164">
        <v>0.92420000000000002</v>
      </c>
      <c r="H1612" s="164">
        <v>0.88959999999999995</v>
      </c>
      <c r="I1612" s="164">
        <v>0.92090000000000005</v>
      </c>
      <c r="J1612" s="2" t="str">
        <f>HYPERLINK(SetRGB(J1612,G1612*255,H1612*255,I1612*255),"HOVER!")</f>
        <v>HOVER!</v>
      </c>
      <c r="K1612">
        <f t="shared" si="50"/>
        <v>4.5</v>
      </c>
    </row>
    <row r="1613" spans="1:11" x14ac:dyDescent="0.3">
      <c r="A1613">
        <f>LOOKUP(9E+307,--MID(D1613,1,{1,2,3,4,5}))</f>
        <v>7.5</v>
      </c>
      <c r="B1613">
        <f>VLOOKUP(MID(D1613,LOOKUP(2,1/ISNUMBER(-MID(D1613,1,{1,2,3,4,5})),{1,2,3,4,5})+1,9),'Hue codes'!$A$1:$B$10,2,FALSE)</f>
        <v>80</v>
      </c>
      <c r="C1613">
        <f t="shared" si="51"/>
        <v>87.5</v>
      </c>
      <c r="D1613" s="162" t="s">
        <v>55</v>
      </c>
      <c r="E1613" s="162">
        <v>9</v>
      </c>
      <c r="F1613" s="162">
        <v>4</v>
      </c>
      <c r="G1613" s="164">
        <v>0.97109999999999996</v>
      </c>
      <c r="H1613" s="164">
        <v>0.86890000000000001</v>
      </c>
      <c r="I1613" s="164">
        <v>0.96350000000000002</v>
      </c>
      <c r="J1613" s="132" t="str">
        <f>HYPERLINK(SetRGB(J1613,G1613*255,H1613*255,I1613*255),"HOVER!")</f>
        <v>HOVER!</v>
      </c>
      <c r="K1613">
        <f t="shared" si="50"/>
        <v>2.25</v>
      </c>
    </row>
    <row r="1614" spans="1:11" x14ac:dyDescent="0.3">
      <c r="A1614">
        <f>LOOKUP(9E+307,--MID(D1614,1,{1,2,3,4,5}))</f>
        <v>7.5</v>
      </c>
      <c r="B1614">
        <f>VLOOKUP(MID(D1614,LOOKUP(2,1/ISNUMBER(-MID(D1614,1,{1,2,3,4,5})),{1,2,3,4,5})+1,9),'Hue codes'!$A$1:$B$10,2,FALSE)</f>
        <v>80</v>
      </c>
      <c r="C1614">
        <f t="shared" si="51"/>
        <v>87.5</v>
      </c>
      <c r="D1614" s="162" t="s">
        <v>55</v>
      </c>
      <c r="E1614" s="162">
        <v>9</v>
      </c>
      <c r="F1614" s="162">
        <v>6</v>
      </c>
      <c r="G1614" s="164">
        <v>1</v>
      </c>
      <c r="H1614" s="164">
        <v>0.84819999999999995</v>
      </c>
      <c r="I1614" s="164">
        <v>1</v>
      </c>
      <c r="J1614" s="2" t="str">
        <f>HYPERLINK(SetRGB(J1614,G1614*255,H1614*255,I1614*255),"HOVER!")</f>
        <v>HOVER!</v>
      </c>
      <c r="K1614">
        <f t="shared" si="50"/>
        <v>1.5</v>
      </c>
    </row>
    <row r="1615" spans="1:11" x14ac:dyDescent="0.3">
      <c r="A1615">
        <f>LOOKUP(9E+307,--MID(D1615,1,{1,2,3,4,5}))</f>
        <v>10</v>
      </c>
      <c r="B1615">
        <f>VLOOKUP(MID(D1615,LOOKUP(2,1/ISNUMBER(-MID(D1615,1,{1,2,3,4,5})),{1,2,3,4,5})+1,9),'Hue codes'!$A$1:$B$10,2,FALSE)</f>
        <v>80</v>
      </c>
      <c r="C1615">
        <f t="shared" si="51"/>
        <v>90</v>
      </c>
      <c r="D1615" s="162" t="s">
        <v>56</v>
      </c>
      <c r="E1615" s="162">
        <v>9</v>
      </c>
      <c r="F1615" s="162">
        <v>2</v>
      </c>
      <c r="G1615" s="164">
        <v>0.9304</v>
      </c>
      <c r="H1615" s="164">
        <v>0.88829999999999998</v>
      </c>
      <c r="I1615" s="164">
        <v>0.91490000000000005</v>
      </c>
      <c r="J1615" s="2" t="str">
        <f>HYPERLINK(SetRGB(J1615,G1615*255,H1615*255,I1615*255),"HOVER!")</f>
        <v>HOVER!</v>
      </c>
      <c r="K1615">
        <f t="shared" si="50"/>
        <v>4.5</v>
      </c>
    </row>
    <row r="1616" spans="1:11" x14ac:dyDescent="0.3">
      <c r="A1616">
        <f>LOOKUP(9E+307,--MID(D1616,1,{1,2,3,4,5}))</f>
        <v>10</v>
      </c>
      <c r="B1616">
        <f>VLOOKUP(MID(D1616,LOOKUP(2,1/ISNUMBER(-MID(D1616,1,{1,2,3,4,5})),{1,2,3,4,5})+1,9),'Hue codes'!$A$1:$B$10,2,FALSE)</f>
        <v>80</v>
      </c>
      <c r="C1616">
        <f t="shared" si="51"/>
        <v>90</v>
      </c>
      <c r="D1616" s="162" t="s">
        <v>56</v>
      </c>
      <c r="E1616" s="162">
        <v>9</v>
      </c>
      <c r="F1616" s="162">
        <v>4</v>
      </c>
      <c r="G1616" s="164">
        <v>0.98709999999999998</v>
      </c>
      <c r="H1616" s="164">
        <v>0.86539999999999995</v>
      </c>
      <c r="I1616" s="164">
        <v>0.94569999999999999</v>
      </c>
      <c r="J1616" s="2" t="str">
        <f>HYPERLINK(SetRGB(J1616,G1616*255,H1616*255,I1616*255),"HOVER!")</f>
        <v>HOVER!</v>
      </c>
      <c r="K1616">
        <f t="shared" si="50"/>
        <v>2.25</v>
      </c>
    </row>
    <row r="1617" spans="1:11" x14ac:dyDescent="0.3">
      <c r="A1617">
        <f>LOOKUP(9E+307,--MID(D1617,1,{1,2,3,4,5}))</f>
        <v>10</v>
      </c>
      <c r="B1617">
        <f>VLOOKUP(MID(D1617,LOOKUP(2,1/ISNUMBER(-MID(D1617,1,{1,2,3,4,5})),{1,2,3,4,5})+1,9),'Hue codes'!$A$1:$B$10,2,FALSE)</f>
        <v>80</v>
      </c>
      <c r="C1617">
        <f t="shared" si="51"/>
        <v>90</v>
      </c>
      <c r="D1617" s="162" t="s">
        <v>56</v>
      </c>
      <c r="E1617" s="162">
        <v>9</v>
      </c>
      <c r="F1617" s="162">
        <v>6</v>
      </c>
      <c r="G1617" s="164">
        <v>1</v>
      </c>
      <c r="H1617" s="164">
        <v>0.84160000000000001</v>
      </c>
      <c r="I1617" s="164">
        <v>0.97650000000000003</v>
      </c>
      <c r="J1617" s="96" t="str">
        <f>HYPERLINK(SetRGB(J1617,G1617*255,H1617*255,I1617*255),"HOVER!")</f>
        <v>HOVER!</v>
      </c>
      <c r="K1617">
        <f t="shared" si="50"/>
        <v>1.5</v>
      </c>
    </row>
    <row r="1618" spans="1:11" x14ac:dyDescent="0.3">
      <c r="A1618">
        <f>LOOKUP(9E+307,--MID(D1618,1,{1,2,3,4,5}))</f>
        <v>2.5</v>
      </c>
      <c r="B1618">
        <f>VLOOKUP(MID(D1618,LOOKUP(2,1/ISNUMBER(-MID(D1618,1,{1,2,3,4,5})),{1,2,3,4,5})+1,9),'Hue codes'!$A$1:$B$10,2,FALSE)</f>
        <v>90</v>
      </c>
      <c r="C1618">
        <f t="shared" si="51"/>
        <v>92.5</v>
      </c>
      <c r="D1618" s="162" t="s">
        <v>57</v>
      </c>
      <c r="E1618" s="162">
        <v>9</v>
      </c>
      <c r="F1618" s="162">
        <v>2</v>
      </c>
      <c r="G1618" s="164">
        <v>0.93630000000000002</v>
      </c>
      <c r="H1618" s="164">
        <v>0.8871</v>
      </c>
      <c r="I1618" s="164">
        <v>0.90859999999999996</v>
      </c>
      <c r="J1618" s="2" t="str">
        <f>HYPERLINK(SetRGB(J1618,G1618*255,H1618*255,I1618*255),"HOVER!")</f>
        <v>HOVER!</v>
      </c>
      <c r="K1618">
        <f t="shared" si="50"/>
        <v>4.5</v>
      </c>
    </row>
    <row r="1619" spans="1:11" x14ac:dyDescent="0.3">
      <c r="A1619">
        <f>LOOKUP(9E+307,--MID(D1619,1,{1,2,3,4,5}))</f>
        <v>2.5</v>
      </c>
      <c r="B1619">
        <f>VLOOKUP(MID(D1619,LOOKUP(2,1/ISNUMBER(-MID(D1619,1,{1,2,3,4,5})),{1,2,3,4,5})+1,9),'Hue codes'!$A$1:$B$10,2,FALSE)</f>
        <v>90</v>
      </c>
      <c r="C1619">
        <f t="shared" si="51"/>
        <v>92.5</v>
      </c>
      <c r="D1619" s="162" t="s">
        <v>57</v>
      </c>
      <c r="E1619" s="162">
        <v>9</v>
      </c>
      <c r="F1619" s="162">
        <v>4</v>
      </c>
      <c r="G1619" s="164">
        <v>1</v>
      </c>
      <c r="H1619" s="164">
        <v>0.86299999999999999</v>
      </c>
      <c r="I1619" s="164">
        <v>0.9264</v>
      </c>
      <c r="J1619" s="283" t="str">
        <f>HYPERLINK(SetRGB(J1619,G1619*255,H1619*255,I1619*255),"HOVER!")</f>
        <v>HOVER!</v>
      </c>
      <c r="K1619">
        <f t="shared" si="50"/>
        <v>2.25</v>
      </c>
    </row>
    <row r="1620" spans="1:11" x14ac:dyDescent="0.3">
      <c r="A1620">
        <f>LOOKUP(9E+307,--MID(D1620,1,{1,2,3,4,5}))</f>
        <v>2.5</v>
      </c>
      <c r="B1620">
        <f>VLOOKUP(MID(D1620,LOOKUP(2,1/ISNUMBER(-MID(D1620,1,{1,2,3,4,5})),{1,2,3,4,5})+1,9),'Hue codes'!$A$1:$B$10,2,FALSE)</f>
        <v>90</v>
      </c>
      <c r="C1620">
        <f t="shared" si="51"/>
        <v>92.5</v>
      </c>
      <c r="D1620" s="162" t="s">
        <v>57</v>
      </c>
      <c r="E1620" s="162">
        <v>9</v>
      </c>
      <c r="F1620" s="162">
        <v>6</v>
      </c>
      <c r="G1620" s="164">
        <v>1</v>
      </c>
      <c r="H1620" s="164">
        <v>0.83550000000000002</v>
      </c>
      <c r="I1620" s="164">
        <v>0.94510000000000005</v>
      </c>
      <c r="J1620" s="98" t="str">
        <f>HYPERLINK(SetRGB(J1620,G1620*255,H1620*255,I1620*255),"HOVER!")</f>
        <v>HOVER!</v>
      </c>
      <c r="K1620">
        <f t="shared" si="50"/>
        <v>1.5</v>
      </c>
    </row>
    <row r="1621" spans="1:11" x14ac:dyDescent="0.3">
      <c r="A1621">
        <f>LOOKUP(9E+307,--MID(D1621,1,{1,2,3,4,5}))</f>
        <v>5</v>
      </c>
      <c r="B1621">
        <f>VLOOKUP(MID(D1621,LOOKUP(2,1/ISNUMBER(-MID(D1621,1,{1,2,3,4,5})),{1,2,3,4,5})+1,9),'Hue codes'!$A$1:$B$10,2,FALSE)</f>
        <v>90</v>
      </c>
      <c r="C1621">
        <f t="shared" si="51"/>
        <v>95</v>
      </c>
      <c r="D1621" s="162" t="s">
        <v>58</v>
      </c>
      <c r="E1621" s="162">
        <v>9</v>
      </c>
      <c r="F1621" s="162">
        <v>2</v>
      </c>
      <c r="G1621" s="164">
        <v>0.94189999999999996</v>
      </c>
      <c r="H1621" s="164">
        <v>0.88619999999999999</v>
      </c>
      <c r="I1621" s="164">
        <v>0.90090000000000003</v>
      </c>
      <c r="J1621" s="97" t="str">
        <f>HYPERLINK(SetRGB(J1621,G1621*255,H1621*255,I1621*255),"HOVER!")</f>
        <v>HOVER!</v>
      </c>
      <c r="K1621">
        <f t="shared" si="50"/>
        <v>4.5</v>
      </c>
    </row>
    <row r="1622" spans="1:11" x14ac:dyDescent="0.3">
      <c r="A1622">
        <f>LOOKUP(9E+307,--MID(D1622,1,{1,2,3,4,5}))</f>
        <v>5</v>
      </c>
      <c r="B1622">
        <f>VLOOKUP(MID(D1622,LOOKUP(2,1/ISNUMBER(-MID(D1622,1,{1,2,3,4,5})),{1,2,3,4,5})+1,9),'Hue codes'!$A$1:$B$10,2,FALSE)</f>
        <v>90</v>
      </c>
      <c r="C1622">
        <f t="shared" si="51"/>
        <v>95</v>
      </c>
      <c r="D1622" s="162" t="s">
        <v>58</v>
      </c>
      <c r="E1622" s="162">
        <v>9</v>
      </c>
      <c r="F1622" s="162">
        <v>4</v>
      </c>
      <c r="G1622" s="164">
        <v>1</v>
      </c>
      <c r="H1622" s="164">
        <v>0.86019999999999996</v>
      </c>
      <c r="I1622" s="164">
        <v>0.9042</v>
      </c>
      <c r="J1622" s="2" t="str">
        <f>HYPERLINK(SetRGB(J1622,G1622*255,H1622*255,I1622*255),"HOVER!")</f>
        <v>HOVER!</v>
      </c>
      <c r="K1622">
        <f t="shared" si="50"/>
        <v>2.25</v>
      </c>
    </row>
    <row r="1623" spans="1:11" x14ac:dyDescent="0.3">
      <c r="A1623">
        <f>LOOKUP(9E+307,--MID(D1623,1,{1,2,3,4,5}))</f>
        <v>5</v>
      </c>
      <c r="B1623">
        <f>VLOOKUP(MID(D1623,LOOKUP(2,1/ISNUMBER(-MID(D1623,1,{1,2,3,4,5})),{1,2,3,4,5})+1,9),'Hue codes'!$A$1:$B$10,2,FALSE)</f>
        <v>90</v>
      </c>
      <c r="C1623">
        <f t="shared" si="51"/>
        <v>95</v>
      </c>
      <c r="D1623" s="162" t="s">
        <v>58</v>
      </c>
      <c r="E1623" s="162">
        <v>9</v>
      </c>
      <c r="F1623" s="162">
        <v>6</v>
      </c>
      <c r="G1623" s="164">
        <v>1</v>
      </c>
      <c r="H1623" s="164">
        <v>0.83079999999999998</v>
      </c>
      <c r="I1623" s="164">
        <v>0.90939999999999999</v>
      </c>
      <c r="J1623" s="2" t="str">
        <f>HYPERLINK(SetRGB(J1623,G1623*255,H1623*255,I1623*255),"HOVER!")</f>
        <v>HOVER!</v>
      </c>
      <c r="K1623">
        <f t="shared" si="50"/>
        <v>1.5</v>
      </c>
    </row>
    <row r="1624" spans="1:11" x14ac:dyDescent="0.3">
      <c r="A1624">
        <f>LOOKUP(9E+307,--MID(D1624,1,{1,2,3,4,5}))</f>
        <v>7.5</v>
      </c>
      <c r="B1624">
        <f>VLOOKUP(MID(D1624,LOOKUP(2,1/ISNUMBER(-MID(D1624,1,{1,2,3,4,5})),{1,2,3,4,5})+1,9),'Hue codes'!$A$1:$B$10,2,FALSE)</f>
        <v>90</v>
      </c>
      <c r="C1624">
        <f t="shared" si="51"/>
        <v>97.5</v>
      </c>
      <c r="D1624" s="162" t="s">
        <v>59</v>
      </c>
      <c r="E1624" s="162">
        <v>9</v>
      </c>
      <c r="F1624" s="162">
        <v>2</v>
      </c>
      <c r="G1624" s="164">
        <v>0.94589999999999996</v>
      </c>
      <c r="H1624" s="164">
        <v>0.88560000000000005</v>
      </c>
      <c r="I1624" s="164">
        <v>0.89459999999999995</v>
      </c>
      <c r="J1624" s="99" t="str">
        <f>HYPERLINK(SetRGB(J1624,G1624*255,H1624*255,I1624*255),"HOVER!")</f>
        <v>HOVER!</v>
      </c>
      <c r="K1624">
        <f t="shared" si="50"/>
        <v>4.5</v>
      </c>
    </row>
    <row r="1625" spans="1:11" x14ac:dyDescent="0.3">
      <c r="A1625">
        <f>LOOKUP(9E+307,--MID(D1625,1,{1,2,3,4,5}))</f>
        <v>7.5</v>
      </c>
      <c r="B1625">
        <f>VLOOKUP(MID(D1625,LOOKUP(2,1/ISNUMBER(-MID(D1625,1,{1,2,3,4,5})),{1,2,3,4,5})+1,9),'Hue codes'!$A$1:$B$10,2,FALSE)</f>
        <v>90</v>
      </c>
      <c r="C1625">
        <f t="shared" si="51"/>
        <v>97.5</v>
      </c>
      <c r="D1625" s="162" t="s">
        <v>59</v>
      </c>
      <c r="E1625" s="162">
        <v>9</v>
      </c>
      <c r="F1625" s="162">
        <v>4</v>
      </c>
      <c r="G1625" s="164">
        <v>1</v>
      </c>
      <c r="H1625" s="164">
        <v>0.85850000000000004</v>
      </c>
      <c r="I1625" s="164">
        <v>0.88739999999999997</v>
      </c>
      <c r="J1625" s="2" t="str">
        <f>HYPERLINK(SetRGB(J1625,G1625*255,H1625*255,I1625*255),"HOVER!")</f>
        <v>HOVER!</v>
      </c>
      <c r="K1625">
        <f t="shared" si="50"/>
        <v>2.25</v>
      </c>
    </row>
    <row r="1626" spans="1:11" x14ac:dyDescent="0.3">
      <c r="A1626">
        <f>LOOKUP(9E+307,--MID(D1626,1,{1,2,3,4,5}))</f>
        <v>7.5</v>
      </c>
      <c r="B1626">
        <f>VLOOKUP(MID(D1626,LOOKUP(2,1/ISNUMBER(-MID(D1626,1,{1,2,3,4,5})),{1,2,3,4,5})+1,9),'Hue codes'!$A$1:$B$10,2,FALSE)</f>
        <v>90</v>
      </c>
      <c r="C1626">
        <f t="shared" si="51"/>
        <v>97.5</v>
      </c>
      <c r="D1626" s="162" t="s">
        <v>59</v>
      </c>
      <c r="E1626" s="162">
        <v>9</v>
      </c>
      <c r="F1626" s="162">
        <v>6</v>
      </c>
      <c r="G1626" s="164">
        <v>1</v>
      </c>
      <c r="H1626" s="164">
        <v>0.82840000000000003</v>
      </c>
      <c r="I1626" s="164">
        <v>0.88109999999999999</v>
      </c>
      <c r="J1626" s="2" t="str">
        <f>HYPERLINK(SetRGB(J1626,G1626*255,H1626*255,I1626*255),"HOVER!")</f>
        <v>HOVER!</v>
      </c>
      <c r="K1626">
        <f t="shared" si="50"/>
        <v>1.5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2"/>
  <sheetViews>
    <sheetView workbookViewId="0">
      <selection activeCell="F14" sqref="F14"/>
    </sheetView>
  </sheetViews>
  <sheetFormatPr defaultRowHeight="14.4" x14ac:dyDescent="0.3"/>
  <sheetData>
    <row r="1" spans="1:11" x14ac:dyDescent="0.3">
      <c r="A1" t="s">
        <v>10</v>
      </c>
      <c r="B1" t="s">
        <v>11</v>
      </c>
      <c r="C1" t="s">
        <v>12</v>
      </c>
      <c r="D1" s="164" t="s">
        <v>15</v>
      </c>
      <c r="E1" t="s">
        <v>16</v>
      </c>
      <c r="F1" t="s">
        <v>17</v>
      </c>
      <c r="G1" t="s">
        <v>0</v>
      </c>
      <c r="H1" t="s">
        <v>1</v>
      </c>
      <c r="I1" t="s">
        <v>2</v>
      </c>
      <c r="J1" t="s">
        <v>14</v>
      </c>
      <c r="K1" t="s">
        <v>13</v>
      </c>
    </row>
    <row r="2" spans="1:11" x14ac:dyDescent="0.3">
      <c r="A2" t="e">
        <v>#N/A</v>
      </c>
      <c r="B2" t="e">
        <v>#N/A</v>
      </c>
      <c r="C2" t="e">
        <v>#N/A</v>
      </c>
      <c r="D2" t="e">
        <v>#N/A</v>
      </c>
      <c r="E2">
        <v>0</v>
      </c>
      <c r="F2">
        <v>0</v>
      </c>
      <c r="G2">
        <f>0/255</f>
        <v>0</v>
      </c>
      <c r="H2">
        <f>0/255</f>
        <v>0</v>
      </c>
      <c r="I2">
        <f>0/255</f>
        <v>0</v>
      </c>
      <c r="J2" s="149" t="str">
        <f>HYPERLINK(SetRGB(J2,G2*255,H2*255,I2*255),"HOVER!")</f>
        <v>HOVER!</v>
      </c>
      <c r="K2" t="e">
        <f t="shared" ref="K2:K12" si="0">F2/E2</f>
        <v>#DIV/0!</v>
      </c>
    </row>
    <row r="3" spans="1:11" x14ac:dyDescent="0.3">
      <c r="A3" t="e">
        <v>#N/A</v>
      </c>
      <c r="B3" t="e">
        <v>#N/A</v>
      </c>
      <c r="C3" t="e">
        <v>#N/A</v>
      </c>
      <c r="D3" t="e">
        <v>#N/A</v>
      </c>
      <c r="E3">
        <v>1</v>
      </c>
      <c r="F3">
        <v>0</v>
      </c>
      <c r="G3">
        <f>28/255</f>
        <v>0.10980392156862745</v>
      </c>
      <c r="H3">
        <f>28/255</f>
        <v>0.10980392156862745</v>
      </c>
      <c r="I3">
        <f>28/255</f>
        <v>0.10980392156862745</v>
      </c>
      <c r="J3" s="285" t="str">
        <f>HYPERLINK(SetRGB(J3,G3*255,H3*255,I3*255),"HOVER!")</f>
        <v>HOVER!</v>
      </c>
      <c r="K3">
        <f t="shared" si="0"/>
        <v>0</v>
      </c>
    </row>
    <row r="4" spans="1:11" x14ac:dyDescent="0.3">
      <c r="A4" t="e">
        <v>#N/A</v>
      </c>
      <c r="B4" t="e">
        <v>#N/A</v>
      </c>
      <c r="C4" t="e">
        <v>#N/A</v>
      </c>
      <c r="D4" t="e">
        <v>#N/A</v>
      </c>
      <c r="E4">
        <v>2</v>
      </c>
      <c r="F4">
        <v>0</v>
      </c>
      <c r="G4">
        <f>48/255</f>
        <v>0.18823529411764706</v>
      </c>
      <c r="H4">
        <f>48/255</f>
        <v>0.18823529411764706</v>
      </c>
      <c r="I4">
        <f>48/255</f>
        <v>0.18823529411764706</v>
      </c>
      <c r="J4" s="284" t="str">
        <f>HYPERLINK(SetRGB(J4,G4*255,H4*255,I4*255),"HOVER!")</f>
        <v>HOVER!</v>
      </c>
      <c r="K4">
        <f t="shared" si="0"/>
        <v>0</v>
      </c>
    </row>
    <row r="5" spans="1:11" x14ac:dyDescent="0.3">
      <c r="A5" t="e">
        <v>#N/A</v>
      </c>
      <c r="B5" t="e">
        <v>#N/A</v>
      </c>
      <c r="C5" t="e">
        <v>#N/A</v>
      </c>
      <c r="D5" t="e">
        <v>#N/A</v>
      </c>
      <c r="E5">
        <v>3</v>
      </c>
      <c r="F5">
        <v>0</v>
      </c>
      <c r="G5">
        <f>70/255</f>
        <v>0.27450980392156865</v>
      </c>
      <c r="H5">
        <f>70/255</f>
        <v>0.27450980392156865</v>
      </c>
      <c r="I5">
        <f>70/255</f>
        <v>0.27450980392156865</v>
      </c>
      <c r="J5" s="144" t="str">
        <f>HYPERLINK(SetRGB(J5,G5*255,H5*255,I5*255),"HOVER!")</f>
        <v>HOVER!</v>
      </c>
      <c r="K5">
        <f t="shared" si="0"/>
        <v>0</v>
      </c>
    </row>
    <row r="6" spans="1:11" x14ac:dyDescent="0.3">
      <c r="A6" t="e">
        <v>#N/A</v>
      </c>
      <c r="B6" t="e">
        <v>#N/A</v>
      </c>
      <c r="C6" t="e">
        <v>#N/A</v>
      </c>
      <c r="D6" t="e">
        <v>#N/A</v>
      </c>
      <c r="E6">
        <v>4</v>
      </c>
      <c r="F6">
        <v>0</v>
      </c>
      <c r="G6">
        <f>97/255</f>
        <v>0.38039215686274508</v>
      </c>
      <c r="H6">
        <f>97/255</f>
        <v>0.38039215686274508</v>
      </c>
      <c r="I6">
        <f>97/255</f>
        <v>0.38039215686274508</v>
      </c>
      <c r="J6" s="143" t="str">
        <f>HYPERLINK(SetRGB(J6,G6*255,H6*255,I6*255),"HOVER!")</f>
        <v>HOVER!</v>
      </c>
      <c r="K6">
        <f t="shared" si="0"/>
        <v>0</v>
      </c>
    </row>
    <row r="7" spans="1:11" x14ac:dyDescent="0.3">
      <c r="A7" t="e">
        <v>#N/A</v>
      </c>
      <c r="B7" t="e">
        <v>#N/A</v>
      </c>
      <c r="C7" t="e">
        <v>#N/A</v>
      </c>
      <c r="D7" t="e">
        <v>#N/A</v>
      </c>
      <c r="E7">
        <v>5</v>
      </c>
      <c r="F7">
        <v>0</v>
      </c>
      <c r="G7">
        <f>124/255</f>
        <v>0.48627450980392156</v>
      </c>
      <c r="H7">
        <f>124/255</f>
        <v>0.48627450980392156</v>
      </c>
      <c r="I7">
        <f>124/255</f>
        <v>0.48627450980392156</v>
      </c>
      <c r="J7" s="141" t="str">
        <f>HYPERLINK(SetRGB(J7,G7*255,H7*255,I7*255),"HOVER!")</f>
        <v>HOVER!</v>
      </c>
      <c r="K7">
        <f t="shared" si="0"/>
        <v>0</v>
      </c>
    </row>
    <row r="8" spans="1:11" x14ac:dyDescent="0.3">
      <c r="A8" t="e">
        <v>#N/A</v>
      </c>
      <c r="B8" t="e">
        <v>#N/A</v>
      </c>
      <c r="C8" t="e">
        <v>#N/A</v>
      </c>
      <c r="D8" t="e">
        <v>#N/A</v>
      </c>
      <c r="E8">
        <v>6</v>
      </c>
      <c r="F8">
        <v>0</v>
      </c>
      <c r="G8">
        <f>150/255</f>
        <v>0.58823529411764708</v>
      </c>
      <c r="H8">
        <f>150/255</f>
        <v>0.58823529411764708</v>
      </c>
      <c r="I8">
        <f>150/255</f>
        <v>0.58823529411764708</v>
      </c>
      <c r="J8" s="145" t="str">
        <f>HYPERLINK(SetRGB(J8,G8*255,H8*255,I8*255),"HOVER!")</f>
        <v>HOVER!</v>
      </c>
      <c r="K8">
        <f t="shared" si="0"/>
        <v>0</v>
      </c>
    </row>
    <row r="9" spans="1:11" x14ac:dyDescent="0.3">
      <c r="A9" t="e">
        <v>#N/A</v>
      </c>
      <c r="B9" t="e">
        <v>#N/A</v>
      </c>
      <c r="C9" t="e">
        <v>#N/A</v>
      </c>
      <c r="D9" t="e">
        <v>#N/A</v>
      </c>
      <c r="E9">
        <v>7</v>
      </c>
      <c r="F9">
        <v>0</v>
      </c>
      <c r="G9">
        <f>179/255</f>
        <v>0.70196078431372544</v>
      </c>
      <c r="H9">
        <f>179/255</f>
        <v>0.70196078431372544</v>
      </c>
      <c r="I9">
        <f>179/255</f>
        <v>0.70196078431372544</v>
      </c>
      <c r="J9" s="146" t="str">
        <f>HYPERLINK(SetRGB(J9,G9*255,H9*255,I9*255),"HOVER!")</f>
        <v>HOVER!</v>
      </c>
      <c r="K9">
        <f t="shared" si="0"/>
        <v>0</v>
      </c>
    </row>
    <row r="10" spans="1:11" x14ac:dyDescent="0.3">
      <c r="A10" t="e">
        <v>#N/A</v>
      </c>
      <c r="B10" t="e">
        <v>#N/A</v>
      </c>
      <c r="C10" t="e">
        <v>#N/A</v>
      </c>
      <c r="D10" t="e">
        <v>#N/A</v>
      </c>
      <c r="E10">
        <v>8</v>
      </c>
      <c r="F10">
        <v>0</v>
      </c>
      <c r="G10">
        <f>203/255</f>
        <v>0.79607843137254897</v>
      </c>
      <c r="H10">
        <f>203/255</f>
        <v>0.79607843137254897</v>
      </c>
      <c r="I10">
        <f>203/255</f>
        <v>0.79607843137254897</v>
      </c>
      <c r="J10" s="147" t="str">
        <f>HYPERLINK(SetRGB(J10,G10*255,H10*255,I10*255),"HOVER!")</f>
        <v>HOVER!</v>
      </c>
      <c r="K10">
        <f t="shared" si="0"/>
        <v>0</v>
      </c>
    </row>
    <row r="11" spans="1:11" x14ac:dyDescent="0.3">
      <c r="A11" t="e">
        <v>#N/A</v>
      </c>
      <c r="B11" t="e">
        <v>#N/A</v>
      </c>
      <c r="C11" t="e">
        <v>#N/A</v>
      </c>
      <c r="D11" t="e">
        <v>#N/A</v>
      </c>
      <c r="E11">
        <v>9</v>
      </c>
      <c r="F11">
        <v>0</v>
      </c>
      <c r="G11">
        <f>232/255</f>
        <v>0.90980392156862744</v>
      </c>
      <c r="H11">
        <f>232/255</f>
        <v>0.90980392156862744</v>
      </c>
      <c r="I11">
        <f>232/255</f>
        <v>0.90980392156862744</v>
      </c>
      <c r="J11" s="142" t="str">
        <f>HYPERLINK(SetRGB(J11,G11*255,H11*255,I11*255),"HOVER!")</f>
        <v>HOVER!</v>
      </c>
      <c r="K11">
        <f t="shared" si="0"/>
        <v>0</v>
      </c>
    </row>
    <row r="12" spans="1:11" x14ac:dyDescent="0.3">
      <c r="A12" t="e">
        <v>#N/A</v>
      </c>
      <c r="B12" t="e">
        <v>#N/A</v>
      </c>
      <c r="C12" t="e">
        <v>#N/A</v>
      </c>
      <c r="D12" t="e">
        <v>#N/A</v>
      </c>
      <c r="E12">
        <v>10</v>
      </c>
      <c r="F12">
        <v>0</v>
      </c>
      <c r="G12">
        <f>255/255</f>
        <v>1</v>
      </c>
      <c r="H12">
        <f>255/255</f>
        <v>1</v>
      </c>
      <c r="I12">
        <f>255/255</f>
        <v>1</v>
      </c>
      <c r="J12" s="148" t="str">
        <f>HYPERLINK(SetRGB(J12,G12*255,H12*255,I12*255),"HOVER!")</f>
        <v>HOVER!</v>
      </c>
      <c r="K12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35"/>
  <sheetViews>
    <sheetView topLeftCell="A2712" workbookViewId="0">
      <selection activeCell="C1" sqref="C1:I2735"/>
    </sheetView>
  </sheetViews>
  <sheetFormatPr defaultRowHeight="14.4" x14ac:dyDescent="0.3"/>
  <cols>
    <col min="4" max="4" width="5.88671875" bestFit="1" customWidth="1"/>
    <col min="5" max="5" width="2.109375" bestFit="1" customWidth="1"/>
    <col min="6" max="6" width="3" bestFit="1" customWidth="1"/>
    <col min="7" max="8" width="7" bestFit="1" customWidth="1"/>
    <col min="9" max="9" width="6" bestFit="1" customWidth="1"/>
  </cols>
  <sheetData>
    <row r="1" spans="1:9" x14ac:dyDescent="0.3">
      <c r="A1" t="s">
        <v>10</v>
      </c>
      <c r="B1" t="s">
        <v>11</v>
      </c>
      <c r="C1" t="s">
        <v>12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4</v>
      </c>
    </row>
    <row r="2" spans="1:9" x14ac:dyDescent="0.3">
      <c r="A2">
        <f>LOOKUP(9E+307,--MID(D2,1,{1,2,3,4,5}))</f>
        <v>10</v>
      </c>
      <c r="B2">
        <f>VLOOKUP(MID(D2,LOOKUP(2,1/ISNUMBER(-MID(D2,1,{1,2,3,4,5})),{1,2,3,4,5})+1,9),'Hue codes'!$A$1:$B$10,2,FALSE)</f>
        <v>90</v>
      </c>
      <c r="C2">
        <f>IF(A2+B2=100,0,A2+B2)</f>
        <v>0</v>
      </c>
      <c r="D2" t="s">
        <v>20</v>
      </c>
      <c r="E2">
        <v>1</v>
      </c>
      <c r="F2">
        <v>2</v>
      </c>
      <c r="G2">
        <v>0.3629</v>
      </c>
      <c r="H2">
        <v>0.27100000000000002</v>
      </c>
      <c r="I2">
        <v>1.21</v>
      </c>
    </row>
    <row r="3" spans="1:9" x14ac:dyDescent="0.3">
      <c r="A3">
        <f>LOOKUP(9E+307,--MID(D3,1,{1,2,3,4,5}))</f>
        <v>10</v>
      </c>
      <c r="B3">
        <f>VLOOKUP(MID(D3,LOOKUP(2,1/ISNUMBER(-MID(D3,1,{1,2,3,4,5})),{1,2,3,4,5})+1,9),'Hue codes'!$A$1:$B$10,2,FALSE)</f>
        <v>90</v>
      </c>
      <c r="C3">
        <f t="shared" ref="C3:C66" si="0">IF(A3+B3=100,0,A3+B3)</f>
        <v>0</v>
      </c>
      <c r="D3" t="s">
        <v>20</v>
      </c>
      <c r="E3">
        <v>1</v>
      </c>
      <c r="F3">
        <v>4</v>
      </c>
      <c r="G3">
        <v>0.39200000000000002</v>
      </c>
      <c r="H3">
        <v>0.24229999999999999</v>
      </c>
      <c r="I3">
        <v>1.21</v>
      </c>
    </row>
    <row r="4" spans="1:9" x14ac:dyDescent="0.3">
      <c r="A4">
        <f>LOOKUP(9E+307,--MID(D4,1,{1,2,3,4,5}))</f>
        <v>10</v>
      </c>
      <c r="B4">
        <f>VLOOKUP(MID(D4,LOOKUP(2,1/ISNUMBER(-MID(D4,1,{1,2,3,4,5})),{1,2,3,4,5})+1,9),'Hue codes'!$A$1:$B$10,2,FALSE)</f>
        <v>90</v>
      </c>
      <c r="C4">
        <f t="shared" si="0"/>
        <v>0</v>
      </c>
      <c r="D4" t="s">
        <v>20</v>
      </c>
      <c r="E4">
        <v>1</v>
      </c>
      <c r="F4">
        <v>6</v>
      </c>
      <c r="G4">
        <v>0.41510000000000002</v>
      </c>
      <c r="H4">
        <v>0.21690000000000001</v>
      </c>
      <c r="I4">
        <v>1.21</v>
      </c>
    </row>
    <row r="5" spans="1:9" x14ac:dyDescent="0.3">
      <c r="A5">
        <f>LOOKUP(9E+307,--MID(D5,1,{1,2,3,4,5}))</f>
        <v>10</v>
      </c>
      <c r="B5">
        <f>VLOOKUP(MID(D5,LOOKUP(2,1/ISNUMBER(-MID(D5,1,{1,2,3,4,5})),{1,2,3,4,5})+1,9),'Hue codes'!$A$1:$B$10,2,FALSE)</f>
        <v>90</v>
      </c>
      <c r="C5">
        <f t="shared" si="0"/>
        <v>0</v>
      </c>
      <c r="D5" t="s">
        <v>20</v>
      </c>
      <c r="E5">
        <v>1</v>
      </c>
      <c r="F5">
        <v>8</v>
      </c>
      <c r="G5">
        <v>0.43569999999999998</v>
      </c>
      <c r="H5">
        <v>0.19209999999999999</v>
      </c>
      <c r="I5">
        <v>1.21</v>
      </c>
    </row>
    <row r="6" spans="1:9" x14ac:dyDescent="0.3">
      <c r="A6">
        <f>LOOKUP(9E+307,--MID(D6,1,{1,2,3,4,5}))</f>
        <v>10</v>
      </c>
      <c r="B6">
        <f>VLOOKUP(MID(D6,LOOKUP(2,1/ISNUMBER(-MID(D6,1,{1,2,3,4,5})),{1,2,3,4,5})+1,9),'Hue codes'!$A$1:$B$10,2,FALSE)</f>
        <v>90</v>
      </c>
      <c r="C6">
        <f t="shared" si="0"/>
        <v>0</v>
      </c>
      <c r="D6" t="s">
        <v>20</v>
      </c>
      <c r="E6">
        <v>1</v>
      </c>
      <c r="F6">
        <v>10</v>
      </c>
      <c r="G6">
        <v>0.4521</v>
      </c>
      <c r="H6">
        <v>0.17100000000000001</v>
      </c>
      <c r="I6">
        <v>1.21</v>
      </c>
    </row>
    <row r="7" spans="1:9" x14ac:dyDescent="0.3">
      <c r="A7">
        <f>LOOKUP(9E+307,--MID(D7,1,{1,2,3,4,5}))</f>
        <v>10</v>
      </c>
      <c r="B7">
        <f>VLOOKUP(MID(D7,LOOKUP(2,1/ISNUMBER(-MID(D7,1,{1,2,3,4,5})),{1,2,3,4,5})+1,9),'Hue codes'!$A$1:$B$10,2,FALSE)</f>
        <v>90</v>
      </c>
      <c r="C7">
        <f t="shared" si="0"/>
        <v>0</v>
      </c>
      <c r="D7" t="s">
        <v>20</v>
      </c>
      <c r="E7">
        <v>1</v>
      </c>
      <c r="F7">
        <v>12</v>
      </c>
      <c r="G7">
        <v>0.46679999999999999</v>
      </c>
      <c r="H7">
        <v>0.15140000000000001</v>
      </c>
      <c r="I7">
        <v>1.21</v>
      </c>
    </row>
    <row r="8" spans="1:9" x14ac:dyDescent="0.3">
      <c r="A8">
        <f>LOOKUP(9E+307,--MID(D8,1,{1,2,3,4,5}))</f>
        <v>2.5</v>
      </c>
      <c r="B8">
        <f>VLOOKUP(MID(D8,LOOKUP(2,1/ISNUMBER(-MID(D8,1,{1,2,3,4,5})),{1,2,3,4,5})+1,9),'Hue codes'!$A$1:$B$10,2,FALSE)</f>
        <v>0</v>
      </c>
      <c r="C8">
        <f t="shared" si="0"/>
        <v>2.5</v>
      </c>
      <c r="D8" t="s">
        <v>21</v>
      </c>
      <c r="E8">
        <v>1</v>
      </c>
      <c r="F8">
        <v>2</v>
      </c>
      <c r="G8">
        <v>0.37680000000000002</v>
      </c>
      <c r="H8">
        <v>0.28160000000000002</v>
      </c>
      <c r="I8">
        <v>1.21</v>
      </c>
    </row>
    <row r="9" spans="1:9" x14ac:dyDescent="0.3">
      <c r="A9">
        <f>LOOKUP(9E+307,--MID(D9,1,{1,2,3,4,5}))</f>
        <v>2.5</v>
      </c>
      <c r="B9">
        <f>VLOOKUP(MID(D9,LOOKUP(2,1/ISNUMBER(-MID(D9,1,{1,2,3,4,5})),{1,2,3,4,5})+1,9),'Hue codes'!$A$1:$B$10,2,FALSE)</f>
        <v>0</v>
      </c>
      <c r="C9">
        <f t="shared" si="0"/>
        <v>2.5</v>
      </c>
      <c r="D9" t="s">
        <v>21</v>
      </c>
      <c r="E9">
        <v>1</v>
      </c>
      <c r="F9">
        <v>4</v>
      </c>
      <c r="G9">
        <v>0.41660000000000003</v>
      </c>
      <c r="H9">
        <v>0.25690000000000002</v>
      </c>
      <c r="I9">
        <v>1.21</v>
      </c>
    </row>
    <row r="10" spans="1:9" x14ac:dyDescent="0.3">
      <c r="A10">
        <f>LOOKUP(9E+307,--MID(D10,1,{1,2,3,4,5}))</f>
        <v>2.5</v>
      </c>
      <c r="B10">
        <f>VLOOKUP(MID(D10,LOOKUP(2,1/ISNUMBER(-MID(D10,1,{1,2,3,4,5})),{1,2,3,4,5})+1,9),'Hue codes'!$A$1:$B$10,2,FALSE)</f>
        <v>0</v>
      </c>
      <c r="C10">
        <f t="shared" si="0"/>
        <v>2.5</v>
      </c>
      <c r="D10" t="s">
        <v>21</v>
      </c>
      <c r="E10">
        <v>1</v>
      </c>
      <c r="F10">
        <v>6</v>
      </c>
      <c r="G10">
        <v>0.45150000000000001</v>
      </c>
      <c r="H10">
        <v>0.2329</v>
      </c>
      <c r="I10">
        <v>1.21</v>
      </c>
    </row>
    <row r="11" spans="1:9" x14ac:dyDescent="0.3">
      <c r="A11">
        <f>LOOKUP(9E+307,--MID(D11,1,{1,2,3,4,5}))</f>
        <v>2.5</v>
      </c>
      <c r="B11">
        <f>VLOOKUP(MID(D11,LOOKUP(2,1/ISNUMBER(-MID(D11,1,{1,2,3,4,5})),{1,2,3,4,5})+1,9),'Hue codes'!$A$1:$B$10,2,FALSE)</f>
        <v>0</v>
      </c>
      <c r="C11">
        <f t="shared" si="0"/>
        <v>2.5</v>
      </c>
      <c r="D11" t="s">
        <v>21</v>
      </c>
      <c r="E11">
        <v>1</v>
      </c>
      <c r="F11">
        <v>8</v>
      </c>
      <c r="G11">
        <v>0.48120000000000002</v>
      </c>
      <c r="H11">
        <v>0.21029999999999999</v>
      </c>
      <c r="I11">
        <v>1.21</v>
      </c>
    </row>
    <row r="12" spans="1:9" x14ac:dyDescent="0.3">
      <c r="A12">
        <f>LOOKUP(9E+307,--MID(D12,1,{1,2,3,4,5}))</f>
        <v>2.5</v>
      </c>
      <c r="B12">
        <f>VLOOKUP(MID(D12,LOOKUP(2,1/ISNUMBER(-MID(D12,1,{1,2,3,4,5})),{1,2,3,4,5})+1,9),'Hue codes'!$A$1:$B$10,2,FALSE)</f>
        <v>0</v>
      </c>
      <c r="C12">
        <f t="shared" si="0"/>
        <v>2.5</v>
      </c>
      <c r="D12" t="s">
        <v>21</v>
      </c>
      <c r="E12">
        <v>1</v>
      </c>
      <c r="F12">
        <v>10</v>
      </c>
      <c r="G12">
        <v>0.50580000000000003</v>
      </c>
      <c r="H12">
        <v>0.19</v>
      </c>
      <c r="I12">
        <v>1.21</v>
      </c>
    </row>
    <row r="13" spans="1:9" x14ac:dyDescent="0.3">
      <c r="A13">
        <f>LOOKUP(9E+307,--MID(D13,1,{1,2,3,4,5}))</f>
        <v>5</v>
      </c>
      <c r="B13">
        <f>VLOOKUP(MID(D13,LOOKUP(2,1/ISNUMBER(-MID(D13,1,{1,2,3,4,5})),{1,2,3,4,5})+1,9),'Hue codes'!$A$1:$B$10,2,FALSE)</f>
        <v>0</v>
      </c>
      <c r="C13">
        <f t="shared" si="0"/>
        <v>5</v>
      </c>
      <c r="D13" t="s">
        <v>22</v>
      </c>
      <c r="E13">
        <v>1</v>
      </c>
      <c r="F13">
        <v>2</v>
      </c>
      <c r="G13">
        <v>0.39079999999999998</v>
      </c>
      <c r="H13">
        <v>0.29289999999999999</v>
      </c>
      <c r="I13">
        <v>1.21</v>
      </c>
    </row>
    <row r="14" spans="1:9" x14ac:dyDescent="0.3">
      <c r="A14">
        <f>LOOKUP(9E+307,--MID(D14,1,{1,2,3,4,5}))</f>
        <v>5</v>
      </c>
      <c r="B14">
        <f>VLOOKUP(MID(D14,LOOKUP(2,1/ISNUMBER(-MID(D14,1,{1,2,3,4,5})),{1,2,3,4,5})+1,9),'Hue codes'!$A$1:$B$10,2,FALSE)</f>
        <v>0</v>
      </c>
      <c r="C14">
        <f t="shared" si="0"/>
        <v>5</v>
      </c>
      <c r="D14" t="s">
        <v>22</v>
      </c>
      <c r="E14">
        <v>1</v>
      </c>
      <c r="F14">
        <v>4</v>
      </c>
      <c r="G14">
        <v>0.442</v>
      </c>
      <c r="H14">
        <v>0.27279999999999999</v>
      </c>
      <c r="I14">
        <v>1.21</v>
      </c>
    </row>
    <row r="15" spans="1:9" x14ac:dyDescent="0.3">
      <c r="A15">
        <f>LOOKUP(9E+307,--MID(D15,1,{1,2,3,4,5}))</f>
        <v>5</v>
      </c>
      <c r="B15">
        <f>VLOOKUP(MID(D15,LOOKUP(2,1/ISNUMBER(-MID(D15,1,{1,2,3,4,5})),{1,2,3,4,5})+1,9),'Hue codes'!$A$1:$B$10,2,FALSE)</f>
        <v>0</v>
      </c>
      <c r="C15">
        <f t="shared" si="0"/>
        <v>5</v>
      </c>
      <c r="D15" t="s">
        <v>22</v>
      </c>
      <c r="E15">
        <v>1</v>
      </c>
      <c r="F15">
        <v>6</v>
      </c>
      <c r="G15">
        <v>0.48849999999999999</v>
      </c>
      <c r="H15">
        <v>0.2515</v>
      </c>
      <c r="I15">
        <v>1.21</v>
      </c>
    </row>
    <row r="16" spans="1:9" x14ac:dyDescent="0.3">
      <c r="A16">
        <f>LOOKUP(9E+307,--MID(D16,1,{1,2,3,4,5}))</f>
        <v>5</v>
      </c>
      <c r="B16">
        <f>VLOOKUP(MID(D16,LOOKUP(2,1/ISNUMBER(-MID(D16,1,{1,2,3,4,5})),{1,2,3,4,5})+1,9),'Hue codes'!$A$1:$B$10,2,FALSE)</f>
        <v>0</v>
      </c>
      <c r="C16">
        <f t="shared" si="0"/>
        <v>5</v>
      </c>
      <c r="D16" t="s">
        <v>22</v>
      </c>
      <c r="E16">
        <v>1</v>
      </c>
      <c r="F16">
        <v>8</v>
      </c>
      <c r="G16">
        <v>0.5282</v>
      </c>
      <c r="H16">
        <v>0.22969999999999999</v>
      </c>
      <c r="I16">
        <v>1.21</v>
      </c>
    </row>
    <row r="17" spans="1:9" x14ac:dyDescent="0.3">
      <c r="A17">
        <f>LOOKUP(9E+307,--MID(D17,1,{1,2,3,4,5}))</f>
        <v>5</v>
      </c>
      <c r="B17">
        <f>VLOOKUP(MID(D17,LOOKUP(2,1/ISNUMBER(-MID(D17,1,{1,2,3,4,5})),{1,2,3,4,5})+1,9),'Hue codes'!$A$1:$B$10,2,FALSE)</f>
        <v>0</v>
      </c>
      <c r="C17">
        <f t="shared" si="0"/>
        <v>5</v>
      </c>
      <c r="D17" t="s">
        <v>22</v>
      </c>
      <c r="E17">
        <v>1</v>
      </c>
      <c r="F17">
        <v>10</v>
      </c>
      <c r="G17">
        <v>0.56040000000000001</v>
      </c>
      <c r="H17">
        <v>0.21</v>
      </c>
      <c r="I17">
        <v>1.21</v>
      </c>
    </row>
    <row r="18" spans="1:9" x14ac:dyDescent="0.3">
      <c r="A18">
        <f>LOOKUP(9E+307,--MID(D18,1,{1,2,3,4,5}))</f>
        <v>7.5</v>
      </c>
      <c r="B18">
        <f>VLOOKUP(MID(D18,LOOKUP(2,1/ISNUMBER(-MID(D18,1,{1,2,3,4,5})),{1,2,3,4,5})+1,9),'Hue codes'!$A$1:$B$10,2,FALSE)</f>
        <v>0</v>
      </c>
      <c r="C18">
        <f t="shared" si="0"/>
        <v>7.5</v>
      </c>
      <c r="D18" t="s">
        <v>23</v>
      </c>
      <c r="E18">
        <v>1</v>
      </c>
      <c r="F18">
        <v>2</v>
      </c>
      <c r="G18">
        <v>0.40200000000000002</v>
      </c>
      <c r="H18">
        <v>0.3034</v>
      </c>
      <c r="I18">
        <v>1.21</v>
      </c>
    </row>
    <row r="19" spans="1:9" x14ac:dyDescent="0.3">
      <c r="A19">
        <f>LOOKUP(9E+307,--MID(D19,1,{1,2,3,4,5}))</f>
        <v>7.5</v>
      </c>
      <c r="B19">
        <f>VLOOKUP(MID(D19,LOOKUP(2,1/ISNUMBER(-MID(D19,1,{1,2,3,4,5})),{1,2,3,4,5})+1,9),'Hue codes'!$A$1:$B$10,2,FALSE)</f>
        <v>0</v>
      </c>
      <c r="C19">
        <f t="shared" si="0"/>
        <v>7.5</v>
      </c>
      <c r="D19" t="s">
        <v>23</v>
      </c>
      <c r="E19">
        <v>1</v>
      </c>
      <c r="F19">
        <v>4</v>
      </c>
      <c r="G19">
        <v>0.46600000000000003</v>
      </c>
      <c r="H19">
        <v>0.2888</v>
      </c>
      <c r="I19">
        <v>1.21</v>
      </c>
    </row>
    <row r="20" spans="1:9" x14ac:dyDescent="0.3">
      <c r="A20">
        <f>LOOKUP(9E+307,--MID(D20,1,{1,2,3,4,5}))</f>
        <v>7.5</v>
      </c>
      <c r="B20">
        <f>VLOOKUP(MID(D20,LOOKUP(2,1/ISNUMBER(-MID(D20,1,{1,2,3,4,5})),{1,2,3,4,5})+1,9),'Hue codes'!$A$1:$B$10,2,FALSE)</f>
        <v>0</v>
      </c>
      <c r="C20">
        <f t="shared" si="0"/>
        <v>7.5</v>
      </c>
      <c r="D20" t="s">
        <v>23</v>
      </c>
      <c r="E20">
        <v>1</v>
      </c>
      <c r="F20">
        <v>6</v>
      </c>
      <c r="G20">
        <v>0.52349999999999997</v>
      </c>
      <c r="H20">
        <v>0.26979999999999998</v>
      </c>
      <c r="I20">
        <v>1.21</v>
      </c>
    </row>
    <row r="21" spans="1:9" x14ac:dyDescent="0.3">
      <c r="A21">
        <f>LOOKUP(9E+307,--MID(D21,1,{1,2,3,4,5}))</f>
        <v>7.5</v>
      </c>
      <c r="B21">
        <f>VLOOKUP(MID(D21,LOOKUP(2,1/ISNUMBER(-MID(D21,1,{1,2,3,4,5})),{1,2,3,4,5})+1,9),'Hue codes'!$A$1:$B$10,2,FALSE)</f>
        <v>0</v>
      </c>
      <c r="C21">
        <f t="shared" si="0"/>
        <v>7.5</v>
      </c>
      <c r="D21" t="s">
        <v>23</v>
      </c>
      <c r="E21">
        <v>1</v>
      </c>
      <c r="F21">
        <v>8</v>
      </c>
      <c r="G21">
        <v>0.57220000000000004</v>
      </c>
      <c r="H21">
        <v>0.2487</v>
      </c>
      <c r="I21">
        <v>1.21</v>
      </c>
    </row>
    <row r="22" spans="1:9" x14ac:dyDescent="0.3">
      <c r="A22">
        <f>LOOKUP(9E+307,--MID(D22,1,{1,2,3,4,5}))</f>
        <v>7.5</v>
      </c>
      <c r="B22">
        <f>VLOOKUP(MID(D22,LOOKUP(2,1/ISNUMBER(-MID(D22,1,{1,2,3,4,5})),{1,2,3,4,5})+1,9),'Hue codes'!$A$1:$B$10,2,FALSE)</f>
        <v>0</v>
      </c>
      <c r="C22">
        <f t="shared" si="0"/>
        <v>7.5</v>
      </c>
      <c r="D22" t="s">
        <v>23</v>
      </c>
      <c r="E22">
        <v>1</v>
      </c>
      <c r="F22">
        <v>10</v>
      </c>
      <c r="G22">
        <v>0.61109999999999998</v>
      </c>
      <c r="H22">
        <v>0.22900000000000001</v>
      </c>
      <c r="I22">
        <v>1.21</v>
      </c>
    </row>
    <row r="23" spans="1:9" x14ac:dyDescent="0.3">
      <c r="A23">
        <f>LOOKUP(9E+307,--MID(D23,1,{1,2,3,4,5}))</f>
        <v>10</v>
      </c>
      <c r="B23">
        <f>VLOOKUP(MID(D23,LOOKUP(2,1/ISNUMBER(-MID(D23,1,{1,2,3,4,5})),{1,2,3,4,5})+1,9),'Hue codes'!$A$1:$B$10,2,FALSE)</f>
        <v>0</v>
      </c>
      <c r="C23">
        <f t="shared" si="0"/>
        <v>10</v>
      </c>
      <c r="D23" t="s">
        <v>24</v>
      </c>
      <c r="E23">
        <v>1</v>
      </c>
      <c r="F23">
        <v>2</v>
      </c>
      <c r="G23">
        <v>0.4128</v>
      </c>
      <c r="H23">
        <v>0.31540000000000001</v>
      </c>
      <c r="I23">
        <v>1.21</v>
      </c>
    </row>
    <row r="24" spans="1:9" x14ac:dyDescent="0.3">
      <c r="A24">
        <f>LOOKUP(9E+307,--MID(D24,1,{1,2,3,4,5}))</f>
        <v>10</v>
      </c>
      <c r="B24">
        <f>VLOOKUP(MID(D24,LOOKUP(2,1/ISNUMBER(-MID(D24,1,{1,2,3,4,5})),{1,2,3,4,5})+1,9),'Hue codes'!$A$1:$B$10,2,FALSE)</f>
        <v>0</v>
      </c>
      <c r="C24">
        <f t="shared" si="0"/>
        <v>10</v>
      </c>
      <c r="D24" t="s">
        <v>24</v>
      </c>
      <c r="E24">
        <v>1</v>
      </c>
      <c r="F24">
        <v>4</v>
      </c>
      <c r="G24">
        <v>0.49330000000000002</v>
      </c>
      <c r="H24">
        <v>0.30680000000000002</v>
      </c>
      <c r="I24">
        <v>1.21</v>
      </c>
    </row>
    <row r="25" spans="1:9" x14ac:dyDescent="0.3">
      <c r="A25">
        <f>LOOKUP(9E+307,--MID(D25,1,{1,2,3,4,5}))</f>
        <v>10</v>
      </c>
      <c r="B25">
        <f>VLOOKUP(MID(D25,LOOKUP(2,1/ISNUMBER(-MID(D25,1,{1,2,3,4,5})),{1,2,3,4,5})+1,9),'Hue codes'!$A$1:$B$10,2,FALSE)</f>
        <v>0</v>
      </c>
      <c r="C25">
        <f t="shared" si="0"/>
        <v>10</v>
      </c>
      <c r="D25" t="s">
        <v>24</v>
      </c>
      <c r="E25">
        <v>1</v>
      </c>
      <c r="F25">
        <v>6</v>
      </c>
      <c r="G25">
        <v>0.55840000000000001</v>
      </c>
      <c r="H25">
        <v>0.29210000000000003</v>
      </c>
      <c r="I25">
        <v>1.21</v>
      </c>
    </row>
    <row r="26" spans="1:9" x14ac:dyDescent="0.3">
      <c r="A26">
        <f>LOOKUP(9E+307,--MID(D26,1,{1,2,3,4,5}))</f>
        <v>10</v>
      </c>
      <c r="B26">
        <f>VLOOKUP(MID(D26,LOOKUP(2,1/ISNUMBER(-MID(D26,1,{1,2,3,4,5})),{1,2,3,4,5})+1,9),'Hue codes'!$A$1:$B$10,2,FALSE)</f>
        <v>0</v>
      </c>
      <c r="C26">
        <f t="shared" si="0"/>
        <v>10</v>
      </c>
      <c r="D26" t="s">
        <v>24</v>
      </c>
      <c r="E26">
        <v>1</v>
      </c>
      <c r="F26">
        <v>8</v>
      </c>
      <c r="G26">
        <v>0.61780000000000002</v>
      </c>
      <c r="H26">
        <v>0.27129999999999999</v>
      </c>
      <c r="I26">
        <v>1.21</v>
      </c>
    </row>
    <row r="27" spans="1:9" x14ac:dyDescent="0.3">
      <c r="A27">
        <f>LOOKUP(9E+307,--MID(D27,1,{1,2,3,4,5}))</f>
        <v>10</v>
      </c>
      <c r="B27">
        <f>VLOOKUP(MID(D27,LOOKUP(2,1/ISNUMBER(-MID(D27,1,{1,2,3,4,5})),{1,2,3,4,5})+1,9),'Hue codes'!$A$1:$B$10,2,FALSE)</f>
        <v>0</v>
      </c>
      <c r="C27">
        <f t="shared" si="0"/>
        <v>10</v>
      </c>
      <c r="D27" t="s">
        <v>24</v>
      </c>
      <c r="E27">
        <v>1</v>
      </c>
      <c r="F27">
        <v>10</v>
      </c>
      <c r="G27">
        <v>0.66610000000000003</v>
      </c>
      <c r="H27">
        <v>0.24990000000000001</v>
      </c>
      <c r="I27">
        <v>1.21</v>
      </c>
    </row>
    <row r="28" spans="1:9" x14ac:dyDescent="0.3">
      <c r="A28">
        <f>LOOKUP(9E+307,--MID(D28,1,{1,2,3,4,5}))</f>
        <v>2.5</v>
      </c>
      <c r="B28">
        <f>VLOOKUP(MID(D28,LOOKUP(2,1/ISNUMBER(-MID(D28,1,{1,2,3,4,5})),{1,2,3,4,5})+1,9),'Hue codes'!$A$1:$B$10,2,FALSE)</f>
        <v>10</v>
      </c>
      <c r="C28">
        <f t="shared" si="0"/>
        <v>12.5</v>
      </c>
      <c r="D28" t="s">
        <v>25</v>
      </c>
      <c r="E28">
        <v>1</v>
      </c>
      <c r="F28">
        <v>2</v>
      </c>
      <c r="G28">
        <v>0.42580000000000001</v>
      </c>
      <c r="H28">
        <v>0.33439999999999998</v>
      </c>
      <c r="I28">
        <v>1.21</v>
      </c>
    </row>
    <row r="29" spans="1:9" x14ac:dyDescent="0.3">
      <c r="A29">
        <f>LOOKUP(9E+307,--MID(D29,1,{1,2,3,4,5}))</f>
        <v>2.5</v>
      </c>
      <c r="B29">
        <f>VLOOKUP(MID(D29,LOOKUP(2,1/ISNUMBER(-MID(D29,1,{1,2,3,4,5})),{1,2,3,4,5})+1,9),'Hue codes'!$A$1:$B$10,2,FALSE)</f>
        <v>10</v>
      </c>
      <c r="C29">
        <f t="shared" si="0"/>
        <v>12.5</v>
      </c>
      <c r="D29" t="s">
        <v>25</v>
      </c>
      <c r="E29">
        <v>1</v>
      </c>
      <c r="F29">
        <v>4</v>
      </c>
      <c r="G29">
        <v>0.53110000000000002</v>
      </c>
      <c r="H29">
        <v>0.33710000000000001</v>
      </c>
      <c r="I29">
        <v>1.21</v>
      </c>
    </row>
    <row r="30" spans="1:9" x14ac:dyDescent="0.3">
      <c r="A30">
        <f>LOOKUP(9E+307,--MID(D30,1,{1,2,3,4,5}))</f>
        <v>2.5</v>
      </c>
      <c r="B30">
        <f>VLOOKUP(MID(D30,LOOKUP(2,1/ISNUMBER(-MID(D30,1,{1,2,3,4,5})),{1,2,3,4,5})+1,9),'Hue codes'!$A$1:$B$10,2,FALSE)</f>
        <v>10</v>
      </c>
      <c r="C30">
        <f t="shared" si="0"/>
        <v>12.5</v>
      </c>
      <c r="D30" t="s">
        <v>25</v>
      </c>
      <c r="E30">
        <v>1</v>
      </c>
      <c r="F30">
        <v>6</v>
      </c>
      <c r="G30">
        <v>0.6048</v>
      </c>
      <c r="H30">
        <v>0.32700000000000001</v>
      </c>
      <c r="I30">
        <v>1.21</v>
      </c>
    </row>
    <row r="31" spans="1:9" x14ac:dyDescent="0.3">
      <c r="A31">
        <f>LOOKUP(9E+307,--MID(D31,1,{1,2,3,4,5}))</f>
        <v>2.5</v>
      </c>
      <c r="B31">
        <f>VLOOKUP(MID(D31,LOOKUP(2,1/ISNUMBER(-MID(D31,1,{1,2,3,4,5})),{1,2,3,4,5})+1,9),'Hue codes'!$A$1:$B$10,2,FALSE)</f>
        <v>10</v>
      </c>
      <c r="C31">
        <f t="shared" si="0"/>
        <v>12.5</v>
      </c>
      <c r="D31" t="s">
        <v>25</v>
      </c>
      <c r="E31">
        <v>1</v>
      </c>
      <c r="F31">
        <v>8</v>
      </c>
      <c r="G31">
        <v>0.67210000000000003</v>
      </c>
      <c r="H31">
        <v>0.30580000000000002</v>
      </c>
      <c r="I31">
        <v>1.21</v>
      </c>
    </row>
    <row r="32" spans="1:9" x14ac:dyDescent="0.3">
      <c r="A32">
        <f>LOOKUP(9E+307,--MID(D32,1,{1,2,3,4,5}))</f>
        <v>5</v>
      </c>
      <c r="B32">
        <f>VLOOKUP(MID(D32,LOOKUP(2,1/ISNUMBER(-MID(D32,1,{1,2,3,4,5})),{1,2,3,4,5})+1,9),'Hue codes'!$A$1:$B$10,2,FALSE)</f>
        <v>10</v>
      </c>
      <c r="C32">
        <f t="shared" si="0"/>
        <v>15</v>
      </c>
      <c r="D32" t="s">
        <v>26</v>
      </c>
      <c r="E32">
        <v>1</v>
      </c>
      <c r="F32">
        <v>2</v>
      </c>
      <c r="G32">
        <v>0.43769999999999998</v>
      </c>
      <c r="H32">
        <v>0.35799999999999998</v>
      </c>
      <c r="I32">
        <v>1.21</v>
      </c>
    </row>
    <row r="33" spans="1:9" x14ac:dyDescent="0.3">
      <c r="A33">
        <f>LOOKUP(9E+307,--MID(D33,1,{1,2,3,4,5}))</f>
        <v>5</v>
      </c>
      <c r="B33">
        <f>VLOOKUP(MID(D33,LOOKUP(2,1/ISNUMBER(-MID(D33,1,{1,2,3,4,5})),{1,2,3,4,5})+1,9),'Hue codes'!$A$1:$B$10,2,FALSE)</f>
        <v>10</v>
      </c>
      <c r="C33">
        <f t="shared" si="0"/>
        <v>15</v>
      </c>
      <c r="D33" t="s">
        <v>26</v>
      </c>
      <c r="E33">
        <v>1</v>
      </c>
      <c r="F33">
        <v>4</v>
      </c>
      <c r="G33">
        <v>0.56599999999999995</v>
      </c>
      <c r="H33">
        <v>0.3795</v>
      </c>
      <c r="I33">
        <v>1.21</v>
      </c>
    </row>
    <row r="34" spans="1:9" x14ac:dyDescent="0.3">
      <c r="A34">
        <f>LOOKUP(9E+307,--MID(D34,1,{1,2,3,4,5}))</f>
        <v>7.5</v>
      </c>
      <c r="B34">
        <f>VLOOKUP(MID(D34,LOOKUP(2,1/ISNUMBER(-MID(D34,1,{1,2,3,4,5})),{1,2,3,4,5})+1,9),'Hue codes'!$A$1:$B$10,2,FALSE)</f>
        <v>10</v>
      </c>
      <c r="C34">
        <f t="shared" si="0"/>
        <v>17.5</v>
      </c>
      <c r="D34" t="s">
        <v>27</v>
      </c>
      <c r="E34">
        <v>1</v>
      </c>
      <c r="F34">
        <v>2</v>
      </c>
      <c r="G34">
        <v>0.443</v>
      </c>
      <c r="H34">
        <v>0.3775</v>
      </c>
      <c r="I34">
        <v>1.21</v>
      </c>
    </row>
    <row r="35" spans="1:9" x14ac:dyDescent="0.3">
      <c r="A35">
        <f>LOOKUP(9E+307,--MID(D35,1,{1,2,3,4,5}))</f>
        <v>10</v>
      </c>
      <c r="B35">
        <f>VLOOKUP(MID(D35,LOOKUP(2,1/ISNUMBER(-MID(D35,1,{1,2,3,4,5})),{1,2,3,4,5})+1,9),'Hue codes'!$A$1:$B$10,2,FALSE)</f>
        <v>10</v>
      </c>
      <c r="C35">
        <f t="shared" si="0"/>
        <v>20</v>
      </c>
      <c r="D35" t="s">
        <v>28</v>
      </c>
      <c r="E35">
        <v>1</v>
      </c>
      <c r="F35">
        <v>2</v>
      </c>
      <c r="G35">
        <v>0.4446</v>
      </c>
      <c r="H35">
        <v>0.3982</v>
      </c>
      <c r="I35">
        <v>1.21</v>
      </c>
    </row>
    <row r="36" spans="1:9" x14ac:dyDescent="0.3">
      <c r="A36">
        <f>LOOKUP(9E+307,--MID(D36,1,{1,2,3,4,5}))</f>
        <v>2.5</v>
      </c>
      <c r="B36">
        <f>VLOOKUP(MID(D36,LOOKUP(2,1/ISNUMBER(-MID(D36,1,{1,2,3,4,5})),{1,2,3,4,5})+1,9),'Hue codes'!$A$1:$B$10,2,FALSE)</f>
        <v>20</v>
      </c>
      <c r="C36">
        <f t="shared" si="0"/>
        <v>22.5</v>
      </c>
      <c r="D36" t="s">
        <v>29</v>
      </c>
      <c r="E36">
        <v>1</v>
      </c>
      <c r="F36">
        <v>2</v>
      </c>
      <c r="G36">
        <v>0.43619999999999998</v>
      </c>
      <c r="H36">
        <v>0.41770000000000002</v>
      </c>
      <c r="I36">
        <v>1.21</v>
      </c>
    </row>
    <row r="37" spans="1:9" x14ac:dyDescent="0.3">
      <c r="A37">
        <f>LOOKUP(9E+307,--MID(D37,1,{1,2,3,4,5}))</f>
        <v>5</v>
      </c>
      <c r="B37">
        <f>VLOOKUP(MID(D37,LOOKUP(2,1/ISNUMBER(-MID(D37,1,{1,2,3,4,5})),{1,2,3,4,5})+1,9),'Hue codes'!$A$1:$B$10,2,FALSE)</f>
        <v>20</v>
      </c>
      <c r="C37">
        <f t="shared" si="0"/>
        <v>25</v>
      </c>
      <c r="D37" t="s">
        <v>30</v>
      </c>
      <c r="E37">
        <v>1</v>
      </c>
      <c r="F37">
        <v>2</v>
      </c>
      <c r="G37">
        <v>0.42299999999999999</v>
      </c>
      <c r="H37">
        <v>0.42649999999999999</v>
      </c>
      <c r="I37">
        <v>1.21</v>
      </c>
    </row>
    <row r="38" spans="1:9" x14ac:dyDescent="0.3">
      <c r="A38">
        <f>LOOKUP(9E+307,--MID(D38,1,{1,2,3,4,5}))</f>
        <v>7.5</v>
      </c>
      <c r="B38">
        <f>VLOOKUP(MID(D38,LOOKUP(2,1/ISNUMBER(-MID(D38,1,{1,2,3,4,5})),{1,2,3,4,5})+1,9),'Hue codes'!$A$1:$B$10,2,FALSE)</f>
        <v>20</v>
      </c>
      <c r="C38">
        <f t="shared" si="0"/>
        <v>27.5</v>
      </c>
      <c r="D38" t="s">
        <v>31</v>
      </c>
      <c r="E38">
        <v>1</v>
      </c>
      <c r="F38">
        <v>2</v>
      </c>
      <c r="G38">
        <v>0.4042</v>
      </c>
      <c r="H38">
        <v>0.42870000000000003</v>
      </c>
      <c r="I38">
        <v>1.21</v>
      </c>
    </row>
    <row r="39" spans="1:9" x14ac:dyDescent="0.3">
      <c r="A39">
        <f>LOOKUP(9E+307,--MID(D39,1,{1,2,3,4,5}))</f>
        <v>10</v>
      </c>
      <c r="B39">
        <f>VLOOKUP(MID(D39,LOOKUP(2,1/ISNUMBER(-MID(D39,1,{1,2,3,4,5})),{1,2,3,4,5})+1,9),'Hue codes'!$A$1:$B$10,2,FALSE)</f>
        <v>20</v>
      </c>
      <c r="C39">
        <f t="shared" si="0"/>
        <v>30</v>
      </c>
      <c r="D39" t="s">
        <v>32</v>
      </c>
      <c r="E39">
        <v>1</v>
      </c>
      <c r="F39">
        <v>2</v>
      </c>
      <c r="G39">
        <v>0.38019999999999998</v>
      </c>
      <c r="H39">
        <v>0.42120000000000002</v>
      </c>
      <c r="I39">
        <v>1.21</v>
      </c>
    </row>
    <row r="40" spans="1:9" x14ac:dyDescent="0.3">
      <c r="A40">
        <f>LOOKUP(9E+307,--MID(D40,1,{1,2,3,4,5}))</f>
        <v>2.5</v>
      </c>
      <c r="B40">
        <f>VLOOKUP(MID(D40,LOOKUP(2,1/ISNUMBER(-MID(D40,1,{1,2,3,4,5})),{1,2,3,4,5})+1,9),'Hue codes'!$A$1:$B$10,2,FALSE)</f>
        <v>30</v>
      </c>
      <c r="C40">
        <f t="shared" si="0"/>
        <v>32.5</v>
      </c>
      <c r="D40" t="s">
        <v>33</v>
      </c>
      <c r="E40">
        <v>1</v>
      </c>
      <c r="F40">
        <v>2</v>
      </c>
      <c r="G40">
        <v>0.35399999999999998</v>
      </c>
      <c r="H40">
        <v>0.4088</v>
      </c>
      <c r="I40">
        <v>1.21</v>
      </c>
    </row>
    <row r="41" spans="1:9" x14ac:dyDescent="0.3">
      <c r="A41">
        <f>LOOKUP(9E+307,--MID(D41,1,{1,2,3,4,5}))</f>
        <v>5</v>
      </c>
      <c r="B41">
        <f>VLOOKUP(MID(D41,LOOKUP(2,1/ISNUMBER(-MID(D41,1,{1,2,3,4,5})),{1,2,3,4,5})+1,9),'Hue codes'!$A$1:$B$10,2,FALSE)</f>
        <v>30</v>
      </c>
      <c r="C41">
        <f t="shared" si="0"/>
        <v>35</v>
      </c>
      <c r="D41" t="s">
        <v>34</v>
      </c>
      <c r="E41">
        <v>1</v>
      </c>
      <c r="F41">
        <v>2</v>
      </c>
      <c r="G41">
        <v>0.33589999999999998</v>
      </c>
      <c r="H41">
        <v>0.3982</v>
      </c>
      <c r="I41">
        <v>1.21</v>
      </c>
    </row>
    <row r="42" spans="1:9" x14ac:dyDescent="0.3">
      <c r="A42">
        <f>LOOKUP(9E+307,--MID(D42,1,{1,2,3,4,5}))</f>
        <v>5</v>
      </c>
      <c r="B42">
        <f>VLOOKUP(MID(D42,LOOKUP(2,1/ISNUMBER(-MID(D42,1,{1,2,3,4,5})),{1,2,3,4,5})+1,9),'Hue codes'!$A$1:$B$10,2,FALSE)</f>
        <v>30</v>
      </c>
      <c r="C42">
        <f t="shared" si="0"/>
        <v>35</v>
      </c>
      <c r="D42" t="s">
        <v>34</v>
      </c>
      <c r="E42">
        <v>1</v>
      </c>
      <c r="F42">
        <v>4</v>
      </c>
      <c r="G42">
        <v>0.3765</v>
      </c>
      <c r="H42">
        <v>0.59419999999999995</v>
      </c>
      <c r="I42">
        <v>1.21</v>
      </c>
    </row>
    <row r="43" spans="1:9" x14ac:dyDescent="0.3">
      <c r="A43">
        <f>LOOKUP(9E+307,--MID(D43,1,{1,2,3,4,5}))</f>
        <v>7.5</v>
      </c>
      <c r="B43">
        <f>VLOOKUP(MID(D43,LOOKUP(2,1/ISNUMBER(-MID(D43,1,{1,2,3,4,5})),{1,2,3,4,5})+1,9),'Hue codes'!$A$1:$B$10,2,FALSE)</f>
        <v>30</v>
      </c>
      <c r="C43">
        <f t="shared" si="0"/>
        <v>37.5</v>
      </c>
      <c r="D43" t="s">
        <v>35</v>
      </c>
      <c r="E43">
        <v>1</v>
      </c>
      <c r="F43">
        <v>2</v>
      </c>
      <c r="G43">
        <v>0.31540000000000001</v>
      </c>
      <c r="H43">
        <v>0.38400000000000001</v>
      </c>
      <c r="I43">
        <v>1.21</v>
      </c>
    </row>
    <row r="44" spans="1:9" x14ac:dyDescent="0.3">
      <c r="A44">
        <f>LOOKUP(9E+307,--MID(D44,1,{1,2,3,4,5}))</f>
        <v>7.5</v>
      </c>
      <c r="B44">
        <f>VLOOKUP(MID(D44,LOOKUP(2,1/ISNUMBER(-MID(D44,1,{1,2,3,4,5})),{1,2,3,4,5})+1,9),'Hue codes'!$A$1:$B$10,2,FALSE)</f>
        <v>30</v>
      </c>
      <c r="C44">
        <f t="shared" si="0"/>
        <v>37.5</v>
      </c>
      <c r="D44" t="s">
        <v>35</v>
      </c>
      <c r="E44">
        <v>1</v>
      </c>
      <c r="F44">
        <v>4</v>
      </c>
      <c r="G44">
        <v>0.31330000000000002</v>
      </c>
      <c r="H44">
        <v>0.53800000000000003</v>
      </c>
      <c r="I44">
        <v>1.21</v>
      </c>
    </row>
    <row r="45" spans="1:9" x14ac:dyDescent="0.3">
      <c r="A45">
        <f>LOOKUP(9E+307,--MID(D45,1,{1,2,3,4,5}))</f>
        <v>10</v>
      </c>
      <c r="B45">
        <f>VLOOKUP(MID(D45,LOOKUP(2,1/ISNUMBER(-MID(D45,1,{1,2,3,4,5})),{1,2,3,4,5})+1,9),'Hue codes'!$A$1:$B$10,2,FALSE)</f>
        <v>30</v>
      </c>
      <c r="C45">
        <f t="shared" si="0"/>
        <v>40</v>
      </c>
      <c r="D45" t="s">
        <v>36</v>
      </c>
      <c r="E45">
        <v>1</v>
      </c>
      <c r="F45">
        <v>2</v>
      </c>
      <c r="G45">
        <v>0.30059999999999998</v>
      </c>
      <c r="H45">
        <v>0.372</v>
      </c>
      <c r="I45">
        <v>1.21</v>
      </c>
    </row>
    <row r="46" spans="1:9" x14ac:dyDescent="0.3">
      <c r="A46">
        <f>LOOKUP(9E+307,--MID(D46,1,{1,2,3,4,5}))</f>
        <v>10</v>
      </c>
      <c r="B46">
        <f>VLOOKUP(MID(D46,LOOKUP(2,1/ISNUMBER(-MID(D46,1,{1,2,3,4,5})),{1,2,3,4,5})+1,9),'Hue codes'!$A$1:$B$10,2,FALSE)</f>
        <v>30</v>
      </c>
      <c r="C46">
        <f t="shared" si="0"/>
        <v>40</v>
      </c>
      <c r="D46" t="s">
        <v>36</v>
      </c>
      <c r="E46">
        <v>1</v>
      </c>
      <c r="F46">
        <v>4</v>
      </c>
      <c r="G46">
        <v>0.2722</v>
      </c>
      <c r="H46">
        <v>0.49030000000000001</v>
      </c>
      <c r="I46">
        <v>1.21</v>
      </c>
    </row>
    <row r="47" spans="1:9" x14ac:dyDescent="0.3">
      <c r="A47">
        <f>LOOKUP(9E+307,--MID(D47,1,{1,2,3,4,5}))</f>
        <v>10</v>
      </c>
      <c r="B47">
        <f>VLOOKUP(MID(D47,LOOKUP(2,1/ISNUMBER(-MID(D47,1,{1,2,3,4,5})),{1,2,3,4,5})+1,9),'Hue codes'!$A$1:$B$10,2,FALSE)</f>
        <v>30</v>
      </c>
      <c r="C47">
        <f t="shared" si="0"/>
        <v>40</v>
      </c>
      <c r="D47" t="s">
        <v>36</v>
      </c>
      <c r="E47">
        <v>1</v>
      </c>
      <c r="F47">
        <v>6</v>
      </c>
      <c r="G47">
        <v>0.22320000000000001</v>
      </c>
      <c r="H47">
        <v>0.63919999999999999</v>
      </c>
      <c r="I47">
        <v>1.21</v>
      </c>
    </row>
    <row r="48" spans="1:9" x14ac:dyDescent="0.3">
      <c r="A48">
        <f>LOOKUP(9E+307,--MID(D48,1,{1,2,3,4,5}))</f>
        <v>2.5</v>
      </c>
      <c r="B48">
        <f>VLOOKUP(MID(D48,LOOKUP(2,1/ISNUMBER(-MID(D48,1,{1,2,3,4,5})),{1,2,3,4,5})+1,9),'Hue codes'!$A$1:$B$10,2,FALSE)</f>
        <v>40</v>
      </c>
      <c r="C48">
        <f t="shared" si="0"/>
        <v>42.5</v>
      </c>
      <c r="D48" t="s">
        <v>37</v>
      </c>
      <c r="E48">
        <v>1</v>
      </c>
      <c r="F48">
        <v>2</v>
      </c>
      <c r="G48">
        <v>0.29099999999999998</v>
      </c>
      <c r="H48">
        <v>0.3634</v>
      </c>
      <c r="I48">
        <v>1.21</v>
      </c>
    </row>
    <row r="49" spans="1:9" x14ac:dyDescent="0.3">
      <c r="A49">
        <f>LOOKUP(9E+307,--MID(D49,1,{1,2,3,4,5}))</f>
        <v>2.5</v>
      </c>
      <c r="B49">
        <f>VLOOKUP(MID(D49,LOOKUP(2,1/ISNUMBER(-MID(D49,1,{1,2,3,4,5})),{1,2,3,4,5})+1,9),'Hue codes'!$A$1:$B$10,2,FALSE)</f>
        <v>40</v>
      </c>
      <c r="C49">
        <f t="shared" si="0"/>
        <v>42.5</v>
      </c>
      <c r="D49" t="s">
        <v>37</v>
      </c>
      <c r="E49">
        <v>1</v>
      </c>
      <c r="F49">
        <v>4</v>
      </c>
      <c r="G49">
        <v>0.24540000000000001</v>
      </c>
      <c r="H49">
        <v>0.44890000000000002</v>
      </c>
      <c r="I49">
        <v>1.21</v>
      </c>
    </row>
    <row r="50" spans="1:9" x14ac:dyDescent="0.3">
      <c r="A50">
        <f>LOOKUP(9E+307,--MID(D50,1,{1,2,3,4,5}))</f>
        <v>2.5</v>
      </c>
      <c r="B50">
        <f>VLOOKUP(MID(D50,LOOKUP(2,1/ISNUMBER(-MID(D50,1,{1,2,3,4,5})),{1,2,3,4,5})+1,9),'Hue codes'!$A$1:$B$10,2,FALSE)</f>
        <v>40</v>
      </c>
      <c r="C50">
        <f t="shared" si="0"/>
        <v>42.5</v>
      </c>
      <c r="D50" t="s">
        <v>37</v>
      </c>
      <c r="E50">
        <v>1</v>
      </c>
      <c r="F50">
        <v>6</v>
      </c>
      <c r="G50">
        <v>0.1711</v>
      </c>
      <c r="H50">
        <v>0.56189999999999996</v>
      </c>
      <c r="I50">
        <v>1.21</v>
      </c>
    </row>
    <row r="51" spans="1:9" x14ac:dyDescent="0.3">
      <c r="A51">
        <f>LOOKUP(9E+307,--MID(D51,1,{1,2,3,4,5}))</f>
        <v>2.5</v>
      </c>
      <c r="B51">
        <f>VLOOKUP(MID(D51,LOOKUP(2,1/ISNUMBER(-MID(D51,1,{1,2,3,4,5})),{1,2,3,4,5})+1,9),'Hue codes'!$A$1:$B$10,2,FALSE)</f>
        <v>40</v>
      </c>
      <c r="C51">
        <f t="shared" si="0"/>
        <v>42.5</v>
      </c>
      <c r="D51" t="s">
        <v>37</v>
      </c>
      <c r="E51">
        <v>1</v>
      </c>
      <c r="F51">
        <v>8</v>
      </c>
      <c r="G51">
        <v>6.2E-2</v>
      </c>
      <c r="H51">
        <v>0.68959999999999999</v>
      </c>
      <c r="I51">
        <v>1.21</v>
      </c>
    </row>
    <row r="52" spans="1:9" x14ac:dyDescent="0.3">
      <c r="A52">
        <f>LOOKUP(9E+307,--MID(D52,1,{1,2,3,4,5}))</f>
        <v>5</v>
      </c>
      <c r="B52">
        <f>VLOOKUP(MID(D52,LOOKUP(2,1/ISNUMBER(-MID(D52,1,{1,2,3,4,5})),{1,2,3,4,5})+1,9),'Hue codes'!$A$1:$B$10,2,FALSE)</f>
        <v>40</v>
      </c>
      <c r="C52">
        <f t="shared" si="0"/>
        <v>45</v>
      </c>
      <c r="D52" t="s">
        <v>38</v>
      </c>
      <c r="E52">
        <v>1</v>
      </c>
      <c r="F52">
        <v>2</v>
      </c>
      <c r="G52">
        <v>0.2833</v>
      </c>
      <c r="H52">
        <v>0.35639999999999999</v>
      </c>
      <c r="I52">
        <v>1.21</v>
      </c>
    </row>
    <row r="53" spans="1:9" x14ac:dyDescent="0.3">
      <c r="A53">
        <f>LOOKUP(9E+307,--MID(D53,1,{1,2,3,4,5}))</f>
        <v>5</v>
      </c>
      <c r="B53">
        <f>VLOOKUP(MID(D53,LOOKUP(2,1/ISNUMBER(-MID(D53,1,{1,2,3,4,5})),{1,2,3,4,5})+1,9),'Hue codes'!$A$1:$B$10,2,FALSE)</f>
        <v>40</v>
      </c>
      <c r="C53">
        <f t="shared" si="0"/>
        <v>45</v>
      </c>
      <c r="D53" t="s">
        <v>38</v>
      </c>
      <c r="E53">
        <v>1</v>
      </c>
      <c r="F53">
        <v>4</v>
      </c>
      <c r="G53">
        <v>0.22900000000000001</v>
      </c>
      <c r="H53">
        <v>0.42180000000000001</v>
      </c>
      <c r="I53">
        <v>1.21</v>
      </c>
    </row>
    <row r="54" spans="1:9" x14ac:dyDescent="0.3">
      <c r="A54">
        <f>LOOKUP(9E+307,--MID(D54,1,{1,2,3,4,5}))</f>
        <v>5</v>
      </c>
      <c r="B54">
        <f>VLOOKUP(MID(D54,LOOKUP(2,1/ISNUMBER(-MID(D54,1,{1,2,3,4,5})),{1,2,3,4,5})+1,9),'Hue codes'!$A$1:$B$10,2,FALSE)</f>
        <v>40</v>
      </c>
      <c r="C54">
        <f t="shared" si="0"/>
        <v>45</v>
      </c>
      <c r="D54" t="s">
        <v>38</v>
      </c>
      <c r="E54">
        <v>1</v>
      </c>
      <c r="F54">
        <v>6</v>
      </c>
      <c r="G54">
        <v>0.14680000000000001</v>
      </c>
      <c r="H54">
        <v>0.49959999999999999</v>
      </c>
      <c r="I54">
        <v>1.21</v>
      </c>
    </row>
    <row r="55" spans="1:9" x14ac:dyDescent="0.3">
      <c r="A55">
        <f>LOOKUP(9E+307,--MID(D55,1,{1,2,3,4,5}))</f>
        <v>5</v>
      </c>
      <c r="B55">
        <f>VLOOKUP(MID(D55,LOOKUP(2,1/ISNUMBER(-MID(D55,1,{1,2,3,4,5})),{1,2,3,4,5})+1,9),'Hue codes'!$A$1:$B$10,2,FALSE)</f>
        <v>40</v>
      </c>
      <c r="C55">
        <f t="shared" si="0"/>
        <v>45</v>
      </c>
      <c r="D55" t="s">
        <v>38</v>
      </c>
      <c r="E55">
        <v>1</v>
      </c>
      <c r="F55">
        <v>8</v>
      </c>
      <c r="G55">
        <v>5.5899999999999998E-2</v>
      </c>
      <c r="H55">
        <v>0.57099999999999995</v>
      </c>
      <c r="I55">
        <v>1.21</v>
      </c>
    </row>
    <row r="56" spans="1:9" x14ac:dyDescent="0.3">
      <c r="A56">
        <f>LOOKUP(9E+307,--MID(D56,1,{1,2,3,4,5}))</f>
        <v>7.5</v>
      </c>
      <c r="B56">
        <f>VLOOKUP(MID(D56,LOOKUP(2,1/ISNUMBER(-MID(D56,1,{1,2,3,4,5})),{1,2,3,4,5})+1,9),'Hue codes'!$A$1:$B$10,2,FALSE)</f>
        <v>40</v>
      </c>
      <c r="C56">
        <f t="shared" si="0"/>
        <v>47.5</v>
      </c>
      <c r="D56" t="s">
        <v>39</v>
      </c>
      <c r="E56">
        <v>1</v>
      </c>
      <c r="F56">
        <v>2</v>
      </c>
      <c r="G56">
        <v>0.27579999999999999</v>
      </c>
      <c r="H56">
        <v>0.34839999999999999</v>
      </c>
      <c r="I56">
        <v>1.21</v>
      </c>
    </row>
    <row r="57" spans="1:9" x14ac:dyDescent="0.3">
      <c r="A57">
        <f>LOOKUP(9E+307,--MID(D57,1,{1,2,3,4,5}))</f>
        <v>7.5</v>
      </c>
      <c r="B57">
        <f>VLOOKUP(MID(D57,LOOKUP(2,1/ISNUMBER(-MID(D57,1,{1,2,3,4,5})),{1,2,3,4,5})+1,9),'Hue codes'!$A$1:$B$10,2,FALSE)</f>
        <v>40</v>
      </c>
      <c r="C57">
        <f t="shared" si="0"/>
        <v>47.5</v>
      </c>
      <c r="D57" t="s">
        <v>39</v>
      </c>
      <c r="E57">
        <v>1</v>
      </c>
      <c r="F57">
        <v>4</v>
      </c>
      <c r="G57">
        <v>0.21590000000000001</v>
      </c>
      <c r="H57">
        <v>0.3967</v>
      </c>
      <c r="I57">
        <v>1.21</v>
      </c>
    </row>
    <row r="58" spans="1:9" x14ac:dyDescent="0.3">
      <c r="A58">
        <f>LOOKUP(9E+307,--MID(D58,1,{1,2,3,4,5}))</f>
        <v>7.5</v>
      </c>
      <c r="B58">
        <f>VLOOKUP(MID(D58,LOOKUP(2,1/ISNUMBER(-MID(D58,1,{1,2,3,4,5})),{1,2,3,4,5})+1,9),'Hue codes'!$A$1:$B$10,2,FALSE)</f>
        <v>40</v>
      </c>
      <c r="C58">
        <f t="shared" si="0"/>
        <v>47.5</v>
      </c>
      <c r="D58" t="s">
        <v>39</v>
      </c>
      <c r="E58">
        <v>1</v>
      </c>
      <c r="F58">
        <v>6</v>
      </c>
      <c r="G58">
        <v>0.13439999999999999</v>
      </c>
      <c r="H58">
        <v>0.45050000000000001</v>
      </c>
      <c r="I58">
        <v>1.21</v>
      </c>
    </row>
    <row r="59" spans="1:9" x14ac:dyDescent="0.3">
      <c r="A59">
        <f>LOOKUP(9E+307,--MID(D59,1,{1,2,3,4,5}))</f>
        <v>7.5</v>
      </c>
      <c r="B59">
        <f>VLOOKUP(MID(D59,LOOKUP(2,1/ISNUMBER(-MID(D59,1,{1,2,3,4,5})),{1,2,3,4,5})+1,9),'Hue codes'!$A$1:$B$10,2,FALSE)</f>
        <v>40</v>
      </c>
      <c r="C59">
        <f t="shared" si="0"/>
        <v>47.5</v>
      </c>
      <c r="D59" t="s">
        <v>39</v>
      </c>
      <c r="E59">
        <v>1</v>
      </c>
      <c r="F59">
        <v>8</v>
      </c>
      <c r="G59">
        <v>5.2999999999999999E-2</v>
      </c>
      <c r="H59">
        <v>0.49430000000000002</v>
      </c>
      <c r="I59">
        <v>1.21</v>
      </c>
    </row>
    <row r="60" spans="1:9" x14ac:dyDescent="0.3">
      <c r="A60">
        <f>LOOKUP(9E+307,--MID(D60,1,{1,2,3,4,5}))</f>
        <v>10</v>
      </c>
      <c r="B60">
        <f>VLOOKUP(MID(D60,LOOKUP(2,1/ISNUMBER(-MID(D60,1,{1,2,3,4,5})),{1,2,3,4,5})+1,9),'Hue codes'!$A$1:$B$10,2,FALSE)</f>
        <v>40</v>
      </c>
      <c r="C60">
        <f t="shared" si="0"/>
        <v>50</v>
      </c>
      <c r="D60" t="s">
        <v>40</v>
      </c>
      <c r="E60">
        <v>1</v>
      </c>
      <c r="F60">
        <v>2</v>
      </c>
      <c r="G60">
        <v>0.26889999999999997</v>
      </c>
      <c r="H60">
        <v>0.3407</v>
      </c>
      <c r="I60">
        <v>1.21</v>
      </c>
    </row>
    <row r="61" spans="1:9" x14ac:dyDescent="0.3">
      <c r="A61">
        <f>LOOKUP(9E+307,--MID(D61,1,{1,2,3,4,5}))</f>
        <v>10</v>
      </c>
      <c r="B61">
        <f>VLOOKUP(MID(D61,LOOKUP(2,1/ISNUMBER(-MID(D61,1,{1,2,3,4,5})),{1,2,3,4,5})+1,9),'Hue codes'!$A$1:$B$10,2,FALSE)</f>
        <v>40</v>
      </c>
      <c r="C61">
        <f t="shared" si="0"/>
        <v>50</v>
      </c>
      <c r="D61" t="s">
        <v>40</v>
      </c>
      <c r="E61">
        <v>1</v>
      </c>
      <c r="F61">
        <v>4</v>
      </c>
      <c r="G61">
        <v>0.20399999999999999</v>
      </c>
      <c r="H61">
        <v>0.37240000000000001</v>
      </c>
      <c r="I61">
        <v>1.21</v>
      </c>
    </row>
    <row r="62" spans="1:9" x14ac:dyDescent="0.3">
      <c r="A62">
        <f>LOOKUP(9E+307,--MID(D62,1,{1,2,3,4,5}))</f>
        <v>10</v>
      </c>
      <c r="B62">
        <f>VLOOKUP(MID(D62,LOOKUP(2,1/ISNUMBER(-MID(D62,1,{1,2,3,4,5})),{1,2,3,4,5})+1,9),'Hue codes'!$A$1:$B$10,2,FALSE)</f>
        <v>40</v>
      </c>
      <c r="C62">
        <f t="shared" si="0"/>
        <v>50</v>
      </c>
      <c r="D62" t="s">
        <v>40</v>
      </c>
      <c r="E62">
        <v>1</v>
      </c>
      <c r="F62">
        <v>6</v>
      </c>
      <c r="G62">
        <v>0.1249</v>
      </c>
      <c r="H62">
        <v>0.40189999999999998</v>
      </c>
      <c r="I62">
        <v>1.21</v>
      </c>
    </row>
    <row r="63" spans="1:9" x14ac:dyDescent="0.3">
      <c r="A63">
        <f>LOOKUP(9E+307,--MID(D63,1,{1,2,3,4,5}))</f>
        <v>10</v>
      </c>
      <c r="B63">
        <f>VLOOKUP(MID(D63,LOOKUP(2,1/ISNUMBER(-MID(D63,1,{1,2,3,4,5})),{1,2,3,4,5})+1,9),'Hue codes'!$A$1:$B$10,2,FALSE)</f>
        <v>40</v>
      </c>
      <c r="C63">
        <f t="shared" si="0"/>
        <v>50</v>
      </c>
      <c r="D63" t="s">
        <v>40</v>
      </c>
      <c r="E63">
        <v>1</v>
      </c>
      <c r="F63">
        <v>8</v>
      </c>
      <c r="G63">
        <v>5.11E-2</v>
      </c>
      <c r="H63">
        <v>0.4158</v>
      </c>
      <c r="I63">
        <v>1.21</v>
      </c>
    </row>
    <row r="64" spans="1:9" x14ac:dyDescent="0.3">
      <c r="A64">
        <f>LOOKUP(9E+307,--MID(D64,1,{1,2,3,4,5}))</f>
        <v>2.5</v>
      </c>
      <c r="B64">
        <f>VLOOKUP(MID(D64,LOOKUP(2,1/ISNUMBER(-MID(D64,1,{1,2,3,4,5})),{1,2,3,4,5})+1,9),'Hue codes'!$A$1:$B$10,2,FALSE)</f>
        <v>50</v>
      </c>
      <c r="C64">
        <f t="shared" si="0"/>
        <v>52.5</v>
      </c>
      <c r="D64" t="s">
        <v>41</v>
      </c>
      <c r="E64">
        <v>1</v>
      </c>
      <c r="F64">
        <v>2</v>
      </c>
      <c r="G64">
        <v>0.26</v>
      </c>
      <c r="H64">
        <v>0.32890000000000003</v>
      </c>
      <c r="I64">
        <v>1.21</v>
      </c>
    </row>
    <row r="65" spans="1:9" x14ac:dyDescent="0.3">
      <c r="A65">
        <f>LOOKUP(9E+307,--MID(D65,1,{1,2,3,4,5}))</f>
        <v>2.5</v>
      </c>
      <c r="B65">
        <f>VLOOKUP(MID(D65,LOOKUP(2,1/ISNUMBER(-MID(D65,1,{1,2,3,4,5})),{1,2,3,4,5})+1,9),'Hue codes'!$A$1:$B$10,2,FALSE)</f>
        <v>50</v>
      </c>
      <c r="C65">
        <f t="shared" si="0"/>
        <v>52.5</v>
      </c>
      <c r="D65" t="s">
        <v>41</v>
      </c>
      <c r="E65">
        <v>1</v>
      </c>
      <c r="F65">
        <v>4</v>
      </c>
      <c r="G65">
        <v>0.1883</v>
      </c>
      <c r="H65">
        <v>0.34060000000000001</v>
      </c>
      <c r="I65">
        <v>1.21</v>
      </c>
    </row>
    <row r="66" spans="1:9" x14ac:dyDescent="0.3">
      <c r="A66">
        <f>LOOKUP(9E+307,--MID(D66,1,{1,2,3,4,5}))</f>
        <v>2.5</v>
      </c>
      <c r="B66">
        <f>VLOOKUP(MID(D66,LOOKUP(2,1/ISNUMBER(-MID(D66,1,{1,2,3,4,5})),{1,2,3,4,5})+1,9),'Hue codes'!$A$1:$B$10,2,FALSE)</f>
        <v>50</v>
      </c>
      <c r="C66">
        <f t="shared" si="0"/>
        <v>52.5</v>
      </c>
      <c r="D66" t="s">
        <v>41</v>
      </c>
      <c r="E66">
        <v>1</v>
      </c>
      <c r="F66">
        <v>6</v>
      </c>
      <c r="G66">
        <v>0.1169</v>
      </c>
      <c r="H66">
        <v>0.34520000000000001</v>
      </c>
      <c r="I66">
        <v>1.21</v>
      </c>
    </row>
    <row r="67" spans="1:9" x14ac:dyDescent="0.3">
      <c r="A67">
        <f>LOOKUP(9E+307,--MID(D67,1,{1,2,3,4,5}))</f>
        <v>2.5</v>
      </c>
      <c r="B67">
        <f>VLOOKUP(MID(D67,LOOKUP(2,1/ISNUMBER(-MID(D67,1,{1,2,3,4,5})),{1,2,3,4,5})+1,9),'Hue codes'!$A$1:$B$10,2,FALSE)</f>
        <v>50</v>
      </c>
      <c r="C67">
        <f t="shared" ref="C67:C130" si="1">IF(A67+B67=100,0,A67+B67)</f>
        <v>52.5</v>
      </c>
      <c r="D67" t="s">
        <v>41</v>
      </c>
      <c r="E67">
        <v>1</v>
      </c>
      <c r="F67">
        <v>8</v>
      </c>
      <c r="G67">
        <v>4.7600000000000003E-2</v>
      </c>
      <c r="H67">
        <v>0.3458</v>
      </c>
      <c r="I67">
        <v>1.21</v>
      </c>
    </row>
    <row r="68" spans="1:9" x14ac:dyDescent="0.3">
      <c r="A68">
        <f>LOOKUP(9E+307,--MID(D68,1,{1,2,3,4,5}))</f>
        <v>5</v>
      </c>
      <c r="B68">
        <f>VLOOKUP(MID(D68,LOOKUP(2,1/ISNUMBER(-MID(D68,1,{1,2,3,4,5})),{1,2,3,4,5})+1,9),'Hue codes'!$A$1:$B$10,2,FALSE)</f>
        <v>50</v>
      </c>
      <c r="C68">
        <f t="shared" si="1"/>
        <v>55</v>
      </c>
      <c r="D68" t="s">
        <v>42</v>
      </c>
      <c r="E68">
        <v>1</v>
      </c>
      <c r="F68">
        <v>2</v>
      </c>
      <c r="G68">
        <v>0.25</v>
      </c>
      <c r="H68">
        <v>0.31409999999999999</v>
      </c>
      <c r="I68">
        <v>1.21</v>
      </c>
    </row>
    <row r="69" spans="1:9" x14ac:dyDescent="0.3">
      <c r="A69">
        <f>LOOKUP(9E+307,--MID(D69,1,{1,2,3,4,5}))</f>
        <v>5</v>
      </c>
      <c r="B69">
        <f>VLOOKUP(MID(D69,LOOKUP(2,1/ISNUMBER(-MID(D69,1,{1,2,3,4,5})),{1,2,3,4,5})+1,9),'Hue codes'!$A$1:$B$10,2,FALSE)</f>
        <v>50</v>
      </c>
      <c r="C69">
        <f t="shared" si="1"/>
        <v>55</v>
      </c>
      <c r="D69" t="s">
        <v>42</v>
      </c>
      <c r="E69">
        <v>1</v>
      </c>
      <c r="F69">
        <v>4</v>
      </c>
      <c r="G69">
        <v>0.17530000000000001</v>
      </c>
      <c r="H69">
        <v>0.30209999999999998</v>
      </c>
      <c r="I69">
        <v>1.21</v>
      </c>
    </row>
    <row r="70" spans="1:9" x14ac:dyDescent="0.3">
      <c r="A70">
        <f>LOOKUP(9E+307,--MID(D70,1,{1,2,3,4,5}))</f>
        <v>5</v>
      </c>
      <c r="B70">
        <f>VLOOKUP(MID(D70,LOOKUP(2,1/ISNUMBER(-MID(D70,1,{1,2,3,4,5})),{1,2,3,4,5})+1,9),'Hue codes'!$A$1:$B$10,2,FALSE)</f>
        <v>50</v>
      </c>
      <c r="C70">
        <f t="shared" si="1"/>
        <v>55</v>
      </c>
      <c r="D70" t="s">
        <v>42</v>
      </c>
      <c r="E70">
        <v>1</v>
      </c>
      <c r="F70">
        <v>6</v>
      </c>
      <c r="G70">
        <v>0.10929999999999999</v>
      </c>
      <c r="H70">
        <v>0.28599999999999998</v>
      </c>
      <c r="I70">
        <v>1.21</v>
      </c>
    </row>
    <row r="71" spans="1:9" x14ac:dyDescent="0.3">
      <c r="A71">
        <f>LOOKUP(9E+307,--MID(D71,1,{1,2,3,4,5}))</f>
        <v>7.5</v>
      </c>
      <c r="B71">
        <f>VLOOKUP(MID(D71,LOOKUP(2,1/ISNUMBER(-MID(D71,1,{1,2,3,4,5})),{1,2,3,4,5})+1,9),'Hue codes'!$A$1:$B$10,2,FALSE)</f>
        <v>50</v>
      </c>
      <c r="C71">
        <f t="shared" si="1"/>
        <v>57.5</v>
      </c>
      <c r="D71" t="s">
        <v>43</v>
      </c>
      <c r="E71">
        <v>1</v>
      </c>
      <c r="F71">
        <v>2</v>
      </c>
      <c r="G71">
        <v>0.24299999999999999</v>
      </c>
      <c r="H71">
        <v>0.30230000000000001</v>
      </c>
      <c r="I71">
        <v>1.21</v>
      </c>
    </row>
    <row r="72" spans="1:9" x14ac:dyDescent="0.3">
      <c r="A72">
        <f>LOOKUP(9E+307,--MID(D72,1,{1,2,3,4,5}))</f>
        <v>7.5</v>
      </c>
      <c r="B72">
        <f>VLOOKUP(MID(D72,LOOKUP(2,1/ISNUMBER(-MID(D72,1,{1,2,3,4,5})),{1,2,3,4,5})+1,9),'Hue codes'!$A$1:$B$10,2,FALSE)</f>
        <v>50</v>
      </c>
      <c r="C72">
        <f t="shared" si="1"/>
        <v>57.5</v>
      </c>
      <c r="D72" t="s">
        <v>43</v>
      </c>
      <c r="E72">
        <v>1</v>
      </c>
      <c r="F72">
        <v>4</v>
      </c>
      <c r="G72">
        <v>0.17019999999999999</v>
      </c>
      <c r="H72">
        <v>0.27679999999999999</v>
      </c>
      <c r="I72">
        <v>1.21</v>
      </c>
    </row>
    <row r="73" spans="1:9" x14ac:dyDescent="0.3">
      <c r="A73">
        <f>LOOKUP(9E+307,--MID(D73,1,{1,2,3,4,5}))</f>
        <v>7.5</v>
      </c>
      <c r="B73">
        <f>VLOOKUP(MID(D73,LOOKUP(2,1/ISNUMBER(-MID(D73,1,{1,2,3,4,5})),{1,2,3,4,5})+1,9),'Hue codes'!$A$1:$B$10,2,FALSE)</f>
        <v>50</v>
      </c>
      <c r="C73">
        <f t="shared" si="1"/>
        <v>57.5</v>
      </c>
      <c r="D73" t="s">
        <v>43</v>
      </c>
      <c r="E73">
        <v>1</v>
      </c>
      <c r="F73">
        <v>6</v>
      </c>
      <c r="G73">
        <v>0.10589999999999999</v>
      </c>
      <c r="H73">
        <v>0.2485</v>
      </c>
      <c r="I73">
        <v>1.21</v>
      </c>
    </row>
    <row r="74" spans="1:9" x14ac:dyDescent="0.3">
      <c r="A74">
        <f>LOOKUP(9E+307,--MID(D74,1,{1,2,3,4,5}))</f>
        <v>10</v>
      </c>
      <c r="B74">
        <f>VLOOKUP(MID(D74,LOOKUP(2,1/ISNUMBER(-MID(D74,1,{1,2,3,4,5})),{1,2,3,4,5})+1,9),'Hue codes'!$A$1:$B$10,2,FALSE)</f>
        <v>50</v>
      </c>
      <c r="C74">
        <f t="shared" si="1"/>
        <v>60</v>
      </c>
      <c r="D74" t="s">
        <v>44</v>
      </c>
      <c r="E74">
        <v>1</v>
      </c>
      <c r="F74">
        <v>2</v>
      </c>
      <c r="G74">
        <v>0.23619999999999999</v>
      </c>
      <c r="H74">
        <v>0.28820000000000001</v>
      </c>
      <c r="I74">
        <v>1.21</v>
      </c>
    </row>
    <row r="75" spans="1:9" x14ac:dyDescent="0.3">
      <c r="A75">
        <f>LOOKUP(9E+307,--MID(D75,1,{1,2,3,4,5}))</f>
        <v>10</v>
      </c>
      <c r="B75">
        <f>VLOOKUP(MID(D75,LOOKUP(2,1/ISNUMBER(-MID(D75,1,{1,2,3,4,5})),{1,2,3,4,5})+1,9),'Hue codes'!$A$1:$B$10,2,FALSE)</f>
        <v>50</v>
      </c>
      <c r="C75">
        <f t="shared" si="1"/>
        <v>60</v>
      </c>
      <c r="D75" t="s">
        <v>44</v>
      </c>
      <c r="E75">
        <v>1</v>
      </c>
      <c r="F75">
        <v>4</v>
      </c>
      <c r="G75">
        <v>0.1658</v>
      </c>
      <c r="H75">
        <v>0.24959999999999999</v>
      </c>
      <c r="I75">
        <v>1.21</v>
      </c>
    </row>
    <row r="76" spans="1:9" x14ac:dyDescent="0.3">
      <c r="A76">
        <f>LOOKUP(9E+307,--MID(D76,1,{1,2,3,4,5}))</f>
        <v>10</v>
      </c>
      <c r="B76">
        <f>VLOOKUP(MID(D76,LOOKUP(2,1/ISNUMBER(-MID(D76,1,{1,2,3,4,5})),{1,2,3,4,5})+1,9),'Hue codes'!$A$1:$B$10,2,FALSE)</f>
        <v>50</v>
      </c>
      <c r="C76">
        <f t="shared" si="1"/>
        <v>60</v>
      </c>
      <c r="D76" t="s">
        <v>44</v>
      </c>
      <c r="E76">
        <v>1</v>
      </c>
      <c r="F76">
        <v>6</v>
      </c>
      <c r="G76">
        <v>0.1074</v>
      </c>
      <c r="H76">
        <v>0.21290000000000001</v>
      </c>
      <c r="I76">
        <v>1.21</v>
      </c>
    </row>
    <row r="77" spans="1:9" x14ac:dyDescent="0.3">
      <c r="A77">
        <f>LOOKUP(9E+307,--MID(D77,1,{1,2,3,4,5}))</f>
        <v>2.5</v>
      </c>
      <c r="B77">
        <f>VLOOKUP(MID(D77,LOOKUP(2,1/ISNUMBER(-MID(D77,1,{1,2,3,4,5})),{1,2,3,4,5})+1,9),'Hue codes'!$A$1:$B$10,2,FALSE)</f>
        <v>60</v>
      </c>
      <c r="C77">
        <f t="shared" si="1"/>
        <v>62.5</v>
      </c>
      <c r="D77" t="s">
        <v>45</v>
      </c>
      <c r="E77">
        <v>1</v>
      </c>
      <c r="F77">
        <v>2</v>
      </c>
      <c r="G77">
        <v>0.23219999999999999</v>
      </c>
      <c r="H77">
        <v>0.27810000000000001</v>
      </c>
      <c r="I77">
        <v>1.21</v>
      </c>
    </row>
    <row r="78" spans="1:9" x14ac:dyDescent="0.3">
      <c r="A78">
        <f>LOOKUP(9E+307,--MID(D78,1,{1,2,3,4,5}))</f>
        <v>2.5</v>
      </c>
      <c r="B78">
        <f>VLOOKUP(MID(D78,LOOKUP(2,1/ISNUMBER(-MID(D78,1,{1,2,3,4,5})),{1,2,3,4,5})+1,9),'Hue codes'!$A$1:$B$10,2,FALSE)</f>
        <v>60</v>
      </c>
      <c r="C78">
        <f t="shared" si="1"/>
        <v>62.5</v>
      </c>
      <c r="D78" t="s">
        <v>45</v>
      </c>
      <c r="E78">
        <v>1</v>
      </c>
      <c r="F78">
        <v>4</v>
      </c>
      <c r="G78">
        <v>0.16489999999999999</v>
      </c>
      <c r="H78">
        <v>0.2324</v>
      </c>
      <c r="I78">
        <v>1.21</v>
      </c>
    </row>
    <row r="79" spans="1:9" x14ac:dyDescent="0.3">
      <c r="A79">
        <f>LOOKUP(9E+307,--MID(D79,1,{1,2,3,4,5}))</f>
        <v>2.5</v>
      </c>
      <c r="B79">
        <f>VLOOKUP(MID(D79,LOOKUP(2,1/ISNUMBER(-MID(D79,1,{1,2,3,4,5})),{1,2,3,4,5})+1,9),'Hue codes'!$A$1:$B$10,2,FALSE)</f>
        <v>60</v>
      </c>
      <c r="C79">
        <f t="shared" si="1"/>
        <v>62.5</v>
      </c>
      <c r="D79" t="s">
        <v>45</v>
      </c>
      <c r="E79">
        <v>1</v>
      </c>
      <c r="F79">
        <v>6</v>
      </c>
      <c r="G79">
        <v>0.1118</v>
      </c>
      <c r="H79">
        <v>0.1908</v>
      </c>
      <c r="I79">
        <v>1.21</v>
      </c>
    </row>
    <row r="80" spans="1:9" x14ac:dyDescent="0.3">
      <c r="A80">
        <f>LOOKUP(9E+307,--MID(D80,1,{1,2,3,4,5}))</f>
        <v>5</v>
      </c>
      <c r="B80">
        <f>VLOOKUP(MID(D80,LOOKUP(2,1/ISNUMBER(-MID(D80,1,{1,2,3,4,5})),{1,2,3,4,5})+1,9),'Hue codes'!$A$1:$B$10,2,FALSE)</f>
        <v>60</v>
      </c>
      <c r="C80">
        <f t="shared" si="1"/>
        <v>65</v>
      </c>
      <c r="D80" t="s">
        <v>46</v>
      </c>
      <c r="E80">
        <v>1</v>
      </c>
      <c r="F80">
        <v>2</v>
      </c>
      <c r="G80">
        <v>0.2291</v>
      </c>
      <c r="H80">
        <v>0.26769999999999999</v>
      </c>
      <c r="I80">
        <v>1.21</v>
      </c>
    </row>
    <row r="81" spans="1:9" x14ac:dyDescent="0.3">
      <c r="A81">
        <f>LOOKUP(9E+307,--MID(D81,1,{1,2,3,4,5}))</f>
        <v>5</v>
      </c>
      <c r="B81">
        <f>VLOOKUP(MID(D81,LOOKUP(2,1/ISNUMBER(-MID(D81,1,{1,2,3,4,5})),{1,2,3,4,5})+1,9),'Hue codes'!$A$1:$B$10,2,FALSE)</f>
        <v>60</v>
      </c>
      <c r="C81">
        <f t="shared" si="1"/>
        <v>65</v>
      </c>
      <c r="D81" t="s">
        <v>46</v>
      </c>
      <c r="E81">
        <v>1</v>
      </c>
      <c r="F81">
        <v>4</v>
      </c>
      <c r="G81">
        <v>0.16669999999999999</v>
      </c>
      <c r="H81">
        <v>0.21679999999999999</v>
      </c>
      <c r="I81">
        <v>1.21</v>
      </c>
    </row>
    <row r="82" spans="1:9" x14ac:dyDescent="0.3">
      <c r="A82">
        <f>LOOKUP(9E+307,--MID(D82,1,{1,2,3,4,5}))</f>
        <v>5</v>
      </c>
      <c r="B82">
        <f>VLOOKUP(MID(D82,LOOKUP(2,1/ISNUMBER(-MID(D82,1,{1,2,3,4,5})),{1,2,3,4,5})+1,9),'Hue codes'!$A$1:$B$10,2,FALSE)</f>
        <v>60</v>
      </c>
      <c r="C82">
        <f t="shared" si="1"/>
        <v>65</v>
      </c>
      <c r="D82" t="s">
        <v>46</v>
      </c>
      <c r="E82">
        <v>1</v>
      </c>
      <c r="F82">
        <v>6</v>
      </c>
      <c r="G82">
        <v>0.1212</v>
      </c>
      <c r="H82">
        <v>0.17449999999999999</v>
      </c>
      <c r="I82">
        <v>1.21</v>
      </c>
    </row>
    <row r="83" spans="1:9" x14ac:dyDescent="0.3">
      <c r="A83">
        <f>LOOKUP(9E+307,--MID(D83,1,{1,2,3,4,5}))</f>
        <v>7.5</v>
      </c>
      <c r="B83">
        <f>VLOOKUP(MID(D83,LOOKUP(2,1/ISNUMBER(-MID(D83,1,{1,2,3,4,5})),{1,2,3,4,5})+1,9),'Hue codes'!$A$1:$B$10,2,FALSE)</f>
        <v>60</v>
      </c>
      <c r="C83">
        <f t="shared" si="1"/>
        <v>67.5</v>
      </c>
      <c r="D83" t="s">
        <v>47</v>
      </c>
      <c r="E83">
        <v>1</v>
      </c>
      <c r="F83">
        <v>2</v>
      </c>
      <c r="G83">
        <v>0.2291</v>
      </c>
      <c r="H83">
        <v>0.25790000000000002</v>
      </c>
      <c r="I83">
        <v>1.21</v>
      </c>
    </row>
    <row r="84" spans="1:9" x14ac:dyDescent="0.3">
      <c r="A84">
        <f>LOOKUP(9E+307,--MID(D84,1,{1,2,3,4,5}))</f>
        <v>7.5</v>
      </c>
      <c r="B84">
        <f>VLOOKUP(MID(D84,LOOKUP(2,1/ISNUMBER(-MID(D84,1,{1,2,3,4,5})),{1,2,3,4,5})+1,9),'Hue codes'!$A$1:$B$10,2,FALSE)</f>
        <v>60</v>
      </c>
      <c r="C84">
        <f t="shared" si="1"/>
        <v>67.5</v>
      </c>
      <c r="D84" t="s">
        <v>47</v>
      </c>
      <c r="E84">
        <v>1</v>
      </c>
      <c r="F84">
        <v>4</v>
      </c>
      <c r="G84">
        <v>0.1716</v>
      </c>
      <c r="H84">
        <v>0.20480000000000001</v>
      </c>
      <c r="I84">
        <v>1.21</v>
      </c>
    </row>
    <row r="85" spans="1:9" x14ac:dyDescent="0.3">
      <c r="A85">
        <f>LOOKUP(9E+307,--MID(D85,1,{1,2,3,4,5}))</f>
        <v>7.5</v>
      </c>
      <c r="B85">
        <f>VLOOKUP(MID(D85,LOOKUP(2,1/ISNUMBER(-MID(D85,1,{1,2,3,4,5})),{1,2,3,4,5})+1,9),'Hue codes'!$A$1:$B$10,2,FALSE)</f>
        <v>60</v>
      </c>
      <c r="C85">
        <f t="shared" si="1"/>
        <v>67.5</v>
      </c>
      <c r="D85" t="s">
        <v>47</v>
      </c>
      <c r="E85">
        <v>1</v>
      </c>
      <c r="F85">
        <v>6</v>
      </c>
      <c r="G85">
        <v>0.1303</v>
      </c>
      <c r="H85">
        <v>0.16389999999999999</v>
      </c>
      <c r="I85">
        <v>1.21</v>
      </c>
    </row>
    <row r="86" spans="1:9" x14ac:dyDescent="0.3">
      <c r="A86">
        <f>LOOKUP(9E+307,--MID(D86,1,{1,2,3,4,5}))</f>
        <v>7.5</v>
      </c>
      <c r="B86">
        <f>VLOOKUP(MID(D86,LOOKUP(2,1/ISNUMBER(-MID(D86,1,{1,2,3,4,5})),{1,2,3,4,5})+1,9),'Hue codes'!$A$1:$B$10,2,FALSE)</f>
        <v>60</v>
      </c>
      <c r="C86">
        <f t="shared" si="1"/>
        <v>67.5</v>
      </c>
      <c r="D86" t="s">
        <v>47</v>
      </c>
      <c r="E86">
        <v>1</v>
      </c>
      <c r="F86">
        <v>8</v>
      </c>
      <c r="G86">
        <v>9.6799999999999997E-2</v>
      </c>
      <c r="H86">
        <v>0.128</v>
      </c>
      <c r="I86">
        <v>1.21</v>
      </c>
    </row>
    <row r="87" spans="1:9" x14ac:dyDescent="0.3">
      <c r="A87">
        <f>LOOKUP(9E+307,--MID(D87,1,{1,2,3,4,5}))</f>
        <v>10</v>
      </c>
      <c r="B87">
        <f>VLOOKUP(MID(D87,LOOKUP(2,1/ISNUMBER(-MID(D87,1,{1,2,3,4,5})),{1,2,3,4,5})+1,9),'Hue codes'!$A$1:$B$10,2,FALSE)</f>
        <v>60</v>
      </c>
      <c r="C87">
        <f t="shared" si="1"/>
        <v>70</v>
      </c>
      <c r="D87" t="s">
        <v>48</v>
      </c>
      <c r="E87">
        <v>1</v>
      </c>
      <c r="F87">
        <v>2</v>
      </c>
      <c r="G87">
        <v>0.23089999999999999</v>
      </c>
      <c r="H87">
        <v>0.24909999999999999</v>
      </c>
      <c r="I87">
        <v>1.21</v>
      </c>
    </row>
    <row r="88" spans="1:9" x14ac:dyDescent="0.3">
      <c r="A88">
        <f>LOOKUP(9E+307,--MID(D88,1,{1,2,3,4,5}))</f>
        <v>10</v>
      </c>
      <c r="B88">
        <f>VLOOKUP(MID(D88,LOOKUP(2,1/ISNUMBER(-MID(D88,1,{1,2,3,4,5})),{1,2,3,4,5})+1,9),'Hue codes'!$A$1:$B$10,2,FALSE)</f>
        <v>60</v>
      </c>
      <c r="C88">
        <f t="shared" si="1"/>
        <v>70</v>
      </c>
      <c r="D88" t="s">
        <v>48</v>
      </c>
      <c r="E88">
        <v>1</v>
      </c>
      <c r="F88">
        <v>4</v>
      </c>
      <c r="G88">
        <v>0.17829999999999999</v>
      </c>
      <c r="H88">
        <v>0.19739999999999999</v>
      </c>
      <c r="I88">
        <v>1.21</v>
      </c>
    </row>
    <row r="89" spans="1:9" x14ac:dyDescent="0.3">
      <c r="A89">
        <f>LOOKUP(9E+307,--MID(D89,1,{1,2,3,4,5}))</f>
        <v>10</v>
      </c>
      <c r="B89">
        <f>VLOOKUP(MID(D89,LOOKUP(2,1/ISNUMBER(-MID(D89,1,{1,2,3,4,5})),{1,2,3,4,5})+1,9),'Hue codes'!$A$1:$B$10,2,FALSE)</f>
        <v>60</v>
      </c>
      <c r="C89">
        <f t="shared" si="1"/>
        <v>70</v>
      </c>
      <c r="D89" t="s">
        <v>48</v>
      </c>
      <c r="E89">
        <v>1</v>
      </c>
      <c r="F89">
        <v>6</v>
      </c>
      <c r="G89">
        <v>0.13919999999999999</v>
      </c>
      <c r="H89">
        <v>0.15629999999999999</v>
      </c>
      <c r="I89">
        <v>1.21</v>
      </c>
    </row>
    <row r="90" spans="1:9" x14ac:dyDescent="0.3">
      <c r="A90">
        <f>LOOKUP(9E+307,--MID(D90,1,{1,2,3,4,5}))</f>
        <v>10</v>
      </c>
      <c r="B90">
        <f>VLOOKUP(MID(D90,LOOKUP(2,1/ISNUMBER(-MID(D90,1,{1,2,3,4,5})),{1,2,3,4,5})+1,9),'Hue codes'!$A$1:$B$10,2,FALSE)</f>
        <v>60</v>
      </c>
      <c r="C90">
        <f t="shared" si="1"/>
        <v>70</v>
      </c>
      <c r="D90" t="s">
        <v>48</v>
      </c>
      <c r="E90">
        <v>1</v>
      </c>
      <c r="F90">
        <v>8</v>
      </c>
      <c r="G90">
        <v>0.1077</v>
      </c>
      <c r="H90">
        <v>0.12180000000000001</v>
      </c>
      <c r="I90">
        <v>1.21</v>
      </c>
    </row>
    <row r="91" spans="1:9" x14ac:dyDescent="0.3">
      <c r="A91">
        <f>LOOKUP(9E+307,--MID(D91,1,{1,2,3,4,5}))</f>
        <v>2.5</v>
      </c>
      <c r="B91">
        <f>VLOOKUP(MID(D91,LOOKUP(2,1/ISNUMBER(-MID(D91,1,{1,2,3,4,5})),{1,2,3,4,5})+1,9),'Hue codes'!$A$1:$B$10,2,FALSE)</f>
        <v>70</v>
      </c>
      <c r="C91">
        <f t="shared" si="1"/>
        <v>72.5</v>
      </c>
      <c r="D91" t="s">
        <v>49</v>
      </c>
      <c r="E91">
        <v>1</v>
      </c>
      <c r="F91">
        <v>2</v>
      </c>
      <c r="G91">
        <v>0.23599999999999999</v>
      </c>
      <c r="H91">
        <v>0.24199999999999999</v>
      </c>
      <c r="I91">
        <v>1.21</v>
      </c>
    </row>
    <row r="92" spans="1:9" x14ac:dyDescent="0.3">
      <c r="A92">
        <f>LOOKUP(9E+307,--MID(D92,1,{1,2,3,4,5}))</f>
        <v>2.5</v>
      </c>
      <c r="B92">
        <f>VLOOKUP(MID(D92,LOOKUP(2,1/ISNUMBER(-MID(D92,1,{1,2,3,4,5})),{1,2,3,4,5})+1,9),'Hue codes'!$A$1:$B$10,2,FALSE)</f>
        <v>70</v>
      </c>
      <c r="C92">
        <f t="shared" si="1"/>
        <v>72.5</v>
      </c>
      <c r="D92" t="s">
        <v>49</v>
      </c>
      <c r="E92">
        <v>1</v>
      </c>
      <c r="F92">
        <v>4</v>
      </c>
      <c r="G92">
        <v>0.1895</v>
      </c>
      <c r="H92">
        <v>0.19109999999999999</v>
      </c>
      <c r="I92">
        <v>1.21</v>
      </c>
    </row>
    <row r="93" spans="1:9" x14ac:dyDescent="0.3">
      <c r="A93">
        <f>LOOKUP(9E+307,--MID(D93,1,{1,2,3,4,5}))</f>
        <v>2.5</v>
      </c>
      <c r="B93">
        <f>VLOOKUP(MID(D93,LOOKUP(2,1/ISNUMBER(-MID(D93,1,{1,2,3,4,5})),{1,2,3,4,5})+1,9),'Hue codes'!$A$1:$B$10,2,FALSE)</f>
        <v>70</v>
      </c>
      <c r="C93">
        <f t="shared" si="1"/>
        <v>72.5</v>
      </c>
      <c r="D93" t="s">
        <v>49</v>
      </c>
      <c r="E93">
        <v>1</v>
      </c>
      <c r="F93">
        <v>6</v>
      </c>
      <c r="G93">
        <v>0.15390000000000001</v>
      </c>
      <c r="H93">
        <v>0.14910000000000001</v>
      </c>
      <c r="I93">
        <v>1.21</v>
      </c>
    </row>
    <row r="94" spans="1:9" x14ac:dyDescent="0.3">
      <c r="A94">
        <f>LOOKUP(9E+307,--MID(D94,1,{1,2,3,4,5}))</f>
        <v>2.5</v>
      </c>
      <c r="B94">
        <f>VLOOKUP(MID(D94,LOOKUP(2,1/ISNUMBER(-MID(D94,1,{1,2,3,4,5})),{1,2,3,4,5})+1,9),'Hue codes'!$A$1:$B$10,2,FALSE)</f>
        <v>70</v>
      </c>
      <c r="C94">
        <f t="shared" si="1"/>
        <v>72.5</v>
      </c>
      <c r="D94" t="s">
        <v>49</v>
      </c>
      <c r="E94">
        <v>1</v>
      </c>
      <c r="F94">
        <v>8</v>
      </c>
      <c r="G94">
        <v>0.1273</v>
      </c>
      <c r="H94">
        <v>0.1157</v>
      </c>
      <c r="I94">
        <v>1.21</v>
      </c>
    </row>
    <row r="95" spans="1:9" x14ac:dyDescent="0.3">
      <c r="A95">
        <f>LOOKUP(9E+307,--MID(D95,1,{1,2,3,4,5}))</f>
        <v>5</v>
      </c>
      <c r="B95">
        <f>VLOOKUP(MID(D95,LOOKUP(2,1/ISNUMBER(-MID(D95,1,{1,2,3,4,5})),{1,2,3,4,5})+1,9),'Hue codes'!$A$1:$B$10,2,FALSE)</f>
        <v>70</v>
      </c>
      <c r="C95">
        <f t="shared" si="1"/>
        <v>75</v>
      </c>
      <c r="D95" t="s">
        <v>50</v>
      </c>
      <c r="E95">
        <v>1</v>
      </c>
      <c r="F95">
        <v>2</v>
      </c>
      <c r="G95">
        <v>0.2427</v>
      </c>
      <c r="H95">
        <v>0.23680000000000001</v>
      </c>
      <c r="I95">
        <v>1.21</v>
      </c>
    </row>
    <row r="96" spans="1:9" x14ac:dyDescent="0.3">
      <c r="A96">
        <f>LOOKUP(9E+307,--MID(D96,1,{1,2,3,4,5}))</f>
        <v>5</v>
      </c>
      <c r="B96">
        <f>VLOOKUP(MID(D96,LOOKUP(2,1/ISNUMBER(-MID(D96,1,{1,2,3,4,5})),{1,2,3,4,5})+1,9),'Hue codes'!$A$1:$B$10,2,FALSE)</f>
        <v>70</v>
      </c>
      <c r="C96">
        <f t="shared" si="1"/>
        <v>75</v>
      </c>
      <c r="D96" t="s">
        <v>50</v>
      </c>
      <c r="E96">
        <v>1</v>
      </c>
      <c r="F96">
        <v>4</v>
      </c>
      <c r="G96">
        <v>0.20119999999999999</v>
      </c>
      <c r="H96">
        <v>0.1867</v>
      </c>
      <c r="I96">
        <v>1.21</v>
      </c>
    </row>
    <row r="97" spans="1:9" x14ac:dyDescent="0.3">
      <c r="A97">
        <f>LOOKUP(9E+307,--MID(D97,1,{1,2,3,4,5}))</f>
        <v>5</v>
      </c>
      <c r="B97">
        <f>VLOOKUP(MID(D97,LOOKUP(2,1/ISNUMBER(-MID(D97,1,{1,2,3,4,5})),{1,2,3,4,5})+1,9),'Hue codes'!$A$1:$B$10,2,FALSE)</f>
        <v>70</v>
      </c>
      <c r="C97">
        <f t="shared" si="1"/>
        <v>75</v>
      </c>
      <c r="D97" t="s">
        <v>50</v>
      </c>
      <c r="E97">
        <v>1</v>
      </c>
      <c r="F97">
        <v>6</v>
      </c>
      <c r="G97">
        <v>0.1678</v>
      </c>
      <c r="H97">
        <v>0.1447</v>
      </c>
      <c r="I97">
        <v>1.21</v>
      </c>
    </row>
    <row r="98" spans="1:9" x14ac:dyDescent="0.3">
      <c r="A98">
        <f>LOOKUP(9E+307,--MID(D98,1,{1,2,3,4,5}))</f>
        <v>5</v>
      </c>
      <c r="B98">
        <f>VLOOKUP(MID(D98,LOOKUP(2,1/ISNUMBER(-MID(D98,1,{1,2,3,4,5})),{1,2,3,4,5})+1,9),'Hue codes'!$A$1:$B$10,2,FALSE)</f>
        <v>70</v>
      </c>
      <c r="C98">
        <f t="shared" si="1"/>
        <v>75</v>
      </c>
      <c r="D98" t="s">
        <v>50</v>
      </c>
      <c r="E98">
        <v>1</v>
      </c>
      <c r="F98">
        <v>8</v>
      </c>
      <c r="G98">
        <v>0.1447</v>
      </c>
      <c r="H98">
        <v>0.1124</v>
      </c>
      <c r="I98">
        <v>1.21</v>
      </c>
    </row>
    <row r="99" spans="1:9" x14ac:dyDescent="0.3">
      <c r="A99">
        <f>LOOKUP(9E+307,--MID(D99,1,{1,2,3,4,5}))</f>
        <v>5</v>
      </c>
      <c r="B99">
        <f>VLOOKUP(MID(D99,LOOKUP(2,1/ISNUMBER(-MID(D99,1,{1,2,3,4,5})),{1,2,3,4,5})+1,9),'Hue codes'!$A$1:$B$10,2,FALSE)</f>
        <v>70</v>
      </c>
      <c r="C99">
        <f t="shared" si="1"/>
        <v>75</v>
      </c>
      <c r="D99" t="s">
        <v>50</v>
      </c>
      <c r="E99">
        <v>1</v>
      </c>
      <c r="F99">
        <v>10</v>
      </c>
      <c r="G99">
        <v>0.1285</v>
      </c>
      <c r="H99">
        <v>8.6999999999999994E-2</v>
      </c>
      <c r="I99">
        <v>1.21</v>
      </c>
    </row>
    <row r="100" spans="1:9" x14ac:dyDescent="0.3">
      <c r="A100">
        <f>LOOKUP(9E+307,--MID(D100,1,{1,2,3,4,5}))</f>
        <v>7.5</v>
      </c>
      <c r="B100">
        <f>VLOOKUP(MID(D100,LOOKUP(2,1/ISNUMBER(-MID(D100,1,{1,2,3,4,5})),{1,2,3,4,5})+1,9),'Hue codes'!$A$1:$B$10,2,FALSE)</f>
        <v>70</v>
      </c>
      <c r="C100">
        <f t="shared" si="1"/>
        <v>77.5</v>
      </c>
      <c r="D100" t="s">
        <v>51</v>
      </c>
      <c r="E100">
        <v>1</v>
      </c>
      <c r="F100">
        <v>2</v>
      </c>
      <c r="G100">
        <v>0.25469999999999998</v>
      </c>
      <c r="H100">
        <v>0.23100000000000001</v>
      </c>
      <c r="I100">
        <v>1.21</v>
      </c>
    </row>
    <row r="101" spans="1:9" x14ac:dyDescent="0.3">
      <c r="A101">
        <f>LOOKUP(9E+307,--MID(D101,1,{1,2,3,4,5}))</f>
        <v>7.5</v>
      </c>
      <c r="B101">
        <f>VLOOKUP(MID(D101,LOOKUP(2,1/ISNUMBER(-MID(D101,1,{1,2,3,4,5})),{1,2,3,4,5})+1,9),'Hue codes'!$A$1:$B$10,2,FALSE)</f>
        <v>70</v>
      </c>
      <c r="C101">
        <f t="shared" si="1"/>
        <v>77.5</v>
      </c>
      <c r="D101" t="s">
        <v>51</v>
      </c>
      <c r="E101">
        <v>1</v>
      </c>
      <c r="F101">
        <v>4</v>
      </c>
      <c r="G101">
        <v>0.22320000000000001</v>
      </c>
      <c r="H101">
        <v>0.18210000000000001</v>
      </c>
      <c r="I101">
        <v>1.21</v>
      </c>
    </row>
    <row r="102" spans="1:9" x14ac:dyDescent="0.3">
      <c r="A102">
        <f>LOOKUP(9E+307,--MID(D102,1,{1,2,3,4,5}))</f>
        <v>7.5</v>
      </c>
      <c r="B102">
        <f>VLOOKUP(MID(D102,LOOKUP(2,1/ISNUMBER(-MID(D102,1,{1,2,3,4,5})),{1,2,3,4,5})+1,9),'Hue codes'!$A$1:$B$10,2,FALSE)</f>
        <v>70</v>
      </c>
      <c r="C102">
        <f t="shared" si="1"/>
        <v>77.5</v>
      </c>
      <c r="D102" t="s">
        <v>51</v>
      </c>
      <c r="E102">
        <v>1</v>
      </c>
      <c r="F102">
        <v>6</v>
      </c>
      <c r="G102">
        <v>0.2</v>
      </c>
      <c r="H102">
        <v>0.14219999999999999</v>
      </c>
      <c r="I102">
        <v>1.21</v>
      </c>
    </row>
    <row r="103" spans="1:9" x14ac:dyDescent="0.3">
      <c r="A103">
        <f>LOOKUP(9E+307,--MID(D103,1,{1,2,3,4,5}))</f>
        <v>7.5</v>
      </c>
      <c r="B103">
        <f>VLOOKUP(MID(D103,LOOKUP(2,1/ISNUMBER(-MID(D103,1,{1,2,3,4,5})),{1,2,3,4,5})+1,9),'Hue codes'!$A$1:$B$10,2,FALSE)</f>
        <v>70</v>
      </c>
      <c r="C103">
        <f t="shared" si="1"/>
        <v>77.5</v>
      </c>
      <c r="D103" t="s">
        <v>51</v>
      </c>
      <c r="E103">
        <v>1</v>
      </c>
      <c r="F103">
        <v>8</v>
      </c>
      <c r="G103">
        <v>0.18720000000000001</v>
      </c>
      <c r="H103">
        <v>0.11409999999999999</v>
      </c>
      <c r="I103">
        <v>1.21</v>
      </c>
    </row>
    <row r="104" spans="1:9" x14ac:dyDescent="0.3">
      <c r="A104">
        <f>LOOKUP(9E+307,--MID(D104,1,{1,2,3,4,5}))</f>
        <v>7.5</v>
      </c>
      <c r="B104">
        <f>VLOOKUP(MID(D104,LOOKUP(2,1/ISNUMBER(-MID(D104,1,{1,2,3,4,5})),{1,2,3,4,5})+1,9),'Hue codes'!$A$1:$B$10,2,FALSE)</f>
        <v>70</v>
      </c>
      <c r="C104">
        <f t="shared" si="1"/>
        <v>77.5</v>
      </c>
      <c r="D104" t="s">
        <v>51</v>
      </c>
      <c r="E104">
        <v>1</v>
      </c>
      <c r="F104">
        <v>10</v>
      </c>
      <c r="G104">
        <v>0.1804</v>
      </c>
      <c r="H104">
        <v>9.5000000000000001E-2</v>
      </c>
      <c r="I104">
        <v>1.21</v>
      </c>
    </row>
    <row r="105" spans="1:9" x14ac:dyDescent="0.3">
      <c r="A105">
        <f>LOOKUP(9E+307,--MID(D105,1,{1,2,3,4,5}))</f>
        <v>7.5</v>
      </c>
      <c r="B105">
        <f>VLOOKUP(MID(D105,LOOKUP(2,1/ISNUMBER(-MID(D105,1,{1,2,3,4,5})),{1,2,3,4,5})+1,9),'Hue codes'!$A$1:$B$10,2,FALSE)</f>
        <v>70</v>
      </c>
      <c r="C105">
        <f t="shared" si="1"/>
        <v>77.5</v>
      </c>
      <c r="D105" t="s">
        <v>51</v>
      </c>
      <c r="E105">
        <v>1</v>
      </c>
      <c r="F105">
        <v>12</v>
      </c>
      <c r="G105">
        <v>0.17630000000000001</v>
      </c>
      <c r="H105">
        <v>8.0399999999999999E-2</v>
      </c>
      <c r="I105">
        <v>1.21</v>
      </c>
    </row>
    <row r="106" spans="1:9" x14ac:dyDescent="0.3">
      <c r="A106">
        <f>LOOKUP(9E+307,--MID(D106,1,{1,2,3,4,5}))</f>
        <v>7.5</v>
      </c>
      <c r="B106">
        <f>VLOOKUP(MID(D106,LOOKUP(2,1/ISNUMBER(-MID(D106,1,{1,2,3,4,5})),{1,2,3,4,5})+1,9),'Hue codes'!$A$1:$B$10,2,FALSE)</f>
        <v>70</v>
      </c>
      <c r="C106">
        <f t="shared" si="1"/>
        <v>77.5</v>
      </c>
      <c r="D106" t="s">
        <v>51</v>
      </c>
      <c r="E106">
        <v>1</v>
      </c>
      <c r="F106">
        <v>14</v>
      </c>
      <c r="G106">
        <v>0.17380000000000001</v>
      </c>
      <c r="H106">
        <v>6.88E-2</v>
      </c>
      <c r="I106">
        <v>1.21</v>
      </c>
    </row>
    <row r="107" spans="1:9" x14ac:dyDescent="0.3">
      <c r="A107">
        <f>LOOKUP(9E+307,--MID(D107,1,{1,2,3,4,5}))</f>
        <v>7.5</v>
      </c>
      <c r="B107">
        <f>VLOOKUP(MID(D107,LOOKUP(2,1/ISNUMBER(-MID(D107,1,{1,2,3,4,5})),{1,2,3,4,5})+1,9),'Hue codes'!$A$1:$B$10,2,FALSE)</f>
        <v>70</v>
      </c>
      <c r="C107">
        <f t="shared" si="1"/>
        <v>77.5</v>
      </c>
      <c r="D107" t="s">
        <v>51</v>
      </c>
      <c r="E107">
        <v>1</v>
      </c>
      <c r="F107">
        <v>16</v>
      </c>
      <c r="G107">
        <v>0.17199999999999999</v>
      </c>
      <c r="H107">
        <v>5.8299999999999998E-2</v>
      </c>
      <c r="I107">
        <v>1.21</v>
      </c>
    </row>
    <row r="108" spans="1:9" x14ac:dyDescent="0.3">
      <c r="A108">
        <f>LOOKUP(9E+307,--MID(D108,1,{1,2,3,4,5}))</f>
        <v>7.5</v>
      </c>
      <c r="B108">
        <f>VLOOKUP(MID(D108,LOOKUP(2,1/ISNUMBER(-MID(D108,1,{1,2,3,4,5})),{1,2,3,4,5})+1,9),'Hue codes'!$A$1:$B$10,2,FALSE)</f>
        <v>70</v>
      </c>
      <c r="C108">
        <f t="shared" si="1"/>
        <v>77.5</v>
      </c>
      <c r="D108" t="s">
        <v>51</v>
      </c>
      <c r="E108">
        <v>1</v>
      </c>
      <c r="F108">
        <v>18</v>
      </c>
      <c r="G108">
        <v>0.1709</v>
      </c>
      <c r="H108">
        <v>5.1799999999999999E-2</v>
      </c>
      <c r="I108">
        <v>1.21</v>
      </c>
    </row>
    <row r="109" spans="1:9" x14ac:dyDescent="0.3">
      <c r="A109">
        <f>LOOKUP(9E+307,--MID(D109,1,{1,2,3,4,5}))</f>
        <v>7.5</v>
      </c>
      <c r="B109">
        <f>VLOOKUP(MID(D109,LOOKUP(2,1/ISNUMBER(-MID(D109,1,{1,2,3,4,5})),{1,2,3,4,5})+1,9),'Hue codes'!$A$1:$B$10,2,FALSE)</f>
        <v>70</v>
      </c>
      <c r="C109">
        <f t="shared" si="1"/>
        <v>77.5</v>
      </c>
      <c r="D109" t="s">
        <v>51</v>
      </c>
      <c r="E109">
        <v>1</v>
      </c>
      <c r="F109">
        <v>20</v>
      </c>
      <c r="G109">
        <v>0.1701</v>
      </c>
      <c r="H109">
        <v>4.5400000000000003E-2</v>
      </c>
      <c r="I109">
        <v>1.21</v>
      </c>
    </row>
    <row r="110" spans="1:9" x14ac:dyDescent="0.3">
      <c r="A110">
        <f>LOOKUP(9E+307,--MID(D110,1,{1,2,3,4,5}))</f>
        <v>7.5</v>
      </c>
      <c r="B110">
        <f>VLOOKUP(MID(D110,LOOKUP(2,1/ISNUMBER(-MID(D110,1,{1,2,3,4,5})),{1,2,3,4,5})+1,9),'Hue codes'!$A$1:$B$10,2,FALSE)</f>
        <v>70</v>
      </c>
      <c r="C110">
        <f t="shared" si="1"/>
        <v>77.5</v>
      </c>
      <c r="D110" t="s">
        <v>51</v>
      </c>
      <c r="E110">
        <v>1</v>
      </c>
      <c r="F110">
        <v>22</v>
      </c>
      <c r="G110">
        <v>0.1696</v>
      </c>
      <c r="H110">
        <v>4.02E-2</v>
      </c>
      <c r="I110">
        <v>1.21</v>
      </c>
    </row>
    <row r="111" spans="1:9" x14ac:dyDescent="0.3">
      <c r="A111">
        <f>LOOKUP(9E+307,--MID(D111,1,{1,2,3,4,5}))</f>
        <v>7.5</v>
      </c>
      <c r="B111">
        <f>VLOOKUP(MID(D111,LOOKUP(2,1/ISNUMBER(-MID(D111,1,{1,2,3,4,5})),{1,2,3,4,5})+1,9),'Hue codes'!$A$1:$B$10,2,FALSE)</f>
        <v>70</v>
      </c>
      <c r="C111">
        <f t="shared" si="1"/>
        <v>77.5</v>
      </c>
      <c r="D111" t="s">
        <v>51</v>
      </c>
      <c r="E111">
        <v>1</v>
      </c>
      <c r="F111">
        <v>24</v>
      </c>
      <c r="G111">
        <v>0.1691</v>
      </c>
      <c r="H111">
        <v>3.5200000000000002E-2</v>
      </c>
      <c r="I111">
        <v>1.21</v>
      </c>
    </row>
    <row r="112" spans="1:9" x14ac:dyDescent="0.3">
      <c r="A112">
        <f>LOOKUP(9E+307,--MID(D112,1,{1,2,3,4,5}))</f>
        <v>7.5</v>
      </c>
      <c r="B112">
        <f>VLOOKUP(MID(D112,LOOKUP(2,1/ISNUMBER(-MID(D112,1,{1,2,3,4,5})),{1,2,3,4,5})+1,9),'Hue codes'!$A$1:$B$10,2,FALSE)</f>
        <v>70</v>
      </c>
      <c r="C112">
        <f t="shared" si="1"/>
        <v>77.5</v>
      </c>
      <c r="D112" t="s">
        <v>51</v>
      </c>
      <c r="E112">
        <v>1</v>
      </c>
      <c r="F112">
        <v>26</v>
      </c>
      <c r="G112">
        <v>0.16889999999999999</v>
      </c>
      <c r="H112">
        <v>3.09E-2</v>
      </c>
      <c r="I112">
        <v>1.21</v>
      </c>
    </row>
    <row r="113" spans="1:9" x14ac:dyDescent="0.3">
      <c r="A113">
        <f>LOOKUP(9E+307,--MID(D113,1,{1,2,3,4,5}))</f>
        <v>7.5</v>
      </c>
      <c r="B113">
        <f>VLOOKUP(MID(D113,LOOKUP(2,1/ISNUMBER(-MID(D113,1,{1,2,3,4,5})),{1,2,3,4,5})+1,9),'Hue codes'!$A$1:$B$10,2,FALSE)</f>
        <v>70</v>
      </c>
      <c r="C113">
        <f t="shared" si="1"/>
        <v>77.5</v>
      </c>
      <c r="D113" t="s">
        <v>51</v>
      </c>
      <c r="E113">
        <v>1</v>
      </c>
      <c r="F113">
        <v>28</v>
      </c>
      <c r="G113">
        <v>0.1686</v>
      </c>
      <c r="H113">
        <v>2.7E-2</v>
      </c>
      <c r="I113">
        <v>1.21</v>
      </c>
    </row>
    <row r="114" spans="1:9" x14ac:dyDescent="0.3">
      <c r="A114">
        <f>LOOKUP(9E+307,--MID(D114,1,{1,2,3,4,5}))</f>
        <v>7.5</v>
      </c>
      <c r="B114">
        <f>VLOOKUP(MID(D114,LOOKUP(2,1/ISNUMBER(-MID(D114,1,{1,2,3,4,5})),{1,2,3,4,5})+1,9),'Hue codes'!$A$1:$B$10,2,FALSE)</f>
        <v>70</v>
      </c>
      <c r="C114">
        <f t="shared" si="1"/>
        <v>77.5</v>
      </c>
      <c r="D114" t="s">
        <v>51</v>
      </c>
      <c r="E114">
        <v>1</v>
      </c>
      <c r="F114">
        <v>30</v>
      </c>
      <c r="G114">
        <v>0.16839999999999999</v>
      </c>
      <c r="H114">
        <v>2.3400000000000001E-2</v>
      </c>
      <c r="I114">
        <v>1.21</v>
      </c>
    </row>
    <row r="115" spans="1:9" x14ac:dyDescent="0.3">
      <c r="A115">
        <f>LOOKUP(9E+307,--MID(D115,1,{1,2,3,4,5}))</f>
        <v>7.5</v>
      </c>
      <c r="B115">
        <f>VLOOKUP(MID(D115,LOOKUP(2,1/ISNUMBER(-MID(D115,1,{1,2,3,4,5})),{1,2,3,4,5})+1,9),'Hue codes'!$A$1:$B$10,2,FALSE)</f>
        <v>70</v>
      </c>
      <c r="C115">
        <f t="shared" si="1"/>
        <v>77.5</v>
      </c>
      <c r="D115" t="s">
        <v>51</v>
      </c>
      <c r="E115">
        <v>1</v>
      </c>
      <c r="F115">
        <v>32</v>
      </c>
      <c r="G115">
        <v>0.16819999999999999</v>
      </c>
      <c r="H115">
        <v>2.0199999999999999E-2</v>
      </c>
      <c r="I115">
        <v>1.21</v>
      </c>
    </row>
    <row r="116" spans="1:9" x14ac:dyDescent="0.3">
      <c r="A116">
        <f>LOOKUP(9E+307,--MID(D116,1,{1,2,3,4,5}))</f>
        <v>7.5</v>
      </c>
      <c r="B116">
        <f>VLOOKUP(MID(D116,LOOKUP(2,1/ISNUMBER(-MID(D116,1,{1,2,3,4,5})),{1,2,3,4,5})+1,9),'Hue codes'!$A$1:$B$10,2,FALSE)</f>
        <v>70</v>
      </c>
      <c r="C116">
        <f t="shared" si="1"/>
        <v>77.5</v>
      </c>
      <c r="D116" t="s">
        <v>51</v>
      </c>
      <c r="E116">
        <v>1</v>
      </c>
      <c r="F116">
        <v>34</v>
      </c>
      <c r="G116">
        <v>0.16819999999999999</v>
      </c>
      <c r="H116">
        <v>1.7999999999999999E-2</v>
      </c>
      <c r="I116">
        <v>1.21</v>
      </c>
    </row>
    <row r="117" spans="1:9" x14ac:dyDescent="0.3">
      <c r="A117">
        <f>LOOKUP(9E+307,--MID(D117,1,{1,2,3,4,5}))</f>
        <v>7.5</v>
      </c>
      <c r="B117">
        <f>VLOOKUP(MID(D117,LOOKUP(2,1/ISNUMBER(-MID(D117,1,{1,2,3,4,5})),{1,2,3,4,5})+1,9),'Hue codes'!$A$1:$B$10,2,FALSE)</f>
        <v>70</v>
      </c>
      <c r="C117">
        <f t="shared" si="1"/>
        <v>77.5</v>
      </c>
      <c r="D117" t="s">
        <v>51</v>
      </c>
      <c r="E117">
        <v>1</v>
      </c>
      <c r="F117">
        <v>36</v>
      </c>
      <c r="G117">
        <v>0.1681</v>
      </c>
      <c r="H117">
        <v>1.6E-2</v>
      </c>
      <c r="I117">
        <v>1.21</v>
      </c>
    </row>
    <row r="118" spans="1:9" x14ac:dyDescent="0.3">
      <c r="A118">
        <f>LOOKUP(9E+307,--MID(D118,1,{1,2,3,4,5}))</f>
        <v>7.5</v>
      </c>
      <c r="B118">
        <f>VLOOKUP(MID(D118,LOOKUP(2,1/ISNUMBER(-MID(D118,1,{1,2,3,4,5})),{1,2,3,4,5})+1,9),'Hue codes'!$A$1:$B$10,2,FALSE)</f>
        <v>70</v>
      </c>
      <c r="C118">
        <f t="shared" si="1"/>
        <v>77.5</v>
      </c>
      <c r="D118" t="s">
        <v>51</v>
      </c>
      <c r="E118">
        <v>1</v>
      </c>
      <c r="F118">
        <v>38</v>
      </c>
      <c r="G118">
        <v>0.16800000000000001</v>
      </c>
      <c r="H118">
        <v>1.4E-2</v>
      </c>
      <c r="I118">
        <v>1.21</v>
      </c>
    </row>
    <row r="119" spans="1:9" x14ac:dyDescent="0.3">
      <c r="A119">
        <f>LOOKUP(9E+307,--MID(D119,1,{1,2,3,4,5}))</f>
        <v>10</v>
      </c>
      <c r="B119">
        <f>VLOOKUP(MID(D119,LOOKUP(2,1/ISNUMBER(-MID(D119,1,{1,2,3,4,5})),{1,2,3,4,5})+1,9),'Hue codes'!$A$1:$B$10,2,FALSE)</f>
        <v>70</v>
      </c>
      <c r="C119">
        <f t="shared" si="1"/>
        <v>80</v>
      </c>
      <c r="D119" t="s">
        <v>52</v>
      </c>
      <c r="E119">
        <v>1</v>
      </c>
      <c r="F119">
        <v>2</v>
      </c>
      <c r="G119">
        <v>0.26769999999999999</v>
      </c>
      <c r="H119">
        <v>0.22800000000000001</v>
      </c>
      <c r="I119">
        <v>1.21</v>
      </c>
    </row>
    <row r="120" spans="1:9" x14ac:dyDescent="0.3">
      <c r="A120">
        <f>LOOKUP(9E+307,--MID(D120,1,{1,2,3,4,5}))</f>
        <v>10</v>
      </c>
      <c r="B120">
        <f>VLOOKUP(MID(D120,LOOKUP(2,1/ISNUMBER(-MID(D120,1,{1,2,3,4,5})),{1,2,3,4,5})+1,9),'Hue codes'!$A$1:$B$10,2,FALSE)</f>
        <v>70</v>
      </c>
      <c r="C120">
        <f t="shared" si="1"/>
        <v>80</v>
      </c>
      <c r="D120" t="s">
        <v>52</v>
      </c>
      <c r="E120">
        <v>1</v>
      </c>
      <c r="F120">
        <v>4</v>
      </c>
      <c r="G120">
        <v>0.24590000000000001</v>
      </c>
      <c r="H120">
        <v>0.18279999999999999</v>
      </c>
      <c r="I120">
        <v>1.21</v>
      </c>
    </row>
    <row r="121" spans="1:9" x14ac:dyDescent="0.3">
      <c r="A121">
        <f>LOOKUP(9E+307,--MID(D121,1,{1,2,3,4,5}))</f>
        <v>10</v>
      </c>
      <c r="B121">
        <f>VLOOKUP(MID(D121,LOOKUP(2,1/ISNUMBER(-MID(D121,1,{1,2,3,4,5})),{1,2,3,4,5})+1,9),'Hue codes'!$A$1:$B$10,2,FALSE)</f>
        <v>70</v>
      </c>
      <c r="C121">
        <f t="shared" si="1"/>
        <v>80</v>
      </c>
      <c r="D121" t="s">
        <v>52</v>
      </c>
      <c r="E121">
        <v>1</v>
      </c>
      <c r="F121">
        <v>6</v>
      </c>
      <c r="G121">
        <v>0.22900000000000001</v>
      </c>
      <c r="H121">
        <v>0.14699999999999999</v>
      </c>
      <c r="I121">
        <v>1.21</v>
      </c>
    </row>
    <row r="122" spans="1:9" x14ac:dyDescent="0.3">
      <c r="A122">
        <f>LOOKUP(9E+307,--MID(D122,1,{1,2,3,4,5}))</f>
        <v>10</v>
      </c>
      <c r="B122">
        <f>VLOOKUP(MID(D122,LOOKUP(2,1/ISNUMBER(-MID(D122,1,{1,2,3,4,5})),{1,2,3,4,5})+1,9),'Hue codes'!$A$1:$B$10,2,FALSE)</f>
        <v>70</v>
      </c>
      <c r="C122">
        <f t="shared" si="1"/>
        <v>80</v>
      </c>
      <c r="D122" t="s">
        <v>52</v>
      </c>
      <c r="E122">
        <v>1</v>
      </c>
      <c r="F122">
        <v>8</v>
      </c>
      <c r="G122">
        <v>0.219</v>
      </c>
      <c r="H122">
        <v>0.12280000000000001</v>
      </c>
      <c r="I122">
        <v>1.21</v>
      </c>
    </row>
    <row r="123" spans="1:9" x14ac:dyDescent="0.3">
      <c r="A123">
        <f>LOOKUP(9E+307,--MID(D123,1,{1,2,3,4,5}))</f>
        <v>10</v>
      </c>
      <c r="B123">
        <f>VLOOKUP(MID(D123,LOOKUP(2,1/ISNUMBER(-MID(D123,1,{1,2,3,4,5})),{1,2,3,4,5})+1,9),'Hue codes'!$A$1:$B$10,2,FALSE)</f>
        <v>70</v>
      </c>
      <c r="C123">
        <f t="shared" si="1"/>
        <v>80</v>
      </c>
      <c r="D123" t="s">
        <v>52</v>
      </c>
      <c r="E123">
        <v>1</v>
      </c>
      <c r="F123">
        <v>10</v>
      </c>
      <c r="G123">
        <v>0.21199999999999999</v>
      </c>
      <c r="H123">
        <v>0.10290000000000001</v>
      </c>
      <c r="I123">
        <v>1.21</v>
      </c>
    </row>
    <row r="124" spans="1:9" x14ac:dyDescent="0.3">
      <c r="A124">
        <f>LOOKUP(9E+307,--MID(D124,1,{1,2,3,4,5}))</f>
        <v>10</v>
      </c>
      <c r="B124">
        <f>VLOOKUP(MID(D124,LOOKUP(2,1/ISNUMBER(-MID(D124,1,{1,2,3,4,5})),{1,2,3,4,5})+1,9),'Hue codes'!$A$1:$B$10,2,FALSE)</f>
        <v>70</v>
      </c>
      <c r="C124">
        <f t="shared" si="1"/>
        <v>80</v>
      </c>
      <c r="D124" t="s">
        <v>52</v>
      </c>
      <c r="E124">
        <v>1</v>
      </c>
      <c r="F124">
        <v>12</v>
      </c>
      <c r="G124">
        <v>0.20699999999999999</v>
      </c>
      <c r="H124">
        <v>8.6900000000000005E-2</v>
      </c>
      <c r="I124">
        <v>1.21</v>
      </c>
    </row>
    <row r="125" spans="1:9" x14ac:dyDescent="0.3">
      <c r="A125">
        <f>LOOKUP(9E+307,--MID(D125,1,{1,2,3,4,5}))</f>
        <v>10</v>
      </c>
      <c r="B125">
        <f>VLOOKUP(MID(D125,LOOKUP(2,1/ISNUMBER(-MID(D125,1,{1,2,3,4,5})),{1,2,3,4,5})+1,9),'Hue codes'!$A$1:$B$10,2,FALSE)</f>
        <v>70</v>
      </c>
      <c r="C125">
        <f t="shared" si="1"/>
        <v>80</v>
      </c>
      <c r="D125" t="s">
        <v>52</v>
      </c>
      <c r="E125">
        <v>1</v>
      </c>
      <c r="F125">
        <v>14</v>
      </c>
      <c r="G125">
        <v>0.20380000000000001</v>
      </c>
      <c r="H125">
        <v>7.4499999999999997E-2</v>
      </c>
      <c r="I125">
        <v>1.21</v>
      </c>
    </row>
    <row r="126" spans="1:9" x14ac:dyDescent="0.3">
      <c r="A126">
        <f>LOOKUP(9E+307,--MID(D126,1,{1,2,3,4,5}))</f>
        <v>10</v>
      </c>
      <c r="B126">
        <f>VLOOKUP(MID(D126,LOOKUP(2,1/ISNUMBER(-MID(D126,1,{1,2,3,4,5})),{1,2,3,4,5})+1,9),'Hue codes'!$A$1:$B$10,2,FALSE)</f>
        <v>70</v>
      </c>
      <c r="C126">
        <f t="shared" si="1"/>
        <v>80</v>
      </c>
      <c r="D126" t="s">
        <v>52</v>
      </c>
      <c r="E126">
        <v>1</v>
      </c>
      <c r="F126">
        <v>16</v>
      </c>
      <c r="G126">
        <v>0.20080000000000001</v>
      </c>
      <c r="H126">
        <v>6.3799999999999996E-2</v>
      </c>
      <c r="I126">
        <v>1.21</v>
      </c>
    </row>
    <row r="127" spans="1:9" x14ac:dyDescent="0.3">
      <c r="A127">
        <f>LOOKUP(9E+307,--MID(D127,1,{1,2,3,4,5}))</f>
        <v>10</v>
      </c>
      <c r="B127">
        <f>VLOOKUP(MID(D127,LOOKUP(2,1/ISNUMBER(-MID(D127,1,{1,2,3,4,5})),{1,2,3,4,5})+1,9),'Hue codes'!$A$1:$B$10,2,FALSE)</f>
        <v>70</v>
      </c>
      <c r="C127">
        <f t="shared" si="1"/>
        <v>80</v>
      </c>
      <c r="D127" t="s">
        <v>52</v>
      </c>
      <c r="E127">
        <v>1</v>
      </c>
      <c r="F127">
        <v>18</v>
      </c>
      <c r="G127">
        <v>0.1991</v>
      </c>
      <c r="H127">
        <v>5.6399999999999999E-2</v>
      </c>
      <c r="I127">
        <v>1.21</v>
      </c>
    </row>
    <row r="128" spans="1:9" x14ac:dyDescent="0.3">
      <c r="A128">
        <f>LOOKUP(9E+307,--MID(D128,1,{1,2,3,4,5}))</f>
        <v>10</v>
      </c>
      <c r="B128">
        <f>VLOOKUP(MID(D128,LOOKUP(2,1/ISNUMBER(-MID(D128,1,{1,2,3,4,5})),{1,2,3,4,5})+1,9),'Hue codes'!$A$1:$B$10,2,FALSE)</f>
        <v>70</v>
      </c>
      <c r="C128">
        <f t="shared" si="1"/>
        <v>80</v>
      </c>
      <c r="D128" t="s">
        <v>52</v>
      </c>
      <c r="E128">
        <v>1</v>
      </c>
      <c r="F128">
        <v>20</v>
      </c>
      <c r="G128">
        <v>0.1976</v>
      </c>
      <c r="H128">
        <v>4.9299999999999997E-2</v>
      </c>
      <c r="I128">
        <v>1.21</v>
      </c>
    </row>
    <row r="129" spans="1:9" x14ac:dyDescent="0.3">
      <c r="A129">
        <f>LOOKUP(9E+307,--MID(D129,1,{1,2,3,4,5}))</f>
        <v>10</v>
      </c>
      <c r="B129">
        <f>VLOOKUP(MID(D129,LOOKUP(2,1/ISNUMBER(-MID(D129,1,{1,2,3,4,5})),{1,2,3,4,5})+1,9),'Hue codes'!$A$1:$B$10,2,FALSE)</f>
        <v>70</v>
      </c>
      <c r="C129">
        <f t="shared" si="1"/>
        <v>80</v>
      </c>
      <c r="D129" t="s">
        <v>52</v>
      </c>
      <c r="E129">
        <v>1</v>
      </c>
      <c r="F129">
        <v>22</v>
      </c>
      <c r="G129">
        <v>0.19650000000000001</v>
      </c>
      <c r="H129">
        <v>4.36E-2</v>
      </c>
      <c r="I129">
        <v>1.21</v>
      </c>
    </row>
    <row r="130" spans="1:9" x14ac:dyDescent="0.3">
      <c r="A130">
        <f>LOOKUP(9E+307,--MID(D130,1,{1,2,3,4,5}))</f>
        <v>10</v>
      </c>
      <c r="B130">
        <f>VLOOKUP(MID(D130,LOOKUP(2,1/ISNUMBER(-MID(D130,1,{1,2,3,4,5})),{1,2,3,4,5})+1,9),'Hue codes'!$A$1:$B$10,2,FALSE)</f>
        <v>70</v>
      </c>
      <c r="C130">
        <f t="shared" si="1"/>
        <v>80</v>
      </c>
      <c r="D130" t="s">
        <v>52</v>
      </c>
      <c r="E130">
        <v>1</v>
      </c>
      <c r="F130">
        <v>24</v>
      </c>
      <c r="G130">
        <v>0.19520000000000001</v>
      </c>
      <c r="H130">
        <v>3.7999999999999999E-2</v>
      </c>
      <c r="I130">
        <v>1.21</v>
      </c>
    </row>
    <row r="131" spans="1:9" x14ac:dyDescent="0.3">
      <c r="A131">
        <f>LOOKUP(9E+307,--MID(D131,1,{1,2,3,4,5}))</f>
        <v>10</v>
      </c>
      <c r="B131">
        <f>VLOOKUP(MID(D131,LOOKUP(2,1/ISNUMBER(-MID(D131,1,{1,2,3,4,5})),{1,2,3,4,5})+1,9),'Hue codes'!$A$1:$B$10,2,FALSE)</f>
        <v>70</v>
      </c>
      <c r="C131">
        <f t="shared" ref="C131:C194" si="2">IF(A131+B131=100,0,A131+B131)</f>
        <v>80</v>
      </c>
      <c r="D131" t="s">
        <v>52</v>
      </c>
      <c r="E131">
        <v>1</v>
      </c>
      <c r="F131">
        <v>26</v>
      </c>
      <c r="G131">
        <v>0.19420000000000001</v>
      </c>
      <c r="H131">
        <v>3.2599999999999997E-2</v>
      </c>
      <c r="I131">
        <v>1.21</v>
      </c>
    </row>
    <row r="132" spans="1:9" x14ac:dyDescent="0.3">
      <c r="A132">
        <f>LOOKUP(9E+307,--MID(D132,1,{1,2,3,4,5}))</f>
        <v>10</v>
      </c>
      <c r="B132">
        <f>VLOOKUP(MID(D132,LOOKUP(2,1/ISNUMBER(-MID(D132,1,{1,2,3,4,5})),{1,2,3,4,5})+1,9),'Hue codes'!$A$1:$B$10,2,FALSE)</f>
        <v>70</v>
      </c>
      <c r="C132">
        <f t="shared" si="2"/>
        <v>80</v>
      </c>
      <c r="D132" t="s">
        <v>52</v>
      </c>
      <c r="E132">
        <v>1</v>
      </c>
      <c r="F132">
        <v>28</v>
      </c>
      <c r="G132">
        <v>0.19359999999999999</v>
      </c>
      <c r="H132">
        <v>2.81E-2</v>
      </c>
      <c r="I132">
        <v>1.21</v>
      </c>
    </row>
    <row r="133" spans="1:9" x14ac:dyDescent="0.3">
      <c r="A133">
        <f>LOOKUP(9E+307,--MID(D133,1,{1,2,3,4,5}))</f>
        <v>10</v>
      </c>
      <c r="B133">
        <f>VLOOKUP(MID(D133,LOOKUP(2,1/ISNUMBER(-MID(D133,1,{1,2,3,4,5})),{1,2,3,4,5})+1,9),'Hue codes'!$A$1:$B$10,2,FALSE)</f>
        <v>70</v>
      </c>
      <c r="C133">
        <f t="shared" si="2"/>
        <v>80</v>
      </c>
      <c r="D133" t="s">
        <v>52</v>
      </c>
      <c r="E133">
        <v>1</v>
      </c>
      <c r="F133">
        <v>30</v>
      </c>
      <c r="G133">
        <v>0.1928</v>
      </c>
      <c r="H133">
        <v>2.4E-2</v>
      </c>
      <c r="I133">
        <v>1.21</v>
      </c>
    </row>
    <row r="134" spans="1:9" x14ac:dyDescent="0.3">
      <c r="A134">
        <f>LOOKUP(9E+307,--MID(D134,1,{1,2,3,4,5}))</f>
        <v>2.5</v>
      </c>
      <c r="B134">
        <f>VLOOKUP(MID(D134,LOOKUP(2,1/ISNUMBER(-MID(D134,1,{1,2,3,4,5})),{1,2,3,4,5})+1,9),'Hue codes'!$A$1:$B$10,2,FALSE)</f>
        <v>80</v>
      </c>
      <c r="C134">
        <f t="shared" si="2"/>
        <v>82.5</v>
      </c>
      <c r="D134" t="s">
        <v>53</v>
      </c>
      <c r="E134">
        <v>1</v>
      </c>
      <c r="F134">
        <v>2</v>
      </c>
      <c r="G134">
        <v>0.28079999999999999</v>
      </c>
      <c r="H134">
        <v>0.2296</v>
      </c>
      <c r="I134">
        <v>1.21</v>
      </c>
    </row>
    <row r="135" spans="1:9" x14ac:dyDescent="0.3">
      <c r="A135">
        <f>LOOKUP(9E+307,--MID(D135,1,{1,2,3,4,5}))</f>
        <v>2.5</v>
      </c>
      <c r="B135">
        <f>VLOOKUP(MID(D135,LOOKUP(2,1/ISNUMBER(-MID(D135,1,{1,2,3,4,5})),{1,2,3,4,5})+1,9),'Hue codes'!$A$1:$B$10,2,FALSE)</f>
        <v>80</v>
      </c>
      <c r="C135">
        <f t="shared" si="2"/>
        <v>82.5</v>
      </c>
      <c r="D135" t="s">
        <v>53</v>
      </c>
      <c r="E135">
        <v>1</v>
      </c>
      <c r="F135">
        <v>4</v>
      </c>
      <c r="G135">
        <v>0.26679999999999998</v>
      </c>
      <c r="H135">
        <v>0.18740000000000001</v>
      </c>
      <c r="I135">
        <v>1.21</v>
      </c>
    </row>
    <row r="136" spans="1:9" x14ac:dyDescent="0.3">
      <c r="A136">
        <f>LOOKUP(9E+307,--MID(D136,1,{1,2,3,4,5}))</f>
        <v>2.5</v>
      </c>
      <c r="B136">
        <f>VLOOKUP(MID(D136,LOOKUP(2,1/ISNUMBER(-MID(D136,1,{1,2,3,4,5})),{1,2,3,4,5})+1,9),'Hue codes'!$A$1:$B$10,2,FALSE)</f>
        <v>80</v>
      </c>
      <c r="C136">
        <f t="shared" si="2"/>
        <v>82.5</v>
      </c>
      <c r="D136" t="s">
        <v>53</v>
      </c>
      <c r="E136">
        <v>1</v>
      </c>
      <c r="F136">
        <v>6</v>
      </c>
      <c r="G136">
        <v>0.25700000000000001</v>
      </c>
      <c r="H136">
        <v>0.15590000000000001</v>
      </c>
      <c r="I136">
        <v>1.21</v>
      </c>
    </row>
    <row r="137" spans="1:9" x14ac:dyDescent="0.3">
      <c r="A137">
        <f>LOOKUP(9E+307,--MID(D137,1,{1,2,3,4,5}))</f>
        <v>2.5</v>
      </c>
      <c r="B137">
        <f>VLOOKUP(MID(D137,LOOKUP(2,1/ISNUMBER(-MID(D137,1,{1,2,3,4,5})),{1,2,3,4,5})+1,9),'Hue codes'!$A$1:$B$10,2,FALSE)</f>
        <v>80</v>
      </c>
      <c r="C137">
        <f t="shared" si="2"/>
        <v>82.5</v>
      </c>
      <c r="D137" t="s">
        <v>53</v>
      </c>
      <c r="E137">
        <v>1</v>
      </c>
      <c r="F137">
        <v>8</v>
      </c>
      <c r="G137">
        <v>0.24959999999999999</v>
      </c>
      <c r="H137">
        <v>0.1303</v>
      </c>
      <c r="I137">
        <v>1.21</v>
      </c>
    </row>
    <row r="138" spans="1:9" x14ac:dyDescent="0.3">
      <c r="A138">
        <f>LOOKUP(9E+307,--MID(D138,1,{1,2,3,4,5}))</f>
        <v>2.5</v>
      </c>
      <c r="B138">
        <f>VLOOKUP(MID(D138,LOOKUP(2,1/ISNUMBER(-MID(D138,1,{1,2,3,4,5})),{1,2,3,4,5})+1,9),'Hue codes'!$A$1:$B$10,2,FALSE)</f>
        <v>80</v>
      </c>
      <c r="C138">
        <f t="shared" si="2"/>
        <v>82.5</v>
      </c>
      <c r="D138" t="s">
        <v>53</v>
      </c>
      <c r="E138">
        <v>1</v>
      </c>
      <c r="F138">
        <v>10</v>
      </c>
      <c r="G138">
        <v>0.24410000000000001</v>
      </c>
      <c r="H138">
        <v>0.11119999999999999</v>
      </c>
      <c r="I138">
        <v>1.21</v>
      </c>
    </row>
    <row r="139" spans="1:9" x14ac:dyDescent="0.3">
      <c r="A139">
        <f>LOOKUP(9E+307,--MID(D139,1,{1,2,3,4,5}))</f>
        <v>2.5</v>
      </c>
      <c r="B139">
        <f>VLOOKUP(MID(D139,LOOKUP(2,1/ISNUMBER(-MID(D139,1,{1,2,3,4,5})),{1,2,3,4,5})+1,9),'Hue codes'!$A$1:$B$10,2,FALSE)</f>
        <v>80</v>
      </c>
      <c r="C139">
        <f t="shared" si="2"/>
        <v>82.5</v>
      </c>
      <c r="D139" t="s">
        <v>53</v>
      </c>
      <c r="E139">
        <v>1</v>
      </c>
      <c r="F139">
        <v>12</v>
      </c>
      <c r="G139">
        <v>0.2394</v>
      </c>
      <c r="H139">
        <v>9.4E-2</v>
      </c>
      <c r="I139">
        <v>1.21</v>
      </c>
    </row>
    <row r="140" spans="1:9" x14ac:dyDescent="0.3">
      <c r="A140">
        <f>LOOKUP(9E+307,--MID(D140,1,{1,2,3,4,5}))</f>
        <v>2.5</v>
      </c>
      <c r="B140">
        <f>VLOOKUP(MID(D140,LOOKUP(2,1/ISNUMBER(-MID(D140,1,{1,2,3,4,5})),{1,2,3,4,5})+1,9),'Hue codes'!$A$1:$B$10,2,FALSE)</f>
        <v>80</v>
      </c>
      <c r="C140">
        <f t="shared" si="2"/>
        <v>82.5</v>
      </c>
      <c r="D140" t="s">
        <v>53</v>
      </c>
      <c r="E140">
        <v>1</v>
      </c>
      <c r="F140">
        <v>14</v>
      </c>
      <c r="G140">
        <v>0.2361</v>
      </c>
      <c r="H140">
        <v>8.1000000000000003E-2</v>
      </c>
      <c r="I140">
        <v>1.21</v>
      </c>
    </row>
    <row r="141" spans="1:9" x14ac:dyDescent="0.3">
      <c r="A141">
        <f>LOOKUP(9E+307,--MID(D141,1,{1,2,3,4,5}))</f>
        <v>2.5</v>
      </c>
      <c r="B141">
        <f>VLOOKUP(MID(D141,LOOKUP(2,1/ISNUMBER(-MID(D141,1,{1,2,3,4,5})),{1,2,3,4,5})+1,9),'Hue codes'!$A$1:$B$10,2,FALSE)</f>
        <v>80</v>
      </c>
      <c r="C141">
        <f t="shared" si="2"/>
        <v>82.5</v>
      </c>
      <c r="D141" t="s">
        <v>53</v>
      </c>
      <c r="E141">
        <v>1</v>
      </c>
      <c r="F141">
        <v>16</v>
      </c>
      <c r="G141">
        <v>0.2331</v>
      </c>
      <c r="H141">
        <v>6.9599999999999995E-2</v>
      </c>
      <c r="I141">
        <v>1.21</v>
      </c>
    </row>
    <row r="142" spans="1:9" x14ac:dyDescent="0.3">
      <c r="A142">
        <f>LOOKUP(9E+307,--MID(D142,1,{1,2,3,4,5}))</f>
        <v>2.5</v>
      </c>
      <c r="B142">
        <f>VLOOKUP(MID(D142,LOOKUP(2,1/ISNUMBER(-MID(D142,1,{1,2,3,4,5})),{1,2,3,4,5})+1,9),'Hue codes'!$A$1:$B$10,2,FALSE)</f>
        <v>80</v>
      </c>
      <c r="C142">
        <f t="shared" si="2"/>
        <v>82.5</v>
      </c>
      <c r="D142" t="s">
        <v>53</v>
      </c>
      <c r="E142">
        <v>1</v>
      </c>
      <c r="F142">
        <v>18</v>
      </c>
      <c r="G142">
        <v>0.23119999999999999</v>
      </c>
      <c r="H142">
        <v>6.1800000000000001E-2</v>
      </c>
      <c r="I142">
        <v>1.21</v>
      </c>
    </row>
    <row r="143" spans="1:9" x14ac:dyDescent="0.3">
      <c r="A143">
        <f>LOOKUP(9E+307,--MID(D143,1,{1,2,3,4,5}))</f>
        <v>2.5</v>
      </c>
      <c r="B143">
        <f>VLOOKUP(MID(D143,LOOKUP(2,1/ISNUMBER(-MID(D143,1,{1,2,3,4,5})),{1,2,3,4,5})+1,9),'Hue codes'!$A$1:$B$10,2,FALSE)</f>
        <v>80</v>
      </c>
      <c r="C143">
        <f t="shared" si="2"/>
        <v>82.5</v>
      </c>
      <c r="D143" t="s">
        <v>53</v>
      </c>
      <c r="E143">
        <v>1</v>
      </c>
      <c r="F143">
        <v>20</v>
      </c>
      <c r="G143">
        <v>0.22950000000000001</v>
      </c>
      <c r="H143">
        <v>5.4199999999999998E-2</v>
      </c>
      <c r="I143">
        <v>1.21</v>
      </c>
    </row>
    <row r="144" spans="1:9" x14ac:dyDescent="0.3">
      <c r="A144">
        <f>LOOKUP(9E+307,--MID(D144,1,{1,2,3,4,5}))</f>
        <v>2.5</v>
      </c>
      <c r="B144">
        <f>VLOOKUP(MID(D144,LOOKUP(2,1/ISNUMBER(-MID(D144,1,{1,2,3,4,5})),{1,2,3,4,5})+1,9),'Hue codes'!$A$1:$B$10,2,FALSE)</f>
        <v>80</v>
      </c>
      <c r="C144">
        <f t="shared" si="2"/>
        <v>82.5</v>
      </c>
      <c r="D144" t="s">
        <v>53</v>
      </c>
      <c r="E144">
        <v>1</v>
      </c>
      <c r="F144">
        <v>22</v>
      </c>
      <c r="G144">
        <v>0.22789999999999999</v>
      </c>
      <c r="H144">
        <v>4.7300000000000002E-2</v>
      </c>
      <c r="I144">
        <v>1.21</v>
      </c>
    </row>
    <row r="145" spans="1:9" x14ac:dyDescent="0.3">
      <c r="A145">
        <f>LOOKUP(9E+307,--MID(D145,1,{1,2,3,4,5}))</f>
        <v>2.5</v>
      </c>
      <c r="B145">
        <f>VLOOKUP(MID(D145,LOOKUP(2,1/ISNUMBER(-MID(D145,1,{1,2,3,4,5})),{1,2,3,4,5})+1,9),'Hue codes'!$A$1:$B$10,2,FALSE)</f>
        <v>80</v>
      </c>
      <c r="C145">
        <f t="shared" si="2"/>
        <v>82.5</v>
      </c>
      <c r="D145" t="s">
        <v>53</v>
      </c>
      <c r="E145">
        <v>1</v>
      </c>
      <c r="F145">
        <v>24</v>
      </c>
      <c r="G145">
        <v>0.2266</v>
      </c>
      <c r="H145">
        <v>4.1799999999999997E-2</v>
      </c>
      <c r="I145">
        <v>1.21</v>
      </c>
    </row>
    <row r="146" spans="1:9" x14ac:dyDescent="0.3">
      <c r="A146">
        <f>LOOKUP(9E+307,--MID(D146,1,{1,2,3,4,5}))</f>
        <v>2.5</v>
      </c>
      <c r="B146">
        <f>VLOOKUP(MID(D146,LOOKUP(2,1/ISNUMBER(-MID(D146,1,{1,2,3,4,5})),{1,2,3,4,5})+1,9),'Hue codes'!$A$1:$B$10,2,FALSE)</f>
        <v>80</v>
      </c>
      <c r="C146">
        <f t="shared" si="2"/>
        <v>82.5</v>
      </c>
      <c r="D146" t="s">
        <v>53</v>
      </c>
      <c r="E146">
        <v>1</v>
      </c>
      <c r="F146">
        <v>26</v>
      </c>
      <c r="G146">
        <v>0.22509999999999999</v>
      </c>
      <c r="H146">
        <v>3.5499999999999997E-2</v>
      </c>
      <c r="I146">
        <v>1.21</v>
      </c>
    </row>
    <row r="147" spans="1:9" x14ac:dyDescent="0.3">
      <c r="A147">
        <f>LOOKUP(9E+307,--MID(D147,1,{1,2,3,4,5}))</f>
        <v>5</v>
      </c>
      <c r="B147">
        <f>VLOOKUP(MID(D147,LOOKUP(2,1/ISNUMBER(-MID(D147,1,{1,2,3,4,5})),{1,2,3,4,5})+1,9),'Hue codes'!$A$1:$B$10,2,FALSE)</f>
        <v>80</v>
      </c>
      <c r="C147">
        <f t="shared" si="2"/>
        <v>85</v>
      </c>
      <c r="D147" t="s">
        <v>54</v>
      </c>
      <c r="E147">
        <v>1</v>
      </c>
      <c r="F147">
        <v>2</v>
      </c>
      <c r="G147">
        <v>0.29360000000000003</v>
      </c>
      <c r="H147">
        <v>0.23300000000000001</v>
      </c>
      <c r="I147">
        <v>1.21</v>
      </c>
    </row>
    <row r="148" spans="1:9" x14ac:dyDescent="0.3">
      <c r="A148">
        <f>LOOKUP(9E+307,--MID(D148,1,{1,2,3,4,5}))</f>
        <v>5</v>
      </c>
      <c r="B148">
        <f>VLOOKUP(MID(D148,LOOKUP(2,1/ISNUMBER(-MID(D148,1,{1,2,3,4,5})),{1,2,3,4,5})+1,9),'Hue codes'!$A$1:$B$10,2,FALSE)</f>
        <v>80</v>
      </c>
      <c r="C148">
        <f t="shared" si="2"/>
        <v>85</v>
      </c>
      <c r="D148" t="s">
        <v>54</v>
      </c>
      <c r="E148">
        <v>1</v>
      </c>
      <c r="F148">
        <v>4</v>
      </c>
      <c r="G148">
        <v>0.28539999999999999</v>
      </c>
      <c r="H148">
        <v>0.19270000000000001</v>
      </c>
      <c r="I148">
        <v>1.21</v>
      </c>
    </row>
    <row r="149" spans="1:9" x14ac:dyDescent="0.3">
      <c r="A149">
        <f>LOOKUP(9E+307,--MID(D149,1,{1,2,3,4,5}))</f>
        <v>5</v>
      </c>
      <c r="B149">
        <f>VLOOKUP(MID(D149,LOOKUP(2,1/ISNUMBER(-MID(D149,1,{1,2,3,4,5})),{1,2,3,4,5})+1,9),'Hue codes'!$A$1:$B$10,2,FALSE)</f>
        <v>80</v>
      </c>
      <c r="C149">
        <f t="shared" si="2"/>
        <v>85</v>
      </c>
      <c r="D149" t="s">
        <v>54</v>
      </c>
      <c r="E149">
        <v>1</v>
      </c>
      <c r="F149">
        <v>6</v>
      </c>
      <c r="G149">
        <v>0.27939999999999998</v>
      </c>
      <c r="H149">
        <v>0.1628</v>
      </c>
      <c r="I149">
        <v>1.21</v>
      </c>
    </row>
    <row r="150" spans="1:9" x14ac:dyDescent="0.3">
      <c r="A150">
        <f>LOOKUP(9E+307,--MID(D150,1,{1,2,3,4,5}))</f>
        <v>5</v>
      </c>
      <c r="B150">
        <f>VLOOKUP(MID(D150,LOOKUP(2,1/ISNUMBER(-MID(D150,1,{1,2,3,4,5})),{1,2,3,4,5})+1,9),'Hue codes'!$A$1:$B$10,2,FALSE)</f>
        <v>80</v>
      </c>
      <c r="C150">
        <f t="shared" si="2"/>
        <v>85</v>
      </c>
      <c r="D150" t="s">
        <v>54</v>
      </c>
      <c r="E150">
        <v>1</v>
      </c>
      <c r="F150">
        <v>8</v>
      </c>
      <c r="G150">
        <v>0.2742</v>
      </c>
      <c r="H150">
        <v>0.13750000000000001</v>
      </c>
      <c r="I150">
        <v>1.21</v>
      </c>
    </row>
    <row r="151" spans="1:9" x14ac:dyDescent="0.3">
      <c r="A151">
        <f>LOOKUP(9E+307,--MID(D151,1,{1,2,3,4,5}))</f>
        <v>5</v>
      </c>
      <c r="B151">
        <f>VLOOKUP(MID(D151,LOOKUP(2,1/ISNUMBER(-MID(D151,1,{1,2,3,4,5})),{1,2,3,4,5})+1,9),'Hue codes'!$A$1:$B$10,2,FALSE)</f>
        <v>80</v>
      </c>
      <c r="C151">
        <f t="shared" si="2"/>
        <v>85</v>
      </c>
      <c r="D151" t="s">
        <v>54</v>
      </c>
      <c r="E151">
        <v>1</v>
      </c>
      <c r="F151">
        <v>10</v>
      </c>
      <c r="G151">
        <v>0.27010000000000001</v>
      </c>
      <c r="H151">
        <v>0.1178</v>
      </c>
      <c r="I151">
        <v>1.21</v>
      </c>
    </row>
    <row r="152" spans="1:9" x14ac:dyDescent="0.3">
      <c r="A152">
        <f>LOOKUP(9E+307,--MID(D152,1,{1,2,3,4,5}))</f>
        <v>5</v>
      </c>
      <c r="B152">
        <f>VLOOKUP(MID(D152,LOOKUP(2,1/ISNUMBER(-MID(D152,1,{1,2,3,4,5})),{1,2,3,4,5})+1,9),'Hue codes'!$A$1:$B$10,2,FALSE)</f>
        <v>80</v>
      </c>
      <c r="C152">
        <f t="shared" si="2"/>
        <v>85</v>
      </c>
      <c r="D152" t="s">
        <v>54</v>
      </c>
      <c r="E152">
        <v>1</v>
      </c>
      <c r="F152">
        <v>12</v>
      </c>
      <c r="G152">
        <v>0.26700000000000002</v>
      </c>
      <c r="H152">
        <v>0.10059999999999999</v>
      </c>
      <c r="I152">
        <v>1.21</v>
      </c>
    </row>
    <row r="153" spans="1:9" x14ac:dyDescent="0.3">
      <c r="A153">
        <f>LOOKUP(9E+307,--MID(D153,1,{1,2,3,4,5}))</f>
        <v>5</v>
      </c>
      <c r="B153">
        <f>VLOOKUP(MID(D153,LOOKUP(2,1/ISNUMBER(-MID(D153,1,{1,2,3,4,5})),{1,2,3,4,5})+1,9),'Hue codes'!$A$1:$B$10,2,FALSE)</f>
        <v>80</v>
      </c>
      <c r="C153">
        <f t="shared" si="2"/>
        <v>85</v>
      </c>
      <c r="D153" t="s">
        <v>54</v>
      </c>
      <c r="E153">
        <v>1</v>
      </c>
      <c r="F153">
        <v>14</v>
      </c>
      <c r="G153">
        <v>0.26450000000000001</v>
      </c>
      <c r="H153">
        <v>8.6300000000000002E-2</v>
      </c>
      <c r="I153">
        <v>1.21</v>
      </c>
    </row>
    <row r="154" spans="1:9" x14ac:dyDescent="0.3">
      <c r="A154">
        <f>LOOKUP(9E+307,--MID(D154,1,{1,2,3,4,5}))</f>
        <v>5</v>
      </c>
      <c r="B154">
        <f>VLOOKUP(MID(D154,LOOKUP(2,1/ISNUMBER(-MID(D154,1,{1,2,3,4,5})),{1,2,3,4,5})+1,9),'Hue codes'!$A$1:$B$10,2,FALSE)</f>
        <v>80</v>
      </c>
      <c r="C154">
        <f t="shared" si="2"/>
        <v>85</v>
      </c>
      <c r="D154" t="s">
        <v>54</v>
      </c>
      <c r="E154">
        <v>1</v>
      </c>
      <c r="F154">
        <v>16</v>
      </c>
      <c r="G154">
        <v>0.26250000000000001</v>
      </c>
      <c r="H154">
        <v>7.46E-2</v>
      </c>
      <c r="I154">
        <v>1.21</v>
      </c>
    </row>
    <row r="155" spans="1:9" x14ac:dyDescent="0.3">
      <c r="A155">
        <f>LOOKUP(9E+307,--MID(D155,1,{1,2,3,4,5}))</f>
        <v>5</v>
      </c>
      <c r="B155">
        <f>VLOOKUP(MID(D155,LOOKUP(2,1/ISNUMBER(-MID(D155,1,{1,2,3,4,5})),{1,2,3,4,5})+1,9),'Hue codes'!$A$1:$B$10,2,FALSE)</f>
        <v>80</v>
      </c>
      <c r="C155">
        <f t="shared" si="2"/>
        <v>85</v>
      </c>
      <c r="D155" t="s">
        <v>54</v>
      </c>
      <c r="E155">
        <v>1</v>
      </c>
      <c r="F155">
        <v>18</v>
      </c>
      <c r="G155">
        <v>0.26119999999999999</v>
      </c>
      <c r="H155">
        <v>6.6699999999999995E-2</v>
      </c>
      <c r="I155">
        <v>1.21</v>
      </c>
    </row>
    <row r="156" spans="1:9" x14ac:dyDescent="0.3">
      <c r="A156">
        <f>LOOKUP(9E+307,--MID(D156,1,{1,2,3,4,5}))</f>
        <v>5</v>
      </c>
      <c r="B156">
        <f>VLOOKUP(MID(D156,LOOKUP(2,1/ISNUMBER(-MID(D156,1,{1,2,3,4,5})),{1,2,3,4,5})+1,9),'Hue codes'!$A$1:$B$10,2,FALSE)</f>
        <v>80</v>
      </c>
      <c r="C156">
        <f t="shared" si="2"/>
        <v>85</v>
      </c>
      <c r="D156" t="s">
        <v>54</v>
      </c>
      <c r="E156">
        <v>1</v>
      </c>
      <c r="F156">
        <v>20</v>
      </c>
      <c r="G156">
        <v>0.2601</v>
      </c>
      <c r="H156">
        <v>5.8599999999999999E-2</v>
      </c>
      <c r="I156">
        <v>1.21</v>
      </c>
    </row>
    <row r="157" spans="1:9" x14ac:dyDescent="0.3">
      <c r="A157">
        <f>LOOKUP(9E+307,--MID(D157,1,{1,2,3,4,5}))</f>
        <v>5</v>
      </c>
      <c r="B157">
        <f>VLOOKUP(MID(D157,LOOKUP(2,1/ISNUMBER(-MID(D157,1,{1,2,3,4,5})),{1,2,3,4,5})+1,9),'Hue codes'!$A$1:$B$10,2,FALSE)</f>
        <v>80</v>
      </c>
      <c r="C157">
        <f t="shared" si="2"/>
        <v>85</v>
      </c>
      <c r="D157" t="s">
        <v>54</v>
      </c>
      <c r="E157">
        <v>1</v>
      </c>
      <c r="F157">
        <v>22</v>
      </c>
      <c r="G157">
        <v>0.25900000000000001</v>
      </c>
      <c r="H157">
        <v>5.0900000000000001E-2</v>
      </c>
      <c r="I157">
        <v>1.21</v>
      </c>
    </row>
    <row r="158" spans="1:9" x14ac:dyDescent="0.3">
      <c r="A158">
        <f>LOOKUP(9E+307,--MID(D158,1,{1,2,3,4,5}))</f>
        <v>7.5</v>
      </c>
      <c r="B158">
        <f>VLOOKUP(MID(D158,LOOKUP(2,1/ISNUMBER(-MID(D158,1,{1,2,3,4,5})),{1,2,3,4,5})+1,9),'Hue codes'!$A$1:$B$10,2,FALSE)</f>
        <v>80</v>
      </c>
      <c r="C158">
        <f t="shared" si="2"/>
        <v>87.5</v>
      </c>
      <c r="D158" t="s">
        <v>55</v>
      </c>
      <c r="E158">
        <v>1</v>
      </c>
      <c r="F158">
        <v>2</v>
      </c>
      <c r="G158">
        <v>0.30299999999999999</v>
      </c>
      <c r="H158">
        <v>0.2361</v>
      </c>
      <c r="I158">
        <v>1.21</v>
      </c>
    </row>
    <row r="159" spans="1:9" x14ac:dyDescent="0.3">
      <c r="A159">
        <f>LOOKUP(9E+307,--MID(D159,1,{1,2,3,4,5}))</f>
        <v>7.5</v>
      </c>
      <c r="B159">
        <f>VLOOKUP(MID(D159,LOOKUP(2,1/ISNUMBER(-MID(D159,1,{1,2,3,4,5})),{1,2,3,4,5})+1,9),'Hue codes'!$A$1:$B$10,2,FALSE)</f>
        <v>80</v>
      </c>
      <c r="C159">
        <f t="shared" si="2"/>
        <v>87.5</v>
      </c>
      <c r="D159" t="s">
        <v>55</v>
      </c>
      <c r="E159">
        <v>1</v>
      </c>
      <c r="F159">
        <v>4</v>
      </c>
      <c r="G159">
        <v>0.29909999999999998</v>
      </c>
      <c r="H159">
        <v>0.19739999999999999</v>
      </c>
      <c r="I159">
        <v>1.21</v>
      </c>
    </row>
    <row r="160" spans="1:9" x14ac:dyDescent="0.3">
      <c r="A160">
        <f>LOOKUP(9E+307,--MID(D160,1,{1,2,3,4,5}))</f>
        <v>7.5</v>
      </c>
      <c r="B160">
        <f>VLOOKUP(MID(D160,LOOKUP(2,1/ISNUMBER(-MID(D160,1,{1,2,3,4,5})),{1,2,3,4,5})+1,9),'Hue codes'!$A$1:$B$10,2,FALSE)</f>
        <v>80</v>
      </c>
      <c r="C160">
        <f t="shared" si="2"/>
        <v>87.5</v>
      </c>
      <c r="D160" t="s">
        <v>55</v>
      </c>
      <c r="E160">
        <v>1</v>
      </c>
      <c r="F160">
        <v>6</v>
      </c>
      <c r="G160">
        <v>0.29599999999999999</v>
      </c>
      <c r="H160">
        <v>0.16819999999999999</v>
      </c>
      <c r="I160">
        <v>1.21</v>
      </c>
    </row>
    <row r="161" spans="1:9" x14ac:dyDescent="0.3">
      <c r="A161">
        <f>LOOKUP(9E+307,--MID(D161,1,{1,2,3,4,5}))</f>
        <v>7.5</v>
      </c>
      <c r="B161">
        <f>VLOOKUP(MID(D161,LOOKUP(2,1/ISNUMBER(-MID(D161,1,{1,2,3,4,5})),{1,2,3,4,5})+1,9),'Hue codes'!$A$1:$B$10,2,FALSE)</f>
        <v>80</v>
      </c>
      <c r="C161">
        <f t="shared" si="2"/>
        <v>87.5</v>
      </c>
      <c r="D161" t="s">
        <v>55</v>
      </c>
      <c r="E161">
        <v>1</v>
      </c>
      <c r="F161">
        <v>8</v>
      </c>
      <c r="G161">
        <v>0.29320000000000002</v>
      </c>
      <c r="H161">
        <v>0.1429</v>
      </c>
      <c r="I161">
        <v>1.21</v>
      </c>
    </row>
    <row r="162" spans="1:9" x14ac:dyDescent="0.3">
      <c r="A162">
        <f>LOOKUP(9E+307,--MID(D162,1,{1,2,3,4,5}))</f>
        <v>7.5</v>
      </c>
      <c r="B162">
        <f>VLOOKUP(MID(D162,LOOKUP(2,1/ISNUMBER(-MID(D162,1,{1,2,3,4,5})),{1,2,3,4,5})+1,9),'Hue codes'!$A$1:$B$10,2,FALSE)</f>
        <v>80</v>
      </c>
      <c r="C162">
        <f t="shared" si="2"/>
        <v>87.5</v>
      </c>
      <c r="D162" t="s">
        <v>55</v>
      </c>
      <c r="E162">
        <v>1</v>
      </c>
      <c r="F162">
        <v>10</v>
      </c>
      <c r="G162">
        <v>0.29049999999999998</v>
      </c>
      <c r="H162">
        <v>0.1229</v>
      </c>
      <c r="I162">
        <v>1.21</v>
      </c>
    </row>
    <row r="163" spans="1:9" x14ac:dyDescent="0.3">
      <c r="A163">
        <f>LOOKUP(9E+307,--MID(D163,1,{1,2,3,4,5}))</f>
        <v>7.5</v>
      </c>
      <c r="B163">
        <f>VLOOKUP(MID(D163,LOOKUP(2,1/ISNUMBER(-MID(D163,1,{1,2,3,4,5})),{1,2,3,4,5})+1,9),'Hue codes'!$A$1:$B$10,2,FALSE)</f>
        <v>80</v>
      </c>
      <c r="C163">
        <f t="shared" si="2"/>
        <v>87.5</v>
      </c>
      <c r="D163" t="s">
        <v>55</v>
      </c>
      <c r="E163">
        <v>1</v>
      </c>
      <c r="F163">
        <v>12</v>
      </c>
      <c r="G163">
        <v>0.28839999999999999</v>
      </c>
      <c r="H163">
        <v>0.10589999999999999</v>
      </c>
      <c r="I163">
        <v>1.21</v>
      </c>
    </row>
    <row r="164" spans="1:9" x14ac:dyDescent="0.3">
      <c r="A164">
        <f>LOOKUP(9E+307,--MID(D164,1,{1,2,3,4,5}))</f>
        <v>7.5</v>
      </c>
      <c r="B164">
        <f>VLOOKUP(MID(D164,LOOKUP(2,1/ISNUMBER(-MID(D164,1,{1,2,3,4,5})),{1,2,3,4,5})+1,9),'Hue codes'!$A$1:$B$10,2,FALSE)</f>
        <v>80</v>
      </c>
      <c r="C164">
        <f t="shared" si="2"/>
        <v>87.5</v>
      </c>
      <c r="D164" t="s">
        <v>55</v>
      </c>
      <c r="E164">
        <v>1</v>
      </c>
      <c r="F164">
        <v>14</v>
      </c>
      <c r="G164">
        <v>0.2868</v>
      </c>
      <c r="H164">
        <v>9.0300000000000005E-2</v>
      </c>
      <c r="I164">
        <v>1.21</v>
      </c>
    </row>
    <row r="165" spans="1:9" x14ac:dyDescent="0.3">
      <c r="A165">
        <f>LOOKUP(9E+307,--MID(D165,1,{1,2,3,4,5}))</f>
        <v>7.5</v>
      </c>
      <c r="B165">
        <f>VLOOKUP(MID(D165,LOOKUP(2,1/ISNUMBER(-MID(D165,1,{1,2,3,4,5})),{1,2,3,4,5})+1,9),'Hue codes'!$A$1:$B$10,2,FALSE)</f>
        <v>80</v>
      </c>
      <c r="C165">
        <f t="shared" si="2"/>
        <v>87.5</v>
      </c>
      <c r="D165" t="s">
        <v>55</v>
      </c>
      <c r="E165">
        <v>1</v>
      </c>
      <c r="F165">
        <v>16</v>
      </c>
      <c r="G165">
        <v>0.28520000000000001</v>
      </c>
      <c r="H165">
        <v>7.9000000000000001E-2</v>
      </c>
      <c r="I165">
        <v>1.21</v>
      </c>
    </row>
    <row r="166" spans="1:9" x14ac:dyDescent="0.3">
      <c r="A166">
        <f>LOOKUP(9E+307,--MID(D166,1,{1,2,3,4,5}))</f>
        <v>7.5</v>
      </c>
      <c r="B166">
        <f>VLOOKUP(MID(D166,LOOKUP(2,1/ISNUMBER(-MID(D166,1,{1,2,3,4,5})),{1,2,3,4,5})+1,9),'Hue codes'!$A$1:$B$10,2,FALSE)</f>
        <v>80</v>
      </c>
      <c r="C166">
        <f t="shared" si="2"/>
        <v>87.5</v>
      </c>
      <c r="D166" t="s">
        <v>55</v>
      </c>
      <c r="E166">
        <v>1</v>
      </c>
      <c r="F166">
        <v>18</v>
      </c>
      <c r="G166">
        <v>0.28410000000000002</v>
      </c>
      <c r="H166">
        <v>7.0599999999999996E-2</v>
      </c>
      <c r="I166">
        <v>1.21</v>
      </c>
    </row>
    <row r="167" spans="1:9" x14ac:dyDescent="0.3">
      <c r="A167">
        <f>LOOKUP(9E+307,--MID(D167,1,{1,2,3,4,5}))</f>
        <v>7.5</v>
      </c>
      <c r="B167">
        <f>VLOOKUP(MID(D167,LOOKUP(2,1/ISNUMBER(-MID(D167,1,{1,2,3,4,5})),{1,2,3,4,5})+1,9),'Hue codes'!$A$1:$B$10,2,FALSE)</f>
        <v>80</v>
      </c>
      <c r="C167">
        <f t="shared" si="2"/>
        <v>87.5</v>
      </c>
      <c r="D167" t="s">
        <v>55</v>
      </c>
      <c r="E167">
        <v>1</v>
      </c>
      <c r="F167">
        <v>20</v>
      </c>
      <c r="G167">
        <v>0.28310000000000002</v>
      </c>
      <c r="H167">
        <v>6.25E-2</v>
      </c>
      <c r="I167">
        <v>1.21</v>
      </c>
    </row>
    <row r="168" spans="1:9" x14ac:dyDescent="0.3">
      <c r="A168">
        <f>LOOKUP(9E+307,--MID(D168,1,{1,2,3,4,5}))</f>
        <v>10</v>
      </c>
      <c r="B168">
        <f>VLOOKUP(MID(D168,LOOKUP(2,1/ISNUMBER(-MID(D168,1,{1,2,3,4,5})),{1,2,3,4,5})+1,9),'Hue codes'!$A$1:$B$10,2,FALSE)</f>
        <v>80</v>
      </c>
      <c r="C168">
        <f t="shared" si="2"/>
        <v>90</v>
      </c>
      <c r="D168" t="s">
        <v>56</v>
      </c>
      <c r="E168">
        <v>1</v>
      </c>
      <c r="F168">
        <v>2</v>
      </c>
      <c r="G168">
        <v>0.31319999999999998</v>
      </c>
      <c r="H168">
        <v>0.2404</v>
      </c>
      <c r="I168">
        <v>1.21</v>
      </c>
    </row>
    <row r="169" spans="1:9" x14ac:dyDescent="0.3">
      <c r="A169">
        <f>LOOKUP(9E+307,--MID(D169,1,{1,2,3,4,5}))</f>
        <v>10</v>
      </c>
      <c r="B169">
        <f>VLOOKUP(MID(D169,LOOKUP(2,1/ISNUMBER(-MID(D169,1,{1,2,3,4,5})),{1,2,3,4,5})+1,9),'Hue codes'!$A$1:$B$10,2,FALSE)</f>
        <v>80</v>
      </c>
      <c r="C169">
        <f t="shared" si="2"/>
        <v>90</v>
      </c>
      <c r="D169" t="s">
        <v>56</v>
      </c>
      <c r="E169">
        <v>1</v>
      </c>
      <c r="F169">
        <v>4</v>
      </c>
      <c r="G169">
        <v>0.31319999999999998</v>
      </c>
      <c r="H169">
        <v>0.20319999999999999</v>
      </c>
      <c r="I169">
        <v>1.21</v>
      </c>
    </row>
    <row r="170" spans="1:9" x14ac:dyDescent="0.3">
      <c r="A170">
        <f>LOOKUP(9E+307,--MID(D170,1,{1,2,3,4,5}))</f>
        <v>10</v>
      </c>
      <c r="B170">
        <f>VLOOKUP(MID(D170,LOOKUP(2,1/ISNUMBER(-MID(D170,1,{1,2,3,4,5})),{1,2,3,4,5})+1,9),'Hue codes'!$A$1:$B$10,2,FALSE)</f>
        <v>80</v>
      </c>
      <c r="C170">
        <f t="shared" si="2"/>
        <v>90</v>
      </c>
      <c r="D170" t="s">
        <v>56</v>
      </c>
      <c r="E170">
        <v>1</v>
      </c>
      <c r="F170">
        <v>6</v>
      </c>
      <c r="G170">
        <v>0.31259999999999999</v>
      </c>
      <c r="H170">
        <v>0.17369999999999999</v>
      </c>
      <c r="I170">
        <v>1.21</v>
      </c>
    </row>
    <row r="171" spans="1:9" x14ac:dyDescent="0.3">
      <c r="A171">
        <f>LOOKUP(9E+307,--MID(D171,1,{1,2,3,4,5}))</f>
        <v>10</v>
      </c>
      <c r="B171">
        <f>VLOOKUP(MID(D171,LOOKUP(2,1/ISNUMBER(-MID(D171,1,{1,2,3,4,5})),{1,2,3,4,5})+1,9),'Hue codes'!$A$1:$B$10,2,FALSE)</f>
        <v>80</v>
      </c>
      <c r="C171">
        <f t="shared" si="2"/>
        <v>90</v>
      </c>
      <c r="D171" t="s">
        <v>56</v>
      </c>
      <c r="E171">
        <v>1</v>
      </c>
      <c r="F171">
        <v>8</v>
      </c>
      <c r="G171">
        <v>0.31140000000000001</v>
      </c>
      <c r="H171">
        <v>0.14810000000000001</v>
      </c>
      <c r="I171">
        <v>1.21</v>
      </c>
    </row>
    <row r="172" spans="1:9" x14ac:dyDescent="0.3">
      <c r="A172">
        <f>LOOKUP(9E+307,--MID(D172,1,{1,2,3,4,5}))</f>
        <v>10</v>
      </c>
      <c r="B172">
        <f>VLOOKUP(MID(D172,LOOKUP(2,1/ISNUMBER(-MID(D172,1,{1,2,3,4,5})),{1,2,3,4,5})+1,9),'Hue codes'!$A$1:$B$10,2,FALSE)</f>
        <v>80</v>
      </c>
      <c r="C172">
        <f t="shared" si="2"/>
        <v>90</v>
      </c>
      <c r="D172" t="s">
        <v>56</v>
      </c>
      <c r="E172">
        <v>1</v>
      </c>
      <c r="F172">
        <v>10</v>
      </c>
      <c r="G172">
        <v>0.31019999999999998</v>
      </c>
      <c r="H172">
        <v>0.12820000000000001</v>
      </c>
      <c r="I172">
        <v>1.21</v>
      </c>
    </row>
    <row r="173" spans="1:9" x14ac:dyDescent="0.3">
      <c r="A173">
        <f>LOOKUP(9E+307,--MID(D173,1,{1,2,3,4,5}))</f>
        <v>10</v>
      </c>
      <c r="B173">
        <f>VLOOKUP(MID(D173,LOOKUP(2,1/ISNUMBER(-MID(D173,1,{1,2,3,4,5})),{1,2,3,4,5})+1,9),'Hue codes'!$A$1:$B$10,2,FALSE)</f>
        <v>80</v>
      </c>
      <c r="C173">
        <f t="shared" si="2"/>
        <v>90</v>
      </c>
      <c r="D173" t="s">
        <v>56</v>
      </c>
      <c r="E173">
        <v>1</v>
      </c>
      <c r="F173">
        <v>12</v>
      </c>
      <c r="G173">
        <v>0.30940000000000001</v>
      </c>
      <c r="H173">
        <v>0.111</v>
      </c>
      <c r="I173">
        <v>1.21</v>
      </c>
    </row>
    <row r="174" spans="1:9" x14ac:dyDescent="0.3">
      <c r="A174">
        <f>LOOKUP(9E+307,--MID(D174,1,{1,2,3,4,5}))</f>
        <v>10</v>
      </c>
      <c r="B174">
        <f>VLOOKUP(MID(D174,LOOKUP(2,1/ISNUMBER(-MID(D174,1,{1,2,3,4,5})),{1,2,3,4,5})+1,9),'Hue codes'!$A$1:$B$10,2,FALSE)</f>
        <v>80</v>
      </c>
      <c r="C174">
        <f t="shared" si="2"/>
        <v>90</v>
      </c>
      <c r="D174" t="s">
        <v>56</v>
      </c>
      <c r="E174">
        <v>1</v>
      </c>
      <c r="F174">
        <v>14</v>
      </c>
      <c r="G174">
        <v>0.30840000000000001</v>
      </c>
      <c r="H174">
        <v>9.5200000000000007E-2</v>
      </c>
      <c r="I174">
        <v>1.21</v>
      </c>
    </row>
    <row r="175" spans="1:9" x14ac:dyDescent="0.3">
      <c r="A175">
        <f>LOOKUP(9E+307,--MID(D175,1,{1,2,3,4,5}))</f>
        <v>10</v>
      </c>
      <c r="B175">
        <f>VLOOKUP(MID(D175,LOOKUP(2,1/ISNUMBER(-MID(D175,1,{1,2,3,4,5})),{1,2,3,4,5})+1,9),'Hue codes'!$A$1:$B$10,2,FALSE)</f>
        <v>80</v>
      </c>
      <c r="C175">
        <f t="shared" si="2"/>
        <v>90</v>
      </c>
      <c r="D175" t="s">
        <v>56</v>
      </c>
      <c r="E175">
        <v>1</v>
      </c>
      <c r="F175">
        <v>16</v>
      </c>
      <c r="G175">
        <v>0.30780000000000002</v>
      </c>
      <c r="H175">
        <v>8.3900000000000002E-2</v>
      </c>
      <c r="I175">
        <v>1.21</v>
      </c>
    </row>
    <row r="176" spans="1:9" x14ac:dyDescent="0.3">
      <c r="A176">
        <f>LOOKUP(9E+307,--MID(D176,1,{1,2,3,4,5}))</f>
        <v>10</v>
      </c>
      <c r="B176">
        <f>VLOOKUP(MID(D176,LOOKUP(2,1/ISNUMBER(-MID(D176,1,{1,2,3,4,5})),{1,2,3,4,5})+1,9),'Hue codes'!$A$1:$B$10,2,FALSE)</f>
        <v>80</v>
      </c>
      <c r="C176">
        <f t="shared" si="2"/>
        <v>90</v>
      </c>
      <c r="D176" t="s">
        <v>56</v>
      </c>
      <c r="E176">
        <v>1</v>
      </c>
      <c r="F176">
        <v>18</v>
      </c>
      <c r="G176">
        <v>0.30690000000000001</v>
      </c>
      <c r="H176">
        <v>7.4800000000000005E-2</v>
      </c>
      <c r="I176">
        <v>1.21</v>
      </c>
    </row>
    <row r="177" spans="1:9" x14ac:dyDescent="0.3">
      <c r="A177">
        <f>LOOKUP(9E+307,--MID(D177,1,{1,2,3,4,5}))</f>
        <v>2.5</v>
      </c>
      <c r="B177">
        <f>VLOOKUP(MID(D177,LOOKUP(2,1/ISNUMBER(-MID(D177,1,{1,2,3,4,5})),{1,2,3,4,5})+1,9),'Hue codes'!$A$1:$B$10,2,FALSE)</f>
        <v>90</v>
      </c>
      <c r="C177">
        <f t="shared" si="2"/>
        <v>92.5</v>
      </c>
      <c r="D177" t="s">
        <v>57</v>
      </c>
      <c r="E177">
        <v>1</v>
      </c>
      <c r="F177">
        <v>2</v>
      </c>
      <c r="G177">
        <v>0.32400000000000001</v>
      </c>
      <c r="H177">
        <v>0.24590000000000001</v>
      </c>
      <c r="I177">
        <v>1.21</v>
      </c>
    </row>
    <row r="178" spans="1:9" x14ac:dyDescent="0.3">
      <c r="A178">
        <f>LOOKUP(9E+307,--MID(D178,1,{1,2,3,4,5}))</f>
        <v>2.5</v>
      </c>
      <c r="B178">
        <f>VLOOKUP(MID(D178,LOOKUP(2,1/ISNUMBER(-MID(D178,1,{1,2,3,4,5})),{1,2,3,4,5})+1,9),'Hue codes'!$A$1:$B$10,2,FALSE)</f>
        <v>90</v>
      </c>
      <c r="C178">
        <f t="shared" si="2"/>
        <v>92.5</v>
      </c>
      <c r="D178" t="s">
        <v>57</v>
      </c>
      <c r="E178">
        <v>1</v>
      </c>
      <c r="F178">
        <v>4</v>
      </c>
      <c r="G178">
        <v>0.32900000000000001</v>
      </c>
      <c r="H178">
        <v>0.20949999999999999</v>
      </c>
      <c r="I178">
        <v>1.21</v>
      </c>
    </row>
    <row r="179" spans="1:9" x14ac:dyDescent="0.3">
      <c r="A179">
        <f>LOOKUP(9E+307,--MID(D179,1,{1,2,3,4,5}))</f>
        <v>2.5</v>
      </c>
      <c r="B179">
        <f>VLOOKUP(MID(D179,LOOKUP(2,1/ISNUMBER(-MID(D179,1,{1,2,3,4,5})),{1,2,3,4,5})+1,9),'Hue codes'!$A$1:$B$10,2,FALSE)</f>
        <v>90</v>
      </c>
      <c r="C179">
        <f t="shared" si="2"/>
        <v>92.5</v>
      </c>
      <c r="D179" t="s">
        <v>57</v>
      </c>
      <c r="E179">
        <v>1</v>
      </c>
      <c r="F179">
        <v>6</v>
      </c>
      <c r="G179">
        <v>0.33210000000000001</v>
      </c>
      <c r="H179">
        <v>0.18110000000000001</v>
      </c>
      <c r="I179">
        <v>1.21</v>
      </c>
    </row>
    <row r="180" spans="1:9" x14ac:dyDescent="0.3">
      <c r="A180">
        <f>LOOKUP(9E+307,--MID(D180,1,{1,2,3,4,5}))</f>
        <v>2.5</v>
      </c>
      <c r="B180">
        <f>VLOOKUP(MID(D180,LOOKUP(2,1/ISNUMBER(-MID(D180,1,{1,2,3,4,5})),{1,2,3,4,5})+1,9),'Hue codes'!$A$1:$B$10,2,FALSE)</f>
        <v>90</v>
      </c>
      <c r="C180">
        <f t="shared" si="2"/>
        <v>92.5</v>
      </c>
      <c r="D180" t="s">
        <v>57</v>
      </c>
      <c r="E180">
        <v>1</v>
      </c>
      <c r="F180">
        <v>8</v>
      </c>
      <c r="G180">
        <v>0.3342</v>
      </c>
      <c r="H180">
        <v>0.15509999999999999</v>
      </c>
      <c r="I180">
        <v>1.21</v>
      </c>
    </row>
    <row r="181" spans="1:9" x14ac:dyDescent="0.3">
      <c r="A181">
        <f>LOOKUP(9E+307,--MID(D181,1,{1,2,3,4,5}))</f>
        <v>2.5</v>
      </c>
      <c r="B181">
        <f>VLOOKUP(MID(D181,LOOKUP(2,1/ISNUMBER(-MID(D181,1,{1,2,3,4,5})),{1,2,3,4,5})+1,9),'Hue codes'!$A$1:$B$10,2,FALSE)</f>
        <v>90</v>
      </c>
      <c r="C181">
        <f t="shared" si="2"/>
        <v>92.5</v>
      </c>
      <c r="D181" t="s">
        <v>57</v>
      </c>
      <c r="E181">
        <v>1</v>
      </c>
      <c r="F181">
        <v>10</v>
      </c>
      <c r="G181">
        <v>0.33539999999999998</v>
      </c>
      <c r="H181">
        <v>0.1351</v>
      </c>
      <c r="I181">
        <v>1.21</v>
      </c>
    </row>
    <row r="182" spans="1:9" x14ac:dyDescent="0.3">
      <c r="A182">
        <f>LOOKUP(9E+307,--MID(D182,1,{1,2,3,4,5}))</f>
        <v>2.5</v>
      </c>
      <c r="B182">
        <f>VLOOKUP(MID(D182,LOOKUP(2,1/ISNUMBER(-MID(D182,1,{1,2,3,4,5})),{1,2,3,4,5})+1,9),'Hue codes'!$A$1:$B$10,2,FALSE)</f>
        <v>90</v>
      </c>
      <c r="C182">
        <f t="shared" si="2"/>
        <v>92.5</v>
      </c>
      <c r="D182" t="s">
        <v>57</v>
      </c>
      <c r="E182">
        <v>1</v>
      </c>
      <c r="F182">
        <v>12</v>
      </c>
      <c r="G182">
        <v>0.33610000000000001</v>
      </c>
      <c r="H182">
        <v>0.1181</v>
      </c>
      <c r="I182">
        <v>1.21</v>
      </c>
    </row>
    <row r="183" spans="1:9" x14ac:dyDescent="0.3">
      <c r="A183">
        <f>LOOKUP(9E+307,--MID(D183,1,{1,2,3,4,5}))</f>
        <v>2.5</v>
      </c>
      <c r="B183">
        <f>VLOOKUP(MID(D183,LOOKUP(2,1/ISNUMBER(-MID(D183,1,{1,2,3,4,5})),{1,2,3,4,5})+1,9),'Hue codes'!$A$1:$B$10,2,FALSE)</f>
        <v>90</v>
      </c>
      <c r="C183">
        <f t="shared" si="2"/>
        <v>92.5</v>
      </c>
      <c r="D183" t="s">
        <v>57</v>
      </c>
      <c r="E183">
        <v>1</v>
      </c>
      <c r="F183">
        <v>14</v>
      </c>
      <c r="G183">
        <v>0.33679999999999999</v>
      </c>
      <c r="H183">
        <v>0.10199999999999999</v>
      </c>
      <c r="I183">
        <v>1.21</v>
      </c>
    </row>
    <row r="184" spans="1:9" x14ac:dyDescent="0.3">
      <c r="A184">
        <f>LOOKUP(9E+307,--MID(D184,1,{1,2,3,4,5}))</f>
        <v>2.5</v>
      </c>
      <c r="B184">
        <f>VLOOKUP(MID(D184,LOOKUP(2,1/ISNUMBER(-MID(D184,1,{1,2,3,4,5})),{1,2,3,4,5})+1,9),'Hue codes'!$A$1:$B$10,2,FALSE)</f>
        <v>90</v>
      </c>
      <c r="C184">
        <f t="shared" si="2"/>
        <v>92.5</v>
      </c>
      <c r="D184" t="s">
        <v>57</v>
      </c>
      <c r="E184">
        <v>1</v>
      </c>
      <c r="F184">
        <v>16</v>
      </c>
      <c r="G184">
        <v>0.33679999999999999</v>
      </c>
      <c r="H184">
        <v>9.0200000000000002E-2</v>
      </c>
      <c r="I184">
        <v>1.21</v>
      </c>
    </row>
    <row r="185" spans="1:9" x14ac:dyDescent="0.3">
      <c r="A185">
        <f>LOOKUP(9E+307,--MID(D185,1,{1,2,3,4,5}))</f>
        <v>5</v>
      </c>
      <c r="B185">
        <f>VLOOKUP(MID(D185,LOOKUP(2,1/ISNUMBER(-MID(D185,1,{1,2,3,4,5})),{1,2,3,4,5})+1,9),'Hue codes'!$A$1:$B$10,2,FALSE)</f>
        <v>90</v>
      </c>
      <c r="C185">
        <f t="shared" si="2"/>
        <v>95</v>
      </c>
      <c r="D185" t="s">
        <v>58</v>
      </c>
      <c r="E185">
        <v>1</v>
      </c>
      <c r="F185">
        <v>2</v>
      </c>
      <c r="G185">
        <v>0.33779999999999999</v>
      </c>
      <c r="H185">
        <v>0.25419999999999998</v>
      </c>
      <c r="I185">
        <v>1.21</v>
      </c>
    </row>
    <row r="186" spans="1:9" x14ac:dyDescent="0.3">
      <c r="A186">
        <f>LOOKUP(9E+307,--MID(D186,1,{1,2,3,4,5}))</f>
        <v>5</v>
      </c>
      <c r="B186">
        <f>VLOOKUP(MID(D186,LOOKUP(2,1/ISNUMBER(-MID(D186,1,{1,2,3,4,5})),{1,2,3,4,5})+1,9),'Hue codes'!$A$1:$B$10,2,FALSE)</f>
        <v>90</v>
      </c>
      <c r="C186">
        <f t="shared" si="2"/>
        <v>95</v>
      </c>
      <c r="D186" t="s">
        <v>58</v>
      </c>
      <c r="E186">
        <v>1</v>
      </c>
      <c r="F186">
        <v>4</v>
      </c>
      <c r="G186">
        <v>0.3503</v>
      </c>
      <c r="H186">
        <v>0.21959999999999999</v>
      </c>
      <c r="I186">
        <v>1.21</v>
      </c>
    </row>
    <row r="187" spans="1:9" x14ac:dyDescent="0.3">
      <c r="A187">
        <f>LOOKUP(9E+307,--MID(D187,1,{1,2,3,4,5}))</f>
        <v>5</v>
      </c>
      <c r="B187">
        <f>VLOOKUP(MID(D187,LOOKUP(2,1/ISNUMBER(-MID(D187,1,{1,2,3,4,5})),{1,2,3,4,5})+1,9),'Hue codes'!$A$1:$B$10,2,FALSE)</f>
        <v>90</v>
      </c>
      <c r="C187">
        <f t="shared" si="2"/>
        <v>95</v>
      </c>
      <c r="D187" t="s">
        <v>58</v>
      </c>
      <c r="E187">
        <v>1</v>
      </c>
      <c r="F187">
        <v>6</v>
      </c>
      <c r="G187">
        <v>0.35880000000000001</v>
      </c>
      <c r="H187">
        <v>0.192</v>
      </c>
      <c r="I187">
        <v>1.21</v>
      </c>
    </row>
    <row r="188" spans="1:9" x14ac:dyDescent="0.3">
      <c r="A188">
        <f>LOOKUP(9E+307,--MID(D188,1,{1,2,3,4,5}))</f>
        <v>5</v>
      </c>
      <c r="B188">
        <f>VLOOKUP(MID(D188,LOOKUP(2,1/ISNUMBER(-MID(D188,1,{1,2,3,4,5})),{1,2,3,4,5})+1,9),'Hue codes'!$A$1:$B$10,2,FALSE)</f>
        <v>90</v>
      </c>
      <c r="C188">
        <f t="shared" si="2"/>
        <v>95</v>
      </c>
      <c r="D188" t="s">
        <v>58</v>
      </c>
      <c r="E188">
        <v>1</v>
      </c>
      <c r="F188">
        <v>8</v>
      </c>
      <c r="G188">
        <v>0.36599999999999999</v>
      </c>
      <c r="H188">
        <v>0.16619999999999999</v>
      </c>
      <c r="I188">
        <v>1.21</v>
      </c>
    </row>
    <row r="189" spans="1:9" x14ac:dyDescent="0.3">
      <c r="A189">
        <f>LOOKUP(9E+307,--MID(D189,1,{1,2,3,4,5}))</f>
        <v>5</v>
      </c>
      <c r="B189">
        <f>VLOOKUP(MID(D189,LOOKUP(2,1/ISNUMBER(-MID(D189,1,{1,2,3,4,5})),{1,2,3,4,5})+1,9),'Hue codes'!$A$1:$B$10,2,FALSE)</f>
        <v>90</v>
      </c>
      <c r="C189">
        <f t="shared" si="2"/>
        <v>95</v>
      </c>
      <c r="D189" t="s">
        <v>58</v>
      </c>
      <c r="E189">
        <v>1</v>
      </c>
      <c r="F189">
        <v>10</v>
      </c>
      <c r="G189">
        <v>0.37269999999999998</v>
      </c>
      <c r="H189">
        <v>0.14580000000000001</v>
      </c>
      <c r="I189">
        <v>1.21</v>
      </c>
    </row>
    <row r="190" spans="1:9" x14ac:dyDescent="0.3">
      <c r="A190">
        <f>LOOKUP(9E+307,--MID(D190,1,{1,2,3,4,5}))</f>
        <v>5</v>
      </c>
      <c r="B190">
        <f>VLOOKUP(MID(D190,LOOKUP(2,1/ISNUMBER(-MID(D190,1,{1,2,3,4,5})),{1,2,3,4,5})+1,9),'Hue codes'!$A$1:$B$10,2,FALSE)</f>
        <v>90</v>
      </c>
      <c r="C190">
        <f t="shared" si="2"/>
        <v>95</v>
      </c>
      <c r="D190" t="s">
        <v>58</v>
      </c>
      <c r="E190">
        <v>1</v>
      </c>
      <c r="F190">
        <v>12</v>
      </c>
      <c r="G190">
        <v>0.37719999999999998</v>
      </c>
      <c r="H190">
        <v>0.1283</v>
      </c>
      <c r="I190">
        <v>1.21</v>
      </c>
    </row>
    <row r="191" spans="1:9" x14ac:dyDescent="0.3">
      <c r="A191">
        <f>LOOKUP(9E+307,--MID(D191,1,{1,2,3,4,5}))</f>
        <v>5</v>
      </c>
      <c r="B191">
        <f>VLOOKUP(MID(D191,LOOKUP(2,1/ISNUMBER(-MID(D191,1,{1,2,3,4,5})),{1,2,3,4,5})+1,9),'Hue codes'!$A$1:$B$10,2,FALSE)</f>
        <v>90</v>
      </c>
      <c r="C191">
        <f t="shared" si="2"/>
        <v>95</v>
      </c>
      <c r="D191" t="s">
        <v>58</v>
      </c>
      <c r="E191">
        <v>1</v>
      </c>
      <c r="F191">
        <v>14</v>
      </c>
      <c r="G191">
        <v>0.38109999999999999</v>
      </c>
      <c r="H191">
        <v>0.1138</v>
      </c>
      <c r="I191">
        <v>1.21</v>
      </c>
    </row>
    <row r="192" spans="1:9" x14ac:dyDescent="0.3">
      <c r="A192">
        <f>LOOKUP(9E+307,--MID(D192,1,{1,2,3,4,5}))</f>
        <v>7.5</v>
      </c>
      <c r="B192">
        <f>VLOOKUP(MID(D192,LOOKUP(2,1/ISNUMBER(-MID(D192,1,{1,2,3,4,5})),{1,2,3,4,5})+1,9),'Hue codes'!$A$1:$B$10,2,FALSE)</f>
        <v>90</v>
      </c>
      <c r="C192">
        <f t="shared" si="2"/>
        <v>97.5</v>
      </c>
      <c r="D192" t="s">
        <v>59</v>
      </c>
      <c r="E192">
        <v>1</v>
      </c>
      <c r="F192">
        <v>2</v>
      </c>
      <c r="G192">
        <v>0.3498</v>
      </c>
      <c r="H192">
        <v>0.26169999999999999</v>
      </c>
      <c r="I192">
        <v>1.21</v>
      </c>
    </row>
    <row r="193" spans="1:9" x14ac:dyDescent="0.3">
      <c r="A193">
        <f>LOOKUP(9E+307,--MID(D193,1,{1,2,3,4,5}))</f>
        <v>7.5</v>
      </c>
      <c r="B193">
        <f>VLOOKUP(MID(D193,LOOKUP(2,1/ISNUMBER(-MID(D193,1,{1,2,3,4,5})),{1,2,3,4,5})+1,9),'Hue codes'!$A$1:$B$10,2,FALSE)</f>
        <v>90</v>
      </c>
      <c r="C193">
        <f t="shared" si="2"/>
        <v>97.5</v>
      </c>
      <c r="D193" t="s">
        <v>59</v>
      </c>
      <c r="E193">
        <v>1</v>
      </c>
      <c r="F193">
        <v>4</v>
      </c>
      <c r="G193">
        <v>0.3705</v>
      </c>
      <c r="H193">
        <v>0.23</v>
      </c>
      <c r="I193">
        <v>1.21</v>
      </c>
    </row>
    <row r="194" spans="1:9" x14ac:dyDescent="0.3">
      <c r="A194">
        <f>LOOKUP(9E+307,--MID(D194,1,{1,2,3,4,5}))</f>
        <v>7.5</v>
      </c>
      <c r="B194">
        <f>VLOOKUP(MID(D194,LOOKUP(2,1/ISNUMBER(-MID(D194,1,{1,2,3,4,5})),{1,2,3,4,5})+1,9),'Hue codes'!$A$1:$B$10,2,FALSE)</f>
        <v>90</v>
      </c>
      <c r="C194">
        <f t="shared" si="2"/>
        <v>97.5</v>
      </c>
      <c r="D194" t="s">
        <v>59</v>
      </c>
      <c r="E194">
        <v>1</v>
      </c>
      <c r="F194">
        <v>6</v>
      </c>
      <c r="G194">
        <v>0.38650000000000001</v>
      </c>
      <c r="H194">
        <v>0.2036</v>
      </c>
      <c r="I194">
        <v>1.21</v>
      </c>
    </row>
    <row r="195" spans="1:9" x14ac:dyDescent="0.3">
      <c r="A195">
        <f>LOOKUP(9E+307,--MID(D195,1,{1,2,3,4,5}))</f>
        <v>7.5</v>
      </c>
      <c r="B195">
        <f>VLOOKUP(MID(D195,LOOKUP(2,1/ISNUMBER(-MID(D195,1,{1,2,3,4,5})),{1,2,3,4,5})+1,9),'Hue codes'!$A$1:$B$10,2,FALSE)</f>
        <v>90</v>
      </c>
      <c r="C195">
        <f t="shared" ref="C195:C258" si="3">IF(A195+B195=100,0,A195+B195)</f>
        <v>97.5</v>
      </c>
      <c r="D195" t="s">
        <v>59</v>
      </c>
      <c r="E195">
        <v>1</v>
      </c>
      <c r="F195">
        <v>8</v>
      </c>
      <c r="G195">
        <v>0.40050000000000002</v>
      </c>
      <c r="H195">
        <v>0.17929999999999999</v>
      </c>
      <c r="I195">
        <v>1.21</v>
      </c>
    </row>
    <row r="196" spans="1:9" x14ac:dyDescent="0.3">
      <c r="A196">
        <f>LOOKUP(9E+307,--MID(D196,1,{1,2,3,4,5}))</f>
        <v>7.5</v>
      </c>
      <c r="B196">
        <f>VLOOKUP(MID(D196,LOOKUP(2,1/ISNUMBER(-MID(D196,1,{1,2,3,4,5})),{1,2,3,4,5})+1,9),'Hue codes'!$A$1:$B$10,2,FALSE)</f>
        <v>90</v>
      </c>
      <c r="C196">
        <f t="shared" si="3"/>
        <v>97.5</v>
      </c>
      <c r="D196" t="s">
        <v>59</v>
      </c>
      <c r="E196">
        <v>1</v>
      </c>
      <c r="F196">
        <v>10</v>
      </c>
      <c r="G196">
        <v>0.41320000000000001</v>
      </c>
      <c r="H196">
        <v>0.158</v>
      </c>
      <c r="I196">
        <v>1.21</v>
      </c>
    </row>
    <row r="197" spans="1:9" x14ac:dyDescent="0.3">
      <c r="A197">
        <f>LOOKUP(9E+307,--MID(D197,1,{1,2,3,4,5}))</f>
        <v>7.5</v>
      </c>
      <c r="B197">
        <f>VLOOKUP(MID(D197,LOOKUP(2,1/ISNUMBER(-MID(D197,1,{1,2,3,4,5})),{1,2,3,4,5})+1,9),'Hue codes'!$A$1:$B$10,2,FALSE)</f>
        <v>90</v>
      </c>
      <c r="C197">
        <f t="shared" si="3"/>
        <v>97.5</v>
      </c>
      <c r="D197" t="s">
        <v>59</v>
      </c>
      <c r="E197">
        <v>1</v>
      </c>
      <c r="F197">
        <v>12</v>
      </c>
      <c r="G197">
        <v>0.42399999999999999</v>
      </c>
      <c r="H197">
        <v>0.14000000000000001</v>
      </c>
      <c r="I197">
        <v>1.21</v>
      </c>
    </row>
    <row r="198" spans="1:9" x14ac:dyDescent="0.3">
      <c r="A198">
        <f>LOOKUP(9E+307,--MID(D198,1,{1,2,3,4,5}))</f>
        <v>10</v>
      </c>
      <c r="B198">
        <f>VLOOKUP(MID(D198,LOOKUP(2,1/ISNUMBER(-MID(D198,1,{1,2,3,4,5})),{1,2,3,4,5})+1,9),'Hue codes'!$A$1:$B$10,2,FALSE)</f>
        <v>90</v>
      </c>
      <c r="C198">
        <f t="shared" si="3"/>
        <v>0</v>
      </c>
      <c r="D198" t="s">
        <v>20</v>
      </c>
      <c r="E198">
        <v>2</v>
      </c>
      <c r="F198">
        <v>2</v>
      </c>
      <c r="G198">
        <v>0.35320000000000001</v>
      </c>
      <c r="H198">
        <v>0.29570000000000002</v>
      </c>
      <c r="I198">
        <v>3.1259999999999999</v>
      </c>
    </row>
    <row r="199" spans="1:9" x14ac:dyDescent="0.3">
      <c r="A199">
        <f>LOOKUP(9E+307,--MID(D199,1,{1,2,3,4,5}))</f>
        <v>10</v>
      </c>
      <c r="B199">
        <f>VLOOKUP(MID(D199,LOOKUP(2,1/ISNUMBER(-MID(D199,1,{1,2,3,4,5})),{1,2,3,4,5})+1,9),'Hue codes'!$A$1:$B$10,2,FALSE)</f>
        <v>90</v>
      </c>
      <c r="C199">
        <f t="shared" si="3"/>
        <v>0</v>
      </c>
      <c r="D199" t="s">
        <v>20</v>
      </c>
      <c r="E199">
        <v>2</v>
      </c>
      <c r="F199">
        <v>4</v>
      </c>
      <c r="G199">
        <v>0.38500000000000001</v>
      </c>
      <c r="H199">
        <v>0.27779999999999999</v>
      </c>
      <c r="I199">
        <v>3.1259999999999999</v>
      </c>
    </row>
    <row r="200" spans="1:9" x14ac:dyDescent="0.3">
      <c r="A200">
        <f>LOOKUP(9E+307,--MID(D200,1,{1,2,3,4,5}))</f>
        <v>10</v>
      </c>
      <c r="B200">
        <f>VLOOKUP(MID(D200,LOOKUP(2,1/ISNUMBER(-MID(D200,1,{1,2,3,4,5})),{1,2,3,4,5})+1,9),'Hue codes'!$A$1:$B$10,2,FALSE)</f>
        <v>90</v>
      </c>
      <c r="C200">
        <f t="shared" si="3"/>
        <v>0</v>
      </c>
      <c r="D200" t="s">
        <v>20</v>
      </c>
      <c r="E200">
        <v>2</v>
      </c>
      <c r="F200">
        <v>6</v>
      </c>
      <c r="G200">
        <v>0.41389999999999999</v>
      </c>
      <c r="H200">
        <v>0.26079999999999998</v>
      </c>
      <c r="I200">
        <v>3.1259999999999999</v>
      </c>
    </row>
    <row r="201" spans="1:9" x14ac:dyDescent="0.3">
      <c r="A201">
        <f>LOOKUP(9E+307,--MID(D201,1,{1,2,3,4,5}))</f>
        <v>10</v>
      </c>
      <c r="B201">
        <f>VLOOKUP(MID(D201,LOOKUP(2,1/ISNUMBER(-MID(D201,1,{1,2,3,4,5})),{1,2,3,4,5})+1,9),'Hue codes'!$A$1:$B$10,2,FALSE)</f>
        <v>90</v>
      </c>
      <c r="C201">
        <f t="shared" si="3"/>
        <v>0</v>
      </c>
      <c r="D201" t="s">
        <v>20</v>
      </c>
      <c r="E201">
        <v>2</v>
      </c>
      <c r="F201">
        <v>8</v>
      </c>
      <c r="G201">
        <v>0.44280000000000003</v>
      </c>
      <c r="H201">
        <v>0.2419</v>
      </c>
      <c r="I201">
        <v>3.1259999999999999</v>
      </c>
    </row>
    <row r="202" spans="1:9" x14ac:dyDescent="0.3">
      <c r="A202">
        <f>LOOKUP(9E+307,--MID(D202,1,{1,2,3,4,5}))</f>
        <v>10</v>
      </c>
      <c r="B202">
        <f>VLOOKUP(MID(D202,LOOKUP(2,1/ISNUMBER(-MID(D202,1,{1,2,3,4,5})),{1,2,3,4,5})+1,9),'Hue codes'!$A$1:$B$10,2,FALSE)</f>
        <v>90</v>
      </c>
      <c r="C202">
        <f t="shared" si="3"/>
        <v>0</v>
      </c>
      <c r="D202" t="s">
        <v>20</v>
      </c>
      <c r="E202">
        <v>2</v>
      </c>
      <c r="F202">
        <v>10</v>
      </c>
      <c r="G202">
        <v>0.46779999999999999</v>
      </c>
      <c r="H202">
        <v>0.22370000000000001</v>
      </c>
      <c r="I202">
        <v>3.1259999999999999</v>
      </c>
    </row>
    <row r="203" spans="1:9" x14ac:dyDescent="0.3">
      <c r="A203">
        <f>LOOKUP(9E+307,--MID(D203,1,{1,2,3,4,5}))</f>
        <v>10</v>
      </c>
      <c r="B203">
        <f>VLOOKUP(MID(D203,LOOKUP(2,1/ISNUMBER(-MID(D203,1,{1,2,3,4,5})),{1,2,3,4,5})+1,9),'Hue codes'!$A$1:$B$10,2,FALSE)</f>
        <v>90</v>
      </c>
      <c r="C203">
        <f t="shared" si="3"/>
        <v>0</v>
      </c>
      <c r="D203" t="s">
        <v>20</v>
      </c>
      <c r="E203">
        <v>2</v>
      </c>
      <c r="F203">
        <v>12</v>
      </c>
      <c r="G203">
        <v>0.49109999999999998</v>
      </c>
      <c r="H203">
        <v>0.20599999999999999</v>
      </c>
      <c r="I203">
        <v>3.1259999999999999</v>
      </c>
    </row>
    <row r="204" spans="1:9" x14ac:dyDescent="0.3">
      <c r="A204">
        <f>LOOKUP(9E+307,--MID(D204,1,{1,2,3,4,5}))</f>
        <v>10</v>
      </c>
      <c r="B204">
        <f>VLOOKUP(MID(D204,LOOKUP(2,1/ISNUMBER(-MID(D204,1,{1,2,3,4,5})),{1,2,3,4,5})+1,9),'Hue codes'!$A$1:$B$10,2,FALSE)</f>
        <v>90</v>
      </c>
      <c r="C204">
        <f t="shared" si="3"/>
        <v>0</v>
      </c>
      <c r="D204" t="s">
        <v>20</v>
      </c>
      <c r="E204">
        <v>2</v>
      </c>
      <c r="F204">
        <v>14</v>
      </c>
      <c r="G204">
        <v>0.51290000000000002</v>
      </c>
      <c r="H204">
        <v>0.1888</v>
      </c>
      <c r="I204">
        <v>3.1259999999999999</v>
      </c>
    </row>
    <row r="205" spans="1:9" x14ac:dyDescent="0.3">
      <c r="A205">
        <f>LOOKUP(9E+307,--MID(D205,1,{1,2,3,4,5}))</f>
        <v>2.5</v>
      </c>
      <c r="B205">
        <f>VLOOKUP(MID(D205,LOOKUP(2,1/ISNUMBER(-MID(D205,1,{1,2,3,4,5})),{1,2,3,4,5})+1,9),'Hue codes'!$A$1:$B$10,2,FALSE)</f>
        <v>0</v>
      </c>
      <c r="C205">
        <f t="shared" si="3"/>
        <v>2.5</v>
      </c>
      <c r="D205" t="s">
        <v>21</v>
      </c>
      <c r="E205">
        <v>2</v>
      </c>
      <c r="F205">
        <v>2</v>
      </c>
      <c r="G205">
        <v>0.3614</v>
      </c>
      <c r="H205">
        <v>0.30330000000000001</v>
      </c>
      <c r="I205">
        <v>3.1259999999999999</v>
      </c>
    </row>
    <row r="206" spans="1:9" x14ac:dyDescent="0.3">
      <c r="A206">
        <f>LOOKUP(9E+307,--MID(D206,1,{1,2,3,4,5}))</f>
        <v>2.5</v>
      </c>
      <c r="B206">
        <f>VLOOKUP(MID(D206,LOOKUP(2,1/ISNUMBER(-MID(D206,1,{1,2,3,4,5})),{1,2,3,4,5})+1,9),'Hue codes'!$A$1:$B$10,2,FALSE)</f>
        <v>0</v>
      </c>
      <c r="C206">
        <f t="shared" si="3"/>
        <v>2.5</v>
      </c>
      <c r="D206" t="s">
        <v>21</v>
      </c>
      <c r="E206">
        <v>2</v>
      </c>
      <c r="F206">
        <v>4</v>
      </c>
      <c r="G206">
        <v>0.40210000000000001</v>
      </c>
      <c r="H206">
        <v>0.28999999999999998</v>
      </c>
      <c r="I206">
        <v>3.1259999999999999</v>
      </c>
    </row>
    <row r="207" spans="1:9" x14ac:dyDescent="0.3">
      <c r="A207">
        <f>LOOKUP(9E+307,--MID(D207,1,{1,2,3,4,5}))</f>
        <v>2.5</v>
      </c>
      <c r="B207">
        <f>VLOOKUP(MID(D207,LOOKUP(2,1/ISNUMBER(-MID(D207,1,{1,2,3,4,5})),{1,2,3,4,5})+1,9),'Hue codes'!$A$1:$B$10,2,FALSE)</f>
        <v>0</v>
      </c>
      <c r="C207">
        <f t="shared" si="3"/>
        <v>2.5</v>
      </c>
      <c r="D207" t="s">
        <v>21</v>
      </c>
      <c r="E207">
        <v>2</v>
      </c>
      <c r="F207">
        <v>6</v>
      </c>
      <c r="G207">
        <v>0.439</v>
      </c>
      <c r="H207">
        <v>0.27600000000000002</v>
      </c>
      <c r="I207">
        <v>3.1259999999999999</v>
      </c>
    </row>
    <row r="208" spans="1:9" x14ac:dyDescent="0.3">
      <c r="A208">
        <f>LOOKUP(9E+307,--MID(D208,1,{1,2,3,4,5}))</f>
        <v>2.5</v>
      </c>
      <c r="B208">
        <f>VLOOKUP(MID(D208,LOOKUP(2,1/ISNUMBER(-MID(D208,1,{1,2,3,4,5})),{1,2,3,4,5})+1,9),'Hue codes'!$A$1:$B$10,2,FALSE)</f>
        <v>0</v>
      </c>
      <c r="C208">
        <f t="shared" si="3"/>
        <v>2.5</v>
      </c>
      <c r="D208" t="s">
        <v>21</v>
      </c>
      <c r="E208">
        <v>2</v>
      </c>
      <c r="F208">
        <v>8</v>
      </c>
      <c r="G208">
        <v>0.47760000000000002</v>
      </c>
      <c r="H208">
        <v>0.25929999999999997</v>
      </c>
      <c r="I208">
        <v>3.1259999999999999</v>
      </c>
    </row>
    <row r="209" spans="1:9" x14ac:dyDescent="0.3">
      <c r="A209">
        <f>LOOKUP(9E+307,--MID(D209,1,{1,2,3,4,5}))</f>
        <v>2.5</v>
      </c>
      <c r="B209">
        <f>VLOOKUP(MID(D209,LOOKUP(2,1/ISNUMBER(-MID(D209,1,{1,2,3,4,5})),{1,2,3,4,5})+1,9),'Hue codes'!$A$1:$B$10,2,FALSE)</f>
        <v>0</v>
      </c>
      <c r="C209">
        <f t="shared" si="3"/>
        <v>2.5</v>
      </c>
      <c r="D209" t="s">
        <v>21</v>
      </c>
      <c r="E209">
        <v>2</v>
      </c>
      <c r="F209">
        <v>10</v>
      </c>
      <c r="G209">
        <v>0.51219999999999999</v>
      </c>
      <c r="H209">
        <v>0.24279999999999999</v>
      </c>
      <c r="I209">
        <v>3.1259999999999999</v>
      </c>
    </row>
    <row r="210" spans="1:9" x14ac:dyDescent="0.3">
      <c r="A210">
        <f>LOOKUP(9E+307,--MID(D210,1,{1,2,3,4,5}))</f>
        <v>2.5</v>
      </c>
      <c r="B210">
        <f>VLOOKUP(MID(D210,LOOKUP(2,1/ISNUMBER(-MID(D210,1,{1,2,3,4,5})),{1,2,3,4,5})+1,9),'Hue codes'!$A$1:$B$10,2,FALSE)</f>
        <v>0</v>
      </c>
      <c r="C210">
        <f t="shared" si="3"/>
        <v>2.5</v>
      </c>
      <c r="D210" t="s">
        <v>21</v>
      </c>
      <c r="E210">
        <v>2</v>
      </c>
      <c r="F210">
        <v>12</v>
      </c>
      <c r="G210">
        <v>0.54379999999999995</v>
      </c>
      <c r="H210">
        <v>0.22539999999999999</v>
      </c>
      <c r="I210">
        <v>3.1259999999999999</v>
      </c>
    </row>
    <row r="211" spans="1:9" x14ac:dyDescent="0.3">
      <c r="A211">
        <f>LOOKUP(9E+307,--MID(D211,1,{1,2,3,4,5}))</f>
        <v>2.5</v>
      </c>
      <c r="B211">
        <f>VLOOKUP(MID(D211,LOOKUP(2,1/ISNUMBER(-MID(D211,1,{1,2,3,4,5})),{1,2,3,4,5})+1,9),'Hue codes'!$A$1:$B$10,2,FALSE)</f>
        <v>0</v>
      </c>
      <c r="C211">
        <f t="shared" si="3"/>
        <v>2.5</v>
      </c>
      <c r="D211" t="s">
        <v>21</v>
      </c>
      <c r="E211">
        <v>2</v>
      </c>
      <c r="F211">
        <v>14</v>
      </c>
      <c r="G211">
        <v>0.57340000000000002</v>
      </c>
      <c r="H211">
        <v>0.20830000000000001</v>
      </c>
      <c r="I211">
        <v>3.1259999999999999</v>
      </c>
    </row>
    <row r="212" spans="1:9" x14ac:dyDescent="0.3">
      <c r="A212">
        <f>LOOKUP(9E+307,--MID(D212,1,{1,2,3,4,5}))</f>
        <v>5</v>
      </c>
      <c r="B212">
        <f>VLOOKUP(MID(D212,LOOKUP(2,1/ISNUMBER(-MID(D212,1,{1,2,3,4,5})),{1,2,3,4,5})+1,9),'Hue codes'!$A$1:$B$10,2,FALSE)</f>
        <v>0</v>
      </c>
      <c r="C212">
        <f t="shared" si="3"/>
        <v>5</v>
      </c>
      <c r="D212" t="s">
        <v>22</v>
      </c>
      <c r="E212">
        <v>2</v>
      </c>
      <c r="F212">
        <v>2</v>
      </c>
      <c r="G212">
        <v>0.36919999999999997</v>
      </c>
      <c r="H212">
        <v>0.31109999999999999</v>
      </c>
      <c r="I212">
        <v>3.1259999999999999</v>
      </c>
    </row>
    <row r="213" spans="1:9" x14ac:dyDescent="0.3">
      <c r="A213">
        <f>LOOKUP(9E+307,--MID(D213,1,{1,2,3,4,5}))</f>
        <v>5</v>
      </c>
      <c r="B213">
        <f>VLOOKUP(MID(D213,LOOKUP(2,1/ISNUMBER(-MID(D213,1,{1,2,3,4,5})),{1,2,3,4,5})+1,9),'Hue codes'!$A$1:$B$10,2,FALSE)</f>
        <v>0</v>
      </c>
      <c r="C213">
        <f t="shared" si="3"/>
        <v>5</v>
      </c>
      <c r="D213" t="s">
        <v>22</v>
      </c>
      <c r="E213">
        <v>2</v>
      </c>
      <c r="F213">
        <v>4</v>
      </c>
      <c r="G213">
        <v>0.41839999999999999</v>
      </c>
      <c r="H213">
        <v>0.30320000000000003</v>
      </c>
      <c r="I213">
        <v>3.1259999999999999</v>
      </c>
    </row>
    <row r="214" spans="1:9" x14ac:dyDescent="0.3">
      <c r="A214">
        <f>LOOKUP(9E+307,--MID(D214,1,{1,2,3,4,5}))</f>
        <v>5</v>
      </c>
      <c r="B214">
        <f>VLOOKUP(MID(D214,LOOKUP(2,1/ISNUMBER(-MID(D214,1,{1,2,3,4,5})),{1,2,3,4,5})+1,9),'Hue codes'!$A$1:$B$10,2,FALSE)</f>
        <v>0</v>
      </c>
      <c r="C214">
        <f t="shared" si="3"/>
        <v>5</v>
      </c>
      <c r="D214" t="s">
        <v>22</v>
      </c>
      <c r="E214">
        <v>2</v>
      </c>
      <c r="F214">
        <v>6</v>
      </c>
      <c r="G214">
        <v>0.4642</v>
      </c>
      <c r="H214">
        <v>0.29339999999999999</v>
      </c>
      <c r="I214">
        <v>3.1259999999999999</v>
      </c>
    </row>
    <row r="215" spans="1:9" x14ac:dyDescent="0.3">
      <c r="A215">
        <f>LOOKUP(9E+307,--MID(D215,1,{1,2,3,4,5}))</f>
        <v>5</v>
      </c>
      <c r="B215">
        <f>VLOOKUP(MID(D215,LOOKUP(2,1/ISNUMBER(-MID(D215,1,{1,2,3,4,5})),{1,2,3,4,5})+1,9),'Hue codes'!$A$1:$B$10,2,FALSE)</f>
        <v>0</v>
      </c>
      <c r="C215">
        <f t="shared" si="3"/>
        <v>5</v>
      </c>
      <c r="D215" t="s">
        <v>22</v>
      </c>
      <c r="E215">
        <v>2</v>
      </c>
      <c r="F215">
        <v>8</v>
      </c>
      <c r="G215">
        <v>0.51429999999999998</v>
      </c>
      <c r="H215">
        <v>0.28000000000000003</v>
      </c>
      <c r="I215">
        <v>3.1259999999999999</v>
      </c>
    </row>
    <row r="216" spans="1:9" x14ac:dyDescent="0.3">
      <c r="A216">
        <f>LOOKUP(9E+307,--MID(D216,1,{1,2,3,4,5}))</f>
        <v>5</v>
      </c>
      <c r="B216">
        <f>VLOOKUP(MID(D216,LOOKUP(2,1/ISNUMBER(-MID(D216,1,{1,2,3,4,5})),{1,2,3,4,5})+1,9),'Hue codes'!$A$1:$B$10,2,FALSE)</f>
        <v>0</v>
      </c>
      <c r="C216">
        <f t="shared" si="3"/>
        <v>5</v>
      </c>
      <c r="D216" t="s">
        <v>22</v>
      </c>
      <c r="E216">
        <v>2</v>
      </c>
      <c r="F216">
        <v>10</v>
      </c>
      <c r="G216">
        <v>0.55569999999999997</v>
      </c>
      <c r="H216">
        <v>0.26329999999999998</v>
      </c>
      <c r="I216">
        <v>3.1259999999999999</v>
      </c>
    </row>
    <row r="217" spans="1:9" x14ac:dyDescent="0.3">
      <c r="A217">
        <f>LOOKUP(9E+307,--MID(D217,1,{1,2,3,4,5}))</f>
        <v>5</v>
      </c>
      <c r="B217">
        <f>VLOOKUP(MID(D217,LOOKUP(2,1/ISNUMBER(-MID(D217,1,{1,2,3,4,5})),{1,2,3,4,5})+1,9),'Hue codes'!$A$1:$B$10,2,FALSE)</f>
        <v>0</v>
      </c>
      <c r="C217">
        <f t="shared" si="3"/>
        <v>5</v>
      </c>
      <c r="D217" t="s">
        <v>22</v>
      </c>
      <c r="E217">
        <v>2</v>
      </c>
      <c r="F217">
        <v>12</v>
      </c>
      <c r="G217">
        <v>0.59299999999999997</v>
      </c>
      <c r="H217">
        <v>0.2465</v>
      </c>
      <c r="I217">
        <v>3.1259999999999999</v>
      </c>
    </row>
    <row r="218" spans="1:9" x14ac:dyDescent="0.3">
      <c r="A218">
        <f>LOOKUP(9E+307,--MID(D218,1,{1,2,3,4,5}))</f>
        <v>5</v>
      </c>
      <c r="B218">
        <f>VLOOKUP(MID(D218,LOOKUP(2,1/ISNUMBER(-MID(D218,1,{1,2,3,4,5})),{1,2,3,4,5})+1,9),'Hue codes'!$A$1:$B$10,2,FALSE)</f>
        <v>0</v>
      </c>
      <c r="C218">
        <f t="shared" si="3"/>
        <v>5</v>
      </c>
      <c r="D218" t="s">
        <v>22</v>
      </c>
      <c r="E218">
        <v>2</v>
      </c>
      <c r="F218">
        <v>14</v>
      </c>
      <c r="G218">
        <v>0.63019999999999998</v>
      </c>
      <c r="H218">
        <v>0.22869999999999999</v>
      </c>
      <c r="I218">
        <v>3.1259999999999999</v>
      </c>
    </row>
    <row r="219" spans="1:9" x14ac:dyDescent="0.3">
      <c r="A219">
        <f>LOOKUP(9E+307,--MID(D219,1,{1,2,3,4,5}))</f>
        <v>7.5</v>
      </c>
      <c r="B219">
        <f>VLOOKUP(MID(D219,LOOKUP(2,1/ISNUMBER(-MID(D219,1,{1,2,3,4,5})),{1,2,3,4,5})+1,9),'Hue codes'!$A$1:$B$10,2,FALSE)</f>
        <v>0</v>
      </c>
      <c r="C219">
        <f t="shared" si="3"/>
        <v>7.5</v>
      </c>
      <c r="D219" t="s">
        <v>23</v>
      </c>
      <c r="E219">
        <v>2</v>
      </c>
      <c r="F219">
        <v>2</v>
      </c>
      <c r="G219">
        <v>0.37509999999999999</v>
      </c>
      <c r="H219">
        <v>0.31809999999999999</v>
      </c>
      <c r="I219">
        <v>3.1259999999999999</v>
      </c>
    </row>
    <row r="220" spans="1:9" x14ac:dyDescent="0.3">
      <c r="A220">
        <f>LOOKUP(9E+307,--MID(D220,1,{1,2,3,4,5}))</f>
        <v>7.5</v>
      </c>
      <c r="B220">
        <f>VLOOKUP(MID(D220,LOOKUP(2,1/ISNUMBER(-MID(D220,1,{1,2,3,4,5})),{1,2,3,4,5})+1,9),'Hue codes'!$A$1:$B$10,2,FALSE)</f>
        <v>0</v>
      </c>
      <c r="C220">
        <f t="shared" si="3"/>
        <v>7.5</v>
      </c>
      <c r="D220" t="s">
        <v>23</v>
      </c>
      <c r="E220">
        <v>2</v>
      </c>
      <c r="F220">
        <v>4</v>
      </c>
      <c r="G220">
        <v>0.4335</v>
      </c>
      <c r="H220">
        <v>0.31690000000000002</v>
      </c>
      <c r="I220">
        <v>3.1259999999999999</v>
      </c>
    </row>
    <row r="221" spans="1:9" x14ac:dyDescent="0.3">
      <c r="A221">
        <f>LOOKUP(9E+307,--MID(D221,1,{1,2,3,4,5}))</f>
        <v>7.5</v>
      </c>
      <c r="B221">
        <f>VLOOKUP(MID(D221,LOOKUP(2,1/ISNUMBER(-MID(D221,1,{1,2,3,4,5})),{1,2,3,4,5})+1,9),'Hue codes'!$A$1:$B$10,2,FALSE)</f>
        <v>0</v>
      </c>
      <c r="C221">
        <f t="shared" si="3"/>
        <v>7.5</v>
      </c>
      <c r="D221" t="s">
        <v>23</v>
      </c>
      <c r="E221">
        <v>2</v>
      </c>
      <c r="F221">
        <v>6</v>
      </c>
      <c r="G221">
        <v>0.48749999999999999</v>
      </c>
      <c r="H221">
        <v>0.31230000000000002</v>
      </c>
      <c r="I221">
        <v>3.1259999999999999</v>
      </c>
    </row>
    <row r="222" spans="1:9" x14ac:dyDescent="0.3">
      <c r="A222">
        <f>LOOKUP(9E+307,--MID(D222,1,{1,2,3,4,5}))</f>
        <v>7.5</v>
      </c>
      <c r="B222">
        <f>VLOOKUP(MID(D222,LOOKUP(2,1/ISNUMBER(-MID(D222,1,{1,2,3,4,5})),{1,2,3,4,5})+1,9),'Hue codes'!$A$1:$B$10,2,FALSE)</f>
        <v>0</v>
      </c>
      <c r="C222">
        <f t="shared" si="3"/>
        <v>7.5</v>
      </c>
      <c r="D222" t="s">
        <v>23</v>
      </c>
      <c r="E222">
        <v>2</v>
      </c>
      <c r="F222">
        <v>8</v>
      </c>
      <c r="G222">
        <v>0.54330000000000001</v>
      </c>
      <c r="H222">
        <v>0.30270000000000002</v>
      </c>
      <c r="I222">
        <v>3.1259999999999999</v>
      </c>
    </row>
    <row r="223" spans="1:9" x14ac:dyDescent="0.3">
      <c r="A223">
        <f>LOOKUP(9E+307,--MID(D223,1,{1,2,3,4,5}))</f>
        <v>7.5</v>
      </c>
      <c r="B223">
        <f>VLOOKUP(MID(D223,LOOKUP(2,1/ISNUMBER(-MID(D223,1,{1,2,3,4,5})),{1,2,3,4,5})+1,9),'Hue codes'!$A$1:$B$10,2,FALSE)</f>
        <v>0</v>
      </c>
      <c r="C223">
        <f t="shared" si="3"/>
        <v>7.5</v>
      </c>
      <c r="D223" t="s">
        <v>23</v>
      </c>
      <c r="E223">
        <v>2</v>
      </c>
      <c r="F223">
        <v>10</v>
      </c>
      <c r="G223">
        <v>0.59519999999999995</v>
      </c>
      <c r="H223">
        <v>0.28739999999999999</v>
      </c>
      <c r="I223">
        <v>3.1259999999999999</v>
      </c>
    </row>
    <row r="224" spans="1:9" x14ac:dyDescent="0.3">
      <c r="A224">
        <f>LOOKUP(9E+307,--MID(D224,1,{1,2,3,4,5}))</f>
        <v>7.5</v>
      </c>
      <c r="B224">
        <f>VLOOKUP(MID(D224,LOOKUP(2,1/ISNUMBER(-MID(D224,1,{1,2,3,4,5})),{1,2,3,4,5})+1,9),'Hue codes'!$A$1:$B$10,2,FALSE)</f>
        <v>0</v>
      </c>
      <c r="C224">
        <f t="shared" si="3"/>
        <v>7.5</v>
      </c>
      <c r="D224" t="s">
        <v>23</v>
      </c>
      <c r="E224">
        <v>2</v>
      </c>
      <c r="F224">
        <v>12</v>
      </c>
      <c r="G224">
        <v>0.63919999999999999</v>
      </c>
      <c r="H224">
        <v>0.27039999999999997</v>
      </c>
      <c r="I224">
        <v>3.1259999999999999</v>
      </c>
    </row>
    <row r="225" spans="1:9" x14ac:dyDescent="0.3">
      <c r="A225">
        <f>LOOKUP(9E+307,--MID(D225,1,{1,2,3,4,5}))</f>
        <v>7.5</v>
      </c>
      <c r="B225">
        <f>VLOOKUP(MID(D225,LOOKUP(2,1/ISNUMBER(-MID(D225,1,{1,2,3,4,5})),{1,2,3,4,5})+1,9),'Hue codes'!$A$1:$B$10,2,FALSE)</f>
        <v>0</v>
      </c>
      <c r="C225">
        <f t="shared" si="3"/>
        <v>7.5</v>
      </c>
      <c r="D225" t="s">
        <v>23</v>
      </c>
      <c r="E225">
        <v>2</v>
      </c>
      <c r="F225">
        <v>14</v>
      </c>
      <c r="G225">
        <v>0.67910000000000004</v>
      </c>
      <c r="H225">
        <v>0.252</v>
      </c>
      <c r="I225">
        <v>3.1259999999999999</v>
      </c>
    </row>
    <row r="226" spans="1:9" x14ac:dyDescent="0.3">
      <c r="A226">
        <f>LOOKUP(9E+307,--MID(D226,1,{1,2,3,4,5}))</f>
        <v>10</v>
      </c>
      <c r="B226">
        <f>VLOOKUP(MID(D226,LOOKUP(2,1/ISNUMBER(-MID(D226,1,{1,2,3,4,5})),{1,2,3,4,5})+1,9),'Hue codes'!$A$1:$B$10,2,FALSE)</f>
        <v>0</v>
      </c>
      <c r="C226">
        <f t="shared" si="3"/>
        <v>10</v>
      </c>
      <c r="D226" t="s">
        <v>24</v>
      </c>
      <c r="E226">
        <v>2</v>
      </c>
      <c r="F226">
        <v>2</v>
      </c>
      <c r="G226">
        <v>0.38109999999999999</v>
      </c>
      <c r="H226">
        <v>0.32740000000000002</v>
      </c>
      <c r="I226">
        <v>3.1259999999999999</v>
      </c>
    </row>
    <row r="227" spans="1:9" x14ac:dyDescent="0.3">
      <c r="A227">
        <f>LOOKUP(9E+307,--MID(D227,1,{1,2,3,4,5}))</f>
        <v>10</v>
      </c>
      <c r="B227">
        <f>VLOOKUP(MID(D227,LOOKUP(2,1/ISNUMBER(-MID(D227,1,{1,2,3,4,5})),{1,2,3,4,5})+1,9),'Hue codes'!$A$1:$B$10,2,FALSE)</f>
        <v>0</v>
      </c>
      <c r="C227">
        <f t="shared" si="3"/>
        <v>10</v>
      </c>
      <c r="D227" t="s">
        <v>24</v>
      </c>
      <c r="E227">
        <v>2</v>
      </c>
      <c r="F227">
        <v>4</v>
      </c>
      <c r="G227">
        <v>0.4481</v>
      </c>
      <c r="H227">
        <v>0.33300000000000002</v>
      </c>
      <c r="I227">
        <v>3.1259999999999999</v>
      </c>
    </row>
    <row r="228" spans="1:9" x14ac:dyDescent="0.3">
      <c r="A228">
        <f>LOOKUP(9E+307,--MID(D228,1,{1,2,3,4,5}))</f>
        <v>10</v>
      </c>
      <c r="B228">
        <f>VLOOKUP(MID(D228,LOOKUP(2,1/ISNUMBER(-MID(D228,1,{1,2,3,4,5})),{1,2,3,4,5})+1,9),'Hue codes'!$A$1:$B$10,2,FALSE)</f>
        <v>0</v>
      </c>
      <c r="C228">
        <f t="shared" si="3"/>
        <v>10</v>
      </c>
      <c r="D228" t="s">
        <v>24</v>
      </c>
      <c r="E228">
        <v>2</v>
      </c>
      <c r="F228">
        <v>6</v>
      </c>
      <c r="G228">
        <v>0.50949999999999995</v>
      </c>
      <c r="H228">
        <v>0.33310000000000001</v>
      </c>
      <c r="I228">
        <v>3.1259999999999999</v>
      </c>
    </row>
    <row r="229" spans="1:9" x14ac:dyDescent="0.3">
      <c r="A229">
        <f>LOOKUP(9E+307,--MID(D229,1,{1,2,3,4,5}))</f>
        <v>10</v>
      </c>
      <c r="B229">
        <f>VLOOKUP(MID(D229,LOOKUP(2,1/ISNUMBER(-MID(D229,1,{1,2,3,4,5})),{1,2,3,4,5})+1,9),'Hue codes'!$A$1:$B$10,2,FALSE)</f>
        <v>0</v>
      </c>
      <c r="C229">
        <f t="shared" si="3"/>
        <v>10</v>
      </c>
      <c r="D229" t="s">
        <v>24</v>
      </c>
      <c r="E229">
        <v>2</v>
      </c>
      <c r="F229">
        <v>8</v>
      </c>
      <c r="G229">
        <v>0.57130000000000003</v>
      </c>
      <c r="H229">
        <v>0.32590000000000002</v>
      </c>
      <c r="I229">
        <v>3.1259999999999999</v>
      </c>
    </row>
    <row r="230" spans="1:9" x14ac:dyDescent="0.3">
      <c r="A230">
        <f>LOOKUP(9E+307,--MID(D230,1,{1,2,3,4,5}))</f>
        <v>10</v>
      </c>
      <c r="B230">
        <f>VLOOKUP(MID(D230,LOOKUP(2,1/ISNUMBER(-MID(D230,1,{1,2,3,4,5})),{1,2,3,4,5})+1,9),'Hue codes'!$A$1:$B$10,2,FALSE)</f>
        <v>0</v>
      </c>
      <c r="C230">
        <f t="shared" si="3"/>
        <v>10</v>
      </c>
      <c r="D230" t="s">
        <v>24</v>
      </c>
      <c r="E230">
        <v>2</v>
      </c>
      <c r="F230">
        <v>10</v>
      </c>
      <c r="G230">
        <v>0.62470000000000003</v>
      </c>
      <c r="H230">
        <v>0.312</v>
      </c>
      <c r="I230">
        <v>3.1259999999999999</v>
      </c>
    </row>
    <row r="231" spans="1:9" x14ac:dyDescent="0.3">
      <c r="A231">
        <f>LOOKUP(9E+307,--MID(D231,1,{1,2,3,4,5}))</f>
        <v>10</v>
      </c>
      <c r="B231">
        <f>VLOOKUP(MID(D231,LOOKUP(2,1/ISNUMBER(-MID(D231,1,{1,2,3,4,5})),{1,2,3,4,5})+1,9),'Hue codes'!$A$1:$B$10,2,FALSE)</f>
        <v>0</v>
      </c>
      <c r="C231">
        <f t="shared" si="3"/>
        <v>10</v>
      </c>
      <c r="D231" t="s">
        <v>24</v>
      </c>
      <c r="E231">
        <v>2</v>
      </c>
      <c r="F231">
        <v>12</v>
      </c>
      <c r="G231">
        <v>0.67320000000000002</v>
      </c>
      <c r="H231">
        <v>0.29370000000000002</v>
      </c>
      <c r="I231">
        <v>3.1259999999999999</v>
      </c>
    </row>
    <row r="232" spans="1:9" x14ac:dyDescent="0.3">
      <c r="A232">
        <f>LOOKUP(9E+307,--MID(D232,1,{1,2,3,4,5}))</f>
        <v>10</v>
      </c>
      <c r="B232">
        <f>VLOOKUP(MID(D232,LOOKUP(2,1/ISNUMBER(-MID(D232,1,{1,2,3,4,5})),{1,2,3,4,5})+1,9),'Hue codes'!$A$1:$B$10,2,FALSE)</f>
        <v>0</v>
      </c>
      <c r="C232">
        <f t="shared" si="3"/>
        <v>10</v>
      </c>
      <c r="D232" t="s">
        <v>24</v>
      </c>
      <c r="E232">
        <v>2</v>
      </c>
      <c r="F232">
        <v>14</v>
      </c>
      <c r="G232">
        <v>0.71650000000000003</v>
      </c>
      <c r="H232">
        <v>0.27339999999999998</v>
      </c>
      <c r="I232">
        <v>3.1259999999999999</v>
      </c>
    </row>
    <row r="233" spans="1:9" x14ac:dyDescent="0.3">
      <c r="A233">
        <f>LOOKUP(9E+307,--MID(D233,1,{1,2,3,4,5}))</f>
        <v>2.5</v>
      </c>
      <c r="B233">
        <f>VLOOKUP(MID(D233,LOOKUP(2,1/ISNUMBER(-MID(D233,1,{1,2,3,4,5})),{1,2,3,4,5})+1,9),'Hue codes'!$A$1:$B$10,2,FALSE)</f>
        <v>10</v>
      </c>
      <c r="C233">
        <f t="shared" si="3"/>
        <v>12.5</v>
      </c>
      <c r="D233" t="s">
        <v>25</v>
      </c>
      <c r="E233">
        <v>2</v>
      </c>
      <c r="F233">
        <v>2</v>
      </c>
      <c r="G233">
        <v>0.38519999999999999</v>
      </c>
      <c r="H233">
        <v>0.33650000000000002</v>
      </c>
      <c r="I233">
        <v>3.1259999999999999</v>
      </c>
    </row>
    <row r="234" spans="1:9" x14ac:dyDescent="0.3">
      <c r="A234">
        <f>LOOKUP(9E+307,--MID(D234,1,{1,2,3,4,5}))</f>
        <v>2.5</v>
      </c>
      <c r="B234">
        <f>VLOOKUP(MID(D234,LOOKUP(2,1/ISNUMBER(-MID(D234,1,{1,2,3,4,5})),{1,2,3,4,5})+1,9),'Hue codes'!$A$1:$B$10,2,FALSE)</f>
        <v>10</v>
      </c>
      <c r="C234">
        <f t="shared" si="3"/>
        <v>12.5</v>
      </c>
      <c r="D234" t="s">
        <v>25</v>
      </c>
      <c r="E234">
        <v>2</v>
      </c>
      <c r="F234">
        <v>4</v>
      </c>
      <c r="G234">
        <v>0.45979999999999999</v>
      </c>
      <c r="H234">
        <v>0.3508</v>
      </c>
      <c r="I234">
        <v>3.1259999999999999</v>
      </c>
    </row>
    <row r="235" spans="1:9" x14ac:dyDescent="0.3">
      <c r="A235">
        <f>LOOKUP(9E+307,--MID(D235,1,{1,2,3,4,5}))</f>
        <v>2.5</v>
      </c>
      <c r="B235">
        <f>VLOOKUP(MID(D235,LOOKUP(2,1/ISNUMBER(-MID(D235,1,{1,2,3,4,5})),{1,2,3,4,5})+1,9),'Hue codes'!$A$1:$B$10,2,FALSE)</f>
        <v>10</v>
      </c>
      <c r="C235">
        <f t="shared" si="3"/>
        <v>12.5</v>
      </c>
      <c r="D235" t="s">
        <v>25</v>
      </c>
      <c r="E235">
        <v>2</v>
      </c>
      <c r="F235">
        <v>6</v>
      </c>
      <c r="G235">
        <v>0.52800000000000002</v>
      </c>
      <c r="H235">
        <v>0.35809999999999997</v>
      </c>
      <c r="I235">
        <v>3.1259999999999999</v>
      </c>
    </row>
    <row r="236" spans="1:9" x14ac:dyDescent="0.3">
      <c r="A236">
        <f>LOOKUP(9E+307,--MID(D236,1,{1,2,3,4,5}))</f>
        <v>2.5</v>
      </c>
      <c r="B236">
        <f>VLOOKUP(MID(D236,LOOKUP(2,1/ISNUMBER(-MID(D236,1,{1,2,3,4,5})),{1,2,3,4,5})+1,9),'Hue codes'!$A$1:$B$10,2,FALSE)</f>
        <v>10</v>
      </c>
      <c r="C236">
        <f t="shared" si="3"/>
        <v>12.5</v>
      </c>
      <c r="D236" t="s">
        <v>25</v>
      </c>
      <c r="E236">
        <v>2</v>
      </c>
      <c r="F236">
        <v>8</v>
      </c>
      <c r="G236">
        <v>0.59950000000000003</v>
      </c>
      <c r="H236">
        <v>0.35899999999999999</v>
      </c>
      <c r="I236">
        <v>3.1259999999999999</v>
      </c>
    </row>
    <row r="237" spans="1:9" x14ac:dyDescent="0.3">
      <c r="A237">
        <f>LOOKUP(9E+307,--MID(D237,1,{1,2,3,4,5}))</f>
        <v>5</v>
      </c>
      <c r="B237">
        <f>VLOOKUP(MID(D237,LOOKUP(2,1/ISNUMBER(-MID(D237,1,{1,2,3,4,5})),{1,2,3,4,5})+1,9),'Hue codes'!$A$1:$B$10,2,FALSE)</f>
        <v>10</v>
      </c>
      <c r="C237">
        <f t="shared" si="3"/>
        <v>15</v>
      </c>
      <c r="D237" t="s">
        <v>26</v>
      </c>
      <c r="E237">
        <v>2</v>
      </c>
      <c r="F237">
        <v>2</v>
      </c>
      <c r="G237">
        <v>0.38800000000000001</v>
      </c>
      <c r="H237">
        <v>0.34760000000000002</v>
      </c>
      <c r="I237">
        <v>3.1259999999999999</v>
      </c>
    </row>
    <row r="238" spans="1:9" x14ac:dyDescent="0.3">
      <c r="A238">
        <f>LOOKUP(9E+307,--MID(D238,1,{1,2,3,4,5}))</f>
        <v>5</v>
      </c>
      <c r="B238">
        <f>VLOOKUP(MID(D238,LOOKUP(2,1/ISNUMBER(-MID(D238,1,{1,2,3,4,5})),{1,2,3,4,5})+1,9),'Hue codes'!$A$1:$B$10,2,FALSE)</f>
        <v>10</v>
      </c>
      <c r="C238">
        <f t="shared" si="3"/>
        <v>15</v>
      </c>
      <c r="D238" t="s">
        <v>26</v>
      </c>
      <c r="E238">
        <v>2</v>
      </c>
      <c r="F238">
        <v>4</v>
      </c>
      <c r="G238">
        <v>0.46739999999999998</v>
      </c>
      <c r="H238">
        <v>0.37380000000000002</v>
      </c>
      <c r="I238">
        <v>3.1259999999999999</v>
      </c>
    </row>
    <row r="239" spans="1:9" x14ac:dyDescent="0.3">
      <c r="A239">
        <f>LOOKUP(9E+307,--MID(D239,1,{1,2,3,4,5}))</f>
        <v>5</v>
      </c>
      <c r="B239">
        <f>VLOOKUP(MID(D239,LOOKUP(2,1/ISNUMBER(-MID(D239,1,{1,2,3,4,5})),{1,2,3,4,5})+1,9),'Hue codes'!$A$1:$B$10,2,FALSE)</f>
        <v>10</v>
      </c>
      <c r="C239">
        <f t="shared" si="3"/>
        <v>15</v>
      </c>
      <c r="D239" t="s">
        <v>26</v>
      </c>
      <c r="E239">
        <v>2</v>
      </c>
      <c r="F239">
        <v>6</v>
      </c>
      <c r="G239">
        <v>0.54259999999999997</v>
      </c>
      <c r="H239">
        <v>0.39250000000000002</v>
      </c>
      <c r="I239">
        <v>3.1259999999999999</v>
      </c>
    </row>
    <row r="240" spans="1:9" x14ac:dyDescent="0.3">
      <c r="A240">
        <f>LOOKUP(9E+307,--MID(D240,1,{1,2,3,4,5}))</f>
        <v>7.5</v>
      </c>
      <c r="B240">
        <f>VLOOKUP(MID(D240,LOOKUP(2,1/ISNUMBER(-MID(D240,1,{1,2,3,4,5})),{1,2,3,4,5})+1,9),'Hue codes'!$A$1:$B$10,2,FALSE)</f>
        <v>10</v>
      </c>
      <c r="C240">
        <f t="shared" si="3"/>
        <v>17.5</v>
      </c>
      <c r="D240" t="s">
        <v>27</v>
      </c>
      <c r="E240">
        <v>2</v>
      </c>
      <c r="F240">
        <v>2</v>
      </c>
      <c r="G240">
        <v>0.38890000000000002</v>
      </c>
      <c r="H240">
        <v>0.35899999999999999</v>
      </c>
      <c r="I240">
        <v>3.1259999999999999</v>
      </c>
    </row>
    <row r="241" spans="1:9" x14ac:dyDescent="0.3">
      <c r="A241">
        <f>LOOKUP(9E+307,--MID(D241,1,{1,2,3,4,5}))</f>
        <v>7.5</v>
      </c>
      <c r="B241">
        <f>VLOOKUP(MID(D241,LOOKUP(2,1/ISNUMBER(-MID(D241,1,{1,2,3,4,5})),{1,2,3,4,5})+1,9),'Hue codes'!$A$1:$B$10,2,FALSE)</f>
        <v>10</v>
      </c>
      <c r="C241">
        <f t="shared" si="3"/>
        <v>17.5</v>
      </c>
      <c r="D241" t="s">
        <v>27</v>
      </c>
      <c r="E241">
        <v>2</v>
      </c>
      <c r="F241">
        <v>4</v>
      </c>
      <c r="G241">
        <v>0.46899999999999997</v>
      </c>
      <c r="H241">
        <v>0.39639999999999997</v>
      </c>
      <c r="I241">
        <v>3.1259999999999999</v>
      </c>
    </row>
    <row r="242" spans="1:9" x14ac:dyDescent="0.3">
      <c r="A242">
        <f>LOOKUP(9E+307,--MID(D242,1,{1,2,3,4,5}))</f>
        <v>7.5</v>
      </c>
      <c r="B242">
        <f>VLOOKUP(MID(D242,LOOKUP(2,1/ISNUMBER(-MID(D242,1,{1,2,3,4,5})),{1,2,3,4,5})+1,9),'Hue codes'!$A$1:$B$10,2,FALSE)</f>
        <v>10</v>
      </c>
      <c r="C242">
        <f t="shared" si="3"/>
        <v>17.5</v>
      </c>
      <c r="D242" t="s">
        <v>27</v>
      </c>
      <c r="E242">
        <v>2</v>
      </c>
      <c r="F242">
        <v>6</v>
      </c>
      <c r="G242">
        <v>0.54749999999999999</v>
      </c>
      <c r="H242">
        <v>0.42709999999999998</v>
      </c>
      <c r="I242">
        <v>3.1259999999999999</v>
      </c>
    </row>
    <row r="243" spans="1:9" x14ac:dyDescent="0.3">
      <c r="A243">
        <f>LOOKUP(9E+307,--MID(D243,1,{1,2,3,4,5}))</f>
        <v>10</v>
      </c>
      <c r="B243">
        <f>VLOOKUP(MID(D243,LOOKUP(2,1/ISNUMBER(-MID(D243,1,{1,2,3,4,5})),{1,2,3,4,5})+1,9),'Hue codes'!$A$1:$B$10,2,FALSE)</f>
        <v>10</v>
      </c>
      <c r="C243">
        <f t="shared" si="3"/>
        <v>20</v>
      </c>
      <c r="D243" t="s">
        <v>28</v>
      </c>
      <c r="E243">
        <v>2</v>
      </c>
      <c r="F243">
        <v>2</v>
      </c>
      <c r="G243">
        <v>0.38719999999999999</v>
      </c>
      <c r="H243">
        <v>0.36880000000000002</v>
      </c>
      <c r="I243">
        <v>3.1259999999999999</v>
      </c>
    </row>
    <row r="244" spans="1:9" x14ac:dyDescent="0.3">
      <c r="A244">
        <f>LOOKUP(9E+307,--MID(D244,1,{1,2,3,4,5}))</f>
        <v>10</v>
      </c>
      <c r="B244">
        <f>VLOOKUP(MID(D244,LOOKUP(2,1/ISNUMBER(-MID(D244,1,{1,2,3,4,5})),{1,2,3,4,5})+1,9),'Hue codes'!$A$1:$B$10,2,FALSE)</f>
        <v>10</v>
      </c>
      <c r="C244">
        <f t="shared" si="3"/>
        <v>20</v>
      </c>
      <c r="D244" t="s">
        <v>28</v>
      </c>
      <c r="E244">
        <v>2</v>
      </c>
      <c r="F244">
        <v>4</v>
      </c>
      <c r="G244">
        <v>0.46760000000000002</v>
      </c>
      <c r="H244">
        <v>0.4168</v>
      </c>
      <c r="I244">
        <v>3.1259999999999999</v>
      </c>
    </row>
    <row r="245" spans="1:9" x14ac:dyDescent="0.3">
      <c r="A245">
        <f>LOOKUP(9E+307,--MID(D245,1,{1,2,3,4,5}))</f>
        <v>2.5</v>
      </c>
      <c r="B245">
        <f>VLOOKUP(MID(D245,LOOKUP(2,1/ISNUMBER(-MID(D245,1,{1,2,3,4,5})),{1,2,3,4,5})+1,9),'Hue codes'!$A$1:$B$10,2,FALSE)</f>
        <v>20</v>
      </c>
      <c r="C245">
        <f t="shared" si="3"/>
        <v>22.5</v>
      </c>
      <c r="D245" t="s">
        <v>29</v>
      </c>
      <c r="E245">
        <v>2</v>
      </c>
      <c r="F245">
        <v>2</v>
      </c>
      <c r="G245">
        <v>0.38250000000000001</v>
      </c>
      <c r="H245">
        <v>0.3785</v>
      </c>
      <c r="I245">
        <v>3.1259999999999999</v>
      </c>
    </row>
    <row r="246" spans="1:9" x14ac:dyDescent="0.3">
      <c r="A246">
        <f>LOOKUP(9E+307,--MID(D246,1,{1,2,3,4,5}))</f>
        <v>2.5</v>
      </c>
      <c r="B246">
        <f>VLOOKUP(MID(D246,LOOKUP(2,1/ISNUMBER(-MID(D246,1,{1,2,3,4,5})),{1,2,3,4,5})+1,9),'Hue codes'!$A$1:$B$10,2,FALSE)</f>
        <v>20</v>
      </c>
      <c r="C246">
        <f t="shared" si="3"/>
        <v>22.5</v>
      </c>
      <c r="D246" t="s">
        <v>29</v>
      </c>
      <c r="E246">
        <v>2</v>
      </c>
      <c r="F246">
        <v>4</v>
      </c>
      <c r="G246">
        <v>0.4627</v>
      </c>
      <c r="H246">
        <v>0.43919999999999998</v>
      </c>
      <c r="I246">
        <v>3.1259999999999999</v>
      </c>
    </row>
    <row r="247" spans="1:9" x14ac:dyDescent="0.3">
      <c r="A247">
        <f>LOOKUP(9E+307,--MID(D247,1,{1,2,3,4,5}))</f>
        <v>5</v>
      </c>
      <c r="B247">
        <f>VLOOKUP(MID(D247,LOOKUP(2,1/ISNUMBER(-MID(D247,1,{1,2,3,4,5})),{1,2,3,4,5})+1,9),'Hue codes'!$A$1:$B$10,2,FALSE)</f>
        <v>20</v>
      </c>
      <c r="C247">
        <f t="shared" si="3"/>
        <v>25</v>
      </c>
      <c r="D247" t="s">
        <v>30</v>
      </c>
      <c r="E247">
        <v>2</v>
      </c>
      <c r="F247">
        <v>2</v>
      </c>
      <c r="G247">
        <v>0.37569999999999998</v>
      </c>
      <c r="H247">
        <v>0.38390000000000002</v>
      </c>
      <c r="I247">
        <v>3.1259999999999999</v>
      </c>
    </row>
    <row r="248" spans="1:9" x14ac:dyDescent="0.3">
      <c r="A248">
        <f>LOOKUP(9E+307,--MID(D248,1,{1,2,3,4,5}))</f>
        <v>5</v>
      </c>
      <c r="B248">
        <f>VLOOKUP(MID(D248,LOOKUP(2,1/ISNUMBER(-MID(D248,1,{1,2,3,4,5})),{1,2,3,4,5})+1,9),'Hue codes'!$A$1:$B$10,2,FALSE)</f>
        <v>20</v>
      </c>
      <c r="C248">
        <f t="shared" si="3"/>
        <v>25</v>
      </c>
      <c r="D248" t="s">
        <v>30</v>
      </c>
      <c r="E248">
        <v>2</v>
      </c>
      <c r="F248">
        <v>4</v>
      </c>
      <c r="G248">
        <v>0.45429999999999998</v>
      </c>
      <c r="H248">
        <v>0.45729999999999998</v>
      </c>
      <c r="I248">
        <v>3.1259999999999999</v>
      </c>
    </row>
    <row r="249" spans="1:9" x14ac:dyDescent="0.3">
      <c r="A249">
        <f>LOOKUP(9E+307,--MID(D249,1,{1,2,3,4,5}))</f>
        <v>7.5</v>
      </c>
      <c r="B249">
        <f>VLOOKUP(MID(D249,LOOKUP(2,1/ISNUMBER(-MID(D249,1,{1,2,3,4,5})),{1,2,3,4,5})+1,9),'Hue codes'!$A$1:$B$10,2,FALSE)</f>
        <v>20</v>
      </c>
      <c r="C249">
        <f t="shared" si="3"/>
        <v>27.5</v>
      </c>
      <c r="D249" t="s">
        <v>31</v>
      </c>
      <c r="E249">
        <v>2</v>
      </c>
      <c r="F249">
        <v>2</v>
      </c>
      <c r="G249">
        <v>0.36599999999999999</v>
      </c>
      <c r="H249">
        <v>0.38579999999999998</v>
      </c>
      <c r="I249">
        <v>3.1259999999999999</v>
      </c>
    </row>
    <row r="250" spans="1:9" x14ac:dyDescent="0.3">
      <c r="A250">
        <f>LOOKUP(9E+307,--MID(D250,1,{1,2,3,4,5}))</f>
        <v>7.5</v>
      </c>
      <c r="B250">
        <f>VLOOKUP(MID(D250,LOOKUP(2,1/ISNUMBER(-MID(D250,1,{1,2,3,4,5})),{1,2,3,4,5})+1,9),'Hue codes'!$A$1:$B$10,2,FALSE)</f>
        <v>20</v>
      </c>
      <c r="C250">
        <f t="shared" si="3"/>
        <v>27.5</v>
      </c>
      <c r="D250" t="s">
        <v>31</v>
      </c>
      <c r="E250">
        <v>2</v>
      </c>
      <c r="F250">
        <v>4</v>
      </c>
      <c r="G250">
        <v>0.44009999999999999</v>
      </c>
      <c r="H250">
        <v>0.4723</v>
      </c>
      <c r="I250">
        <v>3.1259999999999999</v>
      </c>
    </row>
    <row r="251" spans="1:9" x14ac:dyDescent="0.3">
      <c r="A251">
        <f>LOOKUP(9E+307,--MID(D251,1,{1,2,3,4,5}))</f>
        <v>10</v>
      </c>
      <c r="B251">
        <f>VLOOKUP(MID(D251,LOOKUP(2,1/ISNUMBER(-MID(D251,1,{1,2,3,4,5})),{1,2,3,4,5})+1,9),'Hue codes'!$A$1:$B$10,2,FALSE)</f>
        <v>20</v>
      </c>
      <c r="C251">
        <f t="shared" si="3"/>
        <v>30</v>
      </c>
      <c r="D251" t="s">
        <v>32</v>
      </c>
      <c r="E251">
        <v>2</v>
      </c>
      <c r="F251">
        <v>2</v>
      </c>
      <c r="G251">
        <v>0.35560000000000003</v>
      </c>
      <c r="H251">
        <v>0.38479999999999998</v>
      </c>
      <c r="I251">
        <v>3.1259999999999999</v>
      </c>
    </row>
    <row r="252" spans="1:9" x14ac:dyDescent="0.3">
      <c r="A252">
        <f>LOOKUP(9E+307,--MID(D252,1,{1,2,3,4,5}))</f>
        <v>10</v>
      </c>
      <c r="B252">
        <f>VLOOKUP(MID(D252,LOOKUP(2,1/ISNUMBER(-MID(D252,1,{1,2,3,4,5})),{1,2,3,4,5})+1,9),'Hue codes'!$A$1:$B$10,2,FALSE)</f>
        <v>20</v>
      </c>
      <c r="C252">
        <f t="shared" si="3"/>
        <v>30</v>
      </c>
      <c r="D252" t="s">
        <v>32</v>
      </c>
      <c r="E252">
        <v>2</v>
      </c>
      <c r="F252">
        <v>4</v>
      </c>
      <c r="G252">
        <v>0.41880000000000001</v>
      </c>
      <c r="H252">
        <v>0.47889999999999999</v>
      </c>
      <c r="I252">
        <v>3.1259999999999999</v>
      </c>
    </row>
    <row r="253" spans="1:9" x14ac:dyDescent="0.3">
      <c r="A253">
        <f>LOOKUP(9E+307,--MID(D253,1,{1,2,3,4,5}))</f>
        <v>2.5</v>
      </c>
      <c r="B253">
        <f>VLOOKUP(MID(D253,LOOKUP(2,1/ISNUMBER(-MID(D253,1,{1,2,3,4,5})),{1,2,3,4,5})+1,9),'Hue codes'!$A$1:$B$10,2,FALSE)</f>
        <v>30</v>
      </c>
      <c r="C253">
        <f t="shared" si="3"/>
        <v>32.5</v>
      </c>
      <c r="D253" t="s">
        <v>33</v>
      </c>
      <c r="E253">
        <v>2</v>
      </c>
      <c r="F253">
        <v>2</v>
      </c>
      <c r="G253">
        <v>0.34210000000000002</v>
      </c>
      <c r="H253">
        <v>0.38030000000000003</v>
      </c>
      <c r="I253">
        <v>3.1259999999999999</v>
      </c>
    </row>
    <row r="254" spans="1:9" x14ac:dyDescent="0.3">
      <c r="A254">
        <f>LOOKUP(9E+307,--MID(D254,1,{1,2,3,4,5}))</f>
        <v>2.5</v>
      </c>
      <c r="B254">
        <f>VLOOKUP(MID(D254,LOOKUP(2,1/ISNUMBER(-MID(D254,1,{1,2,3,4,5})),{1,2,3,4,5})+1,9),'Hue codes'!$A$1:$B$10,2,FALSE)</f>
        <v>30</v>
      </c>
      <c r="C254">
        <f t="shared" si="3"/>
        <v>32.5</v>
      </c>
      <c r="D254" t="s">
        <v>33</v>
      </c>
      <c r="E254">
        <v>2</v>
      </c>
      <c r="F254">
        <v>4</v>
      </c>
      <c r="G254">
        <v>0.3881</v>
      </c>
      <c r="H254">
        <v>0.47520000000000001</v>
      </c>
      <c r="I254">
        <v>3.1259999999999999</v>
      </c>
    </row>
    <row r="255" spans="1:9" x14ac:dyDescent="0.3">
      <c r="A255">
        <f>LOOKUP(9E+307,--MID(D255,1,{1,2,3,4,5}))</f>
        <v>5</v>
      </c>
      <c r="B255">
        <f>VLOOKUP(MID(D255,LOOKUP(2,1/ISNUMBER(-MID(D255,1,{1,2,3,4,5})),{1,2,3,4,5})+1,9),'Hue codes'!$A$1:$B$10,2,FALSE)</f>
        <v>30</v>
      </c>
      <c r="C255">
        <f t="shared" si="3"/>
        <v>35</v>
      </c>
      <c r="D255" t="s">
        <v>34</v>
      </c>
      <c r="E255">
        <v>2</v>
      </c>
      <c r="F255">
        <v>2</v>
      </c>
      <c r="G255">
        <v>0.33090000000000003</v>
      </c>
      <c r="H255">
        <v>0.37430000000000002</v>
      </c>
      <c r="I255">
        <v>3.1259999999999999</v>
      </c>
    </row>
    <row r="256" spans="1:9" x14ac:dyDescent="0.3">
      <c r="A256">
        <f>LOOKUP(9E+307,--MID(D256,1,{1,2,3,4,5}))</f>
        <v>5</v>
      </c>
      <c r="B256">
        <f>VLOOKUP(MID(D256,LOOKUP(2,1/ISNUMBER(-MID(D256,1,{1,2,3,4,5})),{1,2,3,4,5})+1,9),'Hue codes'!$A$1:$B$10,2,FALSE)</f>
        <v>30</v>
      </c>
      <c r="C256">
        <f t="shared" si="3"/>
        <v>35</v>
      </c>
      <c r="D256" t="s">
        <v>34</v>
      </c>
      <c r="E256">
        <v>2</v>
      </c>
      <c r="F256">
        <v>4</v>
      </c>
      <c r="G256">
        <v>0.35820000000000002</v>
      </c>
      <c r="H256">
        <v>0.46500000000000002</v>
      </c>
      <c r="I256">
        <v>3.1259999999999999</v>
      </c>
    </row>
    <row r="257" spans="1:9" x14ac:dyDescent="0.3">
      <c r="A257">
        <f>LOOKUP(9E+307,--MID(D257,1,{1,2,3,4,5}))</f>
        <v>5</v>
      </c>
      <c r="B257">
        <f>VLOOKUP(MID(D257,LOOKUP(2,1/ISNUMBER(-MID(D257,1,{1,2,3,4,5})),{1,2,3,4,5})+1,9),'Hue codes'!$A$1:$B$10,2,FALSE)</f>
        <v>30</v>
      </c>
      <c r="C257">
        <f t="shared" si="3"/>
        <v>35</v>
      </c>
      <c r="D257" t="s">
        <v>34</v>
      </c>
      <c r="E257">
        <v>2</v>
      </c>
      <c r="F257">
        <v>6</v>
      </c>
      <c r="G257">
        <v>0.38390000000000002</v>
      </c>
      <c r="H257">
        <v>0.57479999999999998</v>
      </c>
      <c r="I257">
        <v>3.1259999999999999</v>
      </c>
    </row>
    <row r="258" spans="1:9" x14ac:dyDescent="0.3">
      <c r="A258">
        <f>LOOKUP(9E+307,--MID(D258,1,{1,2,3,4,5}))</f>
        <v>7.5</v>
      </c>
      <c r="B258">
        <f>VLOOKUP(MID(D258,LOOKUP(2,1/ISNUMBER(-MID(D258,1,{1,2,3,4,5})),{1,2,3,4,5})+1,9),'Hue codes'!$A$1:$B$10,2,FALSE)</f>
        <v>30</v>
      </c>
      <c r="C258">
        <f t="shared" si="3"/>
        <v>37.5</v>
      </c>
      <c r="D258" t="s">
        <v>35</v>
      </c>
      <c r="E258">
        <v>2</v>
      </c>
      <c r="F258">
        <v>2</v>
      </c>
      <c r="G258">
        <v>0.3165</v>
      </c>
      <c r="H258">
        <v>0.36499999999999999</v>
      </c>
      <c r="I258">
        <v>3.1259999999999999</v>
      </c>
    </row>
    <row r="259" spans="1:9" x14ac:dyDescent="0.3">
      <c r="A259">
        <f>LOOKUP(9E+307,--MID(D259,1,{1,2,3,4,5}))</f>
        <v>7.5</v>
      </c>
      <c r="B259">
        <f>VLOOKUP(MID(D259,LOOKUP(2,1/ISNUMBER(-MID(D259,1,{1,2,3,4,5})),{1,2,3,4,5})+1,9),'Hue codes'!$A$1:$B$10,2,FALSE)</f>
        <v>30</v>
      </c>
      <c r="C259">
        <f t="shared" ref="C259:C322" si="4">IF(A259+B259=100,0,A259+B259)</f>
        <v>37.5</v>
      </c>
      <c r="D259" t="s">
        <v>35</v>
      </c>
      <c r="E259">
        <v>2</v>
      </c>
      <c r="F259">
        <v>4</v>
      </c>
      <c r="G259">
        <v>0.32479999999999998</v>
      </c>
      <c r="H259">
        <v>0.44569999999999999</v>
      </c>
      <c r="I259">
        <v>3.1259999999999999</v>
      </c>
    </row>
    <row r="260" spans="1:9" x14ac:dyDescent="0.3">
      <c r="A260">
        <f>LOOKUP(9E+307,--MID(D260,1,{1,2,3,4,5}))</f>
        <v>7.5</v>
      </c>
      <c r="B260">
        <f>VLOOKUP(MID(D260,LOOKUP(2,1/ISNUMBER(-MID(D260,1,{1,2,3,4,5})),{1,2,3,4,5})+1,9),'Hue codes'!$A$1:$B$10,2,FALSE)</f>
        <v>30</v>
      </c>
      <c r="C260">
        <f t="shared" si="4"/>
        <v>37.5</v>
      </c>
      <c r="D260" t="s">
        <v>35</v>
      </c>
      <c r="E260">
        <v>2</v>
      </c>
      <c r="F260">
        <v>6</v>
      </c>
      <c r="G260">
        <v>0.32600000000000001</v>
      </c>
      <c r="H260">
        <v>0.53790000000000004</v>
      </c>
      <c r="I260">
        <v>3.1259999999999999</v>
      </c>
    </row>
    <row r="261" spans="1:9" x14ac:dyDescent="0.3">
      <c r="A261">
        <f>LOOKUP(9E+307,--MID(D261,1,{1,2,3,4,5}))</f>
        <v>7.5</v>
      </c>
      <c r="B261">
        <f>VLOOKUP(MID(D261,LOOKUP(2,1/ISNUMBER(-MID(D261,1,{1,2,3,4,5})),{1,2,3,4,5})+1,9),'Hue codes'!$A$1:$B$10,2,FALSE)</f>
        <v>30</v>
      </c>
      <c r="C261">
        <f t="shared" si="4"/>
        <v>37.5</v>
      </c>
      <c r="D261" t="s">
        <v>35</v>
      </c>
      <c r="E261">
        <v>2</v>
      </c>
      <c r="F261">
        <v>8</v>
      </c>
      <c r="G261">
        <v>0.316</v>
      </c>
      <c r="H261">
        <v>0.65090000000000003</v>
      </c>
      <c r="I261">
        <v>3.1259999999999999</v>
      </c>
    </row>
    <row r="262" spans="1:9" x14ac:dyDescent="0.3">
      <c r="A262">
        <f>LOOKUP(9E+307,--MID(D262,1,{1,2,3,4,5}))</f>
        <v>10</v>
      </c>
      <c r="B262">
        <f>VLOOKUP(MID(D262,LOOKUP(2,1/ISNUMBER(-MID(D262,1,{1,2,3,4,5})),{1,2,3,4,5})+1,9),'Hue codes'!$A$1:$B$10,2,FALSE)</f>
        <v>30</v>
      </c>
      <c r="C262">
        <f t="shared" si="4"/>
        <v>40</v>
      </c>
      <c r="D262" t="s">
        <v>36</v>
      </c>
      <c r="E262">
        <v>2</v>
      </c>
      <c r="F262">
        <v>2</v>
      </c>
      <c r="G262">
        <v>0.30690000000000001</v>
      </c>
      <c r="H262">
        <v>0.35799999999999998</v>
      </c>
      <c r="I262">
        <v>3.1259999999999999</v>
      </c>
    </row>
    <row r="263" spans="1:9" x14ac:dyDescent="0.3">
      <c r="A263">
        <f>LOOKUP(9E+307,--MID(D263,1,{1,2,3,4,5}))</f>
        <v>10</v>
      </c>
      <c r="B263">
        <f>VLOOKUP(MID(D263,LOOKUP(2,1/ISNUMBER(-MID(D263,1,{1,2,3,4,5})),{1,2,3,4,5})+1,9),'Hue codes'!$A$1:$B$10,2,FALSE)</f>
        <v>30</v>
      </c>
      <c r="C263">
        <f t="shared" si="4"/>
        <v>40</v>
      </c>
      <c r="D263" t="s">
        <v>36</v>
      </c>
      <c r="E263">
        <v>2</v>
      </c>
      <c r="F263">
        <v>4</v>
      </c>
      <c r="G263">
        <v>0.29859999999999998</v>
      </c>
      <c r="H263">
        <v>0.42399999999999999</v>
      </c>
      <c r="I263">
        <v>3.1259999999999999</v>
      </c>
    </row>
    <row r="264" spans="1:9" x14ac:dyDescent="0.3">
      <c r="A264">
        <f>LOOKUP(9E+307,--MID(D264,1,{1,2,3,4,5}))</f>
        <v>10</v>
      </c>
      <c r="B264">
        <f>VLOOKUP(MID(D264,LOOKUP(2,1/ISNUMBER(-MID(D264,1,{1,2,3,4,5})),{1,2,3,4,5})+1,9),'Hue codes'!$A$1:$B$10,2,FALSE)</f>
        <v>30</v>
      </c>
      <c r="C264">
        <f t="shared" si="4"/>
        <v>40</v>
      </c>
      <c r="D264" t="s">
        <v>36</v>
      </c>
      <c r="E264">
        <v>2</v>
      </c>
      <c r="F264">
        <v>6</v>
      </c>
      <c r="G264">
        <v>0.28520000000000001</v>
      </c>
      <c r="H264">
        <v>0.49719999999999998</v>
      </c>
      <c r="I264">
        <v>3.1259999999999999</v>
      </c>
    </row>
    <row r="265" spans="1:9" x14ac:dyDescent="0.3">
      <c r="A265">
        <f>LOOKUP(9E+307,--MID(D265,1,{1,2,3,4,5}))</f>
        <v>10</v>
      </c>
      <c r="B265">
        <f>VLOOKUP(MID(D265,LOOKUP(2,1/ISNUMBER(-MID(D265,1,{1,2,3,4,5})),{1,2,3,4,5})+1,9),'Hue codes'!$A$1:$B$10,2,FALSE)</f>
        <v>30</v>
      </c>
      <c r="C265">
        <f t="shared" si="4"/>
        <v>40</v>
      </c>
      <c r="D265" t="s">
        <v>36</v>
      </c>
      <c r="E265">
        <v>2</v>
      </c>
      <c r="F265">
        <v>8</v>
      </c>
      <c r="G265">
        <v>0.26279999999999998</v>
      </c>
      <c r="H265">
        <v>0.5837</v>
      </c>
      <c r="I265">
        <v>3.1259999999999999</v>
      </c>
    </row>
    <row r="266" spans="1:9" x14ac:dyDescent="0.3">
      <c r="A266">
        <f>LOOKUP(9E+307,--MID(D266,1,{1,2,3,4,5}))</f>
        <v>10</v>
      </c>
      <c r="B266">
        <f>VLOOKUP(MID(D266,LOOKUP(2,1/ISNUMBER(-MID(D266,1,{1,2,3,4,5})),{1,2,3,4,5})+1,9),'Hue codes'!$A$1:$B$10,2,FALSE)</f>
        <v>30</v>
      </c>
      <c r="C266">
        <f t="shared" si="4"/>
        <v>40</v>
      </c>
      <c r="D266" t="s">
        <v>36</v>
      </c>
      <c r="E266">
        <v>2</v>
      </c>
      <c r="F266">
        <v>10</v>
      </c>
      <c r="G266">
        <v>0.23069999999999999</v>
      </c>
      <c r="H266">
        <v>0.68140000000000001</v>
      </c>
      <c r="I266">
        <v>3.1259999999999999</v>
      </c>
    </row>
    <row r="267" spans="1:9" x14ac:dyDescent="0.3">
      <c r="A267">
        <f>LOOKUP(9E+307,--MID(D267,1,{1,2,3,4,5}))</f>
        <v>10</v>
      </c>
      <c r="B267">
        <f>VLOOKUP(MID(D267,LOOKUP(2,1/ISNUMBER(-MID(D267,1,{1,2,3,4,5})),{1,2,3,4,5})+1,9),'Hue codes'!$A$1:$B$10,2,FALSE)</f>
        <v>30</v>
      </c>
      <c r="C267">
        <f t="shared" si="4"/>
        <v>40</v>
      </c>
      <c r="D267" t="s">
        <v>36</v>
      </c>
      <c r="E267">
        <v>2</v>
      </c>
      <c r="F267">
        <v>12</v>
      </c>
      <c r="G267">
        <v>0.19070000000000001</v>
      </c>
      <c r="H267">
        <v>0.77980000000000005</v>
      </c>
      <c r="I267">
        <v>3.1259999999999999</v>
      </c>
    </row>
    <row r="268" spans="1:9" x14ac:dyDescent="0.3">
      <c r="A268">
        <f>LOOKUP(9E+307,--MID(D268,1,{1,2,3,4,5}))</f>
        <v>2.5</v>
      </c>
      <c r="B268">
        <f>VLOOKUP(MID(D268,LOOKUP(2,1/ISNUMBER(-MID(D268,1,{1,2,3,4,5})),{1,2,3,4,5})+1,9),'Hue codes'!$A$1:$B$10,2,FALSE)</f>
        <v>40</v>
      </c>
      <c r="C268">
        <f t="shared" si="4"/>
        <v>42.5</v>
      </c>
      <c r="D268" t="s">
        <v>37</v>
      </c>
      <c r="E268">
        <v>2</v>
      </c>
      <c r="F268">
        <v>2</v>
      </c>
      <c r="G268">
        <v>0.29780000000000001</v>
      </c>
      <c r="H268">
        <v>0.35070000000000001</v>
      </c>
      <c r="I268">
        <v>3.1259999999999999</v>
      </c>
    </row>
    <row r="269" spans="1:9" x14ac:dyDescent="0.3">
      <c r="A269">
        <f>LOOKUP(9E+307,--MID(D269,1,{1,2,3,4,5}))</f>
        <v>2.5</v>
      </c>
      <c r="B269">
        <f>VLOOKUP(MID(D269,LOOKUP(2,1/ISNUMBER(-MID(D269,1,{1,2,3,4,5})),{1,2,3,4,5})+1,9),'Hue codes'!$A$1:$B$10,2,FALSE)</f>
        <v>40</v>
      </c>
      <c r="C269">
        <f t="shared" si="4"/>
        <v>42.5</v>
      </c>
      <c r="D269" t="s">
        <v>37</v>
      </c>
      <c r="E269">
        <v>2</v>
      </c>
      <c r="F269">
        <v>4</v>
      </c>
      <c r="G269">
        <v>0.27629999999999999</v>
      </c>
      <c r="H269">
        <v>0.39979999999999999</v>
      </c>
      <c r="I269">
        <v>3.1259999999999999</v>
      </c>
    </row>
    <row r="270" spans="1:9" x14ac:dyDescent="0.3">
      <c r="A270">
        <f>LOOKUP(9E+307,--MID(D270,1,{1,2,3,4,5}))</f>
        <v>2.5</v>
      </c>
      <c r="B270">
        <f>VLOOKUP(MID(D270,LOOKUP(2,1/ISNUMBER(-MID(D270,1,{1,2,3,4,5})),{1,2,3,4,5})+1,9),'Hue codes'!$A$1:$B$10,2,FALSE)</f>
        <v>40</v>
      </c>
      <c r="C270">
        <f t="shared" si="4"/>
        <v>42.5</v>
      </c>
      <c r="D270" t="s">
        <v>37</v>
      </c>
      <c r="E270">
        <v>2</v>
      </c>
      <c r="F270">
        <v>6</v>
      </c>
      <c r="G270">
        <v>0.24929999999999999</v>
      </c>
      <c r="H270">
        <v>0.45219999999999999</v>
      </c>
      <c r="I270">
        <v>3.1259999999999999</v>
      </c>
    </row>
    <row r="271" spans="1:9" x14ac:dyDescent="0.3">
      <c r="A271">
        <f>LOOKUP(9E+307,--MID(D271,1,{1,2,3,4,5}))</f>
        <v>2.5</v>
      </c>
      <c r="B271">
        <f>VLOOKUP(MID(D271,LOOKUP(2,1/ISNUMBER(-MID(D271,1,{1,2,3,4,5})),{1,2,3,4,5})+1,9),'Hue codes'!$A$1:$B$10,2,FALSE)</f>
        <v>40</v>
      </c>
      <c r="C271">
        <f t="shared" si="4"/>
        <v>42.5</v>
      </c>
      <c r="D271" t="s">
        <v>37</v>
      </c>
      <c r="E271">
        <v>2</v>
      </c>
      <c r="F271">
        <v>8</v>
      </c>
      <c r="G271">
        <v>0.21920000000000001</v>
      </c>
      <c r="H271">
        <v>0.50419999999999998</v>
      </c>
      <c r="I271">
        <v>3.1259999999999999</v>
      </c>
    </row>
    <row r="272" spans="1:9" x14ac:dyDescent="0.3">
      <c r="A272">
        <f>LOOKUP(9E+307,--MID(D272,1,{1,2,3,4,5}))</f>
        <v>2.5</v>
      </c>
      <c r="B272">
        <f>VLOOKUP(MID(D272,LOOKUP(2,1/ISNUMBER(-MID(D272,1,{1,2,3,4,5})),{1,2,3,4,5})+1,9),'Hue codes'!$A$1:$B$10,2,FALSE)</f>
        <v>40</v>
      </c>
      <c r="C272">
        <f t="shared" si="4"/>
        <v>42.5</v>
      </c>
      <c r="D272" t="s">
        <v>37</v>
      </c>
      <c r="E272">
        <v>2</v>
      </c>
      <c r="F272">
        <v>10</v>
      </c>
      <c r="G272">
        <v>0.17730000000000001</v>
      </c>
      <c r="H272">
        <v>0.56979999999999997</v>
      </c>
      <c r="I272">
        <v>3.1259999999999999</v>
      </c>
    </row>
    <row r="273" spans="1:9" x14ac:dyDescent="0.3">
      <c r="A273">
        <f>LOOKUP(9E+307,--MID(D273,1,{1,2,3,4,5}))</f>
        <v>2.5</v>
      </c>
      <c r="B273">
        <f>VLOOKUP(MID(D273,LOOKUP(2,1/ISNUMBER(-MID(D273,1,{1,2,3,4,5})),{1,2,3,4,5})+1,9),'Hue codes'!$A$1:$B$10,2,FALSE)</f>
        <v>40</v>
      </c>
      <c r="C273">
        <f t="shared" si="4"/>
        <v>42.5</v>
      </c>
      <c r="D273" t="s">
        <v>37</v>
      </c>
      <c r="E273">
        <v>2</v>
      </c>
      <c r="F273">
        <v>12</v>
      </c>
      <c r="G273">
        <v>0.13070000000000001</v>
      </c>
      <c r="H273">
        <v>0.63080000000000003</v>
      </c>
      <c r="I273">
        <v>3.1259999999999999</v>
      </c>
    </row>
    <row r="274" spans="1:9" x14ac:dyDescent="0.3">
      <c r="A274">
        <f>LOOKUP(9E+307,--MID(D274,1,{1,2,3,4,5}))</f>
        <v>2.5</v>
      </c>
      <c r="B274">
        <f>VLOOKUP(MID(D274,LOOKUP(2,1/ISNUMBER(-MID(D274,1,{1,2,3,4,5})),{1,2,3,4,5})+1,9),'Hue codes'!$A$1:$B$10,2,FALSE)</f>
        <v>40</v>
      </c>
      <c r="C274">
        <f t="shared" si="4"/>
        <v>42.5</v>
      </c>
      <c r="D274" t="s">
        <v>37</v>
      </c>
      <c r="E274">
        <v>2</v>
      </c>
      <c r="F274">
        <v>14</v>
      </c>
      <c r="G274">
        <v>8.2000000000000003E-2</v>
      </c>
      <c r="H274">
        <v>0.68600000000000005</v>
      </c>
      <c r="I274">
        <v>3.1259999999999999</v>
      </c>
    </row>
    <row r="275" spans="1:9" x14ac:dyDescent="0.3">
      <c r="A275">
        <f>LOOKUP(9E+307,--MID(D275,1,{1,2,3,4,5}))</f>
        <v>2.5</v>
      </c>
      <c r="B275">
        <f>VLOOKUP(MID(D275,LOOKUP(2,1/ISNUMBER(-MID(D275,1,{1,2,3,4,5})),{1,2,3,4,5})+1,9),'Hue codes'!$A$1:$B$10,2,FALSE)</f>
        <v>40</v>
      </c>
      <c r="C275">
        <f t="shared" si="4"/>
        <v>42.5</v>
      </c>
      <c r="D275" t="s">
        <v>37</v>
      </c>
      <c r="E275">
        <v>2</v>
      </c>
      <c r="F275">
        <v>16</v>
      </c>
      <c r="G275">
        <v>3.2899999999999999E-2</v>
      </c>
      <c r="H275">
        <v>0.73580000000000001</v>
      </c>
      <c r="I275">
        <v>3.1259999999999999</v>
      </c>
    </row>
    <row r="276" spans="1:9" x14ac:dyDescent="0.3">
      <c r="A276">
        <f>LOOKUP(9E+307,--MID(D276,1,{1,2,3,4,5}))</f>
        <v>5</v>
      </c>
      <c r="B276">
        <f>VLOOKUP(MID(D276,LOOKUP(2,1/ISNUMBER(-MID(D276,1,{1,2,3,4,5})),{1,2,3,4,5})+1,9),'Hue codes'!$A$1:$B$10,2,FALSE)</f>
        <v>40</v>
      </c>
      <c r="C276">
        <f t="shared" si="4"/>
        <v>45</v>
      </c>
      <c r="D276" t="s">
        <v>38</v>
      </c>
      <c r="E276">
        <v>2</v>
      </c>
      <c r="F276">
        <v>2</v>
      </c>
      <c r="G276">
        <v>0.2918</v>
      </c>
      <c r="H276">
        <v>0.34499999999999997</v>
      </c>
      <c r="I276">
        <v>3.1259999999999999</v>
      </c>
    </row>
    <row r="277" spans="1:9" x14ac:dyDescent="0.3">
      <c r="A277">
        <f>LOOKUP(9E+307,--MID(D277,1,{1,2,3,4,5}))</f>
        <v>5</v>
      </c>
      <c r="B277">
        <f>VLOOKUP(MID(D277,LOOKUP(2,1/ISNUMBER(-MID(D277,1,{1,2,3,4,5})),{1,2,3,4,5})+1,9),'Hue codes'!$A$1:$B$10,2,FALSE)</f>
        <v>40</v>
      </c>
      <c r="C277">
        <f t="shared" si="4"/>
        <v>45</v>
      </c>
      <c r="D277" t="s">
        <v>38</v>
      </c>
      <c r="E277">
        <v>2</v>
      </c>
      <c r="F277">
        <v>4</v>
      </c>
      <c r="G277">
        <v>0.26400000000000001</v>
      </c>
      <c r="H277">
        <v>0.38450000000000001</v>
      </c>
      <c r="I277">
        <v>3.1259999999999999</v>
      </c>
    </row>
    <row r="278" spans="1:9" x14ac:dyDescent="0.3">
      <c r="A278">
        <f>LOOKUP(9E+307,--MID(D278,1,{1,2,3,4,5}))</f>
        <v>5</v>
      </c>
      <c r="B278">
        <f>VLOOKUP(MID(D278,LOOKUP(2,1/ISNUMBER(-MID(D278,1,{1,2,3,4,5})),{1,2,3,4,5})+1,9),'Hue codes'!$A$1:$B$10,2,FALSE)</f>
        <v>40</v>
      </c>
      <c r="C278">
        <f t="shared" si="4"/>
        <v>45</v>
      </c>
      <c r="D278" t="s">
        <v>38</v>
      </c>
      <c r="E278">
        <v>2</v>
      </c>
      <c r="F278">
        <v>6</v>
      </c>
      <c r="G278">
        <v>0.23180000000000001</v>
      </c>
      <c r="H278">
        <v>0.42309999999999998</v>
      </c>
      <c r="I278">
        <v>3.1259999999999999</v>
      </c>
    </row>
    <row r="279" spans="1:9" x14ac:dyDescent="0.3">
      <c r="A279">
        <f>LOOKUP(9E+307,--MID(D279,1,{1,2,3,4,5}))</f>
        <v>5</v>
      </c>
      <c r="B279">
        <f>VLOOKUP(MID(D279,LOOKUP(2,1/ISNUMBER(-MID(D279,1,{1,2,3,4,5})),{1,2,3,4,5})+1,9),'Hue codes'!$A$1:$B$10,2,FALSE)</f>
        <v>40</v>
      </c>
      <c r="C279">
        <f t="shared" si="4"/>
        <v>45</v>
      </c>
      <c r="D279" t="s">
        <v>38</v>
      </c>
      <c r="E279">
        <v>2</v>
      </c>
      <c r="F279">
        <v>8</v>
      </c>
      <c r="G279">
        <v>0.19789999999999999</v>
      </c>
      <c r="H279">
        <v>0.45829999999999999</v>
      </c>
      <c r="I279">
        <v>3.1259999999999999</v>
      </c>
    </row>
    <row r="280" spans="1:9" x14ac:dyDescent="0.3">
      <c r="A280">
        <f>LOOKUP(9E+307,--MID(D280,1,{1,2,3,4,5}))</f>
        <v>5</v>
      </c>
      <c r="B280">
        <f>VLOOKUP(MID(D280,LOOKUP(2,1/ISNUMBER(-MID(D280,1,{1,2,3,4,5})),{1,2,3,4,5})+1,9),'Hue codes'!$A$1:$B$10,2,FALSE)</f>
        <v>40</v>
      </c>
      <c r="C280">
        <f t="shared" si="4"/>
        <v>45</v>
      </c>
      <c r="D280" t="s">
        <v>38</v>
      </c>
      <c r="E280">
        <v>2</v>
      </c>
      <c r="F280">
        <v>10</v>
      </c>
      <c r="G280">
        <v>0.156</v>
      </c>
      <c r="H280">
        <v>0.49809999999999999</v>
      </c>
      <c r="I280">
        <v>3.1259999999999999</v>
      </c>
    </row>
    <row r="281" spans="1:9" x14ac:dyDescent="0.3">
      <c r="A281">
        <f>LOOKUP(9E+307,--MID(D281,1,{1,2,3,4,5}))</f>
        <v>5</v>
      </c>
      <c r="B281">
        <f>VLOOKUP(MID(D281,LOOKUP(2,1/ISNUMBER(-MID(D281,1,{1,2,3,4,5})),{1,2,3,4,5})+1,9),'Hue codes'!$A$1:$B$10,2,FALSE)</f>
        <v>40</v>
      </c>
      <c r="C281">
        <f t="shared" si="4"/>
        <v>45</v>
      </c>
      <c r="D281" t="s">
        <v>38</v>
      </c>
      <c r="E281">
        <v>2</v>
      </c>
      <c r="F281">
        <v>12</v>
      </c>
      <c r="G281">
        <v>0.112</v>
      </c>
      <c r="H281">
        <v>0.53580000000000005</v>
      </c>
      <c r="I281">
        <v>3.1259999999999999</v>
      </c>
    </row>
    <row r="282" spans="1:9" x14ac:dyDescent="0.3">
      <c r="A282">
        <f>LOOKUP(9E+307,--MID(D282,1,{1,2,3,4,5}))</f>
        <v>5</v>
      </c>
      <c r="B282">
        <f>VLOOKUP(MID(D282,LOOKUP(2,1/ISNUMBER(-MID(D282,1,{1,2,3,4,5})),{1,2,3,4,5})+1,9),'Hue codes'!$A$1:$B$10,2,FALSE)</f>
        <v>40</v>
      </c>
      <c r="C282">
        <f t="shared" si="4"/>
        <v>45</v>
      </c>
      <c r="D282" t="s">
        <v>38</v>
      </c>
      <c r="E282">
        <v>2</v>
      </c>
      <c r="F282">
        <v>14</v>
      </c>
      <c r="G282">
        <v>6.88E-2</v>
      </c>
      <c r="H282">
        <v>0.56910000000000005</v>
      </c>
      <c r="I282">
        <v>3.1259999999999999</v>
      </c>
    </row>
    <row r="283" spans="1:9" x14ac:dyDescent="0.3">
      <c r="A283">
        <f>LOOKUP(9E+307,--MID(D283,1,{1,2,3,4,5}))</f>
        <v>5</v>
      </c>
      <c r="B283">
        <f>VLOOKUP(MID(D283,LOOKUP(2,1/ISNUMBER(-MID(D283,1,{1,2,3,4,5})),{1,2,3,4,5})+1,9),'Hue codes'!$A$1:$B$10,2,FALSE)</f>
        <v>40</v>
      </c>
      <c r="C283">
        <f t="shared" si="4"/>
        <v>45</v>
      </c>
      <c r="D283" t="s">
        <v>38</v>
      </c>
      <c r="E283">
        <v>2</v>
      </c>
      <c r="F283">
        <v>16</v>
      </c>
      <c r="G283">
        <v>2.7699999999999999E-2</v>
      </c>
      <c r="H283">
        <v>0.59860000000000002</v>
      </c>
      <c r="I283">
        <v>3.1259999999999999</v>
      </c>
    </row>
    <row r="284" spans="1:9" x14ac:dyDescent="0.3">
      <c r="A284">
        <f>LOOKUP(9E+307,--MID(D284,1,{1,2,3,4,5}))</f>
        <v>7.5</v>
      </c>
      <c r="B284">
        <f>VLOOKUP(MID(D284,LOOKUP(2,1/ISNUMBER(-MID(D284,1,{1,2,3,4,5})),{1,2,3,4,5})+1,9),'Hue codes'!$A$1:$B$10,2,FALSE)</f>
        <v>40</v>
      </c>
      <c r="C284">
        <f t="shared" si="4"/>
        <v>47.5</v>
      </c>
      <c r="D284" t="s">
        <v>39</v>
      </c>
      <c r="E284">
        <v>2</v>
      </c>
      <c r="F284">
        <v>2</v>
      </c>
      <c r="G284">
        <v>0.28689999999999999</v>
      </c>
      <c r="H284">
        <v>0.34</v>
      </c>
      <c r="I284">
        <v>3.1259999999999999</v>
      </c>
    </row>
    <row r="285" spans="1:9" x14ac:dyDescent="0.3">
      <c r="A285">
        <f>LOOKUP(9E+307,--MID(D285,1,{1,2,3,4,5}))</f>
        <v>7.5</v>
      </c>
      <c r="B285">
        <f>VLOOKUP(MID(D285,LOOKUP(2,1/ISNUMBER(-MID(D285,1,{1,2,3,4,5})),{1,2,3,4,5})+1,9),'Hue codes'!$A$1:$B$10,2,FALSE)</f>
        <v>40</v>
      </c>
      <c r="C285">
        <f t="shared" si="4"/>
        <v>47.5</v>
      </c>
      <c r="D285" t="s">
        <v>39</v>
      </c>
      <c r="E285">
        <v>2</v>
      </c>
      <c r="F285">
        <v>4</v>
      </c>
      <c r="G285">
        <v>0.254</v>
      </c>
      <c r="H285">
        <v>0.3705</v>
      </c>
      <c r="I285">
        <v>3.1259999999999999</v>
      </c>
    </row>
    <row r="286" spans="1:9" x14ac:dyDescent="0.3">
      <c r="A286">
        <f>LOOKUP(9E+307,--MID(D286,1,{1,2,3,4,5}))</f>
        <v>7.5</v>
      </c>
      <c r="B286">
        <f>VLOOKUP(MID(D286,LOOKUP(2,1/ISNUMBER(-MID(D286,1,{1,2,3,4,5})),{1,2,3,4,5})+1,9),'Hue codes'!$A$1:$B$10,2,FALSE)</f>
        <v>40</v>
      </c>
      <c r="C286">
        <f t="shared" si="4"/>
        <v>47.5</v>
      </c>
      <c r="D286" t="s">
        <v>39</v>
      </c>
      <c r="E286">
        <v>2</v>
      </c>
      <c r="F286">
        <v>6</v>
      </c>
      <c r="G286">
        <v>0.22</v>
      </c>
      <c r="H286">
        <v>0.39829999999999999</v>
      </c>
      <c r="I286">
        <v>3.1259999999999999</v>
      </c>
    </row>
    <row r="287" spans="1:9" x14ac:dyDescent="0.3">
      <c r="A287">
        <f>LOOKUP(9E+307,--MID(D287,1,{1,2,3,4,5}))</f>
        <v>7.5</v>
      </c>
      <c r="B287">
        <f>VLOOKUP(MID(D287,LOOKUP(2,1/ISNUMBER(-MID(D287,1,{1,2,3,4,5})),{1,2,3,4,5})+1,9),'Hue codes'!$A$1:$B$10,2,FALSE)</f>
        <v>40</v>
      </c>
      <c r="C287">
        <f t="shared" si="4"/>
        <v>47.5</v>
      </c>
      <c r="D287" t="s">
        <v>39</v>
      </c>
      <c r="E287">
        <v>2</v>
      </c>
      <c r="F287">
        <v>8</v>
      </c>
      <c r="G287">
        <v>0.1842</v>
      </c>
      <c r="H287">
        <v>0.4244</v>
      </c>
      <c r="I287">
        <v>3.1259999999999999</v>
      </c>
    </row>
    <row r="288" spans="1:9" x14ac:dyDescent="0.3">
      <c r="A288">
        <f>LOOKUP(9E+307,--MID(D288,1,{1,2,3,4,5}))</f>
        <v>7.5</v>
      </c>
      <c r="B288">
        <f>VLOOKUP(MID(D288,LOOKUP(2,1/ISNUMBER(-MID(D288,1,{1,2,3,4,5})),{1,2,3,4,5})+1,9),'Hue codes'!$A$1:$B$10,2,FALSE)</f>
        <v>40</v>
      </c>
      <c r="C288">
        <f t="shared" si="4"/>
        <v>47.5</v>
      </c>
      <c r="D288" t="s">
        <v>39</v>
      </c>
      <c r="E288">
        <v>2</v>
      </c>
      <c r="F288">
        <v>10</v>
      </c>
      <c r="G288">
        <v>0.14419999999999999</v>
      </c>
      <c r="H288">
        <v>0.45050000000000001</v>
      </c>
      <c r="I288">
        <v>3.1259999999999999</v>
      </c>
    </row>
    <row r="289" spans="1:9" x14ac:dyDescent="0.3">
      <c r="A289">
        <f>LOOKUP(9E+307,--MID(D289,1,{1,2,3,4,5}))</f>
        <v>7.5</v>
      </c>
      <c r="B289">
        <f>VLOOKUP(MID(D289,LOOKUP(2,1/ISNUMBER(-MID(D289,1,{1,2,3,4,5})),{1,2,3,4,5})+1,9),'Hue codes'!$A$1:$B$10,2,FALSE)</f>
        <v>40</v>
      </c>
      <c r="C289">
        <f t="shared" si="4"/>
        <v>47.5</v>
      </c>
      <c r="D289" t="s">
        <v>39</v>
      </c>
      <c r="E289">
        <v>2</v>
      </c>
      <c r="F289">
        <v>12</v>
      </c>
      <c r="G289">
        <v>0.1022</v>
      </c>
      <c r="H289">
        <v>0.47589999999999999</v>
      </c>
      <c r="I289">
        <v>3.1259999999999999</v>
      </c>
    </row>
    <row r="290" spans="1:9" x14ac:dyDescent="0.3">
      <c r="A290">
        <f>LOOKUP(9E+307,--MID(D290,1,{1,2,3,4,5}))</f>
        <v>7.5</v>
      </c>
      <c r="B290">
        <f>VLOOKUP(MID(D290,LOOKUP(2,1/ISNUMBER(-MID(D290,1,{1,2,3,4,5})),{1,2,3,4,5})+1,9),'Hue codes'!$A$1:$B$10,2,FALSE)</f>
        <v>40</v>
      </c>
      <c r="C290">
        <f t="shared" si="4"/>
        <v>47.5</v>
      </c>
      <c r="D290" t="s">
        <v>39</v>
      </c>
      <c r="E290">
        <v>2</v>
      </c>
      <c r="F290">
        <v>14</v>
      </c>
      <c r="G290">
        <v>6.2899999999999998E-2</v>
      </c>
      <c r="H290">
        <v>0.49730000000000002</v>
      </c>
      <c r="I290">
        <v>3.1259999999999999</v>
      </c>
    </row>
    <row r="291" spans="1:9" x14ac:dyDescent="0.3">
      <c r="A291">
        <f>LOOKUP(9E+307,--MID(D291,1,{1,2,3,4,5}))</f>
        <v>7.5</v>
      </c>
      <c r="B291">
        <f>VLOOKUP(MID(D291,LOOKUP(2,1/ISNUMBER(-MID(D291,1,{1,2,3,4,5})),{1,2,3,4,5})+1,9),'Hue codes'!$A$1:$B$10,2,FALSE)</f>
        <v>40</v>
      </c>
      <c r="C291">
        <f t="shared" si="4"/>
        <v>47.5</v>
      </c>
      <c r="D291" t="s">
        <v>39</v>
      </c>
      <c r="E291">
        <v>2</v>
      </c>
      <c r="F291">
        <v>16</v>
      </c>
      <c r="G291">
        <v>2.76E-2</v>
      </c>
      <c r="H291">
        <v>0.51529999999999998</v>
      </c>
      <c r="I291">
        <v>3.1259999999999999</v>
      </c>
    </row>
    <row r="292" spans="1:9" x14ac:dyDescent="0.3">
      <c r="A292">
        <f>LOOKUP(9E+307,--MID(D292,1,{1,2,3,4,5}))</f>
        <v>10</v>
      </c>
      <c r="B292">
        <f>VLOOKUP(MID(D292,LOOKUP(2,1/ISNUMBER(-MID(D292,1,{1,2,3,4,5})),{1,2,3,4,5})+1,9),'Hue codes'!$A$1:$B$10,2,FALSE)</f>
        <v>40</v>
      </c>
      <c r="C292">
        <f t="shared" si="4"/>
        <v>50</v>
      </c>
      <c r="D292" t="s">
        <v>40</v>
      </c>
      <c r="E292">
        <v>2</v>
      </c>
      <c r="F292">
        <v>2</v>
      </c>
      <c r="G292">
        <v>0.28199999999999997</v>
      </c>
      <c r="H292">
        <v>0.33410000000000001</v>
      </c>
      <c r="I292">
        <v>3.1259999999999999</v>
      </c>
    </row>
    <row r="293" spans="1:9" x14ac:dyDescent="0.3">
      <c r="A293">
        <f>LOOKUP(9E+307,--MID(D293,1,{1,2,3,4,5}))</f>
        <v>10</v>
      </c>
      <c r="B293">
        <f>VLOOKUP(MID(D293,LOOKUP(2,1/ISNUMBER(-MID(D293,1,{1,2,3,4,5})),{1,2,3,4,5})+1,9),'Hue codes'!$A$1:$B$10,2,FALSE)</f>
        <v>40</v>
      </c>
      <c r="C293">
        <f t="shared" si="4"/>
        <v>50</v>
      </c>
      <c r="D293" t="s">
        <v>40</v>
      </c>
      <c r="E293">
        <v>2</v>
      </c>
      <c r="F293">
        <v>4</v>
      </c>
      <c r="G293">
        <v>0.2442</v>
      </c>
      <c r="H293">
        <v>0.35589999999999999</v>
      </c>
      <c r="I293">
        <v>3.1259999999999999</v>
      </c>
    </row>
    <row r="294" spans="1:9" x14ac:dyDescent="0.3">
      <c r="A294">
        <f>LOOKUP(9E+307,--MID(D294,1,{1,2,3,4,5}))</f>
        <v>10</v>
      </c>
      <c r="B294">
        <f>VLOOKUP(MID(D294,LOOKUP(2,1/ISNUMBER(-MID(D294,1,{1,2,3,4,5})),{1,2,3,4,5})+1,9),'Hue codes'!$A$1:$B$10,2,FALSE)</f>
        <v>40</v>
      </c>
      <c r="C294">
        <f t="shared" si="4"/>
        <v>50</v>
      </c>
      <c r="D294" t="s">
        <v>40</v>
      </c>
      <c r="E294">
        <v>2</v>
      </c>
      <c r="F294">
        <v>6</v>
      </c>
      <c r="G294">
        <v>0.2092</v>
      </c>
      <c r="H294">
        <v>0.37390000000000001</v>
      </c>
      <c r="I294">
        <v>3.1259999999999999</v>
      </c>
    </row>
    <row r="295" spans="1:9" x14ac:dyDescent="0.3">
      <c r="A295">
        <f>LOOKUP(9E+307,--MID(D295,1,{1,2,3,4,5}))</f>
        <v>10</v>
      </c>
      <c r="B295">
        <f>VLOOKUP(MID(D295,LOOKUP(2,1/ISNUMBER(-MID(D295,1,{1,2,3,4,5})),{1,2,3,4,5})+1,9),'Hue codes'!$A$1:$B$10,2,FALSE)</f>
        <v>40</v>
      </c>
      <c r="C295">
        <f t="shared" si="4"/>
        <v>50</v>
      </c>
      <c r="D295" t="s">
        <v>40</v>
      </c>
      <c r="E295">
        <v>2</v>
      </c>
      <c r="F295">
        <v>8</v>
      </c>
      <c r="G295">
        <v>0.17050000000000001</v>
      </c>
      <c r="H295">
        <v>0.3911</v>
      </c>
      <c r="I295">
        <v>3.1259999999999999</v>
      </c>
    </row>
    <row r="296" spans="1:9" x14ac:dyDescent="0.3">
      <c r="A296">
        <f>LOOKUP(9E+307,--MID(D296,1,{1,2,3,4,5}))</f>
        <v>10</v>
      </c>
      <c r="B296">
        <f>VLOOKUP(MID(D296,LOOKUP(2,1/ISNUMBER(-MID(D296,1,{1,2,3,4,5})),{1,2,3,4,5})+1,9),'Hue codes'!$A$1:$B$10,2,FALSE)</f>
        <v>40</v>
      </c>
      <c r="C296">
        <f t="shared" si="4"/>
        <v>50</v>
      </c>
      <c r="D296" t="s">
        <v>40</v>
      </c>
      <c r="E296">
        <v>2</v>
      </c>
      <c r="F296">
        <v>10</v>
      </c>
      <c r="G296">
        <v>0.1321</v>
      </c>
      <c r="H296">
        <v>0.40589999999999998</v>
      </c>
      <c r="I296">
        <v>3.1259999999999999</v>
      </c>
    </row>
    <row r="297" spans="1:9" x14ac:dyDescent="0.3">
      <c r="A297">
        <f>LOOKUP(9E+307,--MID(D297,1,{1,2,3,4,5}))</f>
        <v>10</v>
      </c>
      <c r="B297">
        <f>VLOOKUP(MID(D297,LOOKUP(2,1/ISNUMBER(-MID(D297,1,{1,2,3,4,5})),{1,2,3,4,5})+1,9),'Hue codes'!$A$1:$B$10,2,FALSE)</f>
        <v>40</v>
      </c>
      <c r="C297">
        <f t="shared" si="4"/>
        <v>50</v>
      </c>
      <c r="D297" t="s">
        <v>40</v>
      </c>
      <c r="E297">
        <v>2</v>
      </c>
      <c r="F297">
        <v>12</v>
      </c>
      <c r="G297">
        <v>9.3399999999999997E-2</v>
      </c>
      <c r="H297">
        <v>0.41830000000000001</v>
      </c>
      <c r="I297">
        <v>3.1259999999999999</v>
      </c>
    </row>
    <row r="298" spans="1:9" x14ac:dyDescent="0.3">
      <c r="A298">
        <f>LOOKUP(9E+307,--MID(D298,1,{1,2,3,4,5}))</f>
        <v>10</v>
      </c>
      <c r="B298">
        <f>VLOOKUP(MID(D298,LOOKUP(2,1/ISNUMBER(-MID(D298,1,{1,2,3,4,5})),{1,2,3,4,5})+1,9),'Hue codes'!$A$1:$B$10,2,FALSE)</f>
        <v>40</v>
      </c>
      <c r="C298">
        <f t="shared" si="4"/>
        <v>50</v>
      </c>
      <c r="D298" t="s">
        <v>40</v>
      </c>
      <c r="E298">
        <v>2</v>
      </c>
      <c r="F298">
        <v>14</v>
      </c>
      <c r="G298">
        <v>5.9900000000000002E-2</v>
      </c>
      <c r="H298">
        <v>0.42699999999999999</v>
      </c>
      <c r="I298">
        <v>3.1259999999999999</v>
      </c>
    </row>
    <row r="299" spans="1:9" x14ac:dyDescent="0.3">
      <c r="A299">
        <f>LOOKUP(9E+307,--MID(D299,1,{1,2,3,4,5}))</f>
        <v>10</v>
      </c>
      <c r="B299">
        <f>VLOOKUP(MID(D299,LOOKUP(2,1/ISNUMBER(-MID(D299,1,{1,2,3,4,5})),{1,2,3,4,5})+1,9),'Hue codes'!$A$1:$B$10,2,FALSE)</f>
        <v>40</v>
      </c>
      <c r="C299">
        <f t="shared" si="4"/>
        <v>50</v>
      </c>
      <c r="D299" t="s">
        <v>40</v>
      </c>
      <c r="E299">
        <v>2</v>
      </c>
      <c r="F299">
        <v>16</v>
      </c>
      <c r="G299">
        <v>2.8500000000000001E-2</v>
      </c>
      <c r="H299">
        <v>0.43269999999999997</v>
      </c>
      <c r="I299">
        <v>3.1259999999999999</v>
      </c>
    </row>
    <row r="300" spans="1:9" x14ac:dyDescent="0.3">
      <c r="A300">
        <f>LOOKUP(9E+307,--MID(D300,1,{1,2,3,4,5}))</f>
        <v>2.5</v>
      </c>
      <c r="B300">
        <f>VLOOKUP(MID(D300,LOOKUP(2,1/ISNUMBER(-MID(D300,1,{1,2,3,4,5})),{1,2,3,4,5})+1,9),'Hue codes'!$A$1:$B$10,2,FALSE)</f>
        <v>50</v>
      </c>
      <c r="C300">
        <f t="shared" si="4"/>
        <v>52.5</v>
      </c>
      <c r="D300" t="s">
        <v>41</v>
      </c>
      <c r="E300">
        <v>2</v>
      </c>
      <c r="F300">
        <v>2</v>
      </c>
      <c r="G300">
        <v>0.27650000000000002</v>
      </c>
      <c r="H300">
        <v>0.3271</v>
      </c>
      <c r="I300">
        <v>3.1259999999999999</v>
      </c>
    </row>
    <row r="301" spans="1:9" x14ac:dyDescent="0.3">
      <c r="A301">
        <f>LOOKUP(9E+307,--MID(D301,1,{1,2,3,4,5}))</f>
        <v>2.5</v>
      </c>
      <c r="B301">
        <f>VLOOKUP(MID(D301,LOOKUP(2,1/ISNUMBER(-MID(D301,1,{1,2,3,4,5})),{1,2,3,4,5})+1,9),'Hue codes'!$A$1:$B$10,2,FALSE)</f>
        <v>50</v>
      </c>
      <c r="C301">
        <f t="shared" si="4"/>
        <v>52.5</v>
      </c>
      <c r="D301" t="s">
        <v>41</v>
      </c>
      <c r="E301">
        <v>2</v>
      </c>
      <c r="F301">
        <v>4</v>
      </c>
      <c r="G301">
        <v>0.23430000000000001</v>
      </c>
      <c r="H301">
        <v>0.33779999999999999</v>
      </c>
      <c r="I301">
        <v>3.1259999999999999</v>
      </c>
    </row>
    <row r="302" spans="1:9" x14ac:dyDescent="0.3">
      <c r="A302">
        <f>LOOKUP(9E+307,--MID(D302,1,{1,2,3,4,5}))</f>
        <v>2.5</v>
      </c>
      <c r="B302">
        <f>VLOOKUP(MID(D302,LOOKUP(2,1/ISNUMBER(-MID(D302,1,{1,2,3,4,5})),{1,2,3,4,5})+1,9),'Hue codes'!$A$1:$B$10,2,FALSE)</f>
        <v>50</v>
      </c>
      <c r="C302">
        <f t="shared" si="4"/>
        <v>52.5</v>
      </c>
      <c r="D302" t="s">
        <v>41</v>
      </c>
      <c r="E302">
        <v>2</v>
      </c>
      <c r="F302">
        <v>6</v>
      </c>
      <c r="G302">
        <v>0.1971</v>
      </c>
      <c r="H302">
        <v>0.34520000000000001</v>
      </c>
      <c r="I302">
        <v>3.1259999999999999</v>
      </c>
    </row>
    <row r="303" spans="1:9" x14ac:dyDescent="0.3">
      <c r="A303">
        <f>LOOKUP(9E+307,--MID(D303,1,{1,2,3,4,5}))</f>
        <v>2.5</v>
      </c>
      <c r="B303">
        <f>VLOOKUP(MID(D303,LOOKUP(2,1/ISNUMBER(-MID(D303,1,{1,2,3,4,5})),{1,2,3,4,5})+1,9),'Hue codes'!$A$1:$B$10,2,FALSE)</f>
        <v>50</v>
      </c>
      <c r="C303">
        <f t="shared" si="4"/>
        <v>52.5</v>
      </c>
      <c r="D303" t="s">
        <v>41</v>
      </c>
      <c r="E303">
        <v>2</v>
      </c>
      <c r="F303">
        <v>8</v>
      </c>
      <c r="G303">
        <v>0.15570000000000001</v>
      </c>
      <c r="H303">
        <v>0.35170000000000001</v>
      </c>
      <c r="I303">
        <v>3.1259999999999999</v>
      </c>
    </row>
    <row r="304" spans="1:9" x14ac:dyDescent="0.3">
      <c r="A304">
        <f>LOOKUP(9E+307,--MID(D304,1,{1,2,3,4,5}))</f>
        <v>2.5</v>
      </c>
      <c r="B304">
        <f>VLOOKUP(MID(D304,LOOKUP(2,1/ISNUMBER(-MID(D304,1,{1,2,3,4,5})),{1,2,3,4,5})+1,9),'Hue codes'!$A$1:$B$10,2,FALSE)</f>
        <v>50</v>
      </c>
      <c r="C304">
        <f t="shared" si="4"/>
        <v>52.5</v>
      </c>
      <c r="D304" t="s">
        <v>41</v>
      </c>
      <c r="E304">
        <v>2</v>
      </c>
      <c r="F304">
        <v>10</v>
      </c>
      <c r="G304">
        <v>0.11899999999999999</v>
      </c>
      <c r="H304">
        <v>0.35510000000000003</v>
      </c>
      <c r="I304">
        <v>3.1259999999999999</v>
      </c>
    </row>
    <row r="305" spans="1:9" x14ac:dyDescent="0.3">
      <c r="A305">
        <f>LOOKUP(9E+307,--MID(D305,1,{1,2,3,4,5}))</f>
        <v>2.5</v>
      </c>
      <c r="B305">
        <f>VLOOKUP(MID(D305,LOOKUP(2,1/ISNUMBER(-MID(D305,1,{1,2,3,4,5})),{1,2,3,4,5})+1,9),'Hue codes'!$A$1:$B$10,2,FALSE)</f>
        <v>50</v>
      </c>
      <c r="C305">
        <f t="shared" si="4"/>
        <v>52.5</v>
      </c>
      <c r="D305" t="s">
        <v>41</v>
      </c>
      <c r="E305">
        <v>2</v>
      </c>
      <c r="F305">
        <v>12</v>
      </c>
      <c r="G305">
        <v>8.5099999999999995E-2</v>
      </c>
      <c r="H305">
        <v>0.35759999999999997</v>
      </c>
      <c r="I305">
        <v>3.1259999999999999</v>
      </c>
    </row>
    <row r="306" spans="1:9" x14ac:dyDescent="0.3">
      <c r="A306">
        <f>LOOKUP(9E+307,--MID(D306,1,{1,2,3,4,5}))</f>
        <v>2.5</v>
      </c>
      <c r="B306">
        <f>VLOOKUP(MID(D306,LOOKUP(2,1/ISNUMBER(-MID(D306,1,{1,2,3,4,5})),{1,2,3,4,5})+1,9),'Hue codes'!$A$1:$B$10,2,FALSE)</f>
        <v>50</v>
      </c>
      <c r="C306">
        <f t="shared" si="4"/>
        <v>52.5</v>
      </c>
      <c r="D306" t="s">
        <v>41</v>
      </c>
      <c r="E306">
        <v>2</v>
      </c>
      <c r="F306">
        <v>14</v>
      </c>
      <c r="G306">
        <v>5.5500000000000001E-2</v>
      </c>
      <c r="H306">
        <v>0.35880000000000001</v>
      </c>
      <c r="I306">
        <v>3.1259999999999999</v>
      </c>
    </row>
    <row r="307" spans="1:9" x14ac:dyDescent="0.3">
      <c r="A307">
        <f>LOOKUP(9E+307,--MID(D307,1,{1,2,3,4,5}))</f>
        <v>5</v>
      </c>
      <c r="B307">
        <f>VLOOKUP(MID(D307,LOOKUP(2,1/ISNUMBER(-MID(D307,1,{1,2,3,4,5})),{1,2,3,4,5})+1,9),'Hue codes'!$A$1:$B$10,2,FALSE)</f>
        <v>50</v>
      </c>
      <c r="C307">
        <f t="shared" si="4"/>
        <v>55</v>
      </c>
      <c r="D307" t="s">
        <v>42</v>
      </c>
      <c r="E307">
        <v>2</v>
      </c>
      <c r="F307">
        <v>2</v>
      </c>
      <c r="G307">
        <v>0.2697</v>
      </c>
      <c r="H307">
        <v>0.3175</v>
      </c>
      <c r="I307">
        <v>3.1259999999999999</v>
      </c>
    </row>
    <row r="308" spans="1:9" x14ac:dyDescent="0.3">
      <c r="A308">
        <f>LOOKUP(9E+307,--MID(D308,1,{1,2,3,4,5}))</f>
        <v>5</v>
      </c>
      <c r="B308">
        <f>VLOOKUP(MID(D308,LOOKUP(2,1/ISNUMBER(-MID(D308,1,{1,2,3,4,5})),{1,2,3,4,5})+1,9),'Hue codes'!$A$1:$B$10,2,FALSE)</f>
        <v>50</v>
      </c>
      <c r="C308">
        <f t="shared" si="4"/>
        <v>55</v>
      </c>
      <c r="D308" t="s">
        <v>42</v>
      </c>
      <c r="E308">
        <v>2</v>
      </c>
      <c r="F308">
        <v>4</v>
      </c>
      <c r="G308">
        <v>0.22339999999999999</v>
      </c>
      <c r="H308">
        <v>0.315</v>
      </c>
      <c r="I308">
        <v>3.1259999999999999</v>
      </c>
    </row>
    <row r="309" spans="1:9" x14ac:dyDescent="0.3">
      <c r="A309">
        <f>LOOKUP(9E+307,--MID(D309,1,{1,2,3,4,5}))</f>
        <v>5</v>
      </c>
      <c r="B309">
        <f>VLOOKUP(MID(D309,LOOKUP(2,1/ISNUMBER(-MID(D309,1,{1,2,3,4,5})),{1,2,3,4,5})+1,9),'Hue codes'!$A$1:$B$10,2,FALSE)</f>
        <v>50</v>
      </c>
      <c r="C309">
        <f t="shared" si="4"/>
        <v>55</v>
      </c>
      <c r="D309" t="s">
        <v>42</v>
      </c>
      <c r="E309">
        <v>2</v>
      </c>
      <c r="F309">
        <v>6</v>
      </c>
      <c r="G309">
        <v>0.18429999999999999</v>
      </c>
      <c r="H309">
        <v>0.311</v>
      </c>
      <c r="I309">
        <v>3.1259999999999999</v>
      </c>
    </row>
    <row r="310" spans="1:9" x14ac:dyDescent="0.3">
      <c r="A310">
        <f>LOOKUP(9E+307,--MID(D310,1,{1,2,3,4,5}))</f>
        <v>5</v>
      </c>
      <c r="B310">
        <f>VLOOKUP(MID(D310,LOOKUP(2,1/ISNUMBER(-MID(D310,1,{1,2,3,4,5})),{1,2,3,4,5})+1,9),'Hue codes'!$A$1:$B$10,2,FALSE)</f>
        <v>50</v>
      </c>
      <c r="C310">
        <f t="shared" si="4"/>
        <v>55</v>
      </c>
      <c r="D310" t="s">
        <v>42</v>
      </c>
      <c r="E310">
        <v>2</v>
      </c>
      <c r="F310">
        <v>8</v>
      </c>
      <c r="G310">
        <v>0.14050000000000001</v>
      </c>
      <c r="H310">
        <v>0.30370000000000003</v>
      </c>
      <c r="I310">
        <v>3.1259999999999999</v>
      </c>
    </row>
    <row r="311" spans="1:9" x14ac:dyDescent="0.3">
      <c r="A311">
        <f>LOOKUP(9E+307,--MID(D311,1,{1,2,3,4,5}))</f>
        <v>5</v>
      </c>
      <c r="B311">
        <f>VLOOKUP(MID(D311,LOOKUP(2,1/ISNUMBER(-MID(D311,1,{1,2,3,4,5})),{1,2,3,4,5})+1,9),'Hue codes'!$A$1:$B$10,2,FALSE)</f>
        <v>50</v>
      </c>
      <c r="C311">
        <f t="shared" si="4"/>
        <v>55</v>
      </c>
      <c r="D311" t="s">
        <v>42</v>
      </c>
      <c r="E311">
        <v>2</v>
      </c>
      <c r="F311">
        <v>10</v>
      </c>
      <c r="G311">
        <v>0.105</v>
      </c>
      <c r="H311">
        <v>0.29559999999999997</v>
      </c>
      <c r="I311">
        <v>3.1259999999999999</v>
      </c>
    </row>
    <row r="312" spans="1:9" x14ac:dyDescent="0.3">
      <c r="A312">
        <f>LOOKUP(9E+307,--MID(D312,1,{1,2,3,4,5}))</f>
        <v>5</v>
      </c>
      <c r="B312">
        <f>VLOOKUP(MID(D312,LOOKUP(2,1/ISNUMBER(-MID(D312,1,{1,2,3,4,5})),{1,2,3,4,5})+1,9),'Hue codes'!$A$1:$B$10,2,FALSE)</f>
        <v>50</v>
      </c>
      <c r="C312">
        <f t="shared" si="4"/>
        <v>55</v>
      </c>
      <c r="D312" t="s">
        <v>42</v>
      </c>
      <c r="E312">
        <v>2</v>
      </c>
      <c r="F312">
        <v>12</v>
      </c>
      <c r="G312">
        <v>7.6899999999999996E-2</v>
      </c>
      <c r="H312">
        <v>0.28799999999999998</v>
      </c>
      <c r="I312">
        <v>3.1259999999999999</v>
      </c>
    </row>
    <row r="313" spans="1:9" x14ac:dyDescent="0.3">
      <c r="A313">
        <f>LOOKUP(9E+307,--MID(D313,1,{1,2,3,4,5}))</f>
        <v>7.5</v>
      </c>
      <c r="B313">
        <f>VLOOKUP(MID(D313,LOOKUP(2,1/ISNUMBER(-MID(D313,1,{1,2,3,4,5})),{1,2,3,4,5})+1,9),'Hue codes'!$A$1:$B$10,2,FALSE)</f>
        <v>50</v>
      </c>
      <c r="C313">
        <f t="shared" si="4"/>
        <v>57.5</v>
      </c>
      <c r="D313" t="s">
        <v>43</v>
      </c>
      <c r="E313">
        <v>2</v>
      </c>
      <c r="F313">
        <v>2</v>
      </c>
      <c r="G313">
        <v>0.2651</v>
      </c>
      <c r="H313">
        <v>0.30980000000000002</v>
      </c>
      <c r="I313">
        <v>3.1259999999999999</v>
      </c>
    </row>
    <row r="314" spans="1:9" x14ac:dyDescent="0.3">
      <c r="A314">
        <f>LOOKUP(9E+307,--MID(D314,1,{1,2,3,4,5}))</f>
        <v>7.5</v>
      </c>
      <c r="B314">
        <f>VLOOKUP(MID(D314,LOOKUP(2,1/ISNUMBER(-MID(D314,1,{1,2,3,4,5})),{1,2,3,4,5})+1,9),'Hue codes'!$A$1:$B$10,2,FALSE)</f>
        <v>50</v>
      </c>
      <c r="C314">
        <f t="shared" si="4"/>
        <v>57.5</v>
      </c>
      <c r="D314" t="s">
        <v>43</v>
      </c>
      <c r="E314">
        <v>2</v>
      </c>
      <c r="F314">
        <v>4</v>
      </c>
      <c r="G314">
        <v>0.2162</v>
      </c>
      <c r="H314">
        <v>0.29809999999999998</v>
      </c>
      <c r="I314">
        <v>3.1259999999999999</v>
      </c>
    </row>
    <row r="315" spans="1:9" x14ac:dyDescent="0.3">
      <c r="A315">
        <f>LOOKUP(9E+307,--MID(D315,1,{1,2,3,4,5}))</f>
        <v>7.5</v>
      </c>
      <c r="B315">
        <f>VLOOKUP(MID(D315,LOOKUP(2,1/ISNUMBER(-MID(D315,1,{1,2,3,4,5})),{1,2,3,4,5})+1,9),'Hue codes'!$A$1:$B$10,2,FALSE)</f>
        <v>50</v>
      </c>
      <c r="C315">
        <f t="shared" si="4"/>
        <v>57.5</v>
      </c>
      <c r="D315" t="s">
        <v>43</v>
      </c>
      <c r="E315">
        <v>2</v>
      </c>
      <c r="F315">
        <v>6</v>
      </c>
      <c r="G315">
        <v>0.17469999999999999</v>
      </c>
      <c r="H315">
        <v>0.2853</v>
      </c>
      <c r="I315">
        <v>3.1259999999999999</v>
      </c>
    </row>
    <row r="316" spans="1:9" x14ac:dyDescent="0.3">
      <c r="A316">
        <f>LOOKUP(9E+307,--MID(D316,1,{1,2,3,4,5}))</f>
        <v>7.5</v>
      </c>
      <c r="B316">
        <f>VLOOKUP(MID(D316,LOOKUP(2,1/ISNUMBER(-MID(D316,1,{1,2,3,4,5})),{1,2,3,4,5})+1,9),'Hue codes'!$A$1:$B$10,2,FALSE)</f>
        <v>50</v>
      </c>
      <c r="C316">
        <f t="shared" si="4"/>
        <v>57.5</v>
      </c>
      <c r="D316" t="s">
        <v>43</v>
      </c>
      <c r="E316">
        <v>2</v>
      </c>
      <c r="F316">
        <v>8</v>
      </c>
      <c r="G316">
        <v>0.13250000000000001</v>
      </c>
      <c r="H316">
        <v>0.27100000000000002</v>
      </c>
      <c r="I316">
        <v>3.1259999999999999</v>
      </c>
    </row>
    <row r="317" spans="1:9" x14ac:dyDescent="0.3">
      <c r="A317">
        <f>LOOKUP(9E+307,--MID(D317,1,{1,2,3,4,5}))</f>
        <v>7.5</v>
      </c>
      <c r="B317">
        <f>VLOOKUP(MID(D317,LOOKUP(2,1/ISNUMBER(-MID(D317,1,{1,2,3,4,5})),{1,2,3,4,5})+1,9),'Hue codes'!$A$1:$B$10,2,FALSE)</f>
        <v>50</v>
      </c>
      <c r="C317">
        <f t="shared" si="4"/>
        <v>57.5</v>
      </c>
      <c r="D317" t="s">
        <v>43</v>
      </c>
      <c r="E317">
        <v>2</v>
      </c>
      <c r="F317">
        <v>10</v>
      </c>
      <c r="G317">
        <v>9.9099999999999994E-2</v>
      </c>
      <c r="H317">
        <v>0.25819999999999999</v>
      </c>
      <c r="I317">
        <v>3.1259999999999999</v>
      </c>
    </row>
    <row r="318" spans="1:9" x14ac:dyDescent="0.3">
      <c r="A318">
        <f>LOOKUP(9E+307,--MID(D318,1,{1,2,3,4,5}))</f>
        <v>7.5</v>
      </c>
      <c r="B318">
        <f>VLOOKUP(MID(D318,LOOKUP(2,1/ISNUMBER(-MID(D318,1,{1,2,3,4,5})),{1,2,3,4,5})+1,9),'Hue codes'!$A$1:$B$10,2,FALSE)</f>
        <v>50</v>
      </c>
      <c r="C318">
        <f t="shared" si="4"/>
        <v>57.5</v>
      </c>
      <c r="D318" t="s">
        <v>43</v>
      </c>
      <c r="E318">
        <v>2</v>
      </c>
      <c r="F318">
        <v>12</v>
      </c>
      <c r="G318">
        <v>7.2400000000000006E-2</v>
      </c>
      <c r="H318">
        <v>0.24779999999999999</v>
      </c>
      <c r="I318">
        <v>3.1259999999999999</v>
      </c>
    </row>
    <row r="319" spans="1:9" x14ac:dyDescent="0.3">
      <c r="A319">
        <f>LOOKUP(9E+307,--MID(D319,1,{1,2,3,4,5}))</f>
        <v>10</v>
      </c>
      <c r="B319">
        <f>VLOOKUP(MID(D319,LOOKUP(2,1/ISNUMBER(-MID(D319,1,{1,2,3,4,5})),{1,2,3,4,5})+1,9),'Hue codes'!$A$1:$B$10,2,FALSE)</f>
        <v>50</v>
      </c>
      <c r="C319">
        <f t="shared" si="4"/>
        <v>60</v>
      </c>
      <c r="D319" t="s">
        <v>44</v>
      </c>
      <c r="E319">
        <v>2</v>
      </c>
      <c r="F319">
        <v>2</v>
      </c>
      <c r="G319">
        <v>0.2606</v>
      </c>
      <c r="H319">
        <v>0.30099999999999999</v>
      </c>
      <c r="I319">
        <v>3.1259999999999999</v>
      </c>
    </row>
    <row r="320" spans="1:9" x14ac:dyDescent="0.3">
      <c r="A320">
        <f>LOOKUP(9E+307,--MID(D320,1,{1,2,3,4,5}))</f>
        <v>10</v>
      </c>
      <c r="B320">
        <f>VLOOKUP(MID(D320,LOOKUP(2,1/ISNUMBER(-MID(D320,1,{1,2,3,4,5})),{1,2,3,4,5})+1,9),'Hue codes'!$A$1:$B$10,2,FALSE)</f>
        <v>50</v>
      </c>
      <c r="C320">
        <f t="shared" si="4"/>
        <v>60</v>
      </c>
      <c r="D320" t="s">
        <v>44</v>
      </c>
      <c r="E320">
        <v>2</v>
      </c>
      <c r="F320">
        <v>4</v>
      </c>
      <c r="G320">
        <v>0.20960000000000001</v>
      </c>
      <c r="H320">
        <v>0.27900000000000003</v>
      </c>
      <c r="I320">
        <v>3.1259999999999999</v>
      </c>
    </row>
    <row r="321" spans="1:9" x14ac:dyDescent="0.3">
      <c r="A321">
        <f>LOOKUP(9E+307,--MID(D321,1,{1,2,3,4,5}))</f>
        <v>10</v>
      </c>
      <c r="B321">
        <f>VLOOKUP(MID(D321,LOOKUP(2,1/ISNUMBER(-MID(D321,1,{1,2,3,4,5})),{1,2,3,4,5})+1,9),'Hue codes'!$A$1:$B$10,2,FALSE)</f>
        <v>50</v>
      </c>
      <c r="C321">
        <f t="shared" si="4"/>
        <v>60</v>
      </c>
      <c r="D321" t="s">
        <v>44</v>
      </c>
      <c r="E321">
        <v>2</v>
      </c>
      <c r="F321">
        <v>6</v>
      </c>
      <c r="G321">
        <v>0.16689999999999999</v>
      </c>
      <c r="H321">
        <v>0.25700000000000001</v>
      </c>
      <c r="I321">
        <v>3.1259999999999999</v>
      </c>
    </row>
    <row r="322" spans="1:9" x14ac:dyDescent="0.3">
      <c r="A322">
        <f>LOOKUP(9E+307,--MID(D322,1,{1,2,3,4,5}))</f>
        <v>10</v>
      </c>
      <c r="B322">
        <f>VLOOKUP(MID(D322,LOOKUP(2,1/ISNUMBER(-MID(D322,1,{1,2,3,4,5})),{1,2,3,4,5})+1,9),'Hue codes'!$A$1:$B$10,2,FALSE)</f>
        <v>50</v>
      </c>
      <c r="C322">
        <f t="shared" si="4"/>
        <v>60</v>
      </c>
      <c r="D322" t="s">
        <v>44</v>
      </c>
      <c r="E322">
        <v>2</v>
      </c>
      <c r="F322">
        <v>8</v>
      </c>
      <c r="G322">
        <v>0.1258</v>
      </c>
      <c r="H322">
        <v>0.2331</v>
      </c>
      <c r="I322">
        <v>3.1259999999999999</v>
      </c>
    </row>
    <row r="323" spans="1:9" x14ac:dyDescent="0.3">
      <c r="A323">
        <f>LOOKUP(9E+307,--MID(D323,1,{1,2,3,4,5}))</f>
        <v>10</v>
      </c>
      <c r="B323">
        <f>VLOOKUP(MID(D323,LOOKUP(2,1/ISNUMBER(-MID(D323,1,{1,2,3,4,5})),{1,2,3,4,5})+1,9),'Hue codes'!$A$1:$B$10,2,FALSE)</f>
        <v>50</v>
      </c>
      <c r="C323">
        <f t="shared" ref="C323:C386" si="5">IF(A323+B323=100,0,A323+B323)</f>
        <v>60</v>
      </c>
      <c r="D323" t="s">
        <v>44</v>
      </c>
      <c r="E323">
        <v>2</v>
      </c>
      <c r="F323">
        <v>10</v>
      </c>
      <c r="G323">
        <v>9.2899999999999996E-2</v>
      </c>
      <c r="H323">
        <v>0.21329999999999999</v>
      </c>
      <c r="I323">
        <v>3.1259999999999999</v>
      </c>
    </row>
    <row r="324" spans="1:9" x14ac:dyDescent="0.3">
      <c r="A324">
        <f>LOOKUP(9E+307,--MID(D324,1,{1,2,3,4,5}))</f>
        <v>2.5</v>
      </c>
      <c r="B324">
        <f>VLOOKUP(MID(D324,LOOKUP(2,1/ISNUMBER(-MID(D324,1,{1,2,3,4,5})),{1,2,3,4,5})+1,9),'Hue codes'!$A$1:$B$10,2,FALSE)</f>
        <v>60</v>
      </c>
      <c r="C324">
        <f t="shared" si="5"/>
        <v>62.5</v>
      </c>
      <c r="D324" t="s">
        <v>45</v>
      </c>
      <c r="E324">
        <v>2</v>
      </c>
      <c r="F324">
        <v>2</v>
      </c>
      <c r="G324">
        <v>0.25779999999999997</v>
      </c>
      <c r="H324">
        <v>0.29399999999999998</v>
      </c>
      <c r="I324">
        <v>3.1259999999999999</v>
      </c>
    </row>
    <row r="325" spans="1:9" x14ac:dyDescent="0.3">
      <c r="A325">
        <f>LOOKUP(9E+307,--MID(D325,1,{1,2,3,4,5}))</f>
        <v>2.5</v>
      </c>
      <c r="B325">
        <f>VLOOKUP(MID(D325,LOOKUP(2,1/ISNUMBER(-MID(D325,1,{1,2,3,4,5})),{1,2,3,4,5})+1,9),'Hue codes'!$A$1:$B$10,2,FALSE)</f>
        <v>60</v>
      </c>
      <c r="C325">
        <f t="shared" si="5"/>
        <v>62.5</v>
      </c>
      <c r="D325" t="s">
        <v>45</v>
      </c>
      <c r="E325">
        <v>2</v>
      </c>
      <c r="F325">
        <v>4</v>
      </c>
      <c r="G325">
        <v>0.20599999999999999</v>
      </c>
      <c r="H325">
        <v>0.26490000000000002</v>
      </c>
      <c r="I325">
        <v>3.1259999999999999</v>
      </c>
    </row>
    <row r="326" spans="1:9" x14ac:dyDescent="0.3">
      <c r="A326">
        <f>LOOKUP(9E+307,--MID(D326,1,{1,2,3,4,5}))</f>
        <v>2.5</v>
      </c>
      <c r="B326">
        <f>VLOOKUP(MID(D326,LOOKUP(2,1/ISNUMBER(-MID(D326,1,{1,2,3,4,5})),{1,2,3,4,5})+1,9),'Hue codes'!$A$1:$B$10,2,FALSE)</f>
        <v>60</v>
      </c>
      <c r="C326">
        <f t="shared" si="5"/>
        <v>62.5</v>
      </c>
      <c r="D326" t="s">
        <v>45</v>
      </c>
      <c r="E326">
        <v>2</v>
      </c>
      <c r="F326">
        <v>6</v>
      </c>
      <c r="G326">
        <v>0.16209999999999999</v>
      </c>
      <c r="H326">
        <v>0.23580000000000001</v>
      </c>
      <c r="I326">
        <v>3.1259999999999999</v>
      </c>
    </row>
    <row r="327" spans="1:9" x14ac:dyDescent="0.3">
      <c r="A327">
        <f>LOOKUP(9E+307,--MID(D327,1,{1,2,3,4,5}))</f>
        <v>2.5</v>
      </c>
      <c r="B327">
        <f>VLOOKUP(MID(D327,LOOKUP(2,1/ISNUMBER(-MID(D327,1,{1,2,3,4,5})),{1,2,3,4,5})+1,9),'Hue codes'!$A$1:$B$10,2,FALSE)</f>
        <v>60</v>
      </c>
      <c r="C327">
        <f t="shared" si="5"/>
        <v>62.5</v>
      </c>
      <c r="D327" t="s">
        <v>45</v>
      </c>
      <c r="E327">
        <v>2</v>
      </c>
      <c r="F327">
        <v>8</v>
      </c>
      <c r="G327">
        <v>0.123</v>
      </c>
      <c r="H327">
        <v>0.20760000000000001</v>
      </c>
      <c r="I327">
        <v>3.1259999999999999</v>
      </c>
    </row>
    <row r="328" spans="1:9" x14ac:dyDescent="0.3">
      <c r="A328">
        <f>LOOKUP(9E+307,--MID(D328,1,{1,2,3,4,5}))</f>
        <v>2.5</v>
      </c>
      <c r="B328">
        <f>VLOOKUP(MID(D328,LOOKUP(2,1/ISNUMBER(-MID(D328,1,{1,2,3,4,5})),{1,2,3,4,5})+1,9),'Hue codes'!$A$1:$B$10,2,FALSE)</f>
        <v>60</v>
      </c>
      <c r="C328">
        <f t="shared" si="5"/>
        <v>62.5</v>
      </c>
      <c r="D328" t="s">
        <v>45</v>
      </c>
      <c r="E328">
        <v>2</v>
      </c>
      <c r="F328">
        <v>10</v>
      </c>
      <c r="G328">
        <v>9.11E-2</v>
      </c>
      <c r="H328">
        <v>0.18279999999999999</v>
      </c>
      <c r="I328">
        <v>3.1259999999999999</v>
      </c>
    </row>
    <row r="329" spans="1:9" x14ac:dyDescent="0.3">
      <c r="A329">
        <f>LOOKUP(9E+307,--MID(D329,1,{1,2,3,4,5}))</f>
        <v>5</v>
      </c>
      <c r="B329">
        <f>VLOOKUP(MID(D329,LOOKUP(2,1/ISNUMBER(-MID(D329,1,{1,2,3,4,5})),{1,2,3,4,5})+1,9),'Hue codes'!$A$1:$B$10,2,FALSE)</f>
        <v>60</v>
      </c>
      <c r="C329">
        <f t="shared" si="5"/>
        <v>65</v>
      </c>
      <c r="D329" t="s">
        <v>46</v>
      </c>
      <c r="E329">
        <v>2</v>
      </c>
      <c r="F329">
        <v>2</v>
      </c>
      <c r="G329">
        <v>0.25590000000000002</v>
      </c>
      <c r="H329">
        <v>0.28739999999999999</v>
      </c>
      <c r="I329">
        <v>3.1259999999999999</v>
      </c>
    </row>
    <row r="330" spans="1:9" x14ac:dyDescent="0.3">
      <c r="A330">
        <f>LOOKUP(9E+307,--MID(D330,1,{1,2,3,4,5}))</f>
        <v>5</v>
      </c>
      <c r="B330">
        <f>VLOOKUP(MID(D330,LOOKUP(2,1/ISNUMBER(-MID(D330,1,{1,2,3,4,5})),{1,2,3,4,5})+1,9),'Hue codes'!$A$1:$B$10,2,FALSE)</f>
        <v>60</v>
      </c>
      <c r="C330">
        <f t="shared" si="5"/>
        <v>65</v>
      </c>
      <c r="D330" t="s">
        <v>46</v>
      </c>
      <c r="E330">
        <v>2</v>
      </c>
      <c r="F330">
        <v>4</v>
      </c>
      <c r="G330">
        <v>0.20480000000000001</v>
      </c>
      <c r="H330">
        <v>0.25180000000000002</v>
      </c>
      <c r="I330">
        <v>3.1259999999999999</v>
      </c>
    </row>
    <row r="331" spans="1:9" x14ac:dyDescent="0.3">
      <c r="A331">
        <f>LOOKUP(9E+307,--MID(D331,1,{1,2,3,4,5}))</f>
        <v>5</v>
      </c>
      <c r="B331">
        <f>VLOOKUP(MID(D331,LOOKUP(2,1/ISNUMBER(-MID(D331,1,{1,2,3,4,5})),{1,2,3,4,5})+1,9),'Hue codes'!$A$1:$B$10,2,FALSE)</f>
        <v>60</v>
      </c>
      <c r="C331">
        <f t="shared" si="5"/>
        <v>65</v>
      </c>
      <c r="D331" t="s">
        <v>46</v>
      </c>
      <c r="E331">
        <v>2</v>
      </c>
      <c r="F331">
        <v>6</v>
      </c>
      <c r="G331">
        <v>0.16170000000000001</v>
      </c>
      <c r="H331">
        <v>0.2162</v>
      </c>
      <c r="I331">
        <v>3.1259999999999999</v>
      </c>
    </row>
    <row r="332" spans="1:9" x14ac:dyDescent="0.3">
      <c r="A332">
        <f>LOOKUP(9E+307,--MID(D332,1,{1,2,3,4,5}))</f>
        <v>5</v>
      </c>
      <c r="B332">
        <f>VLOOKUP(MID(D332,LOOKUP(2,1/ISNUMBER(-MID(D332,1,{1,2,3,4,5})),{1,2,3,4,5})+1,9),'Hue codes'!$A$1:$B$10,2,FALSE)</f>
        <v>60</v>
      </c>
      <c r="C332">
        <f t="shared" si="5"/>
        <v>65</v>
      </c>
      <c r="D332" t="s">
        <v>46</v>
      </c>
      <c r="E332">
        <v>2</v>
      </c>
      <c r="F332">
        <v>8</v>
      </c>
      <c r="G332">
        <v>0.1245</v>
      </c>
      <c r="H332">
        <v>0.1827</v>
      </c>
      <c r="I332">
        <v>3.1259999999999999</v>
      </c>
    </row>
    <row r="333" spans="1:9" x14ac:dyDescent="0.3">
      <c r="A333">
        <f>LOOKUP(9E+307,--MID(D333,1,{1,2,3,4,5}))</f>
        <v>5</v>
      </c>
      <c r="B333">
        <f>VLOOKUP(MID(D333,LOOKUP(2,1/ISNUMBER(-MID(D333,1,{1,2,3,4,5})),{1,2,3,4,5})+1,9),'Hue codes'!$A$1:$B$10,2,FALSE)</f>
        <v>60</v>
      </c>
      <c r="C333">
        <f t="shared" si="5"/>
        <v>65</v>
      </c>
      <c r="D333" t="s">
        <v>46</v>
      </c>
      <c r="E333">
        <v>2</v>
      </c>
      <c r="F333">
        <v>10</v>
      </c>
      <c r="G333">
        <v>9.6500000000000002E-2</v>
      </c>
      <c r="H333">
        <v>0.15579999999999999</v>
      </c>
      <c r="I333">
        <v>3.1259999999999999</v>
      </c>
    </row>
    <row r="334" spans="1:9" x14ac:dyDescent="0.3">
      <c r="A334">
        <f>LOOKUP(9E+307,--MID(D334,1,{1,2,3,4,5}))</f>
        <v>7.5</v>
      </c>
      <c r="B334">
        <f>VLOOKUP(MID(D334,LOOKUP(2,1/ISNUMBER(-MID(D334,1,{1,2,3,4,5})),{1,2,3,4,5})+1,9),'Hue codes'!$A$1:$B$10,2,FALSE)</f>
        <v>60</v>
      </c>
      <c r="C334">
        <f t="shared" si="5"/>
        <v>67.5</v>
      </c>
      <c r="D334" t="s">
        <v>47</v>
      </c>
      <c r="E334">
        <v>2</v>
      </c>
      <c r="F334">
        <v>2</v>
      </c>
      <c r="G334">
        <v>0.2545</v>
      </c>
      <c r="H334">
        <v>0.27989999999999998</v>
      </c>
      <c r="I334">
        <v>3.1259999999999999</v>
      </c>
    </row>
    <row r="335" spans="1:9" x14ac:dyDescent="0.3">
      <c r="A335">
        <f>LOOKUP(9E+307,--MID(D335,1,{1,2,3,4,5}))</f>
        <v>7.5</v>
      </c>
      <c r="B335">
        <f>VLOOKUP(MID(D335,LOOKUP(2,1/ISNUMBER(-MID(D335,1,{1,2,3,4,5})),{1,2,3,4,5})+1,9),'Hue codes'!$A$1:$B$10,2,FALSE)</f>
        <v>60</v>
      </c>
      <c r="C335">
        <f t="shared" si="5"/>
        <v>67.5</v>
      </c>
      <c r="D335" t="s">
        <v>47</v>
      </c>
      <c r="E335">
        <v>2</v>
      </c>
      <c r="F335">
        <v>4</v>
      </c>
      <c r="G335">
        <v>0.20630000000000001</v>
      </c>
      <c r="H335">
        <v>0.24</v>
      </c>
      <c r="I335">
        <v>3.1259999999999999</v>
      </c>
    </row>
    <row r="336" spans="1:9" x14ac:dyDescent="0.3">
      <c r="A336">
        <f>LOOKUP(9E+307,--MID(D336,1,{1,2,3,4,5}))</f>
        <v>7.5</v>
      </c>
      <c r="B336">
        <f>VLOOKUP(MID(D336,LOOKUP(2,1/ISNUMBER(-MID(D336,1,{1,2,3,4,5})),{1,2,3,4,5})+1,9),'Hue codes'!$A$1:$B$10,2,FALSE)</f>
        <v>60</v>
      </c>
      <c r="C336">
        <f t="shared" si="5"/>
        <v>67.5</v>
      </c>
      <c r="D336" t="s">
        <v>47</v>
      </c>
      <c r="E336">
        <v>2</v>
      </c>
      <c r="F336">
        <v>6</v>
      </c>
      <c r="G336">
        <v>0.1658</v>
      </c>
      <c r="H336">
        <v>0.2026</v>
      </c>
      <c r="I336">
        <v>3.1259999999999999</v>
      </c>
    </row>
    <row r="337" spans="1:9" x14ac:dyDescent="0.3">
      <c r="A337">
        <f>LOOKUP(9E+307,--MID(D337,1,{1,2,3,4,5}))</f>
        <v>7.5</v>
      </c>
      <c r="B337">
        <f>VLOOKUP(MID(D337,LOOKUP(2,1/ISNUMBER(-MID(D337,1,{1,2,3,4,5})),{1,2,3,4,5})+1,9),'Hue codes'!$A$1:$B$10,2,FALSE)</f>
        <v>60</v>
      </c>
      <c r="C337">
        <f t="shared" si="5"/>
        <v>67.5</v>
      </c>
      <c r="D337" t="s">
        <v>47</v>
      </c>
      <c r="E337">
        <v>2</v>
      </c>
      <c r="F337">
        <v>8</v>
      </c>
      <c r="G337">
        <v>0.1313</v>
      </c>
      <c r="H337">
        <v>0.16919999999999999</v>
      </c>
      <c r="I337">
        <v>3.1259999999999999</v>
      </c>
    </row>
    <row r="338" spans="1:9" x14ac:dyDescent="0.3">
      <c r="A338">
        <f>LOOKUP(9E+307,--MID(D338,1,{1,2,3,4,5}))</f>
        <v>7.5</v>
      </c>
      <c r="B338">
        <f>VLOOKUP(MID(D338,LOOKUP(2,1/ISNUMBER(-MID(D338,1,{1,2,3,4,5})),{1,2,3,4,5})+1,9),'Hue codes'!$A$1:$B$10,2,FALSE)</f>
        <v>60</v>
      </c>
      <c r="C338">
        <f t="shared" si="5"/>
        <v>67.5</v>
      </c>
      <c r="D338" t="s">
        <v>47</v>
      </c>
      <c r="E338">
        <v>2</v>
      </c>
      <c r="F338">
        <v>10</v>
      </c>
      <c r="G338">
        <v>0.1051</v>
      </c>
      <c r="H338">
        <v>0.14219999999999999</v>
      </c>
      <c r="I338">
        <v>3.1259999999999999</v>
      </c>
    </row>
    <row r="339" spans="1:9" x14ac:dyDescent="0.3">
      <c r="A339">
        <f>LOOKUP(9E+307,--MID(D339,1,{1,2,3,4,5}))</f>
        <v>10</v>
      </c>
      <c r="B339">
        <f>VLOOKUP(MID(D339,LOOKUP(2,1/ISNUMBER(-MID(D339,1,{1,2,3,4,5})),{1,2,3,4,5})+1,9),'Hue codes'!$A$1:$B$10,2,FALSE)</f>
        <v>60</v>
      </c>
      <c r="C339">
        <f t="shared" si="5"/>
        <v>70</v>
      </c>
      <c r="D339" t="s">
        <v>48</v>
      </c>
      <c r="E339">
        <v>2</v>
      </c>
      <c r="F339">
        <v>2</v>
      </c>
      <c r="G339">
        <v>0.25580000000000003</v>
      </c>
      <c r="H339">
        <v>0.27250000000000002</v>
      </c>
      <c r="I339">
        <v>3.1259999999999999</v>
      </c>
    </row>
    <row r="340" spans="1:9" x14ac:dyDescent="0.3">
      <c r="A340">
        <f>LOOKUP(9E+307,--MID(D340,1,{1,2,3,4,5}))</f>
        <v>10</v>
      </c>
      <c r="B340">
        <f>VLOOKUP(MID(D340,LOOKUP(2,1/ISNUMBER(-MID(D340,1,{1,2,3,4,5})),{1,2,3,4,5})+1,9),'Hue codes'!$A$1:$B$10,2,FALSE)</f>
        <v>60</v>
      </c>
      <c r="C340">
        <f t="shared" si="5"/>
        <v>70</v>
      </c>
      <c r="D340" t="s">
        <v>48</v>
      </c>
      <c r="E340">
        <v>2</v>
      </c>
      <c r="F340">
        <v>4</v>
      </c>
      <c r="G340">
        <v>0.2102</v>
      </c>
      <c r="H340">
        <v>0.23130000000000001</v>
      </c>
      <c r="I340">
        <v>3.1259999999999999</v>
      </c>
    </row>
    <row r="341" spans="1:9" x14ac:dyDescent="0.3">
      <c r="A341">
        <f>LOOKUP(9E+307,--MID(D341,1,{1,2,3,4,5}))</f>
        <v>10</v>
      </c>
      <c r="B341">
        <f>VLOOKUP(MID(D341,LOOKUP(2,1/ISNUMBER(-MID(D341,1,{1,2,3,4,5})),{1,2,3,4,5})+1,9),'Hue codes'!$A$1:$B$10,2,FALSE)</f>
        <v>60</v>
      </c>
      <c r="C341">
        <f t="shared" si="5"/>
        <v>70</v>
      </c>
      <c r="D341" t="s">
        <v>48</v>
      </c>
      <c r="E341">
        <v>2</v>
      </c>
      <c r="F341">
        <v>6</v>
      </c>
      <c r="G341">
        <v>0.1716</v>
      </c>
      <c r="H341">
        <v>0.19370000000000001</v>
      </c>
      <c r="I341">
        <v>3.1259999999999999</v>
      </c>
    </row>
    <row r="342" spans="1:9" x14ac:dyDescent="0.3">
      <c r="A342">
        <f>LOOKUP(9E+307,--MID(D342,1,{1,2,3,4,5}))</f>
        <v>10</v>
      </c>
      <c r="B342">
        <f>VLOOKUP(MID(D342,LOOKUP(2,1/ISNUMBER(-MID(D342,1,{1,2,3,4,5})),{1,2,3,4,5})+1,9),'Hue codes'!$A$1:$B$10,2,FALSE)</f>
        <v>60</v>
      </c>
      <c r="C342">
        <f t="shared" si="5"/>
        <v>70</v>
      </c>
      <c r="D342" t="s">
        <v>48</v>
      </c>
      <c r="E342">
        <v>2</v>
      </c>
      <c r="F342">
        <v>8</v>
      </c>
      <c r="G342">
        <v>0.1396</v>
      </c>
      <c r="H342">
        <v>0.1603</v>
      </c>
      <c r="I342">
        <v>3.1259999999999999</v>
      </c>
    </row>
    <row r="343" spans="1:9" x14ac:dyDescent="0.3">
      <c r="A343">
        <f>LOOKUP(9E+307,--MID(D343,1,{1,2,3,4,5}))</f>
        <v>10</v>
      </c>
      <c r="B343">
        <f>VLOOKUP(MID(D343,LOOKUP(2,1/ISNUMBER(-MID(D343,1,{1,2,3,4,5})),{1,2,3,4,5})+1,9),'Hue codes'!$A$1:$B$10,2,FALSE)</f>
        <v>60</v>
      </c>
      <c r="C343">
        <f t="shared" si="5"/>
        <v>70</v>
      </c>
      <c r="D343" t="s">
        <v>48</v>
      </c>
      <c r="E343">
        <v>2</v>
      </c>
      <c r="F343">
        <v>10</v>
      </c>
      <c r="G343">
        <v>0.1157</v>
      </c>
      <c r="H343">
        <v>0.1346</v>
      </c>
      <c r="I343">
        <v>3.1259999999999999</v>
      </c>
    </row>
    <row r="344" spans="1:9" x14ac:dyDescent="0.3">
      <c r="A344">
        <f>LOOKUP(9E+307,--MID(D344,1,{1,2,3,4,5}))</f>
        <v>2.5</v>
      </c>
      <c r="B344">
        <f>VLOOKUP(MID(D344,LOOKUP(2,1/ISNUMBER(-MID(D344,1,{1,2,3,4,5})),{1,2,3,4,5})+1,9),'Hue codes'!$A$1:$B$10,2,FALSE)</f>
        <v>70</v>
      </c>
      <c r="C344">
        <f t="shared" si="5"/>
        <v>72.5</v>
      </c>
      <c r="D344" t="s">
        <v>49</v>
      </c>
      <c r="E344">
        <v>2</v>
      </c>
      <c r="F344">
        <v>2</v>
      </c>
      <c r="G344">
        <v>0.25919999999999999</v>
      </c>
      <c r="H344">
        <v>0.26750000000000002</v>
      </c>
      <c r="I344">
        <v>3.1259999999999999</v>
      </c>
    </row>
    <row r="345" spans="1:9" x14ac:dyDescent="0.3">
      <c r="A345">
        <f>LOOKUP(9E+307,--MID(D345,1,{1,2,3,4,5}))</f>
        <v>2.5</v>
      </c>
      <c r="B345">
        <f>VLOOKUP(MID(D345,LOOKUP(2,1/ISNUMBER(-MID(D345,1,{1,2,3,4,5})),{1,2,3,4,5})+1,9),'Hue codes'!$A$1:$B$10,2,FALSE)</f>
        <v>70</v>
      </c>
      <c r="C345">
        <f t="shared" si="5"/>
        <v>72.5</v>
      </c>
      <c r="D345" t="s">
        <v>49</v>
      </c>
      <c r="E345">
        <v>2</v>
      </c>
      <c r="F345">
        <v>4</v>
      </c>
      <c r="G345">
        <v>0.2175</v>
      </c>
      <c r="H345">
        <v>0.22450000000000001</v>
      </c>
      <c r="I345">
        <v>3.1259999999999999</v>
      </c>
    </row>
    <row r="346" spans="1:9" x14ac:dyDescent="0.3">
      <c r="A346">
        <f>LOOKUP(9E+307,--MID(D346,1,{1,2,3,4,5}))</f>
        <v>2.5</v>
      </c>
      <c r="B346">
        <f>VLOOKUP(MID(D346,LOOKUP(2,1/ISNUMBER(-MID(D346,1,{1,2,3,4,5})),{1,2,3,4,5})+1,9),'Hue codes'!$A$1:$B$10,2,FALSE)</f>
        <v>70</v>
      </c>
      <c r="C346">
        <f t="shared" si="5"/>
        <v>72.5</v>
      </c>
      <c r="D346" t="s">
        <v>49</v>
      </c>
      <c r="E346">
        <v>2</v>
      </c>
      <c r="F346">
        <v>6</v>
      </c>
      <c r="G346">
        <v>0.1825</v>
      </c>
      <c r="H346">
        <v>0.1857</v>
      </c>
      <c r="I346">
        <v>3.1259999999999999</v>
      </c>
    </row>
    <row r="347" spans="1:9" x14ac:dyDescent="0.3">
      <c r="A347">
        <f>LOOKUP(9E+307,--MID(D347,1,{1,2,3,4,5}))</f>
        <v>2.5</v>
      </c>
      <c r="B347">
        <f>VLOOKUP(MID(D347,LOOKUP(2,1/ISNUMBER(-MID(D347,1,{1,2,3,4,5})),{1,2,3,4,5})+1,9),'Hue codes'!$A$1:$B$10,2,FALSE)</f>
        <v>70</v>
      </c>
      <c r="C347">
        <f t="shared" si="5"/>
        <v>72.5</v>
      </c>
      <c r="D347" t="s">
        <v>49</v>
      </c>
      <c r="E347">
        <v>2</v>
      </c>
      <c r="F347">
        <v>8</v>
      </c>
      <c r="G347">
        <v>0.154</v>
      </c>
      <c r="H347">
        <v>0.153</v>
      </c>
      <c r="I347">
        <v>3.1259999999999999</v>
      </c>
    </row>
    <row r="348" spans="1:9" x14ac:dyDescent="0.3">
      <c r="A348">
        <f>LOOKUP(9E+307,--MID(D348,1,{1,2,3,4,5}))</f>
        <v>2.5</v>
      </c>
      <c r="B348">
        <f>VLOOKUP(MID(D348,LOOKUP(2,1/ISNUMBER(-MID(D348,1,{1,2,3,4,5})),{1,2,3,4,5})+1,9),'Hue codes'!$A$1:$B$10,2,FALSE)</f>
        <v>70</v>
      </c>
      <c r="C348">
        <f t="shared" si="5"/>
        <v>72.5</v>
      </c>
      <c r="D348" t="s">
        <v>49</v>
      </c>
      <c r="E348">
        <v>2</v>
      </c>
      <c r="F348">
        <v>10</v>
      </c>
      <c r="G348">
        <v>0.13320000000000001</v>
      </c>
      <c r="H348">
        <v>0.1278</v>
      </c>
      <c r="I348">
        <v>3.1259999999999999</v>
      </c>
    </row>
    <row r="349" spans="1:9" x14ac:dyDescent="0.3">
      <c r="A349">
        <f>LOOKUP(9E+307,--MID(D349,1,{1,2,3,4,5}))</f>
        <v>2.5</v>
      </c>
      <c r="B349">
        <f>VLOOKUP(MID(D349,LOOKUP(2,1/ISNUMBER(-MID(D349,1,{1,2,3,4,5})),{1,2,3,4,5})+1,9),'Hue codes'!$A$1:$B$10,2,FALSE)</f>
        <v>70</v>
      </c>
      <c r="C349">
        <f t="shared" si="5"/>
        <v>72.5</v>
      </c>
      <c r="D349" t="s">
        <v>49</v>
      </c>
      <c r="E349">
        <v>2</v>
      </c>
      <c r="F349">
        <v>12</v>
      </c>
      <c r="G349">
        <v>0.1166</v>
      </c>
      <c r="H349">
        <v>0.1076</v>
      </c>
      <c r="I349">
        <v>3.1259999999999999</v>
      </c>
    </row>
    <row r="350" spans="1:9" x14ac:dyDescent="0.3">
      <c r="A350">
        <f>LOOKUP(9E+307,--MID(D350,1,{1,2,3,4,5}))</f>
        <v>5</v>
      </c>
      <c r="B350">
        <f>VLOOKUP(MID(D350,LOOKUP(2,1/ISNUMBER(-MID(D350,1,{1,2,3,4,5})),{1,2,3,4,5})+1,9),'Hue codes'!$A$1:$B$10,2,FALSE)</f>
        <v>70</v>
      </c>
      <c r="C350">
        <f t="shared" si="5"/>
        <v>75</v>
      </c>
      <c r="D350" t="s">
        <v>50</v>
      </c>
      <c r="E350">
        <v>2</v>
      </c>
      <c r="F350">
        <v>2</v>
      </c>
      <c r="G350">
        <v>0.26379999999999998</v>
      </c>
      <c r="H350">
        <v>0.26240000000000002</v>
      </c>
      <c r="I350">
        <v>3.1259999999999999</v>
      </c>
    </row>
    <row r="351" spans="1:9" x14ac:dyDescent="0.3">
      <c r="A351">
        <f>LOOKUP(9E+307,--MID(D351,1,{1,2,3,4,5}))</f>
        <v>5</v>
      </c>
      <c r="B351">
        <f>VLOOKUP(MID(D351,LOOKUP(2,1/ISNUMBER(-MID(D351,1,{1,2,3,4,5})),{1,2,3,4,5})+1,9),'Hue codes'!$A$1:$B$10,2,FALSE)</f>
        <v>70</v>
      </c>
      <c r="C351">
        <f t="shared" si="5"/>
        <v>75</v>
      </c>
      <c r="D351" t="s">
        <v>50</v>
      </c>
      <c r="E351">
        <v>2</v>
      </c>
      <c r="F351">
        <v>4</v>
      </c>
      <c r="G351">
        <v>0.2263</v>
      </c>
      <c r="H351">
        <v>0.21920000000000001</v>
      </c>
      <c r="I351">
        <v>3.1259999999999999</v>
      </c>
    </row>
    <row r="352" spans="1:9" x14ac:dyDescent="0.3">
      <c r="A352">
        <f>LOOKUP(9E+307,--MID(D352,1,{1,2,3,4,5}))</f>
        <v>5</v>
      </c>
      <c r="B352">
        <f>VLOOKUP(MID(D352,LOOKUP(2,1/ISNUMBER(-MID(D352,1,{1,2,3,4,5})),{1,2,3,4,5})+1,9),'Hue codes'!$A$1:$B$10,2,FALSE)</f>
        <v>70</v>
      </c>
      <c r="C352">
        <f t="shared" si="5"/>
        <v>75</v>
      </c>
      <c r="D352" t="s">
        <v>50</v>
      </c>
      <c r="E352">
        <v>2</v>
      </c>
      <c r="F352">
        <v>6</v>
      </c>
      <c r="G352">
        <v>0.19420000000000001</v>
      </c>
      <c r="H352">
        <v>0.18110000000000001</v>
      </c>
      <c r="I352">
        <v>3.1259999999999999</v>
      </c>
    </row>
    <row r="353" spans="1:9" x14ac:dyDescent="0.3">
      <c r="A353">
        <f>LOOKUP(9E+307,--MID(D353,1,{1,2,3,4,5}))</f>
        <v>5</v>
      </c>
      <c r="B353">
        <f>VLOOKUP(MID(D353,LOOKUP(2,1/ISNUMBER(-MID(D353,1,{1,2,3,4,5})),{1,2,3,4,5})+1,9),'Hue codes'!$A$1:$B$10,2,FALSE)</f>
        <v>70</v>
      </c>
      <c r="C353">
        <f t="shared" si="5"/>
        <v>75</v>
      </c>
      <c r="D353" t="s">
        <v>50</v>
      </c>
      <c r="E353">
        <v>2</v>
      </c>
      <c r="F353">
        <v>8</v>
      </c>
      <c r="G353">
        <v>0.16850000000000001</v>
      </c>
      <c r="H353">
        <v>0.14910000000000001</v>
      </c>
      <c r="I353">
        <v>3.1259999999999999</v>
      </c>
    </row>
    <row r="354" spans="1:9" x14ac:dyDescent="0.3">
      <c r="A354">
        <f>LOOKUP(9E+307,--MID(D354,1,{1,2,3,4,5}))</f>
        <v>5</v>
      </c>
      <c r="B354">
        <f>VLOOKUP(MID(D354,LOOKUP(2,1/ISNUMBER(-MID(D354,1,{1,2,3,4,5})),{1,2,3,4,5})+1,9),'Hue codes'!$A$1:$B$10,2,FALSE)</f>
        <v>70</v>
      </c>
      <c r="C354">
        <f t="shared" si="5"/>
        <v>75</v>
      </c>
      <c r="D354" t="s">
        <v>50</v>
      </c>
      <c r="E354">
        <v>2</v>
      </c>
      <c r="F354">
        <v>10</v>
      </c>
      <c r="G354">
        <v>0.15</v>
      </c>
      <c r="H354">
        <v>0.124</v>
      </c>
      <c r="I354">
        <v>3.1259999999999999</v>
      </c>
    </row>
    <row r="355" spans="1:9" x14ac:dyDescent="0.3">
      <c r="A355">
        <f>LOOKUP(9E+307,--MID(D355,1,{1,2,3,4,5}))</f>
        <v>5</v>
      </c>
      <c r="B355">
        <f>VLOOKUP(MID(D355,LOOKUP(2,1/ISNUMBER(-MID(D355,1,{1,2,3,4,5})),{1,2,3,4,5})+1,9),'Hue codes'!$A$1:$B$10,2,FALSE)</f>
        <v>70</v>
      </c>
      <c r="C355">
        <f t="shared" si="5"/>
        <v>75</v>
      </c>
      <c r="D355" t="s">
        <v>50</v>
      </c>
      <c r="E355">
        <v>2</v>
      </c>
      <c r="F355">
        <v>12</v>
      </c>
      <c r="G355">
        <v>0.1363</v>
      </c>
      <c r="H355">
        <v>0.1048</v>
      </c>
      <c r="I355">
        <v>3.1259999999999999</v>
      </c>
    </row>
    <row r="356" spans="1:9" x14ac:dyDescent="0.3">
      <c r="A356">
        <f>LOOKUP(9E+307,--MID(D356,1,{1,2,3,4,5}))</f>
        <v>5</v>
      </c>
      <c r="B356">
        <f>VLOOKUP(MID(D356,LOOKUP(2,1/ISNUMBER(-MID(D356,1,{1,2,3,4,5})),{1,2,3,4,5})+1,9),'Hue codes'!$A$1:$B$10,2,FALSE)</f>
        <v>70</v>
      </c>
      <c r="C356">
        <f t="shared" si="5"/>
        <v>75</v>
      </c>
      <c r="D356" t="s">
        <v>50</v>
      </c>
      <c r="E356">
        <v>2</v>
      </c>
      <c r="F356">
        <v>14</v>
      </c>
      <c r="G356">
        <v>0.12529999999999999</v>
      </c>
      <c r="H356">
        <v>8.7300000000000003E-2</v>
      </c>
      <c r="I356">
        <v>3.1259999999999999</v>
      </c>
    </row>
    <row r="357" spans="1:9" x14ac:dyDescent="0.3">
      <c r="A357">
        <f>LOOKUP(9E+307,--MID(D357,1,{1,2,3,4,5}))</f>
        <v>7.5</v>
      </c>
      <c r="B357">
        <f>VLOOKUP(MID(D357,LOOKUP(2,1/ISNUMBER(-MID(D357,1,{1,2,3,4,5})),{1,2,3,4,5})+1,9),'Hue codes'!$A$1:$B$10,2,FALSE)</f>
        <v>70</v>
      </c>
      <c r="C357">
        <f t="shared" si="5"/>
        <v>77.5</v>
      </c>
      <c r="D357" t="s">
        <v>51</v>
      </c>
      <c r="E357">
        <v>2</v>
      </c>
      <c r="F357">
        <v>2</v>
      </c>
      <c r="G357">
        <v>0.2712</v>
      </c>
      <c r="H357">
        <v>0.25819999999999999</v>
      </c>
      <c r="I357">
        <v>3.1259999999999999</v>
      </c>
    </row>
    <row r="358" spans="1:9" x14ac:dyDescent="0.3">
      <c r="A358">
        <f>LOOKUP(9E+307,--MID(D358,1,{1,2,3,4,5}))</f>
        <v>7.5</v>
      </c>
      <c r="B358">
        <f>VLOOKUP(MID(D358,LOOKUP(2,1/ISNUMBER(-MID(D358,1,{1,2,3,4,5})),{1,2,3,4,5})+1,9),'Hue codes'!$A$1:$B$10,2,FALSE)</f>
        <v>70</v>
      </c>
      <c r="C358">
        <f t="shared" si="5"/>
        <v>77.5</v>
      </c>
      <c r="D358" t="s">
        <v>51</v>
      </c>
      <c r="E358">
        <v>2</v>
      </c>
      <c r="F358">
        <v>4</v>
      </c>
      <c r="G358">
        <v>0.24199999999999999</v>
      </c>
      <c r="H358">
        <v>0.21479999999999999</v>
      </c>
      <c r="I358">
        <v>3.1259999999999999</v>
      </c>
    </row>
    <row r="359" spans="1:9" x14ac:dyDescent="0.3">
      <c r="A359">
        <f>LOOKUP(9E+307,--MID(D359,1,{1,2,3,4,5}))</f>
        <v>7.5</v>
      </c>
      <c r="B359">
        <f>VLOOKUP(MID(D359,LOOKUP(2,1/ISNUMBER(-MID(D359,1,{1,2,3,4,5})),{1,2,3,4,5})+1,9),'Hue codes'!$A$1:$B$10,2,FALSE)</f>
        <v>70</v>
      </c>
      <c r="C359">
        <f t="shared" si="5"/>
        <v>77.5</v>
      </c>
      <c r="D359" t="s">
        <v>51</v>
      </c>
      <c r="E359">
        <v>2</v>
      </c>
      <c r="F359">
        <v>6</v>
      </c>
      <c r="G359">
        <v>0.21890000000000001</v>
      </c>
      <c r="H359">
        <v>0.17899999999999999</v>
      </c>
      <c r="I359">
        <v>3.1259999999999999</v>
      </c>
    </row>
    <row r="360" spans="1:9" x14ac:dyDescent="0.3">
      <c r="A360">
        <f>LOOKUP(9E+307,--MID(D360,1,{1,2,3,4,5}))</f>
        <v>7.5</v>
      </c>
      <c r="B360">
        <f>VLOOKUP(MID(D360,LOOKUP(2,1/ISNUMBER(-MID(D360,1,{1,2,3,4,5})),{1,2,3,4,5})+1,9),'Hue codes'!$A$1:$B$10,2,FALSE)</f>
        <v>70</v>
      </c>
      <c r="C360">
        <f t="shared" si="5"/>
        <v>77.5</v>
      </c>
      <c r="D360" t="s">
        <v>51</v>
      </c>
      <c r="E360">
        <v>2</v>
      </c>
      <c r="F360">
        <v>8</v>
      </c>
      <c r="G360">
        <v>0.20050000000000001</v>
      </c>
      <c r="H360">
        <v>0.14949999999999999</v>
      </c>
      <c r="I360">
        <v>3.1259999999999999</v>
      </c>
    </row>
    <row r="361" spans="1:9" x14ac:dyDescent="0.3">
      <c r="A361">
        <f>LOOKUP(9E+307,--MID(D361,1,{1,2,3,4,5}))</f>
        <v>7.5</v>
      </c>
      <c r="B361">
        <f>VLOOKUP(MID(D361,LOOKUP(2,1/ISNUMBER(-MID(D361,1,{1,2,3,4,5})),{1,2,3,4,5})+1,9),'Hue codes'!$A$1:$B$10,2,FALSE)</f>
        <v>70</v>
      </c>
      <c r="C361">
        <f t="shared" si="5"/>
        <v>77.5</v>
      </c>
      <c r="D361" t="s">
        <v>51</v>
      </c>
      <c r="E361">
        <v>2</v>
      </c>
      <c r="F361">
        <v>10</v>
      </c>
      <c r="G361">
        <v>0.18820000000000001</v>
      </c>
      <c r="H361">
        <v>0.1258</v>
      </c>
      <c r="I361">
        <v>3.1259999999999999</v>
      </c>
    </row>
    <row r="362" spans="1:9" x14ac:dyDescent="0.3">
      <c r="A362">
        <f>LOOKUP(9E+307,--MID(D362,1,{1,2,3,4,5}))</f>
        <v>7.5</v>
      </c>
      <c r="B362">
        <f>VLOOKUP(MID(D362,LOOKUP(2,1/ISNUMBER(-MID(D362,1,{1,2,3,4,5})),{1,2,3,4,5})+1,9),'Hue codes'!$A$1:$B$10,2,FALSE)</f>
        <v>70</v>
      </c>
      <c r="C362">
        <f t="shared" si="5"/>
        <v>77.5</v>
      </c>
      <c r="D362" t="s">
        <v>51</v>
      </c>
      <c r="E362">
        <v>2</v>
      </c>
      <c r="F362">
        <v>12</v>
      </c>
      <c r="G362">
        <v>0.18129999999999999</v>
      </c>
      <c r="H362">
        <v>0.1094</v>
      </c>
      <c r="I362">
        <v>3.1259999999999999</v>
      </c>
    </row>
    <row r="363" spans="1:9" x14ac:dyDescent="0.3">
      <c r="A363">
        <f>LOOKUP(9E+307,--MID(D363,1,{1,2,3,4,5}))</f>
        <v>7.5</v>
      </c>
      <c r="B363">
        <f>VLOOKUP(MID(D363,LOOKUP(2,1/ISNUMBER(-MID(D363,1,{1,2,3,4,5})),{1,2,3,4,5})+1,9),'Hue codes'!$A$1:$B$10,2,FALSE)</f>
        <v>70</v>
      </c>
      <c r="C363">
        <f t="shared" si="5"/>
        <v>77.5</v>
      </c>
      <c r="D363" t="s">
        <v>51</v>
      </c>
      <c r="E363">
        <v>2</v>
      </c>
      <c r="F363">
        <v>14</v>
      </c>
      <c r="G363">
        <v>0.1762</v>
      </c>
      <c r="H363">
        <v>9.5500000000000002E-2</v>
      </c>
      <c r="I363">
        <v>3.1259999999999999</v>
      </c>
    </row>
    <row r="364" spans="1:9" x14ac:dyDescent="0.3">
      <c r="A364">
        <f>LOOKUP(9E+307,--MID(D364,1,{1,2,3,4,5}))</f>
        <v>7.5</v>
      </c>
      <c r="B364">
        <f>VLOOKUP(MID(D364,LOOKUP(2,1/ISNUMBER(-MID(D364,1,{1,2,3,4,5})),{1,2,3,4,5})+1,9),'Hue codes'!$A$1:$B$10,2,FALSE)</f>
        <v>70</v>
      </c>
      <c r="C364">
        <f t="shared" si="5"/>
        <v>77.5</v>
      </c>
      <c r="D364" t="s">
        <v>51</v>
      </c>
      <c r="E364">
        <v>2</v>
      </c>
      <c r="F364">
        <v>16</v>
      </c>
      <c r="G364">
        <v>0.17280000000000001</v>
      </c>
      <c r="H364">
        <v>8.3900000000000002E-2</v>
      </c>
      <c r="I364">
        <v>3.1259999999999999</v>
      </c>
    </row>
    <row r="365" spans="1:9" x14ac:dyDescent="0.3">
      <c r="A365">
        <f>LOOKUP(9E+307,--MID(D365,1,{1,2,3,4,5}))</f>
        <v>7.5</v>
      </c>
      <c r="B365">
        <f>VLOOKUP(MID(D365,LOOKUP(2,1/ISNUMBER(-MID(D365,1,{1,2,3,4,5})),{1,2,3,4,5})+1,9),'Hue codes'!$A$1:$B$10,2,FALSE)</f>
        <v>70</v>
      </c>
      <c r="C365">
        <f t="shared" si="5"/>
        <v>77.5</v>
      </c>
      <c r="D365" t="s">
        <v>51</v>
      </c>
      <c r="E365">
        <v>2</v>
      </c>
      <c r="F365">
        <v>18</v>
      </c>
      <c r="G365">
        <v>0.1701</v>
      </c>
      <c r="H365">
        <v>7.4200000000000002E-2</v>
      </c>
      <c r="I365">
        <v>3.1259999999999999</v>
      </c>
    </row>
    <row r="366" spans="1:9" x14ac:dyDescent="0.3">
      <c r="A366">
        <f>LOOKUP(9E+307,--MID(D366,1,{1,2,3,4,5}))</f>
        <v>7.5</v>
      </c>
      <c r="B366">
        <f>VLOOKUP(MID(D366,LOOKUP(2,1/ISNUMBER(-MID(D366,1,{1,2,3,4,5})),{1,2,3,4,5})+1,9),'Hue codes'!$A$1:$B$10,2,FALSE)</f>
        <v>70</v>
      </c>
      <c r="C366">
        <f t="shared" si="5"/>
        <v>77.5</v>
      </c>
      <c r="D366" t="s">
        <v>51</v>
      </c>
      <c r="E366">
        <v>2</v>
      </c>
      <c r="F366">
        <v>20</v>
      </c>
      <c r="G366">
        <v>0.16850000000000001</v>
      </c>
      <c r="H366">
        <v>6.6600000000000006E-2</v>
      </c>
      <c r="I366">
        <v>3.1259999999999999</v>
      </c>
    </row>
    <row r="367" spans="1:9" x14ac:dyDescent="0.3">
      <c r="A367">
        <f>LOOKUP(9E+307,--MID(D367,1,{1,2,3,4,5}))</f>
        <v>7.5</v>
      </c>
      <c r="B367">
        <f>VLOOKUP(MID(D367,LOOKUP(2,1/ISNUMBER(-MID(D367,1,{1,2,3,4,5})),{1,2,3,4,5})+1,9),'Hue codes'!$A$1:$B$10,2,FALSE)</f>
        <v>70</v>
      </c>
      <c r="C367">
        <f t="shared" si="5"/>
        <v>77.5</v>
      </c>
      <c r="D367" t="s">
        <v>51</v>
      </c>
      <c r="E367">
        <v>2</v>
      </c>
      <c r="F367">
        <v>22</v>
      </c>
      <c r="G367">
        <v>0.16700000000000001</v>
      </c>
      <c r="H367">
        <v>5.9400000000000001E-2</v>
      </c>
      <c r="I367">
        <v>3.1259999999999999</v>
      </c>
    </row>
    <row r="368" spans="1:9" x14ac:dyDescent="0.3">
      <c r="A368">
        <f>LOOKUP(9E+307,--MID(D368,1,{1,2,3,4,5}))</f>
        <v>7.5</v>
      </c>
      <c r="B368">
        <f>VLOOKUP(MID(D368,LOOKUP(2,1/ISNUMBER(-MID(D368,1,{1,2,3,4,5})),{1,2,3,4,5})+1,9),'Hue codes'!$A$1:$B$10,2,FALSE)</f>
        <v>70</v>
      </c>
      <c r="C368">
        <f t="shared" si="5"/>
        <v>77.5</v>
      </c>
      <c r="D368" t="s">
        <v>51</v>
      </c>
      <c r="E368">
        <v>2</v>
      </c>
      <c r="F368">
        <v>24</v>
      </c>
      <c r="G368">
        <v>0.16600000000000001</v>
      </c>
      <c r="H368">
        <v>5.3800000000000001E-2</v>
      </c>
      <c r="I368">
        <v>3.1259999999999999</v>
      </c>
    </row>
    <row r="369" spans="1:9" x14ac:dyDescent="0.3">
      <c r="A369">
        <f>LOOKUP(9E+307,--MID(D369,1,{1,2,3,4,5}))</f>
        <v>7.5</v>
      </c>
      <c r="B369">
        <f>VLOOKUP(MID(D369,LOOKUP(2,1/ISNUMBER(-MID(D369,1,{1,2,3,4,5})),{1,2,3,4,5})+1,9),'Hue codes'!$A$1:$B$10,2,FALSE)</f>
        <v>70</v>
      </c>
      <c r="C369">
        <f t="shared" si="5"/>
        <v>77.5</v>
      </c>
      <c r="D369" t="s">
        <v>51</v>
      </c>
      <c r="E369">
        <v>2</v>
      </c>
      <c r="F369">
        <v>26</v>
      </c>
      <c r="G369">
        <v>0.1653</v>
      </c>
      <c r="H369">
        <v>4.9200000000000001E-2</v>
      </c>
      <c r="I369">
        <v>3.1259999999999999</v>
      </c>
    </row>
    <row r="370" spans="1:9" x14ac:dyDescent="0.3">
      <c r="A370">
        <f>LOOKUP(9E+307,--MID(D370,1,{1,2,3,4,5}))</f>
        <v>7.5</v>
      </c>
      <c r="B370">
        <f>VLOOKUP(MID(D370,LOOKUP(2,1/ISNUMBER(-MID(D370,1,{1,2,3,4,5})),{1,2,3,4,5})+1,9),'Hue codes'!$A$1:$B$10,2,FALSE)</f>
        <v>70</v>
      </c>
      <c r="C370">
        <f t="shared" si="5"/>
        <v>77.5</v>
      </c>
      <c r="D370" t="s">
        <v>51</v>
      </c>
      <c r="E370">
        <v>2</v>
      </c>
      <c r="F370">
        <v>28</v>
      </c>
      <c r="G370">
        <v>0.16470000000000001</v>
      </c>
      <c r="H370">
        <v>4.5100000000000001E-2</v>
      </c>
      <c r="I370">
        <v>3.1259999999999999</v>
      </c>
    </row>
    <row r="371" spans="1:9" x14ac:dyDescent="0.3">
      <c r="A371">
        <f>LOOKUP(9E+307,--MID(D371,1,{1,2,3,4,5}))</f>
        <v>7.5</v>
      </c>
      <c r="B371">
        <f>VLOOKUP(MID(D371,LOOKUP(2,1/ISNUMBER(-MID(D371,1,{1,2,3,4,5})),{1,2,3,4,5})+1,9),'Hue codes'!$A$1:$B$10,2,FALSE)</f>
        <v>70</v>
      </c>
      <c r="C371">
        <f t="shared" si="5"/>
        <v>77.5</v>
      </c>
      <c r="D371" t="s">
        <v>51</v>
      </c>
      <c r="E371">
        <v>2</v>
      </c>
      <c r="F371">
        <v>30</v>
      </c>
      <c r="G371">
        <v>0.16400000000000001</v>
      </c>
      <c r="H371">
        <v>4.0899999999999999E-2</v>
      </c>
      <c r="I371">
        <v>3.1259999999999999</v>
      </c>
    </row>
    <row r="372" spans="1:9" x14ac:dyDescent="0.3">
      <c r="A372">
        <f>LOOKUP(9E+307,--MID(D372,1,{1,2,3,4,5}))</f>
        <v>7.5</v>
      </c>
      <c r="B372">
        <f>VLOOKUP(MID(D372,LOOKUP(2,1/ISNUMBER(-MID(D372,1,{1,2,3,4,5})),{1,2,3,4,5})+1,9),'Hue codes'!$A$1:$B$10,2,FALSE)</f>
        <v>70</v>
      </c>
      <c r="C372">
        <f t="shared" si="5"/>
        <v>77.5</v>
      </c>
      <c r="D372" t="s">
        <v>51</v>
      </c>
      <c r="E372">
        <v>2</v>
      </c>
      <c r="F372">
        <v>32</v>
      </c>
      <c r="G372">
        <v>0.16350000000000001</v>
      </c>
      <c r="H372">
        <v>3.73E-2</v>
      </c>
      <c r="I372">
        <v>3.1259999999999999</v>
      </c>
    </row>
    <row r="373" spans="1:9" x14ac:dyDescent="0.3">
      <c r="A373">
        <f>LOOKUP(9E+307,--MID(D373,1,{1,2,3,4,5}))</f>
        <v>7.5</v>
      </c>
      <c r="B373">
        <f>VLOOKUP(MID(D373,LOOKUP(2,1/ISNUMBER(-MID(D373,1,{1,2,3,4,5})),{1,2,3,4,5})+1,9),'Hue codes'!$A$1:$B$10,2,FALSE)</f>
        <v>70</v>
      </c>
      <c r="C373">
        <f t="shared" si="5"/>
        <v>77.5</v>
      </c>
      <c r="D373" t="s">
        <v>51</v>
      </c>
      <c r="E373">
        <v>2</v>
      </c>
      <c r="F373">
        <v>34</v>
      </c>
      <c r="G373">
        <v>0.16300000000000001</v>
      </c>
      <c r="H373">
        <v>3.4000000000000002E-2</v>
      </c>
      <c r="I373">
        <v>3.1259999999999999</v>
      </c>
    </row>
    <row r="374" spans="1:9" x14ac:dyDescent="0.3">
      <c r="A374">
        <f>LOOKUP(9E+307,--MID(D374,1,{1,2,3,4,5}))</f>
        <v>7.5</v>
      </c>
      <c r="B374">
        <f>VLOOKUP(MID(D374,LOOKUP(2,1/ISNUMBER(-MID(D374,1,{1,2,3,4,5})),{1,2,3,4,5})+1,9),'Hue codes'!$A$1:$B$10,2,FALSE)</f>
        <v>70</v>
      </c>
      <c r="C374">
        <f t="shared" si="5"/>
        <v>77.5</v>
      </c>
      <c r="D374" t="s">
        <v>51</v>
      </c>
      <c r="E374">
        <v>2</v>
      </c>
      <c r="F374">
        <v>36</v>
      </c>
      <c r="G374">
        <v>0.1628</v>
      </c>
      <c r="H374">
        <v>3.1E-2</v>
      </c>
      <c r="I374">
        <v>3.1259999999999999</v>
      </c>
    </row>
    <row r="375" spans="1:9" x14ac:dyDescent="0.3">
      <c r="A375">
        <f>LOOKUP(9E+307,--MID(D375,1,{1,2,3,4,5}))</f>
        <v>7.5</v>
      </c>
      <c r="B375">
        <f>VLOOKUP(MID(D375,LOOKUP(2,1/ISNUMBER(-MID(D375,1,{1,2,3,4,5})),{1,2,3,4,5})+1,9),'Hue codes'!$A$1:$B$10,2,FALSE)</f>
        <v>70</v>
      </c>
      <c r="C375">
        <f t="shared" si="5"/>
        <v>77.5</v>
      </c>
      <c r="D375" t="s">
        <v>51</v>
      </c>
      <c r="E375">
        <v>2</v>
      </c>
      <c r="F375">
        <v>38</v>
      </c>
      <c r="G375">
        <v>0.1623</v>
      </c>
      <c r="H375">
        <v>2.8000000000000001E-2</v>
      </c>
      <c r="I375">
        <v>3.1259999999999999</v>
      </c>
    </row>
    <row r="376" spans="1:9" x14ac:dyDescent="0.3">
      <c r="A376">
        <f>LOOKUP(9E+307,--MID(D376,1,{1,2,3,4,5}))</f>
        <v>10</v>
      </c>
      <c r="B376">
        <f>VLOOKUP(MID(D376,LOOKUP(2,1/ISNUMBER(-MID(D376,1,{1,2,3,4,5})),{1,2,3,4,5})+1,9),'Hue codes'!$A$1:$B$10,2,FALSE)</f>
        <v>70</v>
      </c>
      <c r="C376">
        <f t="shared" si="5"/>
        <v>80</v>
      </c>
      <c r="D376" t="s">
        <v>52</v>
      </c>
      <c r="E376">
        <v>2</v>
      </c>
      <c r="F376">
        <v>2</v>
      </c>
      <c r="G376">
        <v>0.28029999999999999</v>
      </c>
      <c r="H376">
        <v>0.25669999999999998</v>
      </c>
      <c r="I376">
        <v>3.1259999999999999</v>
      </c>
    </row>
    <row r="377" spans="1:9" x14ac:dyDescent="0.3">
      <c r="A377">
        <f>LOOKUP(9E+307,--MID(D377,1,{1,2,3,4,5}))</f>
        <v>10</v>
      </c>
      <c r="B377">
        <f>VLOOKUP(MID(D377,LOOKUP(2,1/ISNUMBER(-MID(D377,1,{1,2,3,4,5})),{1,2,3,4,5})+1,9),'Hue codes'!$A$1:$B$10,2,FALSE)</f>
        <v>70</v>
      </c>
      <c r="C377">
        <f t="shared" si="5"/>
        <v>80</v>
      </c>
      <c r="D377" t="s">
        <v>52</v>
      </c>
      <c r="E377">
        <v>2</v>
      </c>
      <c r="F377">
        <v>4</v>
      </c>
      <c r="G377">
        <v>0.26</v>
      </c>
      <c r="H377">
        <v>0.2162</v>
      </c>
      <c r="I377">
        <v>3.1259999999999999</v>
      </c>
    </row>
    <row r="378" spans="1:9" x14ac:dyDescent="0.3">
      <c r="A378">
        <f>LOOKUP(9E+307,--MID(D378,1,{1,2,3,4,5}))</f>
        <v>10</v>
      </c>
      <c r="B378">
        <f>VLOOKUP(MID(D378,LOOKUP(2,1/ISNUMBER(-MID(D378,1,{1,2,3,4,5})),{1,2,3,4,5})+1,9),'Hue codes'!$A$1:$B$10,2,FALSE)</f>
        <v>70</v>
      </c>
      <c r="C378">
        <f t="shared" si="5"/>
        <v>80</v>
      </c>
      <c r="D378" t="s">
        <v>52</v>
      </c>
      <c r="E378">
        <v>2</v>
      </c>
      <c r="F378">
        <v>6</v>
      </c>
      <c r="G378">
        <v>0.24399999999999999</v>
      </c>
      <c r="H378">
        <v>0.184</v>
      </c>
      <c r="I378">
        <v>3.1259999999999999</v>
      </c>
    </row>
    <row r="379" spans="1:9" x14ac:dyDescent="0.3">
      <c r="A379">
        <f>LOOKUP(9E+307,--MID(D379,1,{1,2,3,4,5}))</f>
        <v>10</v>
      </c>
      <c r="B379">
        <f>VLOOKUP(MID(D379,LOOKUP(2,1/ISNUMBER(-MID(D379,1,{1,2,3,4,5})),{1,2,3,4,5})+1,9),'Hue codes'!$A$1:$B$10,2,FALSE)</f>
        <v>70</v>
      </c>
      <c r="C379">
        <f t="shared" si="5"/>
        <v>80</v>
      </c>
      <c r="D379" t="s">
        <v>52</v>
      </c>
      <c r="E379">
        <v>2</v>
      </c>
      <c r="F379">
        <v>8</v>
      </c>
      <c r="G379">
        <v>0.22939999999999999</v>
      </c>
      <c r="H379">
        <v>0.15509999999999999</v>
      </c>
      <c r="I379">
        <v>3.1259999999999999</v>
      </c>
    </row>
    <row r="380" spans="1:9" x14ac:dyDescent="0.3">
      <c r="A380">
        <f>LOOKUP(9E+307,--MID(D380,1,{1,2,3,4,5}))</f>
        <v>10</v>
      </c>
      <c r="B380">
        <f>VLOOKUP(MID(D380,LOOKUP(2,1/ISNUMBER(-MID(D380,1,{1,2,3,4,5})),{1,2,3,4,5})+1,9),'Hue codes'!$A$1:$B$10,2,FALSE)</f>
        <v>70</v>
      </c>
      <c r="C380">
        <f t="shared" si="5"/>
        <v>80</v>
      </c>
      <c r="D380" t="s">
        <v>52</v>
      </c>
      <c r="E380">
        <v>2</v>
      </c>
      <c r="F380">
        <v>10</v>
      </c>
      <c r="G380">
        <v>0.22</v>
      </c>
      <c r="H380">
        <v>0.13300000000000001</v>
      </c>
      <c r="I380">
        <v>3.1259999999999999</v>
      </c>
    </row>
    <row r="381" spans="1:9" x14ac:dyDescent="0.3">
      <c r="A381">
        <f>LOOKUP(9E+307,--MID(D381,1,{1,2,3,4,5}))</f>
        <v>10</v>
      </c>
      <c r="B381">
        <f>VLOOKUP(MID(D381,LOOKUP(2,1/ISNUMBER(-MID(D381,1,{1,2,3,4,5})),{1,2,3,4,5})+1,9),'Hue codes'!$A$1:$B$10,2,FALSE)</f>
        <v>70</v>
      </c>
      <c r="C381">
        <f t="shared" si="5"/>
        <v>80</v>
      </c>
      <c r="D381" t="s">
        <v>52</v>
      </c>
      <c r="E381">
        <v>2</v>
      </c>
      <c r="F381">
        <v>12</v>
      </c>
      <c r="G381">
        <v>0.21390000000000001</v>
      </c>
      <c r="H381">
        <v>0.11700000000000001</v>
      </c>
      <c r="I381">
        <v>3.1259999999999999</v>
      </c>
    </row>
    <row r="382" spans="1:9" x14ac:dyDescent="0.3">
      <c r="A382">
        <f>LOOKUP(9E+307,--MID(D382,1,{1,2,3,4,5}))</f>
        <v>10</v>
      </c>
      <c r="B382">
        <f>VLOOKUP(MID(D382,LOOKUP(2,1/ISNUMBER(-MID(D382,1,{1,2,3,4,5})),{1,2,3,4,5})+1,9),'Hue codes'!$A$1:$B$10,2,FALSE)</f>
        <v>70</v>
      </c>
      <c r="C382">
        <f t="shared" si="5"/>
        <v>80</v>
      </c>
      <c r="D382" t="s">
        <v>52</v>
      </c>
      <c r="E382">
        <v>2</v>
      </c>
      <c r="F382">
        <v>14</v>
      </c>
      <c r="G382">
        <v>0.2087</v>
      </c>
      <c r="H382">
        <v>0.1026</v>
      </c>
      <c r="I382">
        <v>3.1259999999999999</v>
      </c>
    </row>
    <row r="383" spans="1:9" x14ac:dyDescent="0.3">
      <c r="A383">
        <f>LOOKUP(9E+307,--MID(D383,1,{1,2,3,4,5}))</f>
        <v>10</v>
      </c>
      <c r="B383">
        <f>VLOOKUP(MID(D383,LOOKUP(2,1/ISNUMBER(-MID(D383,1,{1,2,3,4,5})),{1,2,3,4,5})+1,9),'Hue codes'!$A$1:$B$10,2,FALSE)</f>
        <v>70</v>
      </c>
      <c r="C383">
        <f t="shared" si="5"/>
        <v>80</v>
      </c>
      <c r="D383" t="s">
        <v>52</v>
      </c>
      <c r="E383">
        <v>2</v>
      </c>
      <c r="F383">
        <v>16</v>
      </c>
      <c r="G383">
        <v>0.20519999999999999</v>
      </c>
      <c r="H383">
        <v>9.0999999999999998E-2</v>
      </c>
      <c r="I383">
        <v>3.1259999999999999</v>
      </c>
    </row>
    <row r="384" spans="1:9" x14ac:dyDescent="0.3">
      <c r="A384">
        <f>LOOKUP(9E+307,--MID(D384,1,{1,2,3,4,5}))</f>
        <v>10</v>
      </c>
      <c r="B384">
        <f>VLOOKUP(MID(D384,LOOKUP(2,1/ISNUMBER(-MID(D384,1,{1,2,3,4,5})),{1,2,3,4,5})+1,9),'Hue codes'!$A$1:$B$10,2,FALSE)</f>
        <v>70</v>
      </c>
      <c r="C384">
        <f t="shared" si="5"/>
        <v>80</v>
      </c>
      <c r="D384" t="s">
        <v>52</v>
      </c>
      <c r="E384">
        <v>2</v>
      </c>
      <c r="F384">
        <v>18</v>
      </c>
      <c r="G384">
        <v>0.2021</v>
      </c>
      <c r="H384">
        <v>8.0799999999999997E-2</v>
      </c>
      <c r="I384">
        <v>3.1259999999999999</v>
      </c>
    </row>
    <row r="385" spans="1:9" x14ac:dyDescent="0.3">
      <c r="A385">
        <f>LOOKUP(9E+307,--MID(D385,1,{1,2,3,4,5}))</f>
        <v>10</v>
      </c>
      <c r="B385">
        <f>VLOOKUP(MID(D385,LOOKUP(2,1/ISNUMBER(-MID(D385,1,{1,2,3,4,5})),{1,2,3,4,5})+1,9),'Hue codes'!$A$1:$B$10,2,FALSE)</f>
        <v>70</v>
      </c>
      <c r="C385">
        <f t="shared" si="5"/>
        <v>80</v>
      </c>
      <c r="D385" t="s">
        <v>52</v>
      </c>
      <c r="E385">
        <v>2</v>
      </c>
      <c r="F385">
        <v>20</v>
      </c>
      <c r="G385">
        <v>0.19980000000000001</v>
      </c>
      <c r="H385">
        <v>7.1800000000000003E-2</v>
      </c>
      <c r="I385">
        <v>3.1259999999999999</v>
      </c>
    </row>
    <row r="386" spans="1:9" x14ac:dyDescent="0.3">
      <c r="A386">
        <f>LOOKUP(9E+307,--MID(D386,1,{1,2,3,4,5}))</f>
        <v>10</v>
      </c>
      <c r="B386">
        <f>VLOOKUP(MID(D386,LOOKUP(2,1/ISNUMBER(-MID(D386,1,{1,2,3,4,5})),{1,2,3,4,5})+1,9),'Hue codes'!$A$1:$B$10,2,FALSE)</f>
        <v>70</v>
      </c>
      <c r="C386">
        <f t="shared" si="5"/>
        <v>80</v>
      </c>
      <c r="D386" t="s">
        <v>52</v>
      </c>
      <c r="E386">
        <v>2</v>
      </c>
      <c r="F386">
        <v>22</v>
      </c>
      <c r="G386">
        <v>0.1978</v>
      </c>
      <c r="H386">
        <v>6.4299999999999996E-2</v>
      </c>
      <c r="I386">
        <v>3.1259999999999999</v>
      </c>
    </row>
    <row r="387" spans="1:9" x14ac:dyDescent="0.3">
      <c r="A387">
        <f>LOOKUP(9E+307,--MID(D387,1,{1,2,3,4,5}))</f>
        <v>10</v>
      </c>
      <c r="B387">
        <f>VLOOKUP(MID(D387,LOOKUP(2,1/ISNUMBER(-MID(D387,1,{1,2,3,4,5})),{1,2,3,4,5})+1,9),'Hue codes'!$A$1:$B$10,2,FALSE)</f>
        <v>70</v>
      </c>
      <c r="C387">
        <f t="shared" ref="C387:C450" si="6">IF(A387+B387=100,0,A387+B387)</f>
        <v>80</v>
      </c>
      <c r="D387" t="s">
        <v>52</v>
      </c>
      <c r="E387">
        <v>2</v>
      </c>
      <c r="F387">
        <v>24</v>
      </c>
      <c r="G387">
        <v>0.19620000000000001</v>
      </c>
      <c r="H387">
        <v>5.7799999999999997E-2</v>
      </c>
      <c r="I387">
        <v>3.1259999999999999</v>
      </c>
    </row>
    <row r="388" spans="1:9" x14ac:dyDescent="0.3">
      <c r="A388">
        <f>LOOKUP(9E+307,--MID(D388,1,{1,2,3,4,5}))</f>
        <v>10</v>
      </c>
      <c r="B388">
        <f>VLOOKUP(MID(D388,LOOKUP(2,1/ISNUMBER(-MID(D388,1,{1,2,3,4,5})),{1,2,3,4,5})+1,9),'Hue codes'!$A$1:$B$10,2,FALSE)</f>
        <v>70</v>
      </c>
      <c r="C388">
        <f t="shared" si="6"/>
        <v>80</v>
      </c>
      <c r="D388" t="s">
        <v>52</v>
      </c>
      <c r="E388">
        <v>2</v>
      </c>
      <c r="F388">
        <v>26</v>
      </c>
      <c r="G388">
        <v>0.19489999999999999</v>
      </c>
      <c r="H388">
        <v>5.1999999999999998E-2</v>
      </c>
      <c r="I388">
        <v>3.1259999999999999</v>
      </c>
    </row>
    <row r="389" spans="1:9" x14ac:dyDescent="0.3">
      <c r="A389">
        <f>LOOKUP(9E+307,--MID(D389,1,{1,2,3,4,5}))</f>
        <v>10</v>
      </c>
      <c r="B389">
        <f>VLOOKUP(MID(D389,LOOKUP(2,1/ISNUMBER(-MID(D389,1,{1,2,3,4,5})),{1,2,3,4,5})+1,9),'Hue codes'!$A$1:$B$10,2,FALSE)</f>
        <v>70</v>
      </c>
      <c r="C389">
        <f t="shared" si="6"/>
        <v>80</v>
      </c>
      <c r="D389" t="s">
        <v>52</v>
      </c>
      <c r="E389">
        <v>2</v>
      </c>
      <c r="F389">
        <v>28</v>
      </c>
      <c r="G389">
        <v>0.19370000000000001</v>
      </c>
      <c r="H389">
        <v>4.7100000000000003E-2</v>
      </c>
      <c r="I389">
        <v>3.1259999999999999</v>
      </c>
    </row>
    <row r="390" spans="1:9" x14ac:dyDescent="0.3">
      <c r="A390">
        <f>LOOKUP(9E+307,--MID(D390,1,{1,2,3,4,5}))</f>
        <v>10</v>
      </c>
      <c r="B390">
        <f>VLOOKUP(MID(D390,LOOKUP(2,1/ISNUMBER(-MID(D390,1,{1,2,3,4,5})),{1,2,3,4,5})+1,9),'Hue codes'!$A$1:$B$10,2,FALSE)</f>
        <v>70</v>
      </c>
      <c r="C390">
        <f t="shared" si="6"/>
        <v>80</v>
      </c>
      <c r="D390" t="s">
        <v>52</v>
      </c>
      <c r="E390">
        <v>2</v>
      </c>
      <c r="F390">
        <v>30</v>
      </c>
      <c r="G390">
        <v>0.1925</v>
      </c>
      <c r="H390">
        <v>4.2000000000000003E-2</v>
      </c>
      <c r="I390">
        <v>3.1259999999999999</v>
      </c>
    </row>
    <row r="391" spans="1:9" x14ac:dyDescent="0.3">
      <c r="A391">
        <f>LOOKUP(9E+307,--MID(D391,1,{1,2,3,4,5}))</f>
        <v>10</v>
      </c>
      <c r="B391">
        <f>VLOOKUP(MID(D391,LOOKUP(2,1/ISNUMBER(-MID(D391,1,{1,2,3,4,5})),{1,2,3,4,5})+1,9),'Hue codes'!$A$1:$B$10,2,FALSE)</f>
        <v>70</v>
      </c>
      <c r="C391">
        <f t="shared" si="6"/>
        <v>80</v>
      </c>
      <c r="D391" t="s">
        <v>52</v>
      </c>
      <c r="E391">
        <v>2</v>
      </c>
      <c r="F391">
        <v>32</v>
      </c>
      <c r="G391">
        <v>0.1918</v>
      </c>
      <c r="H391">
        <v>3.7900000000000003E-2</v>
      </c>
      <c r="I391">
        <v>3.1259999999999999</v>
      </c>
    </row>
    <row r="392" spans="1:9" x14ac:dyDescent="0.3">
      <c r="A392">
        <f>LOOKUP(9E+307,--MID(D392,1,{1,2,3,4,5}))</f>
        <v>10</v>
      </c>
      <c r="B392">
        <f>VLOOKUP(MID(D392,LOOKUP(2,1/ISNUMBER(-MID(D392,1,{1,2,3,4,5})),{1,2,3,4,5})+1,9),'Hue codes'!$A$1:$B$10,2,FALSE)</f>
        <v>70</v>
      </c>
      <c r="C392">
        <f t="shared" si="6"/>
        <v>80</v>
      </c>
      <c r="D392" t="s">
        <v>52</v>
      </c>
      <c r="E392">
        <v>2</v>
      </c>
      <c r="F392">
        <v>34</v>
      </c>
      <c r="G392">
        <v>0.19109999999999999</v>
      </c>
      <c r="H392">
        <v>3.44E-2</v>
      </c>
      <c r="I392">
        <v>3.1259999999999999</v>
      </c>
    </row>
    <row r="393" spans="1:9" x14ac:dyDescent="0.3">
      <c r="A393">
        <f>LOOKUP(9E+307,--MID(D393,1,{1,2,3,4,5}))</f>
        <v>2.5</v>
      </c>
      <c r="B393">
        <f>VLOOKUP(MID(D393,LOOKUP(2,1/ISNUMBER(-MID(D393,1,{1,2,3,4,5})),{1,2,3,4,5})+1,9),'Hue codes'!$A$1:$B$10,2,FALSE)</f>
        <v>80</v>
      </c>
      <c r="C393">
        <f t="shared" si="6"/>
        <v>82.5</v>
      </c>
      <c r="D393" t="s">
        <v>53</v>
      </c>
      <c r="E393">
        <v>2</v>
      </c>
      <c r="F393">
        <v>2</v>
      </c>
      <c r="G393">
        <v>0.28920000000000001</v>
      </c>
      <c r="H393">
        <v>0.25829999999999997</v>
      </c>
      <c r="I393">
        <v>3.1259999999999999</v>
      </c>
    </row>
    <row r="394" spans="1:9" x14ac:dyDescent="0.3">
      <c r="A394">
        <f>LOOKUP(9E+307,--MID(D394,1,{1,2,3,4,5}))</f>
        <v>2.5</v>
      </c>
      <c r="B394">
        <f>VLOOKUP(MID(D394,LOOKUP(2,1/ISNUMBER(-MID(D394,1,{1,2,3,4,5})),{1,2,3,4,5})+1,9),'Hue codes'!$A$1:$B$10,2,FALSE)</f>
        <v>80</v>
      </c>
      <c r="C394">
        <f t="shared" si="6"/>
        <v>82.5</v>
      </c>
      <c r="D394" t="s">
        <v>53</v>
      </c>
      <c r="E394">
        <v>2</v>
      </c>
      <c r="F394">
        <v>4</v>
      </c>
      <c r="G394">
        <v>0.27579999999999999</v>
      </c>
      <c r="H394">
        <v>0.2208</v>
      </c>
      <c r="I394">
        <v>3.1259999999999999</v>
      </c>
    </row>
    <row r="395" spans="1:9" x14ac:dyDescent="0.3">
      <c r="A395">
        <f>LOOKUP(9E+307,--MID(D395,1,{1,2,3,4,5}))</f>
        <v>2.5</v>
      </c>
      <c r="B395">
        <f>VLOOKUP(MID(D395,LOOKUP(2,1/ISNUMBER(-MID(D395,1,{1,2,3,4,5})),{1,2,3,4,5})+1,9),'Hue codes'!$A$1:$B$10,2,FALSE)</f>
        <v>80</v>
      </c>
      <c r="C395">
        <f t="shared" si="6"/>
        <v>82.5</v>
      </c>
      <c r="D395" t="s">
        <v>53</v>
      </c>
      <c r="E395">
        <v>2</v>
      </c>
      <c r="F395">
        <v>6</v>
      </c>
      <c r="G395">
        <v>0.2661</v>
      </c>
      <c r="H395">
        <v>0.19209999999999999</v>
      </c>
      <c r="I395">
        <v>3.1259999999999999</v>
      </c>
    </row>
    <row r="396" spans="1:9" x14ac:dyDescent="0.3">
      <c r="A396">
        <f>LOOKUP(9E+307,--MID(D396,1,{1,2,3,4,5}))</f>
        <v>2.5</v>
      </c>
      <c r="B396">
        <f>VLOOKUP(MID(D396,LOOKUP(2,1/ISNUMBER(-MID(D396,1,{1,2,3,4,5})),{1,2,3,4,5})+1,9),'Hue codes'!$A$1:$B$10,2,FALSE)</f>
        <v>80</v>
      </c>
      <c r="C396">
        <f t="shared" si="6"/>
        <v>82.5</v>
      </c>
      <c r="D396" t="s">
        <v>53</v>
      </c>
      <c r="E396">
        <v>2</v>
      </c>
      <c r="F396">
        <v>8</v>
      </c>
      <c r="G396">
        <v>0.25700000000000001</v>
      </c>
      <c r="H396">
        <v>0.16350000000000001</v>
      </c>
      <c r="I396">
        <v>3.1259999999999999</v>
      </c>
    </row>
    <row r="397" spans="1:9" x14ac:dyDescent="0.3">
      <c r="A397">
        <f>LOOKUP(9E+307,--MID(D397,1,{1,2,3,4,5}))</f>
        <v>2.5</v>
      </c>
      <c r="B397">
        <f>VLOOKUP(MID(D397,LOOKUP(2,1/ISNUMBER(-MID(D397,1,{1,2,3,4,5})),{1,2,3,4,5})+1,9),'Hue codes'!$A$1:$B$10,2,FALSE)</f>
        <v>80</v>
      </c>
      <c r="C397">
        <f t="shared" si="6"/>
        <v>82.5</v>
      </c>
      <c r="D397" t="s">
        <v>53</v>
      </c>
      <c r="E397">
        <v>2</v>
      </c>
      <c r="F397">
        <v>10</v>
      </c>
      <c r="G397">
        <v>0.25009999999999999</v>
      </c>
      <c r="H397">
        <v>0.14219999999999999</v>
      </c>
      <c r="I397">
        <v>3.1259999999999999</v>
      </c>
    </row>
    <row r="398" spans="1:9" x14ac:dyDescent="0.3">
      <c r="A398">
        <f>LOOKUP(9E+307,--MID(D398,1,{1,2,3,4,5}))</f>
        <v>2.5</v>
      </c>
      <c r="B398">
        <f>VLOOKUP(MID(D398,LOOKUP(2,1/ISNUMBER(-MID(D398,1,{1,2,3,4,5})),{1,2,3,4,5})+1,9),'Hue codes'!$A$1:$B$10,2,FALSE)</f>
        <v>80</v>
      </c>
      <c r="C398">
        <f t="shared" si="6"/>
        <v>82.5</v>
      </c>
      <c r="D398" t="s">
        <v>53</v>
      </c>
      <c r="E398">
        <v>2</v>
      </c>
      <c r="F398">
        <v>12</v>
      </c>
      <c r="G398">
        <v>0.24490000000000001</v>
      </c>
      <c r="H398">
        <v>0.1245</v>
      </c>
      <c r="I398">
        <v>3.1259999999999999</v>
      </c>
    </row>
    <row r="399" spans="1:9" x14ac:dyDescent="0.3">
      <c r="A399">
        <f>LOOKUP(9E+307,--MID(D399,1,{1,2,3,4,5}))</f>
        <v>2.5</v>
      </c>
      <c r="B399">
        <f>VLOOKUP(MID(D399,LOOKUP(2,1/ISNUMBER(-MID(D399,1,{1,2,3,4,5})),{1,2,3,4,5})+1,9),'Hue codes'!$A$1:$B$10,2,FALSE)</f>
        <v>80</v>
      </c>
      <c r="C399">
        <f t="shared" si="6"/>
        <v>82.5</v>
      </c>
      <c r="D399" t="s">
        <v>53</v>
      </c>
      <c r="E399">
        <v>2</v>
      </c>
      <c r="F399">
        <v>14</v>
      </c>
      <c r="G399">
        <v>0.24060000000000001</v>
      </c>
      <c r="H399">
        <v>0.11</v>
      </c>
      <c r="I399">
        <v>3.1259999999999999</v>
      </c>
    </row>
    <row r="400" spans="1:9" x14ac:dyDescent="0.3">
      <c r="A400">
        <f>LOOKUP(9E+307,--MID(D400,1,{1,2,3,4,5}))</f>
        <v>2.5</v>
      </c>
      <c r="B400">
        <f>VLOOKUP(MID(D400,LOOKUP(2,1/ISNUMBER(-MID(D400,1,{1,2,3,4,5})),{1,2,3,4,5})+1,9),'Hue codes'!$A$1:$B$10,2,FALSE)</f>
        <v>80</v>
      </c>
      <c r="C400">
        <f t="shared" si="6"/>
        <v>82.5</v>
      </c>
      <c r="D400" t="s">
        <v>53</v>
      </c>
      <c r="E400">
        <v>2</v>
      </c>
      <c r="F400">
        <v>16</v>
      </c>
      <c r="G400">
        <v>0.23719999999999999</v>
      </c>
      <c r="H400">
        <v>9.8000000000000004E-2</v>
      </c>
      <c r="I400">
        <v>3.1259999999999999</v>
      </c>
    </row>
    <row r="401" spans="1:9" x14ac:dyDescent="0.3">
      <c r="A401">
        <f>LOOKUP(9E+307,--MID(D401,1,{1,2,3,4,5}))</f>
        <v>2.5</v>
      </c>
      <c r="B401">
        <f>VLOOKUP(MID(D401,LOOKUP(2,1/ISNUMBER(-MID(D401,1,{1,2,3,4,5})),{1,2,3,4,5})+1,9),'Hue codes'!$A$1:$B$10,2,FALSE)</f>
        <v>80</v>
      </c>
      <c r="C401">
        <f t="shared" si="6"/>
        <v>82.5</v>
      </c>
      <c r="D401" t="s">
        <v>53</v>
      </c>
      <c r="E401">
        <v>2</v>
      </c>
      <c r="F401">
        <v>18</v>
      </c>
      <c r="G401">
        <v>0.23449999999999999</v>
      </c>
      <c r="H401">
        <v>8.7300000000000003E-2</v>
      </c>
      <c r="I401">
        <v>3.1259999999999999</v>
      </c>
    </row>
    <row r="402" spans="1:9" x14ac:dyDescent="0.3">
      <c r="A402">
        <f>LOOKUP(9E+307,--MID(D402,1,{1,2,3,4,5}))</f>
        <v>2.5</v>
      </c>
      <c r="B402">
        <f>VLOOKUP(MID(D402,LOOKUP(2,1/ISNUMBER(-MID(D402,1,{1,2,3,4,5})),{1,2,3,4,5})+1,9),'Hue codes'!$A$1:$B$10,2,FALSE)</f>
        <v>80</v>
      </c>
      <c r="C402">
        <f t="shared" si="6"/>
        <v>82.5</v>
      </c>
      <c r="D402" t="s">
        <v>53</v>
      </c>
      <c r="E402">
        <v>2</v>
      </c>
      <c r="F402">
        <v>20</v>
      </c>
      <c r="G402">
        <v>0.23200000000000001</v>
      </c>
      <c r="H402">
        <v>7.7899999999999997E-2</v>
      </c>
      <c r="I402">
        <v>3.1259999999999999</v>
      </c>
    </row>
    <row r="403" spans="1:9" x14ac:dyDescent="0.3">
      <c r="A403">
        <f>LOOKUP(9E+307,--MID(D403,1,{1,2,3,4,5}))</f>
        <v>2.5</v>
      </c>
      <c r="B403">
        <f>VLOOKUP(MID(D403,LOOKUP(2,1/ISNUMBER(-MID(D403,1,{1,2,3,4,5})),{1,2,3,4,5})+1,9),'Hue codes'!$A$1:$B$10,2,FALSE)</f>
        <v>80</v>
      </c>
      <c r="C403">
        <f t="shared" si="6"/>
        <v>82.5</v>
      </c>
      <c r="D403" t="s">
        <v>53</v>
      </c>
      <c r="E403">
        <v>2</v>
      </c>
      <c r="F403">
        <v>22</v>
      </c>
      <c r="G403">
        <v>0.2298</v>
      </c>
      <c r="H403">
        <v>6.9599999999999995E-2</v>
      </c>
      <c r="I403">
        <v>3.1259999999999999</v>
      </c>
    </row>
    <row r="404" spans="1:9" x14ac:dyDescent="0.3">
      <c r="A404">
        <f>LOOKUP(9E+307,--MID(D404,1,{1,2,3,4,5}))</f>
        <v>2.5</v>
      </c>
      <c r="B404">
        <f>VLOOKUP(MID(D404,LOOKUP(2,1/ISNUMBER(-MID(D404,1,{1,2,3,4,5})),{1,2,3,4,5})+1,9),'Hue codes'!$A$1:$B$10,2,FALSE)</f>
        <v>80</v>
      </c>
      <c r="C404">
        <f t="shared" si="6"/>
        <v>82.5</v>
      </c>
      <c r="D404" t="s">
        <v>53</v>
      </c>
      <c r="E404">
        <v>2</v>
      </c>
      <c r="F404">
        <v>24</v>
      </c>
      <c r="G404">
        <v>0.22770000000000001</v>
      </c>
      <c r="H404">
        <v>6.2100000000000002E-2</v>
      </c>
      <c r="I404">
        <v>3.1259999999999999</v>
      </c>
    </row>
    <row r="405" spans="1:9" x14ac:dyDescent="0.3">
      <c r="A405">
        <f>LOOKUP(9E+307,--MID(D405,1,{1,2,3,4,5}))</f>
        <v>2.5</v>
      </c>
      <c r="B405">
        <f>VLOOKUP(MID(D405,LOOKUP(2,1/ISNUMBER(-MID(D405,1,{1,2,3,4,5})),{1,2,3,4,5})+1,9),'Hue codes'!$A$1:$B$10,2,FALSE)</f>
        <v>80</v>
      </c>
      <c r="C405">
        <f t="shared" si="6"/>
        <v>82.5</v>
      </c>
      <c r="D405" t="s">
        <v>53</v>
      </c>
      <c r="E405">
        <v>2</v>
      </c>
      <c r="F405">
        <v>26</v>
      </c>
      <c r="G405">
        <v>0.22600000000000001</v>
      </c>
      <c r="H405">
        <v>5.5500000000000001E-2</v>
      </c>
      <c r="I405">
        <v>3.1259999999999999</v>
      </c>
    </row>
    <row r="406" spans="1:9" x14ac:dyDescent="0.3">
      <c r="A406">
        <f>LOOKUP(9E+307,--MID(D406,1,{1,2,3,4,5}))</f>
        <v>2.5</v>
      </c>
      <c r="B406">
        <f>VLOOKUP(MID(D406,LOOKUP(2,1/ISNUMBER(-MID(D406,1,{1,2,3,4,5})),{1,2,3,4,5})+1,9),'Hue codes'!$A$1:$B$10,2,FALSE)</f>
        <v>80</v>
      </c>
      <c r="C406">
        <f t="shared" si="6"/>
        <v>82.5</v>
      </c>
      <c r="D406" t="s">
        <v>53</v>
      </c>
      <c r="E406">
        <v>2</v>
      </c>
      <c r="F406">
        <v>28</v>
      </c>
      <c r="G406">
        <v>0.22450000000000001</v>
      </c>
      <c r="H406">
        <v>4.9099999999999998E-2</v>
      </c>
      <c r="I406">
        <v>3.1259999999999999</v>
      </c>
    </row>
    <row r="407" spans="1:9" x14ac:dyDescent="0.3">
      <c r="A407">
        <f>LOOKUP(9E+307,--MID(D407,1,{1,2,3,4,5}))</f>
        <v>2.5</v>
      </c>
      <c r="B407">
        <f>VLOOKUP(MID(D407,LOOKUP(2,1/ISNUMBER(-MID(D407,1,{1,2,3,4,5})),{1,2,3,4,5})+1,9),'Hue codes'!$A$1:$B$10,2,FALSE)</f>
        <v>80</v>
      </c>
      <c r="C407">
        <f t="shared" si="6"/>
        <v>82.5</v>
      </c>
      <c r="D407" t="s">
        <v>53</v>
      </c>
      <c r="E407">
        <v>2</v>
      </c>
      <c r="F407">
        <v>30</v>
      </c>
      <c r="G407">
        <v>0.22309999999999999</v>
      </c>
      <c r="H407">
        <v>4.3200000000000002E-2</v>
      </c>
      <c r="I407">
        <v>3.1259999999999999</v>
      </c>
    </row>
    <row r="408" spans="1:9" x14ac:dyDescent="0.3">
      <c r="A408">
        <f>LOOKUP(9E+307,--MID(D408,1,{1,2,3,4,5}))</f>
        <v>5</v>
      </c>
      <c r="B408">
        <f>VLOOKUP(MID(D408,LOOKUP(2,1/ISNUMBER(-MID(D408,1,{1,2,3,4,5})),{1,2,3,4,5})+1,9),'Hue codes'!$A$1:$B$10,2,FALSE)</f>
        <v>80</v>
      </c>
      <c r="C408">
        <f t="shared" si="6"/>
        <v>85</v>
      </c>
      <c r="D408" t="s">
        <v>54</v>
      </c>
      <c r="E408">
        <v>2</v>
      </c>
      <c r="F408">
        <v>2</v>
      </c>
      <c r="G408">
        <v>0.2984</v>
      </c>
      <c r="H408">
        <v>0.26119999999999999</v>
      </c>
      <c r="I408">
        <v>3.1259999999999999</v>
      </c>
    </row>
    <row r="409" spans="1:9" x14ac:dyDescent="0.3">
      <c r="A409">
        <f>LOOKUP(9E+307,--MID(D409,1,{1,2,3,4,5}))</f>
        <v>5</v>
      </c>
      <c r="B409">
        <f>VLOOKUP(MID(D409,LOOKUP(2,1/ISNUMBER(-MID(D409,1,{1,2,3,4,5})),{1,2,3,4,5})+1,9),'Hue codes'!$A$1:$B$10,2,FALSE)</f>
        <v>80</v>
      </c>
      <c r="C409">
        <f t="shared" si="6"/>
        <v>85</v>
      </c>
      <c r="D409" t="s">
        <v>54</v>
      </c>
      <c r="E409">
        <v>2</v>
      </c>
      <c r="F409">
        <v>4</v>
      </c>
      <c r="G409">
        <v>0.2908</v>
      </c>
      <c r="H409">
        <v>0.2261</v>
      </c>
      <c r="I409">
        <v>3.1259999999999999</v>
      </c>
    </row>
    <row r="410" spans="1:9" x14ac:dyDescent="0.3">
      <c r="A410">
        <f>LOOKUP(9E+307,--MID(D410,1,{1,2,3,4,5}))</f>
        <v>5</v>
      </c>
      <c r="B410">
        <f>VLOOKUP(MID(D410,LOOKUP(2,1/ISNUMBER(-MID(D410,1,{1,2,3,4,5})),{1,2,3,4,5})+1,9),'Hue codes'!$A$1:$B$10,2,FALSE)</f>
        <v>80</v>
      </c>
      <c r="C410">
        <f t="shared" si="6"/>
        <v>85</v>
      </c>
      <c r="D410" t="s">
        <v>54</v>
      </c>
      <c r="E410">
        <v>2</v>
      </c>
      <c r="F410">
        <v>6</v>
      </c>
      <c r="G410">
        <v>0.28499999999999998</v>
      </c>
      <c r="H410">
        <v>0.19919999999999999</v>
      </c>
      <c r="I410">
        <v>3.1259999999999999</v>
      </c>
    </row>
    <row r="411" spans="1:9" x14ac:dyDescent="0.3">
      <c r="A411">
        <f>LOOKUP(9E+307,--MID(D411,1,{1,2,3,4,5}))</f>
        <v>5</v>
      </c>
      <c r="B411">
        <f>VLOOKUP(MID(D411,LOOKUP(2,1/ISNUMBER(-MID(D411,1,{1,2,3,4,5})),{1,2,3,4,5})+1,9),'Hue codes'!$A$1:$B$10,2,FALSE)</f>
        <v>80</v>
      </c>
      <c r="C411">
        <f t="shared" si="6"/>
        <v>85</v>
      </c>
      <c r="D411" t="s">
        <v>54</v>
      </c>
      <c r="E411">
        <v>2</v>
      </c>
      <c r="F411">
        <v>8</v>
      </c>
      <c r="G411">
        <v>0.27910000000000001</v>
      </c>
      <c r="H411">
        <v>0.17069999999999999</v>
      </c>
      <c r="I411">
        <v>3.1259999999999999</v>
      </c>
    </row>
    <row r="412" spans="1:9" x14ac:dyDescent="0.3">
      <c r="A412">
        <f>LOOKUP(9E+307,--MID(D412,1,{1,2,3,4,5}))</f>
        <v>5</v>
      </c>
      <c r="B412">
        <f>VLOOKUP(MID(D412,LOOKUP(2,1/ISNUMBER(-MID(D412,1,{1,2,3,4,5})),{1,2,3,4,5})+1,9),'Hue codes'!$A$1:$B$10,2,FALSE)</f>
        <v>80</v>
      </c>
      <c r="C412">
        <f t="shared" si="6"/>
        <v>85</v>
      </c>
      <c r="D412" t="s">
        <v>54</v>
      </c>
      <c r="E412">
        <v>2</v>
      </c>
      <c r="F412">
        <v>10</v>
      </c>
      <c r="G412">
        <v>0.27479999999999999</v>
      </c>
      <c r="H412">
        <v>0.15</v>
      </c>
      <c r="I412">
        <v>3.1259999999999999</v>
      </c>
    </row>
    <row r="413" spans="1:9" x14ac:dyDescent="0.3">
      <c r="A413">
        <f>LOOKUP(9E+307,--MID(D413,1,{1,2,3,4,5}))</f>
        <v>5</v>
      </c>
      <c r="B413">
        <f>VLOOKUP(MID(D413,LOOKUP(2,1/ISNUMBER(-MID(D413,1,{1,2,3,4,5})),{1,2,3,4,5})+1,9),'Hue codes'!$A$1:$B$10,2,FALSE)</f>
        <v>80</v>
      </c>
      <c r="C413">
        <f t="shared" si="6"/>
        <v>85</v>
      </c>
      <c r="D413" t="s">
        <v>54</v>
      </c>
      <c r="E413">
        <v>2</v>
      </c>
      <c r="F413">
        <v>12</v>
      </c>
      <c r="G413">
        <v>0.27089999999999997</v>
      </c>
      <c r="H413">
        <v>0.13200000000000001</v>
      </c>
      <c r="I413">
        <v>3.1259999999999999</v>
      </c>
    </row>
    <row r="414" spans="1:9" x14ac:dyDescent="0.3">
      <c r="A414">
        <f>LOOKUP(9E+307,--MID(D414,1,{1,2,3,4,5}))</f>
        <v>5</v>
      </c>
      <c r="B414">
        <f>VLOOKUP(MID(D414,LOOKUP(2,1/ISNUMBER(-MID(D414,1,{1,2,3,4,5})),{1,2,3,4,5})+1,9),'Hue codes'!$A$1:$B$10,2,FALSE)</f>
        <v>80</v>
      </c>
      <c r="C414">
        <f t="shared" si="6"/>
        <v>85</v>
      </c>
      <c r="D414" t="s">
        <v>54</v>
      </c>
      <c r="E414">
        <v>2</v>
      </c>
      <c r="F414">
        <v>14</v>
      </c>
      <c r="G414">
        <v>0.2676</v>
      </c>
      <c r="H414">
        <v>0.1163</v>
      </c>
      <c r="I414">
        <v>3.1259999999999999</v>
      </c>
    </row>
    <row r="415" spans="1:9" x14ac:dyDescent="0.3">
      <c r="A415">
        <f>LOOKUP(9E+307,--MID(D415,1,{1,2,3,4,5}))</f>
        <v>5</v>
      </c>
      <c r="B415">
        <f>VLOOKUP(MID(D415,LOOKUP(2,1/ISNUMBER(-MID(D415,1,{1,2,3,4,5})),{1,2,3,4,5})+1,9),'Hue codes'!$A$1:$B$10,2,FALSE)</f>
        <v>80</v>
      </c>
      <c r="C415">
        <f t="shared" si="6"/>
        <v>85</v>
      </c>
      <c r="D415" t="s">
        <v>54</v>
      </c>
      <c r="E415">
        <v>2</v>
      </c>
      <c r="F415">
        <v>16</v>
      </c>
      <c r="G415">
        <v>0.26519999999999999</v>
      </c>
      <c r="H415">
        <v>0.1045</v>
      </c>
      <c r="I415">
        <v>3.1259999999999999</v>
      </c>
    </row>
    <row r="416" spans="1:9" x14ac:dyDescent="0.3">
      <c r="A416">
        <f>LOOKUP(9E+307,--MID(D416,1,{1,2,3,4,5}))</f>
        <v>5</v>
      </c>
      <c r="B416">
        <f>VLOOKUP(MID(D416,LOOKUP(2,1/ISNUMBER(-MID(D416,1,{1,2,3,4,5})),{1,2,3,4,5})+1,9),'Hue codes'!$A$1:$B$10,2,FALSE)</f>
        <v>80</v>
      </c>
      <c r="C416">
        <f t="shared" si="6"/>
        <v>85</v>
      </c>
      <c r="D416" t="s">
        <v>54</v>
      </c>
      <c r="E416">
        <v>2</v>
      </c>
      <c r="F416">
        <v>18</v>
      </c>
      <c r="G416">
        <v>0.26319999999999999</v>
      </c>
      <c r="H416">
        <v>9.35E-2</v>
      </c>
      <c r="I416">
        <v>3.1259999999999999</v>
      </c>
    </row>
    <row r="417" spans="1:9" x14ac:dyDescent="0.3">
      <c r="A417">
        <f>LOOKUP(9E+307,--MID(D417,1,{1,2,3,4,5}))</f>
        <v>5</v>
      </c>
      <c r="B417">
        <f>VLOOKUP(MID(D417,LOOKUP(2,1/ISNUMBER(-MID(D417,1,{1,2,3,4,5})),{1,2,3,4,5})+1,9),'Hue codes'!$A$1:$B$10,2,FALSE)</f>
        <v>80</v>
      </c>
      <c r="C417">
        <f t="shared" si="6"/>
        <v>85</v>
      </c>
      <c r="D417" t="s">
        <v>54</v>
      </c>
      <c r="E417">
        <v>2</v>
      </c>
      <c r="F417">
        <v>20</v>
      </c>
      <c r="G417">
        <v>0.26119999999999999</v>
      </c>
      <c r="H417">
        <v>8.3799999999999999E-2</v>
      </c>
      <c r="I417">
        <v>3.1259999999999999</v>
      </c>
    </row>
    <row r="418" spans="1:9" x14ac:dyDescent="0.3">
      <c r="A418">
        <f>LOOKUP(9E+307,--MID(D418,1,{1,2,3,4,5}))</f>
        <v>5</v>
      </c>
      <c r="B418">
        <f>VLOOKUP(MID(D418,LOOKUP(2,1/ISNUMBER(-MID(D418,1,{1,2,3,4,5})),{1,2,3,4,5})+1,9),'Hue codes'!$A$1:$B$10,2,FALSE)</f>
        <v>80</v>
      </c>
      <c r="C418">
        <f t="shared" si="6"/>
        <v>85</v>
      </c>
      <c r="D418" t="s">
        <v>54</v>
      </c>
      <c r="E418">
        <v>2</v>
      </c>
      <c r="F418">
        <v>22</v>
      </c>
      <c r="G418">
        <v>0.25969999999999999</v>
      </c>
      <c r="H418">
        <v>7.4999999999999997E-2</v>
      </c>
      <c r="I418">
        <v>3.1259999999999999</v>
      </c>
    </row>
    <row r="419" spans="1:9" x14ac:dyDescent="0.3">
      <c r="A419">
        <f>LOOKUP(9E+307,--MID(D419,1,{1,2,3,4,5}))</f>
        <v>5</v>
      </c>
      <c r="B419">
        <f>VLOOKUP(MID(D419,LOOKUP(2,1/ISNUMBER(-MID(D419,1,{1,2,3,4,5})),{1,2,3,4,5})+1,9),'Hue codes'!$A$1:$B$10,2,FALSE)</f>
        <v>80</v>
      </c>
      <c r="C419">
        <f t="shared" si="6"/>
        <v>85</v>
      </c>
      <c r="D419" t="s">
        <v>54</v>
      </c>
      <c r="E419">
        <v>2</v>
      </c>
      <c r="F419">
        <v>24</v>
      </c>
      <c r="G419">
        <v>0.25819999999999999</v>
      </c>
      <c r="H419">
        <v>6.6900000000000001E-2</v>
      </c>
      <c r="I419">
        <v>3.1259999999999999</v>
      </c>
    </row>
    <row r="420" spans="1:9" x14ac:dyDescent="0.3">
      <c r="A420">
        <f>LOOKUP(9E+307,--MID(D420,1,{1,2,3,4,5}))</f>
        <v>5</v>
      </c>
      <c r="B420">
        <f>VLOOKUP(MID(D420,LOOKUP(2,1/ISNUMBER(-MID(D420,1,{1,2,3,4,5})),{1,2,3,4,5})+1,9),'Hue codes'!$A$1:$B$10,2,FALSE)</f>
        <v>80</v>
      </c>
      <c r="C420">
        <f t="shared" si="6"/>
        <v>85</v>
      </c>
      <c r="D420" t="s">
        <v>54</v>
      </c>
      <c r="E420">
        <v>2</v>
      </c>
      <c r="F420">
        <v>26</v>
      </c>
      <c r="G420">
        <v>0.25690000000000002</v>
      </c>
      <c r="H420">
        <v>5.9400000000000001E-2</v>
      </c>
      <c r="I420">
        <v>3.1259999999999999</v>
      </c>
    </row>
    <row r="421" spans="1:9" x14ac:dyDescent="0.3">
      <c r="A421">
        <f>LOOKUP(9E+307,--MID(D421,1,{1,2,3,4,5}))</f>
        <v>5</v>
      </c>
      <c r="B421">
        <f>VLOOKUP(MID(D421,LOOKUP(2,1/ISNUMBER(-MID(D421,1,{1,2,3,4,5})),{1,2,3,4,5})+1,9),'Hue codes'!$A$1:$B$10,2,FALSE)</f>
        <v>80</v>
      </c>
      <c r="C421">
        <f t="shared" si="6"/>
        <v>85</v>
      </c>
      <c r="D421" t="s">
        <v>54</v>
      </c>
      <c r="E421">
        <v>2</v>
      </c>
      <c r="F421">
        <v>28</v>
      </c>
      <c r="G421">
        <v>0.25590000000000002</v>
      </c>
      <c r="H421">
        <v>5.2499999999999998E-2</v>
      </c>
      <c r="I421">
        <v>3.1259999999999999</v>
      </c>
    </row>
    <row r="422" spans="1:9" x14ac:dyDescent="0.3">
      <c r="A422">
        <f>LOOKUP(9E+307,--MID(D422,1,{1,2,3,4,5}))</f>
        <v>7.5</v>
      </c>
      <c r="B422">
        <f>VLOOKUP(MID(D422,LOOKUP(2,1/ISNUMBER(-MID(D422,1,{1,2,3,4,5})),{1,2,3,4,5})+1,9),'Hue codes'!$A$1:$B$10,2,FALSE)</f>
        <v>80</v>
      </c>
      <c r="C422">
        <f t="shared" si="6"/>
        <v>87.5</v>
      </c>
      <c r="D422" t="s">
        <v>55</v>
      </c>
      <c r="E422">
        <v>2</v>
      </c>
      <c r="F422">
        <v>2</v>
      </c>
      <c r="G422">
        <v>0.30709999999999998</v>
      </c>
      <c r="H422">
        <v>0.26469999999999999</v>
      </c>
      <c r="I422">
        <v>3.1259999999999999</v>
      </c>
    </row>
    <row r="423" spans="1:9" x14ac:dyDescent="0.3">
      <c r="A423">
        <f>LOOKUP(9E+307,--MID(D423,1,{1,2,3,4,5}))</f>
        <v>7.5</v>
      </c>
      <c r="B423">
        <f>VLOOKUP(MID(D423,LOOKUP(2,1/ISNUMBER(-MID(D423,1,{1,2,3,4,5})),{1,2,3,4,5})+1,9),'Hue codes'!$A$1:$B$10,2,FALSE)</f>
        <v>80</v>
      </c>
      <c r="C423">
        <f t="shared" si="6"/>
        <v>87.5</v>
      </c>
      <c r="D423" t="s">
        <v>55</v>
      </c>
      <c r="E423">
        <v>2</v>
      </c>
      <c r="F423">
        <v>4</v>
      </c>
      <c r="G423">
        <v>0.30480000000000002</v>
      </c>
      <c r="H423">
        <v>0.2321</v>
      </c>
      <c r="I423">
        <v>3.1259999999999999</v>
      </c>
    </row>
    <row r="424" spans="1:9" x14ac:dyDescent="0.3">
      <c r="A424">
        <f>LOOKUP(9E+307,--MID(D424,1,{1,2,3,4,5}))</f>
        <v>7.5</v>
      </c>
      <c r="B424">
        <f>VLOOKUP(MID(D424,LOOKUP(2,1/ISNUMBER(-MID(D424,1,{1,2,3,4,5})),{1,2,3,4,5})+1,9),'Hue codes'!$A$1:$B$10,2,FALSE)</f>
        <v>80</v>
      </c>
      <c r="C424">
        <f t="shared" si="6"/>
        <v>87.5</v>
      </c>
      <c r="D424" t="s">
        <v>55</v>
      </c>
      <c r="E424">
        <v>2</v>
      </c>
      <c r="F424">
        <v>6</v>
      </c>
      <c r="G424">
        <v>0.30249999999999999</v>
      </c>
      <c r="H424">
        <v>0.20580000000000001</v>
      </c>
      <c r="I424">
        <v>3.1259999999999999</v>
      </c>
    </row>
    <row r="425" spans="1:9" x14ac:dyDescent="0.3">
      <c r="A425">
        <f>LOOKUP(9E+307,--MID(D425,1,{1,2,3,4,5}))</f>
        <v>7.5</v>
      </c>
      <c r="B425">
        <f>VLOOKUP(MID(D425,LOOKUP(2,1/ISNUMBER(-MID(D425,1,{1,2,3,4,5})),{1,2,3,4,5})+1,9),'Hue codes'!$A$1:$B$10,2,FALSE)</f>
        <v>80</v>
      </c>
      <c r="C425">
        <f t="shared" si="6"/>
        <v>87.5</v>
      </c>
      <c r="D425" t="s">
        <v>55</v>
      </c>
      <c r="E425">
        <v>2</v>
      </c>
      <c r="F425">
        <v>8</v>
      </c>
      <c r="G425">
        <v>0.3</v>
      </c>
      <c r="H425">
        <v>0.17810000000000001</v>
      </c>
      <c r="I425">
        <v>3.1259999999999999</v>
      </c>
    </row>
    <row r="426" spans="1:9" x14ac:dyDescent="0.3">
      <c r="A426">
        <f>LOOKUP(9E+307,--MID(D426,1,{1,2,3,4,5}))</f>
        <v>7.5</v>
      </c>
      <c r="B426">
        <f>VLOOKUP(MID(D426,LOOKUP(2,1/ISNUMBER(-MID(D426,1,{1,2,3,4,5})),{1,2,3,4,5})+1,9),'Hue codes'!$A$1:$B$10,2,FALSE)</f>
        <v>80</v>
      </c>
      <c r="C426">
        <f t="shared" si="6"/>
        <v>87.5</v>
      </c>
      <c r="D426" t="s">
        <v>55</v>
      </c>
      <c r="E426">
        <v>2</v>
      </c>
      <c r="F426">
        <v>10</v>
      </c>
      <c r="G426">
        <v>0.2979</v>
      </c>
      <c r="H426">
        <v>0.15690000000000001</v>
      </c>
      <c r="I426">
        <v>3.1259999999999999</v>
      </c>
    </row>
    <row r="427" spans="1:9" x14ac:dyDescent="0.3">
      <c r="A427">
        <f>LOOKUP(9E+307,--MID(D427,1,{1,2,3,4,5}))</f>
        <v>7.5</v>
      </c>
      <c r="B427">
        <f>VLOOKUP(MID(D427,LOOKUP(2,1/ISNUMBER(-MID(D427,1,{1,2,3,4,5})),{1,2,3,4,5})+1,9),'Hue codes'!$A$1:$B$10,2,FALSE)</f>
        <v>80</v>
      </c>
      <c r="C427">
        <f t="shared" si="6"/>
        <v>87.5</v>
      </c>
      <c r="D427" t="s">
        <v>55</v>
      </c>
      <c r="E427">
        <v>2</v>
      </c>
      <c r="F427">
        <v>12</v>
      </c>
      <c r="G427">
        <v>0.29559999999999997</v>
      </c>
      <c r="H427">
        <v>0.13919999999999999</v>
      </c>
      <c r="I427">
        <v>3.1259999999999999</v>
      </c>
    </row>
    <row r="428" spans="1:9" x14ac:dyDescent="0.3">
      <c r="A428">
        <f>LOOKUP(9E+307,--MID(D428,1,{1,2,3,4,5}))</f>
        <v>7.5</v>
      </c>
      <c r="B428">
        <f>VLOOKUP(MID(D428,LOOKUP(2,1/ISNUMBER(-MID(D428,1,{1,2,3,4,5})),{1,2,3,4,5})+1,9),'Hue codes'!$A$1:$B$10,2,FALSE)</f>
        <v>80</v>
      </c>
      <c r="C428">
        <f t="shared" si="6"/>
        <v>87.5</v>
      </c>
      <c r="D428" t="s">
        <v>55</v>
      </c>
      <c r="E428">
        <v>2</v>
      </c>
      <c r="F428">
        <v>14</v>
      </c>
      <c r="G428">
        <v>0.29380000000000001</v>
      </c>
      <c r="H428">
        <v>0.1235</v>
      </c>
      <c r="I428">
        <v>3.1259999999999999</v>
      </c>
    </row>
    <row r="429" spans="1:9" x14ac:dyDescent="0.3">
      <c r="A429">
        <f>LOOKUP(9E+307,--MID(D429,1,{1,2,3,4,5}))</f>
        <v>7.5</v>
      </c>
      <c r="B429">
        <f>VLOOKUP(MID(D429,LOOKUP(2,1/ISNUMBER(-MID(D429,1,{1,2,3,4,5})),{1,2,3,4,5})+1,9),'Hue codes'!$A$1:$B$10,2,FALSE)</f>
        <v>80</v>
      </c>
      <c r="C429">
        <f t="shared" si="6"/>
        <v>87.5</v>
      </c>
      <c r="D429" t="s">
        <v>55</v>
      </c>
      <c r="E429">
        <v>2</v>
      </c>
      <c r="F429">
        <v>16</v>
      </c>
      <c r="G429">
        <v>0.29220000000000002</v>
      </c>
      <c r="H429">
        <v>0.1106</v>
      </c>
      <c r="I429">
        <v>3.1259999999999999</v>
      </c>
    </row>
    <row r="430" spans="1:9" x14ac:dyDescent="0.3">
      <c r="A430">
        <f>LOOKUP(9E+307,--MID(D430,1,{1,2,3,4,5}))</f>
        <v>7.5</v>
      </c>
      <c r="B430">
        <f>VLOOKUP(MID(D430,LOOKUP(2,1/ISNUMBER(-MID(D430,1,{1,2,3,4,5})),{1,2,3,4,5})+1,9),'Hue codes'!$A$1:$B$10,2,FALSE)</f>
        <v>80</v>
      </c>
      <c r="C430">
        <f t="shared" si="6"/>
        <v>87.5</v>
      </c>
      <c r="D430" t="s">
        <v>55</v>
      </c>
      <c r="E430">
        <v>2</v>
      </c>
      <c r="F430">
        <v>18</v>
      </c>
      <c r="G430">
        <v>0.29120000000000001</v>
      </c>
      <c r="H430">
        <v>9.9500000000000005E-2</v>
      </c>
      <c r="I430">
        <v>3.1259999999999999</v>
      </c>
    </row>
    <row r="431" spans="1:9" x14ac:dyDescent="0.3">
      <c r="A431">
        <f>LOOKUP(9E+307,--MID(D431,1,{1,2,3,4,5}))</f>
        <v>7.5</v>
      </c>
      <c r="B431">
        <f>VLOOKUP(MID(D431,LOOKUP(2,1/ISNUMBER(-MID(D431,1,{1,2,3,4,5})),{1,2,3,4,5})+1,9),'Hue codes'!$A$1:$B$10,2,FALSE)</f>
        <v>80</v>
      </c>
      <c r="C431">
        <f t="shared" si="6"/>
        <v>87.5</v>
      </c>
      <c r="D431" t="s">
        <v>55</v>
      </c>
      <c r="E431">
        <v>2</v>
      </c>
      <c r="F431">
        <v>20</v>
      </c>
      <c r="G431">
        <v>0.29020000000000001</v>
      </c>
      <c r="H431">
        <v>9.01E-2</v>
      </c>
      <c r="I431">
        <v>3.1259999999999999</v>
      </c>
    </row>
    <row r="432" spans="1:9" x14ac:dyDescent="0.3">
      <c r="A432">
        <f>LOOKUP(9E+307,--MID(D432,1,{1,2,3,4,5}))</f>
        <v>7.5</v>
      </c>
      <c r="B432">
        <f>VLOOKUP(MID(D432,LOOKUP(2,1/ISNUMBER(-MID(D432,1,{1,2,3,4,5})),{1,2,3,4,5})+1,9),'Hue codes'!$A$1:$B$10,2,FALSE)</f>
        <v>80</v>
      </c>
      <c r="C432">
        <f t="shared" si="6"/>
        <v>87.5</v>
      </c>
      <c r="D432" t="s">
        <v>55</v>
      </c>
      <c r="E432">
        <v>2</v>
      </c>
      <c r="F432">
        <v>22</v>
      </c>
      <c r="G432">
        <v>0.28899999999999998</v>
      </c>
      <c r="H432">
        <v>7.9899999999999999E-2</v>
      </c>
      <c r="I432">
        <v>3.1259999999999999</v>
      </c>
    </row>
    <row r="433" spans="1:9" x14ac:dyDescent="0.3">
      <c r="A433">
        <f>LOOKUP(9E+307,--MID(D433,1,{1,2,3,4,5}))</f>
        <v>7.5</v>
      </c>
      <c r="B433">
        <f>VLOOKUP(MID(D433,LOOKUP(2,1/ISNUMBER(-MID(D433,1,{1,2,3,4,5})),{1,2,3,4,5})+1,9),'Hue codes'!$A$1:$B$10,2,FALSE)</f>
        <v>80</v>
      </c>
      <c r="C433">
        <f t="shared" si="6"/>
        <v>87.5</v>
      </c>
      <c r="D433" t="s">
        <v>55</v>
      </c>
      <c r="E433">
        <v>2</v>
      </c>
      <c r="F433">
        <v>24</v>
      </c>
      <c r="G433">
        <v>0.28820000000000001</v>
      </c>
      <c r="H433">
        <v>7.1900000000000006E-2</v>
      </c>
      <c r="I433">
        <v>3.1259999999999999</v>
      </c>
    </row>
    <row r="434" spans="1:9" x14ac:dyDescent="0.3">
      <c r="A434">
        <f>LOOKUP(9E+307,--MID(D434,1,{1,2,3,4,5}))</f>
        <v>10</v>
      </c>
      <c r="B434">
        <f>VLOOKUP(MID(D434,LOOKUP(2,1/ISNUMBER(-MID(D434,1,{1,2,3,4,5})),{1,2,3,4,5})+1,9),'Hue codes'!$A$1:$B$10,2,FALSE)</f>
        <v>80</v>
      </c>
      <c r="C434">
        <f t="shared" si="6"/>
        <v>90</v>
      </c>
      <c r="D434" t="s">
        <v>56</v>
      </c>
      <c r="E434">
        <v>2</v>
      </c>
      <c r="F434">
        <v>2</v>
      </c>
      <c r="G434">
        <v>0.31609999999999999</v>
      </c>
      <c r="H434">
        <v>0.26910000000000001</v>
      </c>
      <c r="I434">
        <v>3.1259999999999999</v>
      </c>
    </row>
    <row r="435" spans="1:9" x14ac:dyDescent="0.3">
      <c r="A435">
        <f>LOOKUP(9E+307,--MID(D435,1,{1,2,3,4,5}))</f>
        <v>10</v>
      </c>
      <c r="B435">
        <f>VLOOKUP(MID(D435,LOOKUP(2,1/ISNUMBER(-MID(D435,1,{1,2,3,4,5})),{1,2,3,4,5})+1,9),'Hue codes'!$A$1:$B$10,2,FALSE)</f>
        <v>80</v>
      </c>
      <c r="C435">
        <f t="shared" si="6"/>
        <v>90</v>
      </c>
      <c r="D435" t="s">
        <v>56</v>
      </c>
      <c r="E435">
        <v>2</v>
      </c>
      <c r="F435">
        <v>4</v>
      </c>
      <c r="G435">
        <v>0.31890000000000002</v>
      </c>
      <c r="H435">
        <v>0.23899999999999999</v>
      </c>
      <c r="I435">
        <v>3.1259999999999999</v>
      </c>
    </row>
    <row r="436" spans="1:9" x14ac:dyDescent="0.3">
      <c r="A436">
        <f>LOOKUP(9E+307,--MID(D436,1,{1,2,3,4,5}))</f>
        <v>10</v>
      </c>
      <c r="B436">
        <f>VLOOKUP(MID(D436,LOOKUP(2,1/ISNUMBER(-MID(D436,1,{1,2,3,4,5})),{1,2,3,4,5})+1,9),'Hue codes'!$A$1:$B$10,2,FALSE)</f>
        <v>80</v>
      </c>
      <c r="C436">
        <f t="shared" si="6"/>
        <v>90</v>
      </c>
      <c r="D436" t="s">
        <v>56</v>
      </c>
      <c r="E436">
        <v>2</v>
      </c>
      <c r="F436">
        <v>6</v>
      </c>
      <c r="G436">
        <v>0.32069999999999999</v>
      </c>
      <c r="H436">
        <v>0.2132</v>
      </c>
      <c r="I436">
        <v>3.1259999999999999</v>
      </c>
    </row>
    <row r="437" spans="1:9" x14ac:dyDescent="0.3">
      <c r="A437">
        <f>LOOKUP(9E+307,--MID(D437,1,{1,2,3,4,5}))</f>
        <v>10</v>
      </c>
      <c r="B437">
        <f>VLOOKUP(MID(D437,LOOKUP(2,1/ISNUMBER(-MID(D437,1,{1,2,3,4,5})),{1,2,3,4,5})+1,9),'Hue codes'!$A$1:$B$10,2,FALSE)</f>
        <v>80</v>
      </c>
      <c r="C437">
        <f t="shared" si="6"/>
        <v>90</v>
      </c>
      <c r="D437" t="s">
        <v>56</v>
      </c>
      <c r="E437">
        <v>2</v>
      </c>
      <c r="F437">
        <v>8</v>
      </c>
      <c r="G437">
        <v>0.32190000000000002</v>
      </c>
      <c r="H437">
        <v>0.1862</v>
      </c>
      <c r="I437">
        <v>3.1259999999999999</v>
      </c>
    </row>
    <row r="438" spans="1:9" x14ac:dyDescent="0.3">
      <c r="A438">
        <f>LOOKUP(9E+307,--MID(D438,1,{1,2,3,4,5}))</f>
        <v>10</v>
      </c>
      <c r="B438">
        <f>VLOOKUP(MID(D438,LOOKUP(2,1/ISNUMBER(-MID(D438,1,{1,2,3,4,5})),{1,2,3,4,5})+1,9),'Hue codes'!$A$1:$B$10,2,FALSE)</f>
        <v>80</v>
      </c>
      <c r="C438">
        <f t="shared" si="6"/>
        <v>90</v>
      </c>
      <c r="D438" t="s">
        <v>56</v>
      </c>
      <c r="E438">
        <v>2</v>
      </c>
      <c r="F438">
        <v>10</v>
      </c>
      <c r="G438">
        <v>0.32300000000000001</v>
      </c>
      <c r="H438">
        <v>0.16589999999999999</v>
      </c>
      <c r="I438">
        <v>3.1259999999999999</v>
      </c>
    </row>
    <row r="439" spans="1:9" x14ac:dyDescent="0.3">
      <c r="A439">
        <f>LOOKUP(9E+307,--MID(D439,1,{1,2,3,4,5}))</f>
        <v>10</v>
      </c>
      <c r="B439">
        <f>VLOOKUP(MID(D439,LOOKUP(2,1/ISNUMBER(-MID(D439,1,{1,2,3,4,5})),{1,2,3,4,5})+1,9),'Hue codes'!$A$1:$B$10,2,FALSE)</f>
        <v>80</v>
      </c>
      <c r="C439">
        <f t="shared" si="6"/>
        <v>90</v>
      </c>
      <c r="D439" t="s">
        <v>56</v>
      </c>
      <c r="E439">
        <v>2</v>
      </c>
      <c r="F439">
        <v>12</v>
      </c>
      <c r="G439">
        <v>0.32329999999999998</v>
      </c>
      <c r="H439">
        <v>0.1477</v>
      </c>
      <c r="I439">
        <v>3.1259999999999999</v>
      </c>
    </row>
    <row r="440" spans="1:9" x14ac:dyDescent="0.3">
      <c r="A440">
        <f>LOOKUP(9E+307,--MID(D440,1,{1,2,3,4,5}))</f>
        <v>10</v>
      </c>
      <c r="B440">
        <f>VLOOKUP(MID(D440,LOOKUP(2,1/ISNUMBER(-MID(D440,1,{1,2,3,4,5})),{1,2,3,4,5})+1,9),'Hue codes'!$A$1:$B$10,2,FALSE)</f>
        <v>80</v>
      </c>
      <c r="C440">
        <f t="shared" si="6"/>
        <v>90</v>
      </c>
      <c r="D440" t="s">
        <v>56</v>
      </c>
      <c r="E440">
        <v>2</v>
      </c>
      <c r="F440">
        <v>14</v>
      </c>
      <c r="G440">
        <v>0.32350000000000001</v>
      </c>
      <c r="H440">
        <v>0.13170000000000001</v>
      </c>
      <c r="I440">
        <v>3.1259999999999999</v>
      </c>
    </row>
    <row r="441" spans="1:9" x14ac:dyDescent="0.3">
      <c r="A441">
        <f>LOOKUP(9E+307,--MID(D441,1,{1,2,3,4,5}))</f>
        <v>10</v>
      </c>
      <c r="B441">
        <f>VLOOKUP(MID(D441,LOOKUP(2,1/ISNUMBER(-MID(D441,1,{1,2,3,4,5})),{1,2,3,4,5})+1,9),'Hue codes'!$A$1:$B$10,2,FALSE)</f>
        <v>80</v>
      </c>
      <c r="C441">
        <f t="shared" si="6"/>
        <v>90</v>
      </c>
      <c r="D441" t="s">
        <v>56</v>
      </c>
      <c r="E441">
        <v>2</v>
      </c>
      <c r="F441">
        <v>16</v>
      </c>
      <c r="G441">
        <v>0.32350000000000001</v>
      </c>
      <c r="H441">
        <v>0.1181</v>
      </c>
      <c r="I441">
        <v>3.1259999999999999</v>
      </c>
    </row>
    <row r="442" spans="1:9" x14ac:dyDescent="0.3">
      <c r="A442">
        <f>LOOKUP(9E+307,--MID(D442,1,{1,2,3,4,5}))</f>
        <v>10</v>
      </c>
      <c r="B442">
        <f>VLOOKUP(MID(D442,LOOKUP(2,1/ISNUMBER(-MID(D442,1,{1,2,3,4,5})),{1,2,3,4,5})+1,9),'Hue codes'!$A$1:$B$10,2,FALSE)</f>
        <v>80</v>
      </c>
      <c r="C442">
        <f t="shared" si="6"/>
        <v>90</v>
      </c>
      <c r="D442" t="s">
        <v>56</v>
      </c>
      <c r="E442">
        <v>2</v>
      </c>
      <c r="F442">
        <v>18</v>
      </c>
      <c r="G442">
        <v>0.32329999999999998</v>
      </c>
      <c r="H442">
        <v>0.10630000000000001</v>
      </c>
      <c r="I442">
        <v>3.1259999999999999</v>
      </c>
    </row>
    <row r="443" spans="1:9" x14ac:dyDescent="0.3">
      <c r="A443">
        <f>LOOKUP(9E+307,--MID(D443,1,{1,2,3,4,5}))</f>
        <v>10</v>
      </c>
      <c r="B443">
        <f>VLOOKUP(MID(D443,LOOKUP(2,1/ISNUMBER(-MID(D443,1,{1,2,3,4,5})),{1,2,3,4,5})+1,9),'Hue codes'!$A$1:$B$10,2,FALSE)</f>
        <v>80</v>
      </c>
      <c r="C443">
        <f t="shared" si="6"/>
        <v>90</v>
      </c>
      <c r="D443" t="s">
        <v>56</v>
      </c>
      <c r="E443">
        <v>2</v>
      </c>
      <c r="F443">
        <v>20</v>
      </c>
      <c r="G443">
        <v>0.3231</v>
      </c>
      <c r="H443">
        <v>9.6199999999999994E-2</v>
      </c>
      <c r="I443">
        <v>3.1259999999999999</v>
      </c>
    </row>
    <row r="444" spans="1:9" x14ac:dyDescent="0.3">
      <c r="A444">
        <f>LOOKUP(9E+307,--MID(D444,1,{1,2,3,4,5}))</f>
        <v>10</v>
      </c>
      <c r="B444">
        <f>VLOOKUP(MID(D444,LOOKUP(2,1/ISNUMBER(-MID(D444,1,{1,2,3,4,5})),{1,2,3,4,5})+1,9),'Hue codes'!$A$1:$B$10,2,FALSE)</f>
        <v>80</v>
      </c>
      <c r="C444">
        <f t="shared" si="6"/>
        <v>90</v>
      </c>
      <c r="D444" t="s">
        <v>56</v>
      </c>
      <c r="E444">
        <v>2</v>
      </c>
      <c r="F444">
        <v>22</v>
      </c>
      <c r="G444">
        <v>0.32300000000000001</v>
      </c>
      <c r="H444">
        <v>8.6099999999999996E-2</v>
      </c>
      <c r="I444">
        <v>3.1259999999999999</v>
      </c>
    </row>
    <row r="445" spans="1:9" x14ac:dyDescent="0.3">
      <c r="A445">
        <f>LOOKUP(9E+307,--MID(D445,1,{1,2,3,4,5}))</f>
        <v>2.5</v>
      </c>
      <c r="B445">
        <f>VLOOKUP(MID(D445,LOOKUP(2,1/ISNUMBER(-MID(D445,1,{1,2,3,4,5})),{1,2,3,4,5})+1,9),'Hue codes'!$A$1:$B$10,2,FALSE)</f>
        <v>90</v>
      </c>
      <c r="C445">
        <f t="shared" si="6"/>
        <v>92.5</v>
      </c>
      <c r="D445" t="s">
        <v>57</v>
      </c>
      <c r="E445">
        <v>2</v>
      </c>
      <c r="F445">
        <v>2</v>
      </c>
      <c r="G445">
        <v>0.32790000000000002</v>
      </c>
      <c r="H445">
        <v>0.27539999999999998</v>
      </c>
      <c r="I445">
        <v>3.1259999999999999</v>
      </c>
    </row>
    <row r="446" spans="1:9" x14ac:dyDescent="0.3">
      <c r="A446">
        <f>LOOKUP(9E+307,--MID(D446,1,{1,2,3,4,5}))</f>
        <v>2.5</v>
      </c>
      <c r="B446">
        <f>VLOOKUP(MID(D446,LOOKUP(2,1/ISNUMBER(-MID(D446,1,{1,2,3,4,5})),{1,2,3,4,5})+1,9),'Hue codes'!$A$1:$B$10,2,FALSE)</f>
        <v>90</v>
      </c>
      <c r="C446">
        <f t="shared" si="6"/>
        <v>92.5</v>
      </c>
      <c r="D446" t="s">
        <v>57</v>
      </c>
      <c r="E446">
        <v>2</v>
      </c>
      <c r="F446">
        <v>4</v>
      </c>
      <c r="G446">
        <v>0.3382</v>
      </c>
      <c r="H446">
        <v>0.24959999999999999</v>
      </c>
      <c r="I446">
        <v>3.1259999999999999</v>
      </c>
    </row>
    <row r="447" spans="1:9" x14ac:dyDescent="0.3">
      <c r="A447">
        <f>LOOKUP(9E+307,--MID(D447,1,{1,2,3,4,5}))</f>
        <v>2.5</v>
      </c>
      <c r="B447">
        <f>VLOOKUP(MID(D447,LOOKUP(2,1/ISNUMBER(-MID(D447,1,{1,2,3,4,5})),{1,2,3,4,5})+1,9),'Hue codes'!$A$1:$B$10,2,FALSE)</f>
        <v>90</v>
      </c>
      <c r="C447">
        <f t="shared" si="6"/>
        <v>92.5</v>
      </c>
      <c r="D447" t="s">
        <v>57</v>
      </c>
      <c r="E447">
        <v>2</v>
      </c>
      <c r="F447">
        <v>6</v>
      </c>
      <c r="G447">
        <v>0.34699999999999998</v>
      </c>
      <c r="H447">
        <v>0.22589999999999999</v>
      </c>
      <c r="I447">
        <v>3.1259999999999999</v>
      </c>
    </row>
    <row r="448" spans="1:9" x14ac:dyDescent="0.3">
      <c r="A448">
        <f>LOOKUP(9E+307,--MID(D448,1,{1,2,3,4,5}))</f>
        <v>2.5</v>
      </c>
      <c r="B448">
        <f>VLOOKUP(MID(D448,LOOKUP(2,1/ISNUMBER(-MID(D448,1,{1,2,3,4,5})),{1,2,3,4,5})+1,9),'Hue codes'!$A$1:$B$10,2,FALSE)</f>
        <v>90</v>
      </c>
      <c r="C448">
        <f t="shared" si="6"/>
        <v>92.5</v>
      </c>
      <c r="D448" t="s">
        <v>57</v>
      </c>
      <c r="E448">
        <v>2</v>
      </c>
      <c r="F448">
        <v>8</v>
      </c>
      <c r="G448">
        <v>0.35549999999999998</v>
      </c>
      <c r="H448">
        <v>0.20030000000000001</v>
      </c>
      <c r="I448">
        <v>3.1259999999999999</v>
      </c>
    </row>
    <row r="449" spans="1:9" x14ac:dyDescent="0.3">
      <c r="A449">
        <f>LOOKUP(9E+307,--MID(D449,1,{1,2,3,4,5}))</f>
        <v>2.5</v>
      </c>
      <c r="B449">
        <f>VLOOKUP(MID(D449,LOOKUP(2,1/ISNUMBER(-MID(D449,1,{1,2,3,4,5})),{1,2,3,4,5})+1,9),'Hue codes'!$A$1:$B$10,2,FALSE)</f>
        <v>90</v>
      </c>
      <c r="C449">
        <f t="shared" si="6"/>
        <v>92.5</v>
      </c>
      <c r="D449" t="s">
        <v>57</v>
      </c>
      <c r="E449">
        <v>2</v>
      </c>
      <c r="F449">
        <v>10</v>
      </c>
      <c r="G449">
        <v>0.36170000000000002</v>
      </c>
      <c r="H449">
        <v>0.18</v>
      </c>
      <c r="I449">
        <v>3.1259999999999999</v>
      </c>
    </row>
    <row r="450" spans="1:9" x14ac:dyDescent="0.3">
      <c r="A450">
        <f>LOOKUP(9E+307,--MID(D450,1,{1,2,3,4,5}))</f>
        <v>2.5</v>
      </c>
      <c r="B450">
        <f>VLOOKUP(MID(D450,LOOKUP(2,1/ISNUMBER(-MID(D450,1,{1,2,3,4,5})),{1,2,3,4,5})+1,9),'Hue codes'!$A$1:$B$10,2,FALSE)</f>
        <v>90</v>
      </c>
      <c r="C450">
        <f t="shared" si="6"/>
        <v>92.5</v>
      </c>
      <c r="D450" t="s">
        <v>57</v>
      </c>
      <c r="E450">
        <v>2</v>
      </c>
      <c r="F450">
        <v>12</v>
      </c>
      <c r="G450">
        <v>0.36680000000000001</v>
      </c>
      <c r="H450">
        <v>0.1618</v>
      </c>
      <c r="I450">
        <v>3.1259999999999999</v>
      </c>
    </row>
    <row r="451" spans="1:9" x14ac:dyDescent="0.3">
      <c r="A451">
        <f>LOOKUP(9E+307,--MID(D451,1,{1,2,3,4,5}))</f>
        <v>2.5</v>
      </c>
      <c r="B451">
        <f>VLOOKUP(MID(D451,LOOKUP(2,1/ISNUMBER(-MID(D451,1,{1,2,3,4,5})),{1,2,3,4,5})+1,9),'Hue codes'!$A$1:$B$10,2,FALSE)</f>
        <v>90</v>
      </c>
      <c r="C451">
        <f t="shared" ref="C451:C514" si="7">IF(A451+B451=100,0,A451+B451)</f>
        <v>92.5</v>
      </c>
      <c r="D451" t="s">
        <v>57</v>
      </c>
      <c r="E451">
        <v>2</v>
      </c>
      <c r="F451">
        <v>14</v>
      </c>
      <c r="G451">
        <v>0.37109999999999999</v>
      </c>
      <c r="H451">
        <v>0.1449</v>
      </c>
      <c r="I451">
        <v>3.1259999999999999</v>
      </c>
    </row>
    <row r="452" spans="1:9" x14ac:dyDescent="0.3">
      <c r="A452">
        <f>LOOKUP(9E+307,--MID(D452,1,{1,2,3,4,5}))</f>
        <v>2.5</v>
      </c>
      <c r="B452">
        <f>VLOOKUP(MID(D452,LOOKUP(2,1/ISNUMBER(-MID(D452,1,{1,2,3,4,5})),{1,2,3,4,5})+1,9),'Hue codes'!$A$1:$B$10,2,FALSE)</f>
        <v>90</v>
      </c>
      <c r="C452">
        <f t="shared" si="7"/>
        <v>92.5</v>
      </c>
      <c r="D452" t="s">
        <v>57</v>
      </c>
      <c r="E452">
        <v>2</v>
      </c>
      <c r="F452">
        <v>16</v>
      </c>
      <c r="G452">
        <v>0.37480000000000002</v>
      </c>
      <c r="H452">
        <v>0.13100000000000001</v>
      </c>
      <c r="I452">
        <v>3.1259999999999999</v>
      </c>
    </row>
    <row r="453" spans="1:9" x14ac:dyDescent="0.3">
      <c r="A453">
        <f>LOOKUP(9E+307,--MID(D453,1,{1,2,3,4,5}))</f>
        <v>2.5</v>
      </c>
      <c r="B453">
        <f>VLOOKUP(MID(D453,LOOKUP(2,1/ISNUMBER(-MID(D453,1,{1,2,3,4,5})),{1,2,3,4,5})+1,9),'Hue codes'!$A$1:$B$10,2,FALSE)</f>
        <v>90</v>
      </c>
      <c r="C453">
        <f t="shared" si="7"/>
        <v>92.5</v>
      </c>
      <c r="D453" t="s">
        <v>57</v>
      </c>
      <c r="E453">
        <v>2</v>
      </c>
      <c r="F453">
        <v>18</v>
      </c>
      <c r="G453">
        <v>0.37780000000000002</v>
      </c>
      <c r="H453">
        <v>0.1188</v>
      </c>
      <c r="I453">
        <v>3.1259999999999999</v>
      </c>
    </row>
    <row r="454" spans="1:9" x14ac:dyDescent="0.3">
      <c r="A454">
        <f>LOOKUP(9E+307,--MID(D454,1,{1,2,3,4,5}))</f>
        <v>2.5</v>
      </c>
      <c r="B454">
        <f>VLOOKUP(MID(D454,LOOKUP(2,1/ISNUMBER(-MID(D454,1,{1,2,3,4,5})),{1,2,3,4,5})+1,9),'Hue codes'!$A$1:$B$10,2,FALSE)</f>
        <v>90</v>
      </c>
      <c r="C454">
        <f t="shared" si="7"/>
        <v>92.5</v>
      </c>
      <c r="D454" t="s">
        <v>57</v>
      </c>
      <c r="E454">
        <v>2</v>
      </c>
      <c r="F454">
        <v>20</v>
      </c>
      <c r="G454">
        <v>0.38019999999999998</v>
      </c>
      <c r="H454">
        <v>0.108</v>
      </c>
      <c r="I454">
        <v>3.1259999999999999</v>
      </c>
    </row>
    <row r="455" spans="1:9" x14ac:dyDescent="0.3">
      <c r="A455">
        <f>LOOKUP(9E+307,--MID(D455,1,{1,2,3,4,5}))</f>
        <v>5</v>
      </c>
      <c r="B455">
        <f>VLOOKUP(MID(D455,LOOKUP(2,1/ISNUMBER(-MID(D455,1,{1,2,3,4,5})),{1,2,3,4,5})+1,9),'Hue codes'!$A$1:$B$10,2,FALSE)</f>
        <v>90</v>
      </c>
      <c r="C455">
        <f t="shared" si="7"/>
        <v>95</v>
      </c>
      <c r="D455" t="s">
        <v>58</v>
      </c>
      <c r="E455">
        <v>2</v>
      </c>
      <c r="F455">
        <v>2</v>
      </c>
      <c r="G455">
        <v>0.33829999999999999</v>
      </c>
      <c r="H455">
        <v>0.28289999999999998</v>
      </c>
      <c r="I455">
        <v>3.1259999999999999</v>
      </c>
    </row>
    <row r="456" spans="1:9" x14ac:dyDescent="0.3">
      <c r="A456">
        <f>LOOKUP(9E+307,--MID(D456,1,{1,2,3,4,5}))</f>
        <v>5</v>
      </c>
      <c r="B456">
        <f>VLOOKUP(MID(D456,LOOKUP(2,1/ISNUMBER(-MID(D456,1,{1,2,3,4,5})),{1,2,3,4,5})+1,9),'Hue codes'!$A$1:$B$10,2,FALSE)</f>
        <v>90</v>
      </c>
      <c r="C456">
        <f t="shared" si="7"/>
        <v>95</v>
      </c>
      <c r="D456" t="s">
        <v>58</v>
      </c>
      <c r="E456">
        <v>2</v>
      </c>
      <c r="F456">
        <v>4</v>
      </c>
      <c r="G456">
        <v>0.35580000000000001</v>
      </c>
      <c r="H456">
        <v>0.25969999999999999</v>
      </c>
      <c r="I456">
        <v>3.1259999999999999</v>
      </c>
    </row>
    <row r="457" spans="1:9" x14ac:dyDescent="0.3">
      <c r="A457">
        <f>LOOKUP(9E+307,--MID(D457,1,{1,2,3,4,5}))</f>
        <v>5</v>
      </c>
      <c r="B457">
        <f>VLOOKUP(MID(D457,LOOKUP(2,1/ISNUMBER(-MID(D457,1,{1,2,3,4,5})),{1,2,3,4,5})+1,9),'Hue codes'!$A$1:$B$10,2,FALSE)</f>
        <v>90</v>
      </c>
      <c r="C457">
        <f t="shared" si="7"/>
        <v>95</v>
      </c>
      <c r="D457" t="s">
        <v>58</v>
      </c>
      <c r="E457">
        <v>2</v>
      </c>
      <c r="F457">
        <v>6</v>
      </c>
      <c r="G457">
        <v>0.37080000000000002</v>
      </c>
      <c r="H457">
        <v>0.23799999999999999</v>
      </c>
      <c r="I457">
        <v>3.1259999999999999</v>
      </c>
    </row>
    <row r="458" spans="1:9" x14ac:dyDescent="0.3">
      <c r="A458">
        <f>LOOKUP(9E+307,--MID(D458,1,{1,2,3,4,5}))</f>
        <v>5</v>
      </c>
      <c r="B458">
        <f>VLOOKUP(MID(D458,LOOKUP(2,1/ISNUMBER(-MID(D458,1,{1,2,3,4,5})),{1,2,3,4,5})+1,9),'Hue codes'!$A$1:$B$10,2,FALSE)</f>
        <v>90</v>
      </c>
      <c r="C458">
        <f t="shared" si="7"/>
        <v>95</v>
      </c>
      <c r="D458" t="s">
        <v>58</v>
      </c>
      <c r="E458">
        <v>2</v>
      </c>
      <c r="F458">
        <v>8</v>
      </c>
      <c r="G458">
        <v>0.38579999999999998</v>
      </c>
      <c r="H458">
        <v>0.214</v>
      </c>
      <c r="I458">
        <v>3.1259999999999999</v>
      </c>
    </row>
    <row r="459" spans="1:9" x14ac:dyDescent="0.3">
      <c r="A459">
        <f>LOOKUP(9E+307,--MID(D459,1,{1,2,3,4,5}))</f>
        <v>5</v>
      </c>
      <c r="B459">
        <f>VLOOKUP(MID(D459,LOOKUP(2,1/ISNUMBER(-MID(D459,1,{1,2,3,4,5})),{1,2,3,4,5})+1,9),'Hue codes'!$A$1:$B$10,2,FALSE)</f>
        <v>90</v>
      </c>
      <c r="C459">
        <f t="shared" si="7"/>
        <v>95</v>
      </c>
      <c r="D459" t="s">
        <v>58</v>
      </c>
      <c r="E459">
        <v>2</v>
      </c>
      <c r="F459">
        <v>10</v>
      </c>
      <c r="G459">
        <v>0.39710000000000001</v>
      </c>
      <c r="H459">
        <v>0.19389999999999999</v>
      </c>
      <c r="I459">
        <v>3.1259999999999999</v>
      </c>
    </row>
    <row r="460" spans="1:9" x14ac:dyDescent="0.3">
      <c r="A460">
        <f>LOOKUP(9E+307,--MID(D460,1,{1,2,3,4,5}))</f>
        <v>5</v>
      </c>
      <c r="B460">
        <f>VLOOKUP(MID(D460,LOOKUP(2,1/ISNUMBER(-MID(D460,1,{1,2,3,4,5})),{1,2,3,4,5})+1,9),'Hue codes'!$A$1:$B$10,2,FALSE)</f>
        <v>90</v>
      </c>
      <c r="C460">
        <f t="shared" si="7"/>
        <v>95</v>
      </c>
      <c r="D460" t="s">
        <v>58</v>
      </c>
      <c r="E460">
        <v>2</v>
      </c>
      <c r="F460">
        <v>12</v>
      </c>
      <c r="G460">
        <v>0.40799999999999997</v>
      </c>
      <c r="H460">
        <v>0.1764</v>
      </c>
      <c r="I460">
        <v>3.1259999999999999</v>
      </c>
    </row>
    <row r="461" spans="1:9" x14ac:dyDescent="0.3">
      <c r="A461">
        <f>LOOKUP(9E+307,--MID(D461,1,{1,2,3,4,5}))</f>
        <v>5</v>
      </c>
      <c r="B461">
        <f>VLOOKUP(MID(D461,LOOKUP(2,1/ISNUMBER(-MID(D461,1,{1,2,3,4,5})),{1,2,3,4,5})+1,9),'Hue codes'!$A$1:$B$10,2,FALSE)</f>
        <v>90</v>
      </c>
      <c r="C461">
        <f t="shared" si="7"/>
        <v>95</v>
      </c>
      <c r="D461" t="s">
        <v>58</v>
      </c>
      <c r="E461">
        <v>2</v>
      </c>
      <c r="F461">
        <v>14</v>
      </c>
      <c r="G461">
        <v>0.41799999999999998</v>
      </c>
      <c r="H461">
        <v>0.1598</v>
      </c>
      <c r="I461">
        <v>3.1259999999999999</v>
      </c>
    </row>
    <row r="462" spans="1:9" x14ac:dyDescent="0.3">
      <c r="A462">
        <f>LOOKUP(9E+307,--MID(D462,1,{1,2,3,4,5}))</f>
        <v>5</v>
      </c>
      <c r="B462">
        <f>VLOOKUP(MID(D462,LOOKUP(2,1/ISNUMBER(-MID(D462,1,{1,2,3,4,5})),{1,2,3,4,5})+1,9),'Hue codes'!$A$1:$B$10,2,FALSE)</f>
        <v>90</v>
      </c>
      <c r="C462">
        <f t="shared" si="7"/>
        <v>95</v>
      </c>
      <c r="D462" t="s">
        <v>58</v>
      </c>
      <c r="E462">
        <v>2</v>
      </c>
      <c r="F462">
        <v>16</v>
      </c>
      <c r="G462">
        <v>0.4269</v>
      </c>
      <c r="H462">
        <v>0.1454</v>
      </c>
      <c r="I462">
        <v>3.1259999999999999</v>
      </c>
    </row>
    <row r="463" spans="1:9" x14ac:dyDescent="0.3">
      <c r="A463">
        <f>LOOKUP(9E+307,--MID(D463,1,{1,2,3,4,5}))</f>
        <v>5</v>
      </c>
      <c r="B463">
        <f>VLOOKUP(MID(D463,LOOKUP(2,1/ISNUMBER(-MID(D463,1,{1,2,3,4,5})),{1,2,3,4,5})+1,9),'Hue codes'!$A$1:$B$10,2,FALSE)</f>
        <v>90</v>
      </c>
      <c r="C463">
        <f t="shared" si="7"/>
        <v>95</v>
      </c>
      <c r="D463" t="s">
        <v>58</v>
      </c>
      <c r="E463">
        <v>2</v>
      </c>
      <c r="F463">
        <v>18</v>
      </c>
      <c r="G463">
        <v>0.43380000000000002</v>
      </c>
      <c r="H463">
        <v>0.13400000000000001</v>
      </c>
      <c r="I463">
        <v>3.1259999999999999</v>
      </c>
    </row>
    <row r="464" spans="1:9" x14ac:dyDescent="0.3">
      <c r="A464">
        <f>LOOKUP(9E+307,--MID(D464,1,{1,2,3,4,5}))</f>
        <v>7.5</v>
      </c>
      <c r="B464">
        <f>VLOOKUP(MID(D464,LOOKUP(2,1/ISNUMBER(-MID(D464,1,{1,2,3,4,5})),{1,2,3,4,5})+1,9),'Hue codes'!$A$1:$B$10,2,FALSE)</f>
        <v>90</v>
      </c>
      <c r="C464">
        <f t="shared" si="7"/>
        <v>97.5</v>
      </c>
      <c r="D464" t="s">
        <v>59</v>
      </c>
      <c r="E464">
        <v>2</v>
      </c>
      <c r="F464">
        <v>2</v>
      </c>
      <c r="G464">
        <v>0.34589999999999999</v>
      </c>
      <c r="H464">
        <v>0.28920000000000001</v>
      </c>
      <c r="I464">
        <v>3.1259999999999999</v>
      </c>
    </row>
    <row r="465" spans="1:9" x14ac:dyDescent="0.3">
      <c r="A465">
        <f>LOOKUP(9E+307,--MID(D465,1,{1,2,3,4,5}))</f>
        <v>7.5</v>
      </c>
      <c r="B465">
        <f>VLOOKUP(MID(D465,LOOKUP(2,1/ISNUMBER(-MID(D465,1,{1,2,3,4,5})),{1,2,3,4,5})+1,9),'Hue codes'!$A$1:$B$10,2,FALSE)</f>
        <v>90</v>
      </c>
      <c r="C465">
        <f t="shared" si="7"/>
        <v>97.5</v>
      </c>
      <c r="D465" t="s">
        <v>59</v>
      </c>
      <c r="E465">
        <v>2</v>
      </c>
      <c r="F465">
        <v>4</v>
      </c>
      <c r="G465">
        <v>0.37019999999999997</v>
      </c>
      <c r="H465">
        <v>0.26829999999999998</v>
      </c>
      <c r="I465">
        <v>3.1259999999999999</v>
      </c>
    </row>
    <row r="466" spans="1:9" x14ac:dyDescent="0.3">
      <c r="A466">
        <f>LOOKUP(9E+307,--MID(D466,1,{1,2,3,4,5}))</f>
        <v>7.5</v>
      </c>
      <c r="B466">
        <f>VLOOKUP(MID(D466,LOOKUP(2,1/ISNUMBER(-MID(D466,1,{1,2,3,4,5})),{1,2,3,4,5})+1,9),'Hue codes'!$A$1:$B$10,2,FALSE)</f>
        <v>90</v>
      </c>
      <c r="C466">
        <f t="shared" si="7"/>
        <v>97.5</v>
      </c>
      <c r="D466" t="s">
        <v>59</v>
      </c>
      <c r="E466">
        <v>2</v>
      </c>
      <c r="F466">
        <v>6</v>
      </c>
      <c r="G466">
        <v>0.39179999999999998</v>
      </c>
      <c r="H466">
        <v>0.249</v>
      </c>
      <c r="I466">
        <v>3.1259999999999999</v>
      </c>
    </row>
    <row r="467" spans="1:9" x14ac:dyDescent="0.3">
      <c r="A467">
        <f>LOOKUP(9E+307,--MID(D467,1,{1,2,3,4,5}))</f>
        <v>7.5</v>
      </c>
      <c r="B467">
        <f>VLOOKUP(MID(D467,LOOKUP(2,1/ISNUMBER(-MID(D467,1,{1,2,3,4,5})),{1,2,3,4,5})+1,9),'Hue codes'!$A$1:$B$10,2,FALSE)</f>
        <v>90</v>
      </c>
      <c r="C467">
        <f t="shared" si="7"/>
        <v>97.5</v>
      </c>
      <c r="D467" t="s">
        <v>59</v>
      </c>
      <c r="E467">
        <v>2</v>
      </c>
      <c r="F467">
        <v>8</v>
      </c>
      <c r="G467">
        <v>0.41370000000000001</v>
      </c>
      <c r="H467">
        <v>0.2276</v>
      </c>
      <c r="I467">
        <v>3.1259999999999999</v>
      </c>
    </row>
    <row r="468" spans="1:9" x14ac:dyDescent="0.3">
      <c r="A468">
        <f>LOOKUP(9E+307,--MID(D468,1,{1,2,3,4,5}))</f>
        <v>7.5</v>
      </c>
      <c r="B468">
        <f>VLOOKUP(MID(D468,LOOKUP(2,1/ISNUMBER(-MID(D468,1,{1,2,3,4,5})),{1,2,3,4,5})+1,9),'Hue codes'!$A$1:$B$10,2,FALSE)</f>
        <v>90</v>
      </c>
      <c r="C468">
        <f t="shared" si="7"/>
        <v>97.5</v>
      </c>
      <c r="D468" t="s">
        <v>59</v>
      </c>
      <c r="E468">
        <v>2</v>
      </c>
      <c r="F468">
        <v>10</v>
      </c>
      <c r="G468">
        <v>0.43209999999999998</v>
      </c>
      <c r="H468">
        <v>0.2082</v>
      </c>
      <c r="I468">
        <v>3.1259999999999999</v>
      </c>
    </row>
    <row r="469" spans="1:9" x14ac:dyDescent="0.3">
      <c r="A469">
        <f>LOOKUP(9E+307,--MID(D469,1,{1,2,3,4,5}))</f>
        <v>7.5</v>
      </c>
      <c r="B469">
        <f>VLOOKUP(MID(D469,LOOKUP(2,1/ISNUMBER(-MID(D469,1,{1,2,3,4,5})),{1,2,3,4,5})+1,9),'Hue codes'!$A$1:$B$10,2,FALSE)</f>
        <v>90</v>
      </c>
      <c r="C469">
        <f t="shared" si="7"/>
        <v>97.5</v>
      </c>
      <c r="D469" t="s">
        <v>59</v>
      </c>
      <c r="E469">
        <v>2</v>
      </c>
      <c r="F469">
        <v>12</v>
      </c>
      <c r="G469">
        <v>0.4481</v>
      </c>
      <c r="H469">
        <v>0.1903</v>
      </c>
      <c r="I469">
        <v>3.1259999999999999</v>
      </c>
    </row>
    <row r="470" spans="1:9" x14ac:dyDescent="0.3">
      <c r="A470">
        <f>LOOKUP(9E+307,--MID(D470,1,{1,2,3,4,5}))</f>
        <v>7.5</v>
      </c>
      <c r="B470">
        <f>VLOOKUP(MID(D470,LOOKUP(2,1/ISNUMBER(-MID(D470,1,{1,2,3,4,5})),{1,2,3,4,5})+1,9),'Hue codes'!$A$1:$B$10,2,FALSE)</f>
        <v>90</v>
      </c>
      <c r="C470">
        <f t="shared" si="7"/>
        <v>97.5</v>
      </c>
      <c r="D470" t="s">
        <v>59</v>
      </c>
      <c r="E470">
        <v>2</v>
      </c>
      <c r="F470">
        <v>14</v>
      </c>
      <c r="G470">
        <v>0.46239999999999998</v>
      </c>
      <c r="H470">
        <v>0.17369999999999999</v>
      </c>
      <c r="I470">
        <v>3.1259999999999999</v>
      </c>
    </row>
    <row r="471" spans="1:9" x14ac:dyDescent="0.3">
      <c r="A471">
        <f>LOOKUP(9E+307,--MID(D471,1,{1,2,3,4,5}))</f>
        <v>7.5</v>
      </c>
      <c r="B471">
        <f>VLOOKUP(MID(D471,LOOKUP(2,1/ISNUMBER(-MID(D471,1,{1,2,3,4,5})),{1,2,3,4,5})+1,9),'Hue codes'!$A$1:$B$10,2,FALSE)</f>
        <v>90</v>
      </c>
      <c r="C471">
        <f t="shared" si="7"/>
        <v>97.5</v>
      </c>
      <c r="D471" t="s">
        <v>59</v>
      </c>
      <c r="E471">
        <v>2</v>
      </c>
      <c r="F471">
        <v>16</v>
      </c>
      <c r="G471">
        <v>0.47439999999999999</v>
      </c>
      <c r="H471">
        <v>0.1595</v>
      </c>
      <c r="I471">
        <v>3.1259999999999999</v>
      </c>
    </row>
    <row r="472" spans="1:9" x14ac:dyDescent="0.3">
      <c r="A472">
        <f>LOOKUP(9E+307,--MID(D472,1,{1,2,3,4,5}))</f>
        <v>10</v>
      </c>
      <c r="B472">
        <f>VLOOKUP(MID(D472,LOOKUP(2,1/ISNUMBER(-MID(D472,1,{1,2,3,4,5})),{1,2,3,4,5})+1,9),'Hue codes'!$A$1:$B$10,2,FALSE)</f>
        <v>90</v>
      </c>
      <c r="C472">
        <f t="shared" si="7"/>
        <v>0</v>
      </c>
      <c r="D472" t="s">
        <v>20</v>
      </c>
      <c r="E472">
        <v>3</v>
      </c>
      <c r="F472">
        <v>2</v>
      </c>
      <c r="G472">
        <v>0.35260000000000002</v>
      </c>
      <c r="H472">
        <v>0.30680000000000002</v>
      </c>
      <c r="I472">
        <v>6.5549999999999997</v>
      </c>
    </row>
    <row r="473" spans="1:9" x14ac:dyDescent="0.3">
      <c r="A473">
        <f>LOOKUP(9E+307,--MID(D473,1,{1,2,3,4,5}))</f>
        <v>10</v>
      </c>
      <c r="B473">
        <f>VLOOKUP(MID(D473,LOOKUP(2,1/ISNUMBER(-MID(D473,1,{1,2,3,4,5})),{1,2,3,4,5})+1,9),'Hue codes'!$A$1:$B$10,2,FALSE)</f>
        <v>90</v>
      </c>
      <c r="C473">
        <f t="shared" si="7"/>
        <v>0</v>
      </c>
      <c r="D473" t="s">
        <v>20</v>
      </c>
      <c r="E473">
        <v>3</v>
      </c>
      <c r="F473">
        <v>4</v>
      </c>
      <c r="G473">
        <v>0.38890000000000002</v>
      </c>
      <c r="H473">
        <v>0.2969</v>
      </c>
      <c r="I473">
        <v>6.5549999999999997</v>
      </c>
    </row>
    <row r="474" spans="1:9" x14ac:dyDescent="0.3">
      <c r="A474">
        <f>LOOKUP(9E+307,--MID(D474,1,{1,2,3,4,5}))</f>
        <v>10</v>
      </c>
      <c r="B474">
        <f>VLOOKUP(MID(D474,LOOKUP(2,1/ISNUMBER(-MID(D474,1,{1,2,3,4,5})),{1,2,3,4,5})+1,9),'Hue codes'!$A$1:$B$10,2,FALSE)</f>
        <v>90</v>
      </c>
      <c r="C474">
        <f t="shared" si="7"/>
        <v>0</v>
      </c>
      <c r="D474" t="s">
        <v>20</v>
      </c>
      <c r="E474">
        <v>3</v>
      </c>
      <c r="F474">
        <v>6</v>
      </c>
      <c r="G474">
        <v>0.42180000000000001</v>
      </c>
      <c r="H474">
        <v>0.28639999999999999</v>
      </c>
      <c r="I474">
        <v>6.5549999999999997</v>
      </c>
    </row>
    <row r="475" spans="1:9" x14ac:dyDescent="0.3">
      <c r="A475">
        <f>LOOKUP(9E+307,--MID(D475,1,{1,2,3,4,5}))</f>
        <v>10</v>
      </c>
      <c r="B475">
        <f>VLOOKUP(MID(D475,LOOKUP(2,1/ISNUMBER(-MID(D475,1,{1,2,3,4,5})),{1,2,3,4,5})+1,9),'Hue codes'!$A$1:$B$10,2,FALSE)</f>
        <v>90</v>
      </c>
      <c r="C475">
        <f t="shared" si="7"/>
        <v>0</v>
      </c>
      <c r="D475" t="s">
        <v>20</v>
      </c>
      <c r="E475">
        <v>3</v>
      </c>
      <c r="F475">
        <v>8</v>
      </c>
      <c r="G475">
        <v>0.45519999999999999</v>
      </c>
      <c r="H475">
        <v>0.27410000000000001</v>
      </c>
      <c r="I475">
        <v>6.5549999999999997</v>
      </c>
    </row>
    <row r="476" spans="1:9" x14ac:dyDescent="0.3">
      <c r="A476">
        <f>LOOKUP(9E+307,--MID(D476,1,{1,2,3,4,5}))</f>
        <v>10</v>
      </c>
      <c r="B476">
        <f>VLOOKUP(MID(D476,LOOKUP(2,1/ISNUMBER(-MID(D476,1,{1,2,3,4,5})),{1,2,3,4,5})+1,9),'Hue codes'!$A$1:$B$10,2,FALSE)</f>
        <v>90</v>
      </c>
      <c r="C476">
        <f t="shared" si="7"/>
        <v>0</v>
      </c>
      <c r="D476" t="s">
        <v>20</v>
      </c>
      <c r="E476">
        <v>3</v>
      </c>
      <c r="F476">
        <v>10</v>
      </c>
      <c r="G476">
        <v>0.48509999999999998</v>
      </c>
      <c r="H476">
        <v>0.26179999999999998</v>
      </c>
      <c r="I476">
        <v>6.5549999999999997</v>
      </c>
    </row>
    <row r="477" spans="1:9" x14ac:dyDescent="0.3">
      <c r="A477">
        <f>LOOKUP(9E+307,--MID(D477,1,{1,2,3,4,5}))</f>
        <v>10</v>
      </c>
      <c r="B477">
        <f>VLOOKUP(MID(D477,LOOKUP(2,1/ISNUMBER(-MID(D477,1,{1,2,3,4,5})),{1,2,3,4,5})+1,9),'Hue codes'!$A$1:$B$10,2,FALSE)</f>
        <v>90</v>
      </c>
      <c r="C477">
        <f t="shared" si="7"/>
        <v>0</v>
      </c>
      <c r="D477" t="s">
        <v>20</v>
      </c>
      <c r="E477">
        <v>3</v>
      </c>
      <c r="F477">
        <v>12</v>
      </c>
      <c r="G477">
        <v>0.51390000000000002</v>
      </c>
      <c r="H477">
        <v>0.24890000000000001</v>
      </c>
      <c r="I477">
        <v>6.5549999999999997</v>
      </c>
    </row>
    <row r="478" spans="1:9" x14ac:dyDescent="0.3">
      <c r="A478">
        <f>LOOKUP(9E+307,--MID(D478,1,{1,2,3,4,5}))</f>
        <v>10</v>
      </c>
      <c r="B478">
        <f>VLOOKUP(MID(D478,LOOKUP(2,1/ISNUMBER(-MID(D478,1,{1,2,3,4,5})),{1,2,3,4,5})+1,9),'Hue codes'!$A$1:$B$10,2,FALSE)</f>
        <v>90</v>
      </c>
      <c r="C478">
        <f t="shared" si="7"/>
        <v>0</v>
      </c>
      <c r="D478" t="s">
        <v>20</v>
      </c>
      <c r="E478">
        <v>3</v>
      </c>
      <c r="F478">
        <v>14</v>
      </c>
      <c r="G478">
        <v>0.53800000000000003</v>
      </c>
      <c r="H478">
        <v>0.2369</v>
      </c>
      <c r="I478">
        <v>6.5549999999999997</v>
      </c>
    </row>
    <row r="479" spans="1:9" x14ac:dyDescent="0.3">
      <c r="A479">
        <f>LOOKUP(9E+307,--MID(D479,1,{1,2,3,4,5}))</f>
        <v>10</v>
      </c>
      <c r="B479">
        <f>VLOOKUP(MID(D479,LOOKUP(2,1/ISNUMBER(-MID(D479,1,{1,2,3,4,5})),{1,2,3,4,5})+1,9),'Hue codes'!$A$1:$B$10,2,FALSE)</f>
        <v>90</v>
      </c>
      <c r="C479">
        <f t="shared" si="7"/>
        <v>0</v>
      </c>
      <c r="D479" t="s">
        <v>20</v>
      </c>
      <c r="E479">
        <v>3</v>
      </c>
      <c r="F479">
        <v>16</v>
      </c>
      <c r="G479">
        <v>0.56279999999999997</v>
      </c>
      <c r="H479">
        <v>0.22409999999999999</v>
      </c>
      <c r="I479">
        <v>6.5549999999999997</v>
      </c>
    </row>
    <row r="480" spans="1:9" x14ac:dyDescent="0.3">
      <c r="A480">
        <f>LOOKUP(9E+307,--MID(D480,1,{1,2,3,4,5}))</f>
        <v>2.5</v>
      </c>
      <c r="B480">
        <f>VLOOKUP(MID(D480,LOOKUP(2,1/ISNUMBER(-MID(D480,1,{1,2,3,4,5})),{1,2,3,4,5})+1,9),'Hue codes'!$A$1:$B$10,2,FALSE)</f>
        <v>0</v>
      </c>
      <c r="C480">
        <f t="shared" si="7"/>
        <v>2.5</v>
      </c>
      <c r="D480" t="s">
        <v>21</v>
      </c>
      <c r="E480">
        <v>3</v>
      </c>
      <c r="F480">
        <v>2</v>
      </c>
      <c r="G480">
        <v>0.35909999999999997</v>
      </c>
      <c r="H480">
        <v>0.313</v>
      </c>
      <c r="I480">
        <v>6.5549999999999997</v>
      </c>
    </row>
    <row r="481" spans="1:9" x14ac:dyDescent="0.3">
      <c r="A481">
        <f>LOOKUP(9E+307,--MID(D481,1,{1,2,3,4,5}))</f>
        <v>2.5</v>
      </c>
      <c r="B481">
        <f>VLOOKUP(MID(D481,LOOKUP(2,1/ISNUMBER(-MID(D481,1,{1,2,3,4,5})),{1,2,3,4,5})+1,9),'Hue codes'!$A$1:$B$10,2,FALSE)</f>
        <v>0</v>
      </c>
      <c r="C481">
        <f t="shared" si="7"/>
        <v>2.5</v>
      </c>
      <c r="D481" t="s">
        <v>21</v>
      </c>
      <c r="E481">
        <v>3</v>
      </c>
      <c r="F481">
        <v>4</v>
      </c>
      <c r="G481">
        <v>0.40210000000000001</v>
      </c>
      <c r="H481">
        <v>0.30759999999999998</v>
      </c>
      <c r="I481">
        <v>6.5549999999999997</v>
      </c>
    </row>
    <row r="482" spans="1:9" x14ac:dyDescent="0.3">
      <c r="A482">
        <f>LOOKUP(9E+307,--MID(D482,1,{1,2,3,4,5}))</f>
        <v>2.5</v>
      </c>
      <c r="B482">
        <f>VLOOKUP(MID(D482,LOOKUP(2,1/ISNUMBER(-MID(D482,1,{1,2,3,4,5})),{1,2,3,4,5})+1,9),'Hue codes'!$A$1:$B$10,2,FALSE)</f>
        <v>0</v>
      </c>
      <c r="C482">
        <f t="shared" si="7"/>
        <v>2.5</v>
      </c>
      <c r="D482" t="s">
        <v>21</v>
      </c>
      <c r="E482">
        <v>3</v>
      </c>
      <c r="F482">
        <v>6</v>
      </c>
      <c r="G482">
        <v>0.44090000000000001</v>
      </c>
      <c r="H482">
        <v>0.3009</v>
      </c>
      <c r="I482">
        <v>6.5549999999999997</v>
      </c>
    </row>
    <row r="483" spans="1:9" x14ac:dyDescent="0.3">
      <c r="A483">
        <f>LOOKUP(9E+307,--MID(D483,1,{1,2,3,4,5}))</f>
        <v>2.5</v>
      </c>
      <c r="B483">
        <f>VLOOKUP(MID(D483,LOOKUP(2,1/ISNUMBER(-MID(D483,1,{1,2,3,4,5})),{1,2,3,4,5})+1,9),'Hue codes'!$A$1:$B$10,2,FALSE)</f>
        <v>0</v>
      </c>
      <c r="C483">
        <f t="shared" si="7"/>
        <v>2.5</v>
      </c>
      <c r="D483" t="s">
        <v>21</v>
      </c>
      <c r="E483">
        <v>3</v>
      </c>
      <c r="F483">
        <v>8</v>
      </c>
      <c r="G483">
        <v>0.48209999999999997</v>
      </c>
      <c r="H483">
        <v>0.2918</v>
      </c>
      <c r="I483">
        <v>6.5549999999999997</v>
      </c>
    </row>
    <row r="484" spans="1:9" x14ac:dyDescent="0.3">
      <c r="A484">
        <f>LOOKUP(9E+307,--MID(D484,1,{1,2,3,4,5}))</f>
        <v>2.5</v>
      </c>
      <c r="B484">
        <f>VLOOKUP(MID(D484,LOOKUP(2,1/ISNUMBER(-MID(D484,1,{1,2,3,4,5})),{1,2,3,4,5})+1,9),'Hue codes'!$A$1:$B$10,2,FALSE)</f>
        <v>0</v>
      </c>
      <c r="C484">
        <f t="shared" si="7"/>
        <v>2.5</v>
      </c>
      <c r="D484" t="s">
        <v>21</v>
      </c>
      <c r="E484">
        <v>3</v>
      </c>
      <c r="F484">
        <v>10</v>
      </c>
      <c r="G484">
        <v>0.51910000000000001</v>
      </c>
      <c r="H484">
        <v>0.28110000000000002</v>
      </c>
      <c r="I484">
        <v>6.5549999999999997</v>
      </c>
    </row>
    <row r="485" spans="1:9" x14ac:dyDescent="0.3">
      <c r="A485">
        <f>LOOKUP(9E+307,--MID(D485,1,{1,2,3,4,5}))</f>
        <v>2.5</v>
      </c>
      <c r="B485">
        <f>VLOOKUP(MID(D485,LOOKUP(2,1/ISNUMBER(-MID(D485,1,{1,2,3,4,5})),{1,2,3,4,5})+1,9),'Hue codes'!$A$1:$B$10,2,FALSE)</f>
        <v>0</v>
      </c>
      <c r="C485">
        <f t="shared" si="7"/>
        <v>2.5</v>
      </c>
      <c r="D485" t="s">
        <v>21</v>
      </c>
      <c r="E485">
        <v>3</v>
      </c>
      <c r="F485">
        <v>12</v>
      </c>
      <c r="G485">
        <v>0.55359999999999998</v>
      </c>
      <c r="H485">
        <v>0.26910000000000001</v>
      </c>
      <c r="I485">
        <v>6.5549999999999997</v>
      </c>
    </row>
    <row r="486" spans="1:9" x14ac:dyDescent="0.3">
      <c r="A486">
        <f>LOOKUP(9E+307,--MID(D486,1,{1,2,3,4,5}))</f>
        <v>2.5</v>
      </c>
      <c r="B486">
        <f>VLOOKUP(MID(D486,LOOKUP(2,1/ISNUMBER(-MID(D486,1,{1,2,3,4,5})),{1,2,3,4,5})+1,9),'Hue codes'!$A$1:$B$10,2,FALSE)</f>
        <v>0</v>
      </c>
      <c r="C486">
        <f t="shared" si="7"/>
        <v>2.5</v>
      </c>
      <c r="D486" t="s">
        <v>21</v>
      </c>
      <c r="E486">
        <v>3</v>
      </c>
      <c r="F486">
        <v>14</v>
      </c>
      <c r="G486">
        <v>0.58279999999999998</v>
      </c>
      <c r="H486">
        <v>0.25790000000000002</v>
      </c>
      <c r="I486">
        <v>6.5549999999999997</v>
      </c>
    </row>
    <row r="487" spans="1:9" x14ac:dyDescent="0.3">
      <c r="A487">
        <f>LOOKUP(9E+307,--MID(D487,1,{1,2,3,4,5}))</f>
        <v>2.5</v>
      </c>
      <c r="B487">
        <f>VLOOKUP(MID(D487,LOOKUP(2,1/ISNUMBER(-MID(D487,1,{1,2,3,4,5})),{1,2,3,4,5})+1,9),'Hue codes'!$A$1:$B$10,2,FALSE)</f>
        <v>0</v>
      </c>
      <c r="C487">
        <f t="shared" si="7"/>
        <v>2.5</v>
      </c>
      <c r="D487" t="s">
        <v>21</v>
      </c>
      <c r="E487">
        <v>3</v>
      </c>
      <c r="F487">
        <v>16</v>
      </c>
      <c r="G487">
        <v>0.61160000000000003</v>
      </c>
      <c r="H487">
        <v>0.24560000000000001</v>
      </c>
      <c r="I487">
        <v>6.5549999999999997</v>
      </c>
    </row>
    <row r="488" spans="1:9" x14ac:dyDescent="0.3">
      <c r="A488">
        <f>LOOKUP(9E+307,--MID(D488,1,{1,2,3,4,5}))</f>
        <v>5</v>
      </c>
      <c r="B488">
        <f>VLOOKUP(MID(D488,LOOKUP(2,1/ISNUMBER(-MID(D488,1,{1,2,3,4,5})),{1,2,3,4,5})+1,9),'Hue codes'!$A$1:$B$10,2,FALSE)</f>
        <v>0</v>
      </c>
      <c r="C488">
        <f t="shared" si="7"/>
        <v>5</v>
      </c>
      <c r="D488" t="s">
        <v>22</v>
      </c>
      <c r="E488">
        <v>3</v>
      </c>
      <c r="F488">
        <v>2</v>
      </c>
      <c r="G488">
        <v>0.36449999999999999</v>
      </c>
      <c r="H488">
        <v>0.31900000000000001</v>
      </c>
      <c r="I488">
        <v>6.5549999999999997</v>
      </c>
    </row>
    <row r="489" spans="1:9" x14ac:dyDescent="0.3">
      <c r="A489">
        <f>LOOKUP(9E+307,--MID(D489,1,{1,2,3,4,5}))</f>
        <v>5</v>
      </c>
      <c r="B489">
        <f>VLOOKUP(MID(D489,LOOKUP(2,1/ISNUMBER(-MID(D489,1,{1,2,3,4,5})),{1,2,3,4,5})+1,9),'Hue codes'!$A$1:$B$10,2,FALSE)</f>
        <v>0</v>
      </c>
      <c r="C489">
        <f t="shared" si="7"/>
        <v>5</v>
      </c>
      <c r="D489" t="s">
        <v>22</v>
      </c>
      <c r="E489">
        <v>3</v>
      </c>
      <c r="F489">
        <v>4</v>
      </c>
      <c r="G489">
        <v>0.4148</v>
      </c>
      <c r="H489">
        <v>0.31900000000000001</v>
      </c>
      <c r="I489">
        <v>6.5549999999999997</v>
      </c>
    </row>
    <row r="490" spans="1:9" x14ac:dyDescent="0.3">
      <c r="A490">
        <f>LOOKUP(9E+307,--MID(D490,1,{1,2,3,4,5}))</f>
        <v>5</v>
      </c>
      <c r="B490">
        <f>VLOOKUP(MID(D490,LOOKUP(2,1/ISNUMBER(-MID(D490,1,{1,2,3,4,5})),{1,2,3,4,5})+1,9),'Hue codes'!$A$1:$B$10,2,FALSE)</f>
        <v>0</v>
      </c>
      <c r="C490">
        <f t="shared" si="7"/>
        <v>5</v>
      </c>
      <c r="D490" t="s">
        <v>22</v>
      </c>
      <c r="E490">
        <v>3</v>
      </c>
      <c r="F490">
        <v>6</v>
      </c>
      <c r="G490">
        <v>0.4592</v>
      </c>
      <c r="H490">
        <v>0.31680000000000003</v>
      </c>
      <c r="I490">
        <v>6.5549999999999997</v>
      </c>
    </row>
    <row r="491" spans="1:9" x14ac:dyDescent="0.3">
      <c r="A491">
        <f>LOOKUP(9E+307,--MID(D491,1,{1,2,3,4,5}))</f>
        <v>5</v>
      </c>
      <c r="B491">
        <f>VLOOKUP(MID(D491,LOOKUP(2,1/ISNUMBER(-MID(D491,1,{1,2,3,4,5})),{1,2,3,4,5})+1,9),'Hue codes'!$A$1:$B$10,2,FALSE)</f>
        <v>0</v>
      </c>
      <c r="C491">
        <f t="shared" si="7"/>
        <v>5</v>
      </c>
      <c r="D491" t="s">
        <v>22</v>
      </c>
      <c r="E491">
        <v>3</v>
      </c>
      <c r="F491">
        <v>8</v>
      </c>
      <c r="G491">
        <v>0.50639999999999996</v>
      </c>
      <c r="H491">
        <v>0.31140000000000001</v>
      </c>
      <c r="I491">
        <v>6.5549999999999997</v>
      </c>
    </row>
    <row r="492" spans="1:9" x14ac:dyDescent="0.3">
      <c r="A492">
        <f>LOOKUP(9E+307,--MID(D492,1,{1,2,3,4,5}))</f>
        <v>5</v>
      </c>
      <c r="B492">
        <f>VLOOKUP(MID(D492,LOOKUP(2,1/ISNUMBER(-MID(D492,1,{1,2,3,4,5})),{1,2,3,4,5})+1,9),'Hue codes'!$A$1:$B$10,2,FALSE)</f>
        <v>0</v>
      </c>
      <c r="C492">
        <f t="shared" si="7"/>
        <v>5</v>
      </c>
      <c r="D492" t="s">
        <v>22</v>
      </c>
      <c r="E492">
        <v>3</v>
      </c>
      <c r="F492">
        <v>10</v>
      </c>
      <c r="G492">
        <v>0.55000000000000004</v>
      </c>
      <c r="H492">
        <v>0.3024</v>
      </c>
      <c r="I492">
        <v>6.5549999999999997</v>
      </c>
    </row>
    <row r="493" spans="1:9" x14ac:dyDescent="0.3">
      <c r="A493">
        <f>LOOKUP(9E+307,--MID(D493,1,{1,2,3,4,5}))</f>
        <v>5</v>
      </c>
      <c r="B493">
        <f>VLOOKUP(MID(D493,LOOKUP(2,1/ISNUMBER(-MID(D493,1,{1,2,3,4,5})),{1,2,3,4,5})+1,9),'Hue codes'!$A$1:$B$10,2,FALSE)</f>
        <v>0</v>
      </c>
      <c r="C493">
        <f t="shared" si="7"/>
        <v>5</v>
      </c>
      <c r="D493" t="s">
        <v>22</v>
      </c>
      <c r="E493">
        <v>3</v>
      </c>
      <c r="F493">
        <v>12</v>
      </c>
      <c r="G493">
        <v>0.58840000000000003</v>
      </c>
      <c r="H493">
        <v>0.29039999999999999</v>
      </c>
      <c r="I493">
        <v>6.5549999999999997</v>
      </c>
    </row>
    <row r="494" spans="1:9" x14ac:dyDescent="0.3">
      <c r="A494">
        <f>LOOKUP(9E+307,--MID(D494,1,{1,2,3,4,5}))</f>
        <v>5</v>
      </c>
      <c r="B494">
        <f>VLOOKUP(MID(D494,LOOKUP(2,1/ISNUMBER(-MID(D494,1,{1,2,3,4,5})),{1,2,3,4,5})+1,9),'Hue codes'!$A$1:$B$10,2,FALSE)</f>
        <v>0</v>
      </c>
      <c r="C494">
        <f t="shared" si="7"/>
        <v>5</v>
      </c>
      <c r="D494" t="s">
        <v>22</v>
      </c>
      <c r="E494">
        <v>3</v>
      </c>
      <c r="F494">
        <v>14</v>
      </c>
      <c r="G494">
        <v>0.62039999999999995</v>
      </c>
      <c r="H494">
        <v>0.27889999999999998</v>
      </c>
      <c r="I494">
        <v>6.5549999999999997</v>
      </c>
    </row>
    <row r="495" spans="1:9" x14ac:dyDescent="0.3">
      <c r="A495">
        <f>LOOKUP(9E+307,--MID(D495,1,{1,2,3,4,5}))</f>
        <v>5</v>
      </c>
      <c r="B495">
        <f>VLOOKUP(MID(D495,LOOKUP(2,1/ISNUMBER(-MID(D495,1,{1,2,3,4,5})),{1,2,3,4,5})+1,9),'Hue codes'!$A$1:$B$10,2,FALSE)</f>
        <v>0</v>
      </c>
      <c r="C495">
        <f t="shared" si="7"/>
        <v>5</v>
      </c>
      <c r="D495" t="s">
        <v>22</v>
      </c>
      <c r="E495">
        <v>3</v>
      </c>
      <c r="F495">
        <v>16</v>
      </c>
      <c r="G495">
        <v>0.65200000000000002</v>
      </c>
      <c r="H495">
        <v>0.26600000000000001</v>
      </c>
      <c r="I495">
        <v>6.5549999999999997</v>
      </c>
    </row>
    <row r="496" spans="1:9" x14ac:dyDescent="0.3">
      <c r="A496">
        <f>LOOKUP(9E+307,--MID(D496,1,{1,2,3,4,5}))</f>
        <v>7.5</v>
      </c>
      <c r="B496">
        <f>VLOOKUP(MID(D496,LOOKUP(2,1/ISNUMBER(-MID(D496,1,{1,2,3,4,5})),{1,2,3,4,5})+1,9),'Hue codes'!$A$1:$B$10,2,FALSE)</f>
        <v>0</v>
      </c>
      <c r="C496">
        <f t="shared" si="7"/>
        <v>7.5</v>
      </c>
      <c r="D496" t="s">
        <v>23</v>
      </c>
      <c r="E496">
        <v>3</v>
      </c>
      <c r="F496">
        <v>2</v>
      </c>
      <c r="G496">
        <v>0.36899999999999999</v>
      </c>
      <c r="H496">
        <v>0.32479999999999998</v>
      </c>
      <c r="I496">
        <v>6.5549999999999997</v>
      </c>
    </row>
    <row r="497" spans="1:9" x14ac:dyDescent="0.3">
      <c r="A497">
        <f>LOOKUP(9E+307,--MID(D497,1,{1,2,3,4,5}))</f>
        <v>7.5</v>
      </c>
      <c r="B497">
        <f>VLOOKUP(MID(D497,LOOKUP(2,1/ISNUMBER(-MID(D497,1,{1,2,3,4,5})),{1,2,3,4,5})+1,9),'Hue codes'!$A$1:$B$10,2,FALSE)</f>
        <v>0</v>
      </c>
      <c r="C497">
        <f t="shared" si="7"/>
        <v>7.5</v>
      </c>
      <c r="D497" t="s">
        <v>23</v>
      </c>
      <c r="E497">
        <v>3</v>
      </c>
      <c r="F497">
        <v>4</v>
      </c>
      <c r="G497">
        <v>0.42399999999999999</v>
      </c>
      <c r="H497">
        <v>0.33019999999999999</v>
      </c>
      <c r="I497">
        <v>6.5549999999999997</v>
      </c>
    </row>
    <row r="498" spans="1:9" x14ac:dyDescent="0.3">
      <c r="A498">
        <f>LOOKUP(9E+307,--MID(D498,1,{1,2,3,4,5}))</f>
        <v>7.5</v>
      </c>
      <c r="B498">
        <f>VLOOKUP(MID(D498,LOOKUP(2,1/ISNUMBER(-MID(D498,1,{1,2,3,4,5})),{1,2,3,4,5})+1,9),'Hue codes'!$A$1:$B$10,2,FALSE)</f>
        <v>0</v>
      </c>
      <c r="C498">
        <f t="shared" si="7"/>
        <v>7.5</v>
      </c>
      <c r="D498" t="s">
        <v>23</v>
      </c>
      <c r="E498">
        <v>3</v>
      </c>
      <c r="F498">
        <v>6</v>
      </c>
      <c r="G498">
        <v>0.4738</v>
      </c>
      <c r="H498">
        <v>0.33160000000000001</v>
      </c>
      <c r="I498">
        <v>6.5549999999999997</v>
      </c>
    </row>
    <row r="499" spans="1:9" x14ac:dyDescent="0.3">
      <c r="A499">
        <f>LOOKUP(9E+307,--MID(D499,1,{1,2,3,4,5}))</f>
        <v>7.5</v>
      </c>
      <c r="B499">
        <f>VLOOKUP(MID(D499,LOOKUP(2,1/ISNUMBER(-MID(D499,1,{1,2,3,4,5})),{1,2,3,4,5})+1,9),'Hue codes'!$A$1:$B$10,2,FALSE)</f>
        <v>0</v>
      </c>
      <c r="C499">
        <f t="shared" si="7"/>
        <v>7.5</v>
      </c>
      <c r="D499" t="s">
        <v>23</v>
      </c>
      <c r="E499">
        <v>3</v>
      </c>
      <c r="F499">
        <v>8</v>
      </c>
      <c r="G499">
        <v>0.52510000000000001</v>
      </c>
      <c r="H499">
        <v>0.32969999999999999</v>
      </c>
      <c r="I499">
        <v>6.5549999999999997</v>
      </c>
    </row>
    <row r="500" spans="1:9" x14ac:dyDescent="0.3">
      <c r="A500">
        <f>LOOKUP(9E+307,--MID(D500,1,{1,2,3,4,5}))</f>
        <v>7.5</v>
      </c>
      <c r="B500">
        <f>VLOOKUP(MID(D500,LOOKUP(2,1/ISNUMBER(-MID(D500,1,{1,2,3,4,5})),{1,2,3,4,5})+1,9),'Hue codes'!$A$1:$B$10,2,FALSE)</f>
        <v>0</v>
      </c>
      <c r="C500">
        <f t="shared" si="7"/>
        <v>7.5</v>
      </c>
      <c r="D500" t="s">
        <v>23</v>
      </c>
      <c r="E500">
        <v>3</v>
      </c>
      <c r="F500">
        <v>10</v>
      </c>
      <c r="G500">
        <v>0.57299999999999995</v>
      </c>
      <c r="H500">
        <v>0.32400000000000001</v>
      </c>
      <c r="I500">
        <v>6.5549999999999997</v>
      </c>
    </row>
    <row r="501" spans="1:9" x14ac:dyDescent="0.3">
      <c r="A501">
        <f>LOOKUP(9E+307,--MID(D501,1,{1,2,3,4,5}))</f>
        <v>7.5</v>
      </c>
      <c r="B501">
        <f>VLOOKUP(MID(D501,LOOKUP(2,1/ISNUMBER(-MID(D501,1,{1,2,3,4,5})),{1,2,3,4,5})+1,9),'Hue codes'!$A$1:$B$10,2,FALSE)</f>
        <v>0</v>
      </c>
      <c r="C501">
        <f t="shared" si="7"/>
        <v>7.5</v>
      </c>
      <c r="D501" t="s">
        <v>23</v>
      </c>
      <c r="E501">
        <v>3</v>
      </c>
      <c r="F501">
        <v>12</v>
      </c>
      <c r="G501">
        <v>0.61580000000000001</v>
      </c>
      <c r="H501">
        <v>0.31290000000000001</v>
      </c>
      <c r="I501">
        <v>6.5549999999999997</v>
      </c>
    </row>
    <row r="502" spans="1:9" x14ac:dyDescent="0.3">
      <c r="A502">
        <f>LOOKUP(9E+307,--MID(D502,1,{1,2,3,4,5}))</f>
        <v>7.5</v>
      </c>
      <c r="B502">
        <f>VLOOKUP(MID(D502,LOOKUP(2,1/ISNUMBER(-MID(D502,1,{1,2,3,4,5})),{1,2,3,4,5})+1,9),'Hue codes'!$A$1:$B$10,2,FALSE)</f>
        <v>0</v>
      </c>
      <c r="C502">
        <f t="shared" si="7"/>
        <v>7.5</v>
      </c>
      <c r="D502" t="s">
        <v>23</v>
      </c>
      <c r="E502">
        <v>3</v>
      </c>
      <c r="F502">
        <v>14</v>
      </c>
      <c r="G502">
        <v>0.6492</v>
      </c>
      <c r="H502">
        <v>0.30120000000000002</v>
      </c>
      <c r="I502">
        <v>6.5549999999999997</v>
      </c>
    </row>
    <row r="503" spans="1:9" x14ac:dyDescent="0.3">
      <c r="A503">
        <f>LOOKUP(9E+307,--MID(D503,1,{1,2,3,4,5}))</f>
        <v>7.5</v>
      </c>
      <c r="B503">
        <f>VLOOKUP(MID(D503,LOOKUP(2,1/ISNUMBER(-MID(D503,1,{1,2,3,4,5})),{1,2,3,4,5})+1,9),'Hue codes'!$A$1:$B$10,2,FALSE)</f>
        <v>0</v>
      </c>
      <c r="C503">
        <f t="shared" si="7"/>
        <v>7.5</v>
      </c>
      <c r="D503" t="s">
        <v>23</v>
      </c>
      <c r="E503">
        <v>3</v>
      </c>
      <c r="F503">
        <v>16</v>
      </c>
      <c r="G503">
        <v>0.68169999999999997</v>
      </c>
      <c r="H503">
        <v>0.28720000000000001</v>
      </c>
      <c r="I503">
        <v>6.5549999999999997</v>
      </c>
    </row>
    <row r="504" spans="1:9" x14ac:dyDescent="0.3">
      <c r="A504">
        <f>LOOKUP(9E+307,--MID(D504,1,{1,2,3,4,5}))</f>
        <v>10</v>
      </c>
      <c r="B504">
        <f>VLOOKUP(MID(D504,LOOKUP(2,1/ISNUMBER(-MID(D504,1,{1,2,3,4,5})),{1,2,3,4,5})+1,9),'Hue codes'!$A$1:$B$10,2,FALSE)</f>
        <v>0</v>
      </c>
      <c r="C504">
        <f t="shared" si="7"/>
        <v>10</v>
      </c>
      <c r="D504" t="s">
        <v>24</v>
      </c>
      <c r="E504">
        <v>3</v>
      </c>
      <c r="F504">
        <v>2</v>
      </c>
      <c r="G504">
        <v>0.37280000000000002</v>
      </c>
      <c r="H504">
        <v>0.33139999999999997</v>
      </c>
      <c r="I504">
        <v>6.5549999999999997</v>
      </c>
    </row>
    <row r="505" spans="1:9" x14ac:dyDescent="0.3">
      <c r="A505">
        <f>LOOKUP(9E+307,--MID(D505,1,{1,2,3,4,5}))</f>
        <v>10</v>
      </c>
      <c r="B505">
        <f>VLOOKUP(MID(D505,LOOKUP(2,1/ISNUMBER(-MID(D505,1,{1,2,3,4,5})),{1,2,3,4,5})+1,9),'Hue codes'!$A$1:$B$10,2,FALSE)</f>
        <v>0</v>
      </c>
      <c r="C505">
        <f t="shared" si="7"/>
        <v>10</v>
      </c>
      <c r="D505" t="s">
        <v>24</v>
      </c>
      <c r="E505">
        <v>3</v>
      </c>
      <c r="F505">
        <v>4</v>
      </c>
      <c r="G505">
        <v>0.43080000000000002</v>
      </c>
      <c r="H505">
        <v>0.3412</v>
      </c>
      <c r="I505">
        <v>6.5549999999999997</v>
      </c>
    </row>
    <row r="506" spans="1:9" x14ac:dyDescent="0.3">
      <c r="A506">
        <f>LOOKUP(9E+307,--MID(D506,1,{1,2,3,4,5}))</f>
        <v>10</v>
      </c>
      <c r="B506">
        <f>VLOOKUP(MID(D506,LOOKUP(2,1/ISNUMBER(-MID(D506,1,{1,2,3,4,5})),{1,2,3,4,5})+1,9),'Hue codes'!$A$1:$B$10,2,FALSE)</f>
        <v>0</v>
      </c>
      <c r="C506">
        <f t="shared" si="7"/>
        <v>10</v>
      </c>
      <c r="D506" t="s">
        <v>24</v>
      </c>
      <c r="E506">
        <v>3</v>
      </c>
      <c r="F506">
        <v>6</v>
      </c>
      <c r="G506">
        <v>0.4854</v>
      </c>
      <c r="H506">
        <v>0.34670000000000001</v>
      </c>
      <c r="I506">
        <v>6.5549999999999997</v>
      </c>
    </row>
    <row r="507" spans="1:9" x14ac:dyDescent="0.3">
      <c r="A507">
        <f>LOOKUP(9E+307,--MID(D507,1,{1,2,3,4,5}))</f>
        <v>10</v>
      </c>
      <c r="B507">
        <f>VLOOKUP(MID(D507,LOOKUP(2,1/ISNUMBER(-MID(D507,1,{1,2,3,4,5})),{1,2,3,4,5})+1,9),'Hue codes'!$A$1:$B$10,2,FALSE)</f>
        <v>0</v>
      </c>
      <c r="C507">
        <f t="shared" si="7"/>
        <v>10</v>
      </c>
      <c r="D507" t="s">
        <v>24</v>
      </c>
      <c r="E507">
        <v>3</v>
      </c>
      <c r="F507">
        <v>8</v>
      </c>
      <c r="G507">
        <v>0.5393</v>
      </c>
      <c r="H507">
        <v>0.34770000000000001</v>
      </c>
      <c r="I507">
        <v>6.5549999999999997</v>
      </c>
    </row>
    <row r="508" spans="1:9" x14ac:dyDescent="0.3">
      <c r="A508">
        <f>LOOKUP(9E+307,--MID(D508,1,{1,2,3,4,5}))</f>
        <v>10</v>
      </c>
      <c r="B508">
        <f>VLOOKUP(MID(D508,LOOKUP(2,1/ISNUMBER(-MID(D508,1,{1,2,3,4,5})),{1,2,3,4,5})+1,9),'Hue codes'!$A$1:$B$10,2,FALSE)</f>
        <v>0</v>
      </c>
      <c r="C508">
        <f t="shared" si="7"/>
        <v>10</v>
      </c>
      <c r="D508" t="s">
        <v>24</v>
      </c>
      <c r="E508">
        <v>3</v>
      </c>
      <c r="F508">
        <v>10</v>
      </c>
      <c r="G508">
        <v>0.58709999999999996</v>
      </c>
      <c r="H508">
        <v>0.34399999999999997</v>
      </c>
      <c r="I508">
        <v>6.5549999999999997</v>
      </c>
    </row>
    <row r="509" spans="1:9" x14ac:dyDescent="0.3">
      <c r="A509">
        <f>LOOKUP(9E+307,--MID(D509,1,{1,2,3,4,5}))</f>
        <v>10</v>
      </c>
      <c r="B509">
        <f>VLOOKUP(MID(D509,LOOKUP(2,1/ISNUMBER(-MID(D509,1,{1,2,3,4,5})),{1,2,3,4,5})+1,9),'Hue codes'!$A$1:$B$10,2,FALSE)</f>
        <v>0</v>
      </c>
      <c r="C509">
        <f t="shared" si="7"/>
        <v>10</v>
      </c>
      <c r="D509" t="s">
        <v>24</v>
      </c>
      <c r="E509">
        <v>3</v>
      </c>
      <c r="F509">
        <v>12</v>
      </c>
      <c r="G509">
        <v>0.63219999999999998</v>
      </c>
      <c r="H509">
        <v>0.33610000000000001</v>
      </c>
      <c r="I509">
        <v>6.5549999999999997</v>
      </c>
    </row>
    <row r="510" spans="1:9" x14ac:dyDescent="0.3">
      <c r="A510">
        <f>LOOKUP(9E+307,--MID(D510,1,{1,2,3,4,5}))</f>
        <v>10</v>
      </c>
      <c r="B510">
        <f>VLOOKUP(MID(D510,LOOKUP(2,1/ISNUMBER(-MID(D510,1,{1,2,3,4,5})),{1,2,3,4,5})+1,9),'Hue codes'!$A$1:$B$10,2,FALSE)</f>
        <v>0</v>
      </c>
      <c r="C510">
        <f t="shared" si="7"/>
        <v>10</v>
      </c>
      <c r="D510" t="s">
        <v>24</v>
      </c>
      <c r="E510">
        <v>3</v>
      </c>
      <c r="F510">
        <v>14</v>
      </c>
      <c r="G510">
        <v>0.67030000000000001</v>
      </c>
      <c r="H510">
        <v>0.32490000000000002</v>
      </c>
      <c r="I510">
        <v>6.5549999999999997</v>
      </c>
    </row>
    <row r="511" spans="1:9" x14ac:dyDescent="0.3">
      <c r="A511">
        <f>LOOKUP(9E+307,--MID(D511,1,{1,2,3,4,5}))</f>
        <v>2.5</v>
      </c>
      <c r="B511">
        <f>VLOOKUP(MID(D511,LOOKUP(2,1/ISNUMBER(-MID(D511,1,{1,2,3,4,5})),{1,2,3,4,5})+1,9),'Hue codes'!$A$1:$B$10,2,FALSE)</f>
        <v>10</v>
      </c>
      <c r="C511">
        <f t="shared" si="7"/>
        <v>12.5</v>
      </c>
      <c r="D511" t="s">
        <v>25</v>
      </c>
      <c r="E511">
        <v>3</v>
      </c>
      <c r="F511">
        <v>2</v>
      </c>
      <c r="G511">
        <v>0.37569999999999998</v>
      </c>
      <c r="H511">
        <v>0.33910000000000001</v>
      </c>
      <c r="I511">
        <v>6.5549999999999997</v>
      </c>
    </row>
    <row r="512" spans="1:9" x14ac:dyDescent="0.3">
      <c r="A512">
        <f>LOOKUP(9E+307,--MID(D512,1,{1,2,3,4,5}))</f>
        <v>2.5</v>
      </c>
      <c r="B512">
        <f>VLOOKUP(MID(D512,LOOKUP(2,1/ISNUMBER(-MID(D512,1,{1,2,3,4,5})),{1,2,3,4,5})+1,9),'Hue codes'!$A$1:$B$10,2,FALSE)</f>
        <v>10</v>
      </c>
      <c r="C512">
        <f t="shared" si="7"/>
        <v>12.5</v>
      </c>
      <c r="D512" t="s">
        <v>25</v>
      </c>
      <c r="E512">
        <v>3</v>
      </c>
      <c r="F512">
        <v>4</v>
      </c>
      <c r="G512">
        <v>0.436</v>
      </c>
      <c r="H512">
        <v>0.35630000000000001</v>
      </c>
      <c r="I512">
        <v>6.5549999999999997</v>
      </c>
    </row>
    <row r="513" spans="1:9" x14ac:dyDescent="0.3">
      <c r="A513">
        <f>LOOKUP(9E+307,--MID(D513,1,{1,2,3,4,5}))</f>
        <v>2.5</v>
      </c>
      <c r="B513">
        <f>VLOOKUP(MID(D513,LOOKUP(2,1/ISNUMBER(-MID(D513,1,{1,2,3,4,5})),{1,2,3,4,5})+1,9),'Hue codes'!$A$1:$B$10,2,FALSE)</f>
        <v>10</v>
      </c>
      <c r="C513">
        <f t="shared" si="7"/>
        <v>12.5</v>
      </c>
      <c r="D513" t="s">
        <v>25</v>
      </c>
      <c r="E513">
        <v>3</v>
      </c>
      <c r="F513">
        <v>6</v>
      </c>
      <c r="G513">
        <v>0.49540000000000001</v>
      </c>
      <c r="H513">
        <v>0.36919999999999997</v>
      </c>
      <c r="I513">
        <v>6.5549999999999997</v>
      </c>
    </row>
    <row r="514" spans="1:9" x14ac:dyDescent="0.3">
      <c r="A514">
        <f>LOOKUP(9E+307,--MID(D514,1,{1,2,3,4,5}))</f>
        <v>2.5</v>
      </c>
      <c r="B514">
        <f>VLOOKUP(MID(D514,LOOKUP(2,1/ISNUMBER(-MID(D514,1,{1,2,3,4,5})),{1,2,3,4,5})+1,9),'Hue codes'!$A$1:$B$10,2,FALSE)</f>
        <v>10</v>
      </c>
      <c r="C514">
        <f t="shared" si="7"/>
        <v>12.5</v>
      </c>
      <c r="D514" t="s">
        <v>25</v>
      </c>
      <c r="E514">
        <v>3</v>
      </c>
      <c r="F514">
        <v>8</v>
      </c>
      <c r="G514">
        <v>0.54749999999999999</v>
      </c>
      <c r="H514">
        <v>0.37709999999999999</v>
      </c>
      <c r="I514">
        <v>6.5549999999999997</v>
      </c>
    </row>
    <row r="515" spans="1:9" x14ac:dyDescent="0.3">
      <c r="A515">
        <f>LOOKUP(9E+307,--MID(D515,1,{1,2,3,4,5}))</f>
        <v>2.5</v>
      </c>
      <c r="B515">
        <f>VLOOKUP(MID(D515,LOOKUP(2,1/ISNUMBER(-MID(D515,1,{1,2,3,4,5})),{1,2,3,4,5})+1,9),'Hue codes'!$A$1:$B$10,2,FALSE)</f>
        <v>10</v>
      </c>
      <c r="C515">
        <f t="shared" ref="C515:C578" si="8">IF(A515+B515=100,0,A515+B515)</f>
        <v>12.5</v>
      </c>
      <c r="D515" t="s">
        <v>25</v>
      </c>
      <c r="E515">
        <v>3</v>
      </c>
      <c r="F515">
        <v>10</v>
      </c>
      <c r="G515">
        <v>0.59409999999999996</v>
      </c>
      <c r="H515">
        <v>0.38179999999999997</v>
      </c>
      <c r="I515">
        <v>6.5549999999999997</v>
      </c>
    </row>
    <row r="516" spans="1:9" x14ac:dyDescent="0.3">
      <c r="A516">
        <f>LOOKUP(9E+307,--MID(D516,1,{1,2,3,4,5}))</f>
        <v>5</v>
      </c>
      <c r="B516">
        <f>VLOOKUP(MID(D516,LOOKUP(2,1/ISNUMBER(-MID(D516,1,{1,2,3,4,5})),{1,2,3,4,5})+1,9),'Hue codes'!$A$1:$B$10,2,FALSE)</f>
        <v>10</v>
      </c>
      <c r="C516">
        <f t="shared" si="8"/>
        <v>15</v>
      </c>
      <c r="D516" t="s">
        <v>26</v>
      </c>
      <c r="E516">
        <v>3</v>
      </c>
      <c r="F516">
        <v>2</v>
      </c>
      <c r="G516">
        <v>0.37709999999999999</v>
      </c>
      <c r="H516">
        <v>0.34760000000000002</v>
      </c>
      <c r="I516">
        <v>6.5549999999999997</v>
      </c>
    </row>
    <row r="517" spans="1:9" x14ac:dyDescent="0.3">
      <c r="A517">
        <f>LOOKUP(9E+307,--MID(D517,1,{1,2,3,4,5}))</f>
        <v>5</v>
      </c>
      <c r="B517">
        <f>VLOOKUP(MID(D517,LOOKUP(2,1/ISNUMBER(-MID(D517,1,{1,2,3,4,5})),{1,2,3,4,5})+1,9),'Hue codes'!$A$1:$B$10,2,FALSE)</f>
        <v>10</v>
      </c>
      <c r="C517">
        <f t="shared" si="8"/>
        <v>15</v>
      </c>
      <c r="D517" t="s">
        <v>26</v>
      </c>
      <c r="E517">
        <v>3</v>
      </c>
      <c r="F517">
        <v>4</v>
      </c>
      <c r="G517">
        <v>0.43759999999999999</v>
      </c>
      <c r="H517">
        <v>0.3715</v>
      </c>
      <c r="I517">
        <v>6.5549999999999997</v>
      </c>
    </row>
    <row r="518" spans="1:9" x14ac:dyDescent="0.3">
      <c r="A518">
        <f>LOOKUP(9E+307,--MID(D518,1,{1,2,3,4,5}))</f>
        <v>5</v>
      </c>
      <c r="B518">
        <f>VLOOKUP(MID(D518,LOOKUP(2,1/ISNUMBER(-MID(D518,1,{1,2,3,4,5})),{1,2,3,4,5})+1,9),'Hue codes'!$A$1:$B$10,2,FALSE)</f>
        <v>10</v>
      </c>
      <c r="C518">
        <f t="shared" si="8"/>
        <v>15</v>
      </c>
      <c r="D518" t="s">
        <v>26</v>
      </c>
      <c r="E518">
        <v>3</v>
      </c>
      <c r="F518">
        <v>6</v>
      </c>
      <c r="G518">
        <v>0.49659999999999999</v>
      </c>
      <c r="H518">
        <v>0.39079999999999998</v>
      </c>
      <c r="I518">
        <v>6.5549999999999997</v>
      </c>
    </row>
    <row r="519" spans="1:9" x14ac:dyDescent="0.3">
      <c r="A519">
        <f>LOOKUP(9E+307,--MID(D519,1,{1,2,3,4,5}))</f>
        <v>5</v>
      </c>
      <c r="B519">
        <f>VLOOKUP(MID(D519,LOOKUP(2,1/ISNUMBER(-MID(D519,1,{1,2,3,4,5})),{1,2,3,4,5})+1,9),'Hue codes'!$A$1:$B$10,2,FALSE)</f>
        <v>10</v>
      </c>
      <c r="C519">
        <f t="shared" si="8"/>
        <v>15</v>
      </c>
      <c r="D519" t="s">
        <v>26</v>
      </c>
      <c r="E519">
        <v>3</v>
      </c>
      <c r="F519">
        <v>8</v>
      </c>
      <c r="G519">
        <v>0.54559999999999997</v>
      </c>
      <c r="H519">
        <v>0.40400000000000003</v>
      </c>
      <c r="I519">
        <v>6.5549999999999997</v>
      </c>
    </row>
    <row r="520" spans="1:9" x14ac:dyDescent="0.3">
      <c r="A520">
        <f>LOOKUP(9E+307,--MID(D520,1,{1,2,3,4,5}))</f>
        <v>7.5</v>
      </c>
      <c r="B520">
        <f>VLOOKUP(MID(D520,LOOKUP(2,1/ISNUMBER(-MID(D520,1,{1,2,3,4,5})),{1,2,3,4,5})+1,9),'Hue codes'!$A$1:$B$10,2,FALSE)</f>
        <v>10</v>
      </c>
      <c r="C520">
        <f t="shared" si="8"/>
        <v>17.5</v>
      </c>
      <c r="D520" t="s">
        <v>27</v>
      </c>
      <c r="E520">
        <v>3</v>
      </c>
      <c r="F520">
        <v>2</v>
      </c>
      <c r="G520">
        <v>0.37709999999999999</v>
      </c>
      <c r="H520">
        <v>0.35489999999999999</v>
      </c>
      <c r="I520">
        <v>6.5549999999999997</v>
      </c>
    </row>
    <row r="521" spans="1:9" x14ac:dyDescent="0.3">
      <c r="A521">
        <f>LOOKUP(9E+307,--MID(D521,1,{1,2,3,4,5}))</f>
        <v>7.5</v>
      </c>
      <c r="B521">
        <f>VLOOKUP(MID(D521,LOOKUP(2,1/ISNUMBER(-MID(D521,1,{1,2,3,4,5})),{1,2,3,4,5})+1,9),'Hue codes'!$A$1:$B$10,2,FALSE)</f>
        <v>10</v>
      </c>
      <c r="C521">
        <f t="shared" si="8"/>
        <v>17.5</v>
      </c>
      <c r="D521" t="s">
        <v>27</v>
      </c>
      <c r="E521">
        <v>3</v>
      </c>
      <c r="F521">
        <v>4</v>
      </c>
      <c r="G521">
        <v>0.43780000000000002</v>
      </c>
      <c r="H521">
        <v>0.38650000000000001</v>
      </c>
      <c r="I521">
        <v>6.5549999999999997</v>
      </c>
    </row>
    <row r="522" spans="1:9" x14ac:dyDescent="0.3">
      <c r="A522">
        <f>LOOKUP(9E+307,--MID(D522,1,{1,2,3,4,5}))</f>
        <v>7.5</v>
      </c>
      <c r="B522">
        <f>VLOOKUP(MID(D522,LOOKUP(2,1/ISNUMBER(-MID(D522,1,{1,2,3,4,5})),{1,2,3,4,5})+1,9),'Hue codes'!$A$1:$B$10,2,FALSE)</f>
        <v>10</v>
      </c>
      <c r="C522">
        <f t="shared" si="8"/>
        <v>17.5</v>
      </c>
      <c r="D522" t="s">
        <v>27</v>
      </c>
      <c r="E522">
        <v>3</v>
      </c>
      <c r="F522">
        <v>6</v>
      </c>
      <c r="G522">
        <v>0.49299999999999999</v>
      </c>
      <c r="H522">
        <v>0.41160000000000002</v>
      </c>
      <c r="I522">
        <v>6.5549999999999997</v>
      </c>
    </row>
    <row r="523" spans="1:9" x14ac:dyDescent="0.3">
      <c r="A523">
        <f>LOOKUP(9E+307,--MID(D523,1,{1,2,3,4,5}))</f>
        <v>7.5</v>
      </c>
      <c r="B523">
        <f>VLOOKUP(MID(D523,LOOKUP(2,1/ISNUMBER(-MID(D523,1,{1,2,3,4,5})),{1,2,3,4,5})+1,9),'Hue codes'!$A$1:$B$10,2,FALSE)</f>
        <v>10</v>
      </c>
      <c r="C523">
        <f t="shared" si="8"/>
        <v>17.5</v>
      </c>
      <c r="D523" t="s">
        <v>27</v>
      </c>
      <c r="E523">
        <v>3</v>
      </c>
      <c r="F523">
        <v>8</v>
      </c>
      <c r="G523">
        <v>0.53900000000000003</v>
      </c>
      <c r="H523">
        <v>0.43059999999999998</v>
      </c>
      <c r="I523">
        <v>6.5549999999999997</v>
      </c>
    </row>
    <row r="524" spans="1:9" x14ac:dyDescent="0.3">
      <c r="A524">
        <f>LOOKUP(9E+307,--MID(D524,1,{1,2,3,4,5}))</f>
        <v>10</v>
      </c>
      <c r="B524">
        <f>VLOOKUP(MID(D524,LOOKUP(2,1/ISNUMBER(-MID(D524,1,{1,2,3,4,5})),{1,2,3,4,5})+1,9),'Hue codes'!$A$1:$B$10,2,FALSE)</f>
        <v>10</v>
      </c>
      <c r="C524">
        <f t="shared" si="8"/>
        <v>20</v>
      </c>
      <c r="D524" t="s">
        <v>28</v>
      </c>
      <c r="E524">
        <v>3</v>
      </c>
      <c r="F524">
        <v>2</v>
      </c>
      <c r="G524">
        <v>0.37469999999999998</v>
      </c>
      <c r="H524">
        <v>0.36299999999999999</v>
      </c>
      <c r="I524">
        <v>6.5549999999999997</v>
      </c>
    </row>
    <row r="525" spans="1:9" x14ac:dyDescent="0.3">
      <c r="A525">
        <f>LOOKUP(9E+307,--MID(D525,1,{1,2,3,4,5}))</f>
        <v>10</v>
      </c>
      <c r="B525">
        <f>VLOOKUP(MID(D525,LOOKUP(2,1/ISNUMBER(-MID(D525,1,{1,2,3,4,5})),{1,2,3,4,5})+1,9),'Hue codes'!$A$1:$B$10,2,FALSE)</f>
        <v>10</v>
      </c>
      <c r="C525">
        <f t="shared" si="8"/>
        <v>20</v>
      </c>
      <c r="D525" t="s">
        <v>28</v>
      </c>
      <c r="E525">
        <v>3</v>
      </c>
      <c r="F525">
        <v>4</v>
      </c>
      <c r="G525">
        <v>0.43409999999999999</v>
      </c>
      <c r="H525">
        <v>0.40179999999999999</v>
      </c>
      <c r="I525">
        <v>6.5549999999999997</v>
      </c>
    </row>
    <row r="526" spans="1:9" x14ac:dyDescent="0.3">
      <c r="A526">
        <f>LOOKUP(9E+307,--MID(D526,1,{1,2,3,4,5}))</f>
        <v>10</v>
      </c>
      <c r="B526">
        <f>VLOOKUP(MID(D526,LOOKUP(2,1/ISNUMBER(-MID(D526,1,{1,2,3,4,5})),{1,2,3,4,5})+1,9),'Hue codes'!$A$1:$B$10,2,FALSE)</f>
        <v>10</v>
      </c>
      <c r="C526">
        <f t="shared" si="8"/>
        <v>20</v>
      </c>
      <c r="D526" t="s">
        <v>28</v>
      </c>
      <c r="E526">
        <v>3</v>
      </c>
      <c r="F526">
        <v>6</v>
      </c>
      <c r="G526">
        <v>0.48720000000000002</v>
      </c>
      <c r="H526">
        <v>0.43259999999999998</v>
      </c>
      <c r="I526">
        <v>6.5549999999999997</v>
      </c>
    </row>
    <row r="527" spans="1:9" x14ac:dyDescent="0.3">
      <c r="A527">
        <f>LOOKUP(9E+307,--MID(D527,1,{1,2,3,4,5}))</f>
        <v>10</v>
      </c>
      <c r="B527">
        <f>VLOOKUP(MID(D527,LOOKUP(2,1/ISNUMBER(-MID(D527,1,{1,2,3,4,5})),{1,2,3,4,5})+1,9),'Hue codes'!$A$1:$B$10,2,FALSE)</f>
        <v>10</v>
      </c>
      <c r="C527">
        <f t="shared" si="8"/>
        <v>20</v>
      </c>
      <c r="D527" t="s">
        <v>28</v>
      </c>
      <c r="E527">
        <v>3</v>
      </c>
      <c r="F527">
        <v>8</v>
      </c>
      <c r="G527">
        <v>0.53049999999999997</v>
      </c>
      <c r="H527">
        <v>0.45590000000000003</v>
      </c>
      <c r="I527">
        <v>6.5549999999999997</v>
      </c>
    </row>
    <row r="528" spans="1:9" x14ac:dyDescent="0.3">
      <c r="A528">
        <f>LOOKUP(9E+307,--MID(D528,1,{1,2,3,4,5}))</f>
        <v>2.5</v>
      </c>
      <c r="B528">
        <f>VLOOKUP(MID(D528,LOOKUP(2,1/ISNUMBER(-MID(D528,1,{1,2,3,4,5})),{1,2,3,4,5})+1,9),'Hue codes'!$A$1:$B$10,2,FALSE)</f>
        <v>20</v>
      </c>
      <c r="C528">
        <f t="shared" si="8"/>
        <v>22.5</v>
      </c>
      <c r="D528" t="s">
        <v>29</v>
      </c>
      <c r="E528">
        <v>3</v>
      </c>
      <c r="F528">
        <v>2</v>
      </c>
      <c r="G528">
        <v>0.37030000000000002</v>
      </c>
      <c r="H528">
        <v>0.37</v>
      </c>
      <c r="I528">
        <v>6.5549999999999997</v>
      </c>
    </row>
    <row r="529" spans="1:9" x14ac:dyDescent="0.3">
      <c r="A529">
        <f>LOOKUP(9E+307,--MID(D529,1,{1,2,3,4,5}))</f>
        <v>2.5</v>
      </c>
      <c r="B529">
        <f>VLOOKUP(MID(D529,LOOKUP(2,1/ISNUMBER(-MID(D529,1,{1,2,3,4,5})),{1,2,3,4,5})+1,9),'Hue codes'!$A$1:$B$10,2,FALSE)</f>
        <v>20</v>
      </c>
      <c r="C529">
        <f t="shared" si="8"/>
        <v>22.5</v>
      </c>
      <c r="D529" t="s">
        <v>29</v>
      </c>
      <c r="E529">
        <v>3</v>
      </c>
      <c r="F529">
        <v>4</v>
      </c>
      <c r="G529">
        <v>0.42770000000000002</v>
      </c>
      <c r="H529">
        <v>0.41660000000000003</v>
      </c>
      <c r="I529">
        <v>6.5549999999999997</v>
      </c>
    </row>
    <row r="530" spans="1:9" x14ac:dyDescent="0.3">
      <c r="A530">
        <f>LOOKUP(9E+307,--MID(D530,1,{1,2,3,4,5}))</f>
        <v>2.5</v>
      </c>
      <c r="B530">
        <f>VLOOKUP(MID(D530,LOOKUP(2,1/ISNUMBER(-MID(D530,1,{1,2,3,4,5})),{1,2,3,4,5})+1,9),'Hue codes'!$A$1:$B$10,2,FALSE)</f>
        <v>20</v>
      </c>
      <c r="C530">
        <f t="shared" si="8"/>
        <v>22.5</v>
      </c>
      <c r="D530" t="s">
        <v>29</v>
      </c>
      <c r="E530">
        <v>3</v>
      </c>
      <c r="F530">
        <v>6</v>
      </c>
      <c r="G530">
        <v>0.47839999999999999</v>
      </c>
      <c r="H530">
        <v>0.4531</v>
      </c>
      <c r="I530">
        <v>6.5549999999999997</v>
      </c>
    </row>
    <row r="531" spans="1:9" x14ac:dyDescent="0.3">
      <c r="A531">
        <f>LOOKUP(9E+307,--MID(D531,1,{1,2,3,4,5}))</f>
        <v>5</v>
      </c>
      <c r="B531">
        <f>VLOOKUP(MID(D531,LOOKUP(2,1/ISNUMBER(-MID(D531,1,{1,2,3,4,5})),{1,2,3,4,5})+1,9),'Hue codes'!$A$1:$B$10,2,FALSE)</f>
        <v>20</v>
      </c>
      <c r="C531">
        <f t="shared" si="8"/>
        <v>25</v>
      </c>
      <c r="D531" t="s">
        <v>30</v>
      </c>
      <c r="E531">
        <v>3</v>
      </c>
      <c r="F531">
        <v>2</v>
      </c>
      <c r="G531">
        <v>0.36459999999999998</v>
      </c>
      <c r="H531">
        <v>0.37480000000000002</v>
      </c>
      <c r="I531">
        <v>6.5549999999999997</v>
      </c>
    </row>
    <row r="532" spans="1:9" x14ac:dyDescent="0.3">
      <c r="A532">
        <f>LOOKUP(9E+307,--MID(D532,1,{1,2,3,4,5}))</f>
        <v>5</v>
      </c>
      <c r="B532">
        <f>VLOOKUP(MID(D532,LOOKUP(2,1/ISNUMBER(-MID(D532,1,{1,2,3,4,5})),{1,2,3,4,5})+1,9),'Hue codes'!$A$1:$B$10,2,FALSE)</f>
        <v>20</v>
      </c>
      <c r="C532">
        <f t="shared" si="8"/>
        <v>25</v>
      </c>
      <c r="D532" t="s">
        <v>30</v>
      </c>
      <c r="E532">
        <v>3</v>
      </c>
      <c r="F532">
        <v>4</v>
      </c>
      <c r="G532">
        <v>0.41909999999999997</v>
      </c>
      <c r="H532">
        <v>0.42830000000000001</v>
      </c>
      <c r="I532">
        <v>6.5549999999999997</v>
      </c>
    </row>
    <row r="533" spans="1:9" x14ac:dyDescent="0.3">
      <c r="A533">
        <f>LOOKUP(9E+307,--MID(D533,1,{1,2,3,4,5}))</f>
        <v>5</v>
      </c>
      <c r="B533">
        <f>VLOOKUP(MID(D533,LOOKUP(2,1/ISNUMBER(-MID(D533,1,{1,2,3,4,5})),{1,2,3,4,5})+1,9),'Hue codes'!$A$1:$B$10,2,FALSE)</f>
        <v>20</v>
      </c>
      <c r="C533">
        <f t="shared" si="8"/>
        <v>25</v>
      </c>
      <c r="D533" t="s">
        <v>30</v>
      </c>
      <c r="E533">
        <v>3</v>
      </c>
      <c r="F533">
        <v>6</v>
      </c>
      <c r="G533">
        <v>0.46700000000000003</v>
      </c>
      <c r="H533">
        <v>0.47110000000000002</v>
      </c>
      <c r="I533">
        <v>6.5549999999999997</v>
      </c>
    </row>
    <row r="534" spans="1:9" x14ac:dyDescent="0.3">
      <c r="A534">
        <f>LOOKUP(9E+307,--MID(D534,1,{1,2,3,4,5}))</f>
        <v>7.5</v>
      </c>
      <c r="B534">
        <f>VLOOKUP(MID(D534,LOOKUP(2,1/ISNUMBER(-MID(D534,1,{1,2,3,4,5})),{1,2,3,4,5})+1,9),'Hue codes'!$A$1:$B$10,2,FALSE)</f>
        <v>20</v>
      </c>
      <c r="C534">
        <f t="shared" si="8"/>
        <v>27.5</v>
      </c>
      <c r="D534" t="s">
        <v>31</v>
      </c>
      <c r="E534">
        <v>3</v>
      </c>
      <c r="F534">
        <v>2</v>
      </c>
      <c r="G534">
        <v>0.3589</v>
      </c>
      <c r="H534">
        <v>0.37780000000000002</v>
      </c>
      <c r="I534">
        <v>6.5549999999999997</v>
      </c>
    </row>
    <row r="535" spans="1:9" x14ac:dyDescent="0.3">
      <c r="A535">
        <f>LOOKUP(9E+307,--MID(D535,1,{1,2,3,4,5}))</f>
        <v>7.5</v>
      </c>
      <c r="B535">
        <f>VLOOKUP(MID(D535,LOOKUP(2,1/ISNUMBER(-MID(D535,1,{1,2,3,4,5})),{1,2,3,4,5})+1,9),'Hue codes'!$A$1:$B$10,2,FALSE)</f>
        <v>20</v>
      </c>
      <c r="C535">
        <f t="shared" si="8"/>
        <v>27.5</v>
      </c>
      <c r="D535" t="s">
        <v>31</v>
      </c>
      <c r="E535">
        <v>3</v>
      </c>
      <c r="F535">
        <v>4</v>
      </c>
      <c r="G535">
        <v>0.40860000000000002</v>
      </c>
      <c r="H535">
        <v>0.43790000000000001</v>
      </c>
      <c r="I535">
        <v>6.5549999999999997</v>
      </c>
    </row>
    <row r="536" spans="1:9" x14ac:dyDescent="0.3">
      <c r="A536">
        <f>LOOKUP(9E+307,--MID(D536,1,{1,2,3,4,5}))</f>
        <v>7.5</v>
      </c>
      <c r="B536">
        <f>VLOOKUP(MID(D536,LOOKUP(2,1/ISNUMBER(-MID(D536,1,{1,2,3,4,5})),{1,2,3,4,5})+1,9),'Hue codes'!$A$1:$B$10,2,FALSE)</f>
        <v>20</v>
      </c>
      <c r="C536">
        <f t="shared" si="8"/>
        <v>27.5</v>
      </c>
      <c r="D536" t="s">
        <v>31</v>
      </c>
      <c r="E536">
        <v>3</v>
      </c>
      <c r="F536">
        <v>6</v>
      </c>
      <c r="G536">
        <v>0.4526</v>
      </c>
      <c r="H536">
        <v>0.4889</v>
      </c>
      <c r="I536">
        <v>6.5549999999999997</v>
      </c>
    </row>
    <row r="537" spans="1:9" x14ac:dyDescent="0.3">
      <c r="A537">
        <f>LOOKUP(9E+307,--MID(D537,1,{1,2,3,4,5}))</f>
        <v>10</v>
      </c>
      <c r="B537">
        <f>VLOOKUP(MID(D537,LOOKUP(2,1/ISNUMBER(-MID(D537,1,{1,2,3,4,5})),{1,2,3,4,5})+1,9),'Hue codes'!$A$1:$B$10,2,FALSE)</f>
        <v>20</v>
      </c>
      <c r="C537">
        <f t="shared" si="8"/>
        <v>30</v>
      </c>
      <c r="D537" t="s">
        <v>32</v>
      </c>
      <c r="E537">
        <v>3</v>
      </c>
      <c r="F537">
        <v>2</v>
      </c>
      <c r="G537">
        <v>0.3513</v>
      </c>
      <c r="H537">
        <v>0.37890000000000001</v>
      </c>
      <c r="I537">
        <v>6.5549999999999997</v>
      </c>
    </row>
    <row r="538" spans="1:9" x14ac:dyDescent="0.3">
      <c r="A538">
        <f>LOOKUP(9E+307,--MID(D538,1,{1,2,3,4,5}))</f>
        <v>10</v>
      </c>
      <c r="B538">
        <f>VLOOKUP(MID(D538,LOOKUP(2,1/ISNUMBER(-MID(D538,1,{1,2,3,4,5})),{1,2,3,4,5})+1,9),'Hue codes'!$A$1:$B$10,2,FALSE)</f>
        <v>20</v>
      </c>
      <c r="C538">
        <f t="shared" si="8"/>
        <v>30</v>
      </c>
      <c r="D538" t="s">
        <v>32</v>
      </c>
      <c r="E538">
        <v>3</v>
      </c>
      <c r="F538">
        <v>4</v>
      </c>
      <c r="G538">
        <v>0.39610000000000001</v>
      </c>
      <c r="H538">
        <v>0.44519999999999998</v>
      </c>
      <c r="I538">
        <v>6.5549999999999997</v>
      </c>
    </row>
    <row r="539" spans="1:9" x14ac:dyDescent="0.3">
      <c r="A539">
        <f>LOOKUP(9E+307,--MID(D539,1,{1,2,3,4,5}))</f>
        <v>10</v>
      </c>
      <c r="B539">
        <f>VLOOKUP(MID(D539,LOOKUP(2,1/ISNUMBER(-MID(D539,1,{1,2,3,4,5})),{1,2,3,4,5})+1,9),'Hue codes'!$A$1:$B$10,2,FALSE)</f>
        <v>20</v>
      </c>
      <c r="C539">
        <f t="shared" si="8"/>
        <v>30</v>
      </c>
      <c r="D539" t="s">
        <v>32</v>
      </c>
      <c r="E539">
        <v>3</v>
      </c>
      <c r="F539">
        <v>6</v>
      </c>
      <c r="G539">
        <v>0.4345</v>
      </c>
      <c r="H539">
        <v>0.50260000000000005</v>
      </c>
      <c r="I539">
        <v>6.5549999999999997</v>
      </c>
    </row>
    <row r="540" spans="1:9" x14ac:dyDescent="0.3">
      <c r="A540">
        <f>LOOKUP(9E+307,--MID(D540,1,{1,2,3,4,5}))</f>
        <v>2.5</v>
      </c>
      <c r="B540">
        <f>VLOOKUP(MID(D540,LOOKUP(2,1/ISNUMBER(-MID(D540,1,{1,2,3,4,5})),{1,2,3,4,5})+1,9),'Hue codes'!$A$1:$B$10,2,FALSE)</f>
        <v>30</v>
      </c>
      <c r="C540">
        <f t="shared" si="8"/>
        <v>32.5</v>
      </c>
      <c r="D540" t="s">
        <v>33</v>
      </c>
      <c r="E540">
        <v>3</v>
      </c>
      <c r="F540">
        <v>2</v>
      </c>
      <c r="G540">
        <v>0.3412</v>
      </c>
      <c r="H540">
        <v>0.37680000000000002</v>
      </c>
      <c r="I540">
        <v>6.5549999999999997</v>
      </c>
    </row>
    <row r="541" spans="1:9" x14ac:dyDescent="0.3">
      <c r="A541">
        <f>LOOKUP(9E+307,--MID(D541,1,{1,2,3,4,5}))</f>
        <v>2.5</v>
      </c>
      <c r="B541">
        <f>VLOOKUP(MID(D541,LOOKUP(2,1/ISNUMBER(-MID(D541,1,{1,2,3,4,5})),{1,2,3,4,5})+1,9),'Hue codes'!$A$1:$B$10,2,FALSE)</f>
        <v>30</v>
      </c>
      <c r="C541">
        <f t="shared" si="8"/>
        <v>32.5</v>
      </c>
      <c r="D541" t="s">
        <v>33</v>
      </c>
      <c r="E541">
        <v>3</v>
      </c>
      <c r="F541">
        <v>4</v>
      </c>
      <c r="G541">
        <v>0.37719999999999998</v>
      </c>
      <c r="H541">
        <v>0.44840000000000002</v>
      </c>
      <c r="I541">
        <v>6.5549999999999997</v>
      </c>
    </row>
    <row r="542" spans="1:9" x14ac:dyDescent="0.3">
      <c r="A542">
        <f>LOOKUP(9E+307,--MID(D542,1,{1,2,3,4,5}))</f>
        <v>2.5</v>
      </c>
      <c r="B542">
        <f>VLOOKUP(MID(D542,LOOKUP(2,1/ISNUMBER(-MID(D542,1,{1,2,3,4,5})),{1,2,3,4,5})+1,9),'Hue codes'!$A$1:$B$10,2,FALSE)</f>
        <v>30</v>
      </c>
      <c r="C542">
        <f t="shared" si="8"/>
        <v>32.5</v>
      </c>
      <c r="D542" t="s">
        <v>33</v>
      </c>
      <c r="E542">
        <v>3</v>
      </c>
      <c r="F542">
        <v>6</v>
      </c>
      <c r="G542">
        <v>0.40689999999999998</v>
      </c>
      <c r="H542">
        <v>0.51100000000000001</v>
      </c>
      <c r="I542">
        <v>6.5549999999999997</v>
      </c>
    </row>
    <row r="543" spans="1:9" x14ac:dyDescent="0.3">
      <c r="A543">
        <f>LOOKUP(9E+307,--MID(D543,1,{1,2,3,4,5}))</f>
        <v>5</v>
      </c>
      <c r="B543">
        <f>VLOOKUP(MID(D543,LOOKUP(2,1/ISNUMBER(-MID(D543,1,{1,2,3,4,5})),{1,2,3,4,5})+1,9),'Hue codes'!$A$1:$B$10,2,FALSE)</f>
        <v>30</v>
      </c>
      <c r="C543">
        <f t="shared" si="8"/>
        <v>35</v>
      </c>
      <c r="D543" t="s">
        <v>34</v>
      </c>
      <c r="E543">
        <v>3</v>
      </c>
      <c r="F543">
        <v>2</v>
      </c>
      <c r="G543">
        <v>0.33189999999999997</v>
      </c>
      <c r="H543">
        <v>0.37290000000000001</v>
      </c>
      <c r="I543">
        <v>6.5549999999999997</v>
      </c>
    </row>
    <row r="544" spans="1:9" x14ac:dyDescent="0.3">
      <c r="A544">
        <f>LOOKUP(9E+307,--MID(D544,1,{1,2,3,4,5}))</f>
        <v>5</v>
      </c>
      <c r="B544">
        <f>VLOOKUP(MID(D544,LOOKUP(2,1/ISNUMBER(-MID(D544,1,{1,2,3,4,5})),{1,2,3,4,5})+1,9),'Hue codes'!$A$1:$B$10,2,FALSE)</f>
        <v>30</v>
      </c>
      <c r="C544">
        <f t="shared" si="8"/>
        <v>35</v>
      </c>
      <c r="D544" t="s">
        <v>34</v>
      </c>
      <c r="E544">
        <v>3</v>
      </c>
      <c r="F544">
        <v>4</v>
      </c>
      <c r="G544">
        <v>0.35539999999999999</v>
      </c>
      <c r="H544">
        <v>0.44290000000000002</v>
      </c>
      <c r="I544">
        <v>6.5549999999999997</v>
      </c>
    </row>
    <row r="545" spans="1:9" x14ac:dyDescent="0.3">
      <c r="A545">
        <f>LOOKUP(9E+307,--MID(D545,1,{1,2,3,4,5}))</f>
        <v>5</v>
      </c>
      <c r="B545">
        <f>VLOOKUP(MID(D545,LOOKUP(2,1/ISNUMBER(-MID(D545,1,{1,2,3,4,5})),{1,2,3,4,5})+1,9),'Hue codes'!$A$1:$B$10,2,FALSE)</f>
        <v>30</v>
      </c>
      <c r="C545">
        <f t="shared" si="8"/>
        <v>35</v>
      </c>
      <c r="D545" t="s">
        <v>34</v>
      </c>
      <c r="E545">
        <v>3</v>
      </c>
      <c r="F545">
        <v>6</v>
      </c>
      <c r="G545">
        <v>0.375</v>
      </c>
      <c r="H545">
        <v>0.51090000000000002</v>
      </c>
      <c r="I545">
        <v>6.5549999999999997</v>
      </c>
    </row>
    <row r="546" spans="1:9" x14ac:dyDescent="0.3">
      <c r="A546">
        <f>LOOKUP(9E+307,--MID(D546,1,{1,2,3,4,5}))</f>
        <v>5</v>
      </c>
      <c r="B546">
        <f>VLOOKUP(MID(D546,LOOKUP(2,1/ISNUMBER(-MID(D546,1,{1,2,3,4,5})),{1,2,3,4,5})+1,9),'Hue codes'!$A$1:$B$10,2,FALSE)</f>
        <v>30</v>
      </c>
      <c r="C546">
        <f t="shared" si="8"/>
        <v>35</v>
      </c>
      <c r="D546" t="s">
        <v>34</v>
      </c>
      <c r="E546">
        <v>3</v>
      </c>
      <c r="F546">
        <v>8</v>
      </c>
      <c r="G546">
        <v>0.39240000000000003</v>
      </c>
      <c r="H546">
        <v>0.58320000000000005</v>
      </c>
      <c r="I546">
        <v>6.5549999999999997</v>
      </c>
    </row>
    <row r="547" spans="1:9" x14ac:dyDescent="0.3">
      <c r="A547">
        <f>LOOKUP(9E+307,--MID(D547,1,{1,2,3,4,5}))</f>
        <v>7.5</v>
      </c>
      <c r="B547">
        <f>VLOOKUP(MID(D547,LOOKUP(2,1/ISNUMBER(-MID(D547,1,{1,2,3,4,5})),{1,2,3,4,5})+1,9),'Hue codes'!$A$1:$B$10,2,FALSE)</f>
        <v>30</v>
      </c>
      <c r="C547">
        <f t="shared" si="8"/>
        <v>37.5</v>
      </c>
      <c r="D547" t="s">
        <v>35</v>
      </c>
      <c r="E547">
        <v>3</v>
      </c>
      <c r="F547">
        <v>2</v>
      </c>
      <c r="G547">
        <v>0.318</v>
      </c>
      <c r="H547">
        <v>0.3644</v>
      </c>
      <c r="I547">
        <v>6.5549999999999997</v>
      </c>
    </row>
    <row r="548" spans="1:9" x14ac:dyDescent="0.3">
      <c r="A548">
        <f>LOOKUP(9E+307,--MID(D548,1,{1,2,3,4,5}))</f>
        <v>7.5</v>
      </c>
      <c r="B548">
        <f>VLOOKUP(MID(D548,LOOKUP(2,1/ISNUMBER(-MID(D548,1,{1,2,3,4,5})),{1,2,3,4,5})+1,9),'Hue codes'!$A$1:$B$10,2,FALSE)</f>
        <v>30</v>
      </c>
      <c r="C548">
        <f t="shared" si="8"/>
        <v>37.5</v>
      </c>
      <c r="D548" t="s">
        <v>35</v>
      </c>
      <c r="E548">
        <v>3</v>
      </c>
      <c r="F548">
        <v>4</v>
      </c>
      <c r="G548">
        <v>0.32700000000000001</v>
      </c>
      <c r="H548">
        <v>0.42880000000000001</v>
      </c>
      <c r="I548">
        <v>6.5549999999999997</v>
      </c>
    </row>
    <row r="549" spans="1:9" x14ac:dyDescent="0.3">
      <c r="A549">
        <f>LOOKUP(9E+307,--MID(D549,1,{1,2,3,4,5}))</f>
        <v>7.5</v>
      </c>
      <c r="B549">
        <f>VLOOKUP(MID(D549,LOOKUP(2,1/ISNUMBER(-MID(D549,1,{1,2,3,4,5})),{1,2,3,4,5})+1,9),'Hue codes'!$A$1:$B$10,2,FALSE)</f>
        <v>30</v>
      </c>
      <c r="C549">
        <f t="shared" si="8"/>
        <v>37.5</v>
      </c>
      <c r="D549" t="s">
        <v>35</v>
      </c>
      <c r="E549">
        <v>3</v>
      </c>
      <c r="F549">
        <v>6</v>
      </c>
      <c r="G549">
        <v>0.33329999999999999</v>
      </c>
      <c r="H549">
        <v>0.49669999999999997</v>
      </c>
      <c r="I549">
        <v>6.5549999999999997</v>
      </c>
    </row>
    <row r="550" spans="1:9" x14ac:dyDescent="0.3">
      <c r="A550">
        <f>LOOKUP(9E+307,--MID(D550,1,{1,2,3,4,5}))</f>
        <v>7.5</v>
      </c>
      <c r="B550">
        <f>VLOOKUP(MID(D550,LOOKUP(2,1/ISNUMBER(-MID(D550,1,{1,2,3,4,5})),{1,2,3,4,5})+1,9),'Hue codes'!$A$1:$B$10,2,FALSE)</f>
        <v>30</v>
      </c>
      <c r="C550">
        <f t="shared" si="8"/>
        <v>37.5</v>
      </c>
      <c r="D550" t="s">
        <v>35</v>
      </c>
      <c r="E550">
        <v>3</v>
      </c>
      <c r="F550">
        <v>8</v>
      </c>
      <c r="G550">
        <v>0.33410000000000001</v>
      </c>
      <c r="H550">
        <v>0.56999999999999995</v>
      </c>
      <c r="I550">
        <v>6.5549999999999997</v>
      </c>
    </row>
    <row r="551" spans="1:9" x14ac:dyDescent="0.3">
      <c r="A551">
        <f>LOOKUP(9E+307,--MID(D551,1,{1,2,3,4,5}))</f>
        <v>7.5</v>
      </c>
      <c r="B551">
        <f>VLOOKUP(MID(D551,LOOKUP(2,1/ISNUMBER(-MID(D551,1,{1,2,3,4,5})),{1,2,3,4,5})+1,9),'Hue codes'!$A$1:$B$10,2,FALSE)</f>
        <v>30</v>
      </c>
      <c r="C551">
        <f t="shared" si="8"/>
        <v>37.5</v>
      </c>
      <c r="D551" t="s">
        <v>35</v>
      </c>
      <c r="E551">
        <v>3</v>
      </c>
      <c r="F551">
        <v>10</v>
      </c>
      <c r="G551">
        <v>0.3266</v>
      </c>
      <c r="H551">
        <v>0.64480000000000004</v>
      </c>
      <c r="I551">
        <v>6.5549999999999997</v>
      </c>
    </row>
    <row r="552" spans="1:9" x14ac:dyDescent="0.3">
      <c r="A552">
        <f>LOOKUP(9E+307,--MID(D552,1,{1,2,3,4,5}))</f>
        <v>10</v>
      </c>
      <c r="B552">
        <f>VLOOKUP(MID(D552,LOOKUP(2,1/ISNUMBER(-MID(D552,1,{1,2,3,4,5})),{1,2,3,4,5})+1,9),'Hue codes'!$A$1:$B$10,2,FALSE)</f>
        <v>30</v>
      </c>
      <c r="C552">
        <f t="shared" si="8"/>
        <v>40</v>
      </c>
      <c r="D552" t="s">
        <v>36</v>
      </c>
      <c r="E552">
        <v>3</v>
      </c>
      <c r="F552">
        <v>2</v>
      </c>
      <c r="G552">
        <v>0.30880000000000002</v>
      </c>
      <c r="H552">
        <v>0.35780000000000001</v>
      </c>
      <c r="I552">
        <v>6.5549999999999997</v>
      </c>
    </row>
    <row r="553" spans="1:9" x14ac:dyDescent="0.3">
      <c r="A553">
        <f>LOOKUP(9E+307,--MID(D553,1,{1,2,3,4,5}))</f>
        <v>10</v>
      </c>
      <c r="B553">
        <f>VLOOKUP(MID(D553,LOOKUP(2,1/ISNUMBER(-MID(D553,1,{1,2,3,4,5})),{1,2,3,4,5})+1,9),'Hue codes'!$A$1:$B$10,2,FALSE)</f>
        <v>30</v>
      </c>
      <c r="C553">
        <f t="shared" si="8"/>
        <v>40</v>
      </c>
      <c r="D553" t="s">
        <v>36</v>
      </c>
      <c r="E553">
        <v>3</v>
      </c>
      <c r="F553">
        <v>4</v>
      </c>
      <c r="G553">
        <v>0.30530000000000002</v>
      </c>
      <c r="H553">
        <v>0.4123</v>
      </c>
      <c r="I553">
        <v>6.5549999999999997</v>
      </c>
    </row>
    <row r="554" spans="1:9" x14ac:dyDescent="0.3">
      <c r="A554">
        <f>LOOKUP(9E+307,--MID(D554,1,{1,2,3,4,5}))</f>
        <v>10</v>
      </c>
      <c r="B554">
        <f>VLOOKUP(MID(D554,LOOKUP(2,1/ISNUMBER(-MID(D554,1,{1,2,3,4,5})),{1,2,3,4,5})+1,9),'Hue codes'!$A$1:$B$10,2,FALSE)</f>
        <v>30</v>
      </c>
      <c r="C554">
        <f t="shared" si="8"/>
        <v>40</v>
      </c>
      <c r="D554" t="s">
        <v>36</v>
      </c>
      <c r="E554">
        <v>3</v>
      </c>
      <c r="F554">
        <v>6</v>
      </c>
      <c r="G554">
        <v>0.29920000000000002</v>
      </c>
      <c r="H554">
        <v>0.47170000000000001</v>
      </c>
      <c r="I554">
        <v>6.5549999999999997</v>
      </c>
    </row>
    <row r="555" spans="1:9" x14ac:dyDescent="0.3">
      <c r="A555">
        <f>LOOKUP(9E+307,--MID(D555,1,{1,2,3,4,5}))</f>
        <v>10</v>
      </c>
      <c r="B555">
        <f>VLOOKUP(MID(D555,LOOKUP(2,1/ISNUMBER(-MID(D555,1,{1,2,3,4,5})),{1,2,3,4,5})+1,9),'Hue codes'!$A$1:$B$10,2,FALSE)</f>
        <v>30</v>
      </c>
      <c r="C555">
        <f t="shared" si="8"/>
        <v>40</v>
      </c>
      <c r="D555" t="s">
        <v>36</v>
      </c>
      <c r="E555">
        <v>3</v>
      </c>
      <c r="F555">
        <v>8</v>
      </c>
      <c r="G555">
        <v>0.28870000000000001</v>
      </c>
      <c r="H555">
        <v>0.53610000000000002</v>
      </c>
      <c r="I555">
        <v>6.5549999999999997</v>
      </c>
    </row>
    <row r="556" spans="1:9" x14ac:dyDescent="0.3">
      <c r="A556">
        <f>LOOKUP(9E+307,--MID(D556,1,{1,2,3,4,5}))</f>
        <v>10</v>
      </c>
      <c r="B556">
        <f>VLOOKUP(MID(D556,LOOKUP(2,1/ISNUMBER(-MID(D556,1,{1,2,3,4,5})),{1,2,3,4,5})+1,9),'Hue codes'!$A$1:$B$10,2,FALSE)</f>
        <v>30</v>
      </c>
      <c r="C556">
        <f t="shared" si="8"/>
        <v>40</v>
      </c>
      <c r="D556" t="s">
        <v>36</v>
      </c>
      <c r="E556">
        <v>3</v>
      </c>
      <c r="F556">
        <v>10</v>
      </c>
      <c r="G556">
        <v>0.27239999999999998</v>
      </c>
      <c r="H556">
        <v>0.60260000000000002</v>
      </c>
      <c r="I556">
        <v>6.5549999999999997</v>
      </c>
    </row>
    <row r="557" spans="1:9" x14ac:dyDescent="0.3">
      <c r="A557">
        <f>LOOKUP(9E+307,--MID(D557,1,{1,2,3,4,5}))</f>
        <v>10</v>
      </c>
      <c r="B557">
        <f>VLOOKUP(MID(D557,LOOKUP(2,1/ISNUMBER(-MID(D557,1,{1,2,3,4,5})),{1,2,3,4,5})+1,9),'Hue codes'!$A$1:$B$10,2,FALSE)</f>
        <v>30</v>
      </c>
      <c r="C557">
        <f t="shared" si="8"/>
        <v>40</v>
      </c>
      <c r="D557" t="s">
        <v>36</v>
      </c>
      <c r="E557">
        <v>3</v>
      </c>
      <c r="F557">
        <v>12</v>
      </c>
      <c r="G557">
        <v>0.25309999999999999</v>
      </c>
      <c r="H557">
        <v>0.67</v>
      </c>
      <c r="I557">
        <v>6.5549999999999997</v>
      </c>
    </row>
    <row r="558" spans="1:9" x14ac:dyDescent="0.3">
      <c r="A558">
        <f>LOOKUP(9E+307,--MID(D558,1,{1,2,3,4,5}))</f>
        <v>10</v>
      </c>
      <c r="B558">
        <f>VLOOKUP(MID(D558,LOOKUP(2,1/ISNUMBER(-MID(D558,1,{1,2,3,4,5})),{1,2,3,4,5})+1,9),'Hue codes'!$A$1:$B$10,2,FALSE)</f>
        <v>30</v>
      </c>
      <c r="C558">
        <f t="shared" si="8"/>
        <v>40</v>
      </c>
      <c r="D558" t="s">
        <v>36</v>
      </c>
      <c r="E558">
        <v>3</v>
      </c>
      <c r="F558">
        <v>14</v>
      </c>
      <c r="G558">
        <v>0.2283</v>
      </c>
      <c r="H558">
        <v>0.74229999999999996</v>
      </c>
      <c r="I558">
        <v>6.5549999999999997</v>
      </c>
    </row>
    <row r="559" spans="1:9" x14ac:dyDescent="0.3">
      <c r="A559">
        <f>LOOKUP(9E+307,--MID(D559,1,{1,2,3,4,5}))</f>
        <v>2.5</v>
      </c>
      <c r="B559">
        <f>VLOOKUP(MID(D559,LOOKUP(2,1/ISNUMBER(-MID(D559,1,{1,2,3,4,5})),{1,2,3,4,5})+1,9),'Hue codes'!$A$1:$B$10,2,FALSE)</f>
        <v>40</v>
      </c>
      <c r="C559">
        <f t="shared" si="8"/>
        <v>42.5</v>
      </c>
      <c r="D559" t="s">
        <v>37</v>
      </c>
      <c r="E559">
        <v>3</v>
      </c>
      <c r="F559">
        <v>2</v>
      </c>
      <c r="G559">
        <v>0.2999</v>
      </c>
      <c r="H559">
        <v>0.35</v>
      </c>
      <c r="I559">
        <v>6.5549999999999997</v>
      </c>
    </row>
    <row r="560" spans="1:9" x14ac:dyDescent="0.3">
      <c r="A560">
        <f>LOOKUP(9E+307,--MID(D560,1,{1,2,3,4,5}))</f>
        <v>2.5</v>
      </c>
      <c r="B560">
        <f>VLOOKUP(MID(D560,LOOKUP(2,1/ISNUMBER(-MID(D560,1,{1,2,3,4,5})),{1,2,3,4,5})+1,9),'Hue codes'!$A$1:$B$10,2,FALSE)</f>
        <v>40</v>
      </c>
      <c r="C560">
        <f t="shared" si="8"/>
        <v>42.5</v>
      </c>
      <c r="D560" t="s">
        <v>37</v>
      </c>
      <c r="E560">
        <v>3</v>
      </c>
      <c r="F560">
        <v>4</v>
      </c>
      <c r="G560">
        <v>0.28360000000000002</v>
      </c>
      <c r="H560">
        <v>0.39150000000000001</v>
      </c>
      <c r="I560">
        <v>6.5549999999999997</v>
      </c>
    </row>
    <row r="561" spans="1:9" x14ac:dyDescent="0.3">
      <c r="A561">
        <f>LOOKUP(9E+307,--MID(D561,1,{1,2,3,4,5}))</f>
        <v>2.5</v>
      </c>
      <c r="B561">
        <f>VLOOKUP(MID(D561,LOOKUP(2,1/ISNUMBER(-MID(D561,1,{1,2,3,4,5})),{1,2,3,4,5})+1,9),'Hue codes'!$A$1:$B$10,2,FALSE)</f>
        <v>40</v>
      </c>
      <c r="C561">
        <f t="shared" si="8"/>
        <v>42.5</v>
      </c>
      <c r="D561" t="s">
        <v>37</v>
      </c>
      <c r="E561">
        <v>3</v>
      </c>
      <c r="F561">
        <v>6</v>
      </c>
      <c r="G561">
        <v>0.26419999999999999</v>
      </c>
      <c r="H561">
        <v>0.43419999999999997</v>
      </c>
      <c r="I561">
        <v>6.5549999999999997</v>
      </c>
    </row>
    <row r="562" spans="1:9" x14ac:dyDescent="0.3">
      <c r="A562">
        <f>LOOKUP(9E+307,--MID(D562,1,{1,2,3,4,5}))</f>
        <v>2.5</v>
      </c>
      <c r="B562">
        <f>VLOOKUP(MID(D562,LOOKUP(2,1/ISNUMBER(-MID(D562,1,{1,2,3,4,5})),{1,2,3,4,5})+1,9),'Hue codes'!$A$1:$B$10,2,FALSE)</f>
        <v>40</v>
      </c>
      <c r="C562">
        <f t="shared" si="8"/>
        <v>42.5</v>
      </c>
      <c r="D562" t="s">
        <v>37</v>
      </c>
      <c r="E562">
        <v>3</v>
      </c>
      <c r="F562">
        <v>8</v>
      </c>
      <c r="G562">
        <v>0.24349999999999999</v>
      </c>
      <c r="H562">
        <v>0.47520000000000001</v>
      </c>
      <c r="I562">
        <v>6.5549999999999997</v>
      </c>
    </row>
    <row r="563" spans="1:9" x14ac:dyDescent="0.3">
      <c r="A563">
        <f>LOOKUP(9E+307,--MID(D563,1,{1,2,3,4,5}))</f>
        <v>2.5</v>
      </c>
      <c r="B563">
        <f>VLOOKUP(MID(D563,LOOKUP(2,1/ISNUMBER(-MID(D563,1,{1,2,3,4,5})),{1,2,3,4,5})+1,9),'Hue codes'!$A$1:$B$10,2,FALSE)</f>
        <v>40</v>
      </c>
      <c r="C563">
        <f t="shared" si="8"/>
        <v>42.5</v>
      </c>
      <c r="D563" t="s">
        <v>37</v>
      </c>
      <c r="E563">
        <v>3</v>
      </c>
      <c r="F563">
        <v>10</v>
      </c>
      <c r="G563">
        <v>0.217</v>
      </c>
      <c r="H563">
        <v>0.52110000000000001</v>
      </c>
      <c r="I563">
        <v>6.5549999999999997</v>
      </c>
    </row>
    <row r="564" spans="1:9" x14ac:dyDescent="0.3">
      <c r="A564">
        <f>LOOKUP(9E+307,--MID(D564,1,{1,2,3,4,5}))</f>
        <v>2.5</v>
      </c>
      <c r="B564">
        <f>VLOOKUP(MID(D564,LOOKUP(2,1/ISNUMBER(-MID(D564,1,{1,2,3,4,5})),{1,2,3,4,5})+1,9),'Hue codes'!$A$1:$B$10,2,FALSE)</f>
        <v>40</v>
      </c>
      <c r="C564">
        <f t="shared" si="8"/>
        <v>42.5</v>
      </c>
      <c r="D564" t="s">
        <v>37</v>
      </c>
      <c r="E564">
        <v>3</v>
      </c>
      <c r="F564">
        <v>12</v>
      </c>
      <c r="G564">
        <v>0.19020000000000001</v>
      </c>
      <c r="H564">
        <v>0.56420000000000003</v>
      </c>
      <c r="I564">
        <v>6.5549999999999997</v>
      </c>
    </row>
    <row r="565" spans="1:9" x14ac:dyDescent="0.3">
      <c r="A565">
        <f>LOOKUP(9E+307,--MID(D565,1,{1,2,3,4,5}))</f>
        <v>2.5</v>
      </c>
      <c r="B565">
        <f>VLOOKUP(MID(D565,LOOKUP(2,1/ISNUMBER(-MID(D565,1,{1,2,3,4,5})),{1,2,3,4,5})+1,9),'Hue codes'!$A$1:$B$10,2,FALSE)</f>
        <v>40</v>
      </c>
      <c r="C565">
        <f t="shared" si="8"/>
        <v>42.5</v>
      </c>
      <c r="D565" t="s">
        <v>37</v>
      </c>
      <c r="E565">
        <v>3</v>
      </c>
      <c r="F565">
        <v>14</v>
      </c>
      <c r="G565">
        <v>0.16259999999999999</v>
      </c>
      <c r="H565">
        <v>0.60519999999999996</v>
      </c>
      <c r="I565">
        <v>6.5549999999999997</v>
      </c>
    </row>
    <row r="566" spans="1:9" x14ac:dyDescent="0.3">
      <c r="A566">
        <f>LOOKUP(9E+307,--MID(D566,1,{1,2,3,4,5}))</f>
        <v>2.5</v>
      </c>
      <c r="B566">
        <f>VLOOKUP(MID(D566,LOOKUP(2,1/ISNUMBER(-MID(D566,1,{1,2,3,4,5})),{1,2,3,4,5})+1,9),'Hue codes'!$A$1:$B$10,2,FALSE)</f>
        <v>40</v>
      </c>
      <c r="C566">
        <f t="shared" si="8"/>
        <v>42.5</v>
      </c>
      <c r="D566" t="s">
        <v>37</v>
      </c>
      <c r="E566">
        <v>3</v>
      </c>
      <c r="F566">
        <v>16</v>
      </c>
      <c r="G566">
        <v>0.1341</v>
      </c>
      <c r="H566">
        <v>0.64200000000000002</v>
      </c>
      <c r="I566">
        <v>6.5549999999999997</v>
      </c>
    </row>
    <row r="567" spans="1:9" x14ac:dyDescent="0.3">
      <c r="A567">
        <f>LOOKUP(9E+307,--MID(D567,1,{1,2,3,4,5}))</f>
        <v>2.5</v>
      </c>
      <c r="B567">
        <f>VLOOKUP(MID(D567,LOOKUP(2,1/ISNUMBER(-MID(D567,1,{1,2,3,4,5})),{1,2,3,4,5})+1,9),'Hue codes'!$A$1:$B$10,2,FALSE)</f>
        <v>40</v>
      </c>
      <c r="C567">
        <f t="shared" si="8"/>
        <v>42.5</v>
      </c>
      <c r="D567" t="s">
        <v>37</v>
      </c>
      <c r="E567">
        <v>3</v>
      </c>
      <c r="F567">
        <v>18</v>
      </c>
      <c r="G567">
        <v>0.10489999999999999</v>
      </c>
      <c r="H567">
        <v>0.67659999999999998</v>
      </c>
      <c r="I567">
        <v>6.5549999999999997</v>
      </c>
    </row>
    <row r="568" spans="1:9" x14ac:dyDescent="0.3">
      <c r="A568">
        <f>LOOKUP(9E+307,--MID(D568,1,{1,2,3,4,5}))</f>
        <v>2.5</v>
      </c>
      <c r="B568">
        <f>VLOOKUP(MID(D568,LOOKUP(2,1/ISNUMBER(-MID(D568,1,{1,2,3,4,5})),{1,2,3,4,5})+1,9),'Hue codes'!$A$1:$B$10,2,FALSE)</f>
        <v>40</v>
      </c>
      <c r="C568">
        <f t="shared" si="8"/>
        <v>42.5</v>
      </c>
      <c r="D568" t="s">
        <v>37</v>
      </c>
      <c r="E568">
        <v>3</v>
      </c>
      <c r="F568">
        <v>20</v>
      </c>
      <c r="G568">
        <v>7.1999999999999995E-2</v>
      </c>
      <c r="H568">
        <v>0.7127</v>
      </c>
      <c r="I568">
        <v>6.5549999999999997</v>
      </c>
    </row>
    <row r="569" spans="1:9" x14ac:dyDescent="0.3">
      <c r="A569">
        <f>LOOKUP(9E+307,--MID(D569,1,{1,2,3,4,5}))</f>
        <v>2.5</v>
      </c>
      <c r="B569">
        <f>VLOOKUP(MID(D569,LOOKUP(2,1/ISNUMBER(-MID(D569,1,{1,2,3,4,5})),{1,2,3,4,5})+1,9),'Hue codes'!$A$1:$B$10,2,FALSE)</f>
        <v>40</v>
      </c>
      <c r="C569">
        <f t="shared" si="8"/>
        <v>42.5</v>
      </c>
      <c r="D569" t="s">
        <v>37</v>
      </c>
      <c r="E569">
        <v>3</v>
      </c>
      <c r="F569">
        <v>22</v>
      </c>
      <c r="G569">
        <v>3.9E-2</v>
      </c>
      <c r="H569">
        <v>0.74680000000000002</v>
      </c>
      <c r="I569">
        <v>6.5549999999999997</v>
      </c>
    </row>
    <row r="570" spans="1:9" x14ac:dyDescent="0.3">
      <c r="A570">
        <f>LOOKUP(9E+307,--MID(D570,1,{1,2,3,4,5}))</f>
        <v>5</v>
      </c>
      <c r="B570">
        <f>VLOOKUP(MID(D570,LOOKUP(2,1/ISNUMBER(-MID(D570,1,{1,2,3,4,5})),{1,2,3,4,5})+1,9),'Hue codes'!$A$1:$B$10,2,FALSE)</f>
        <v>40</v>
      </c>
      <c r="C570">
        <f t="shared" si="8"/>
        <v>45</v>
      </c>
      <c r="D570" t="s">
        <v>38</v>
      </c>
      <c r="E570">
        <v>3</v>
      </c>
      <c r="F570">
        <v>2</v>
      </c>
      <c r="G570">
        <v>0.29349999999999998</v>
      </c>
      <c r="H570">
        <v>0.34389999999999998</v>
      </c>
      <c r="I570">
        <v>6.5549999999999997</v>
      </c>
    </row>
    <row r="571" spans="1:9" x14ac:dyDescent="0.3">
      <c r="A571">
        <f>LOOKUP(9E+307,--MID(D571,1,{1,2,3,4,5}))</f>
        <v>5</v>
      </c>
      <c r="B571">
        <f>VLOOKUP(MID(D571,LOOKUP(2,1/ISNUMBER(-MID(D571,1,{1,2,3,4,5})),{1,2,3,4,5})+1,9),'Hue codes'!$A$1:$B$10,2,FALSE)</f>
        <v>40</v>
      </c>
      <c r="C571">
        <f t="shared" si="8"/>
        <v>45</v>
      </c>
      <c r="D571" t="s">
        <v>38</v>
      </c>
      <c r="E571">
        <v>3</v>
      </c>
      <c r="F571">
        <v>4</v>
      </c>
      <c r="G571">
        <v>0.27110000000000001</v>
      </c>
      <c r="H571">
        <v>0.378</v>
      </c>
      <c r="I571">
        <v>6.5549999999999997</v>
      </c>
    </row>
    <row r="572" spans="1:9" x14ac:dyDescent="0.3">
      <c r="A572">
        <f>LOOKUP(9E+307,--MID(D572,1,{1,2,3,4,5}))</f>
        <v>5</v>
      </c>
      <c r="B572">
        <f>VLOOKUP(MID(D572,LOOKUP(2,1/ISNUMBER(-MID(D572,1,{1,2,3,4,5})),{1,2,3,4,5})+1,9),'Hue codes'!$A$1:$B$10,2,FALSE)</f>
        <v>40</v>
      </c>
      <c r="C572">
        <f t="shared" si="8"/>
        <v>45</v>
      </c>
      <c r="D572" t="s">
        <v>38</v>
      </c>
      <c r="E572">
        <v>3</v>
      </c>
      <c r="F572">
        <v>6</v>
      </c>
      <c r="G572">
        <v>0.24709999999999999</v>
      </c>
      <c r="H572">
        <v>0.41</v>
      </c>
      <c r="I572">
        <v>6.5549999999999997</v>
      </c>
    </row>
    <row r="573" spans="1:9" x14ac:dyDescent="0.3">
      <c r="A573">
        <f>LOOKUP(9E+307,--MID(D573,1,{1,2,3,4,5}))</f>
        <v>5</v>
      </c>
      <c r="B573">
        <f>VLOOKUP(MID(D573,LOOKUP(2,1/ISNUMBER(-MID(D573,1,{1,2,3,4,5})),{1,2,3,4,5})+1,9),'Hue codes'!$A$1:$B$10,2,FALSE)</f>
        <v>40</v>
      </c>
      <c r="C573">
        <f t="shared" si="8"/>
        <v>45</v>
      </c>
      <c r="D573" t="s">
        <v>38</v>
      </c>
      <c r="E573">
        <v>3</v>
      </c>
      <c r="F573">
        <v>8</v>
      </c>
      <c r="G573">
        <v>0.2228</v>
      </c>
      <c r="H573">
        <v>0.438</v>
      </c>
      <c r="I573">
        <v>6.5549999999999997</v>
      </c>
    </row>
    <row r="574" spans="1:9" x14ac:dyDescent="0.3">
      <c r="A574">
        <f>LOOKUP(9E+307,--MID(D574,1,{1,2,3,4,5}))</f>
        <v>5</v>
      </c>
      <c r="B574">
        <f>VLOOKUP(MID(D574,LOOKUP(2,1/ISNUMBER(-MID(D574,1,{1,2,3,4,5})),{1,2,3,4,5})+1,9),'Hue codes'!$A$1:$B$10,2,FALSE)</f>
        <v>40</v>
      </c>
      <c r="C574">
        <f t="shared" si="8"/>
        <v>45</v>
      </c>
      <c r="D574" t="s">
        <v>38</v>
      </c>
      <c r="E574">
        <v>3</v>
      </c>
      <c r="F574">
        <v>10</v>
      </c>
      <c r="G574">
        <v>0.19350000000000001</v>
      </c>
      <c r="H574">
        <v>0.46820000000000001</v>
      </c>
      <c r="I574">
        <v>6.5549999999999997</v>
      </c>
    </row>
    <row r="575" spans="1:9" x14ac:dyDescent="0.3">
      <c r="A575">
        <f>LOOKUP(9E+307,--MID(D575,1,{1,2,3,4,5}))</f>
        <v>5</v>
      </c>
      <c r="B575">
        <f>VLOOKUP(MID(D575,LOOKUP(2,1/ISNUMBER(-MID(D575,1,{1,2,3,4,5})),{1,2,3,4,5})+1,9),'Hue codes'!$A$1:$B$10,2,FALSE)</f>
        <v>40</v>
      </c>
      <c r="C575">
        <f t="shared" si="8"/>
        <v>45</v>
      </c>
      <c r="D575" t="s">
        <v>38</v>
      </c>
      <c r="E575">
        <v>3</v>
      </c>
      <c r="F575">
        <v>12</v>
      </c>
      <c r="G575">
        <v>0.16600000000000001</v>
      </c>
      <c r="H575">
        <v>0.49480000000000002</v>
      </c>
      <c r="I575">
        <v>6.5549999999999997</v>
      </c>
    </row>
    <row r="576" spans="1:9" x14ac:dyDescent="0.3">
      <c r="A576">
        <f>LOOKUP(9E+307,--MID(D576,1,{1,2,3,4,5}))</f>
        <v>5</v>
      </c>
      <c r="B576">
        <f>VLOOKUP(MID(D576,LOOKUP(2,1/ISNUMBER(-MID(D576,1,{1,2,3,4,5})),{1,2,3,4,5})+1,9),'Hue codes'!$A$1:$B$10,2,FALSE)</f>
        <v>40</v>
      </c>
      <c r="C576">
        <f t="shared" si="8"/>
        <v>45</v>
      </c>
      <c r="D576" t="s">
        <v>38</v>
      </c>
      <c r="E576">
        <v>3</v>
      </c>
      <c r="F576">
        <v>14</v>
      </c>
      <c r="G576">
        <v>0.13819999999999999</v>
      </c>
      <c r="H576">
        <v>0.51970000000000005</v>
      </c>
      <c r="I576">
        <v>6.5549999999999997</v>
      </c>
    </row>
    <row r="577" spans="1:9" x14ac:dyDescent="0.3">
      <c r="A577">
        <f>LOOKUP(9E+307,--MID(D577,1,{1,2,3,4,5}))</f>
        <v>5</v>
      </c>
      <c r="B577">
        <f>VLOOKUP(MID(D577,LOOKUP(2,1/ISNUMBER(-MID(D577,1,{1,2,3,4,5})),{1,2,3,4,5})+1,9),'Hue codes'!$A$1:$B$10,2,FALSE)</f>
        <v>40</v>
      </c>
      <c r="C577">
        <f t="shared" si="8"/>
        <v>45</v>
      </c>
      <c r="D577" t="s">
        <v>38</v>
      </c>
      <c r="E577">
        <v>3</v>
      </c>
      <c r="F577">
        <v>16</v>
      </c>
      <c r="G577">
        <v>0.112</v>
      </c>
      <c r="H577">
        <v>0.54139999999999999</v>
      </c>
      <c r="I577">
        <v>6.5549999999999997</v>
      </c>
    </row>
    <row r="578" spans="1:9" x14ac:dyDescent="0.3">
      <c r="A578">
        <f>LOOKUP(9E+307,--MID(D578,1,{1,2,3,4,5}))</f>
        <v>5</v>
      </c>
      <c r="B578">
        <f>VLOOKUP(MID(D578,LOOKUP(2,1/ISNUMBER(-MID(D578,1,{1,2,3,4,5})),{1,2,3,4,5})+1,9),'Hue codes'!$A$1:$B$10,2,FALSE)</f>
        <v>40</v>
      </c>
      <c r="C578">
        <f t="shared" si="8"/>
        <v>45</v>
      </c>
      <c r="D578" t="s">
        <v>38</v>
      </c>
      <c r="E578">
        <v>3</v>
      </c>
      <c r="F578">
        <v>18</v>
      </c>
      <c r="G578">
        <v>8.8200000000000001E-2</v>
      </c>
      <c r="H578">
        <v>0.5605</v>
      </c>
      <c r="I578">
        <v>6.5549999999999997</v>
      </c>
    </row>
    <row r="579" spans="1:9" x14ac:dyDescent="0.3">
      <c r="A579">
        <f>LOOKUP(9E+307,--MID(D579,1,{1,2,3,4,5}))</f>
        <v>5</v>
      </c>
      <c r="B579">
        <f>VLOOKUP(MID(D579,LOOKUP(2,1/ISNUMBER(-MID(D579,1,{1,2,3,4,5})),{1,2,3,4,5})+1,9),'Hue codes'!$A$1:$B$10,2,FALSE)</f>
        <v>40</v>
      </c>
      <c r="C579">
        <f t="shared" ref="C579:C642" si="9">IF(A579+B579=100,0,A579+B579)</f>
        <v>45</v>
      </c>
      <c r="D579" t="s">
        <v>38</v>
      </c>
      <c r="E579">
        <v>3</v>
      </c>
      <c r="F579">
        <v>20</v>
      </c>
      <c r="G579">
        <v>6.2E-2</v>
      </c>
      <c r="H579">
        <v>0.58020000000000005</v>
      </c>
      <c r="I579">
        <v>6.5549999999999997</v>
      </c>
    </row>
    <row r="580" spans="1:9" x14ac:dyDescent="0.3">
      <c r="A580">
        <f>LOOKUP(9E+307,--MID(D580,1,{1,2,3,4,5}))</f>
        <v>5</v>
      </c>
      <c r="B580">
        <f>VLOOKUP(MID(D580,LOOKUP(2,1/ISNUMBER(-MID(D580,1,{1,2,3,4,5})),{1,2,3,4,5})+1,9),'Hue codes'!$A$1:$B$10,2,FALSE)</f>
        <v>40</v>
      </c>
      <c r="C580">
        <f t="shared" si="9"/>
        <v>45</v>
      </c>
      <c r="D580" t="s">
        <v>38</v>
      </c>
      <c r="E580">
        <v>3</v>
      </c>
      <c r="F580">
        <v>22</v>
      </c>
      <c r="G580">
        <v>3.4000000000000002E-2</v>
      </c>
      <c r="H580">
        <v>0.60109999999999997</v>
      </c>
      <c r="I580">
        <v>6.5549999999999997</v>
      </c>
    </row>
    <row r="581" spans="1:9" x14ac:dyDescent="0.3">
      <c r="A581">
        <f>LOOKUP(9E+307,--MID(D581,1,{1,2,3,4,5}))</f>
        <v>7.5</v>
      </c>
      <c r="B581">
        <f>VLOOKUP(MID(D581,LOOKUP(2,1/ISNUMBER(-MID(D581,1,{1,2,3,4,5})),{1,2,3,4,5})+1,9),'Hue codes'!$A$1:$B$10,2,FALSE)</f>
        <v>40</v>
      </c>
      <c r="C581">
        <f t="shared" si="9"/>
        <v>47.5</v>
      </c>
      <c r="D581" t="s">
        <v>39</v>
      </c>
      <c r="E581">
        <v>3</v>
      </c>
      <c r="F581">
        <v>2</v>
      </c>
      <c r="G581">
        <v>0.28899999999999998</v>
      </c>
      <c r="H581">
        <v>0.33910000000000001</v>
      </c>
      <c r="I581">
        <v>6.5549999999999997</v>
      </c>
    </row>
    <row r="582" spans="1:9" x14ac:dyDescent="0.3">
      <c r="A582">
        <f>LOOKUP(9E+307,--MID(D582,1,{1,2,3,4,5}))</f>
        <v>7.5</v>
      </c>
      <c r="B582">
        <f>VLOOKUP(MID(D582,LOOKUP(2,1/ISNUMBER(-MID(D582,1,{1,2,3,4,5})),{1,2,3,4,5})+1,9),'Hue codes'!$A$1:$B$10,2,FALSE)</f>
        <v>40</v>
      </c>
      <c r="C582">
        <f t="shared" si="9"/>
        <v>47.5</v>
      </c>
      <c r="D582" t="s">
        <v>39</v>
      </c>
      <c r="E582">
        <v>3</v>
      </c>
      <c r="F582">
        <v>4</v>
      </c>
      <c r="G582">
        <v>0.26179999999999998</v>
      </c>
      <c r="H582">
        <v>0.36670000000000003</v>
      </c>
      <c r="I582">
        <v>6.5549999999999997</v>
      </c>
    </row>
    <row r="583" spans="1:9" x14ac:dyDescent="0.3">
      <c r="A583">
        <f>LOOKUP(9E+307,--MID(D583,1,{1,2,3,4,5}))</f>
        <v>7.5</v>
      </c>
      <c r="B583">
        <f>VLOOKUP(MID(D583,LOOKUP(2,1/ISNUMBER(-MID(D583,1,{1,2,3,4,5})),{1,2,3,4,5})+1,9),'Hue codes'!$A$1:$B$10,2,FALSE)</f>
        <v>40</v>
      </c>
      <c r="C583">
        <f t="shared" si="9"/>
        <v>47.5</v>
      </c>
      <c r="D583" t="s">
        <v>39</v>
      </c>
      <c r="E583">
        <v>3</v>
      </c>
      <c r="F583">
        <v>6</v>
      </c>
      <c r="G583">
        <v>0.2346</v>
      </c>
      <c r="H583">
        <v>0.3901</v>
      </c>
      <c r="I583">
        <v>6.5549999999999997</v>
      </c>
    </row>
    <row r="584" spans="1:9" x14ac:dyDescent="0.3">
      <c r="A584">
        <f>LOOKUP(9E+307,--MID(D584,1,{1,2,3,4,5}))</f>
        <v>7.5</v>
      </c>
      <c r="B584">
        <f>VLOOKUP(MID(D584,LOOKUP(2,1/ISNUMBER(-MID(D584,1,{1,2,3,4,5})),{1,2,3,4,5})+1,9),'Hue codes'!$A$1:$B$10,2,FALSE)</f>
        <v>40</v>
      </c>
      <c r="C584">
        <f t="shared" si="9"/>
        <v>47.5</v>
      </c>
      <c r="D584" t="s">
        <v>39</v>
      </c>
      <c r="E584">
        <v>3</v>
      </c>
      <c r="F584">
        <v>8</v>
      </c>
      <c r="G584">
        <v>0.20880000000000001</v>
      </c>
      <c r="H584">
        <v>0.41010000000000002</v>
      </c>
      <c r="I584">
        <v>6.5549999999999997</v>
      </c>
    </row>
    <row r="585" spans="1:9" x14ac:dyDescent="0.3">
      <c r="A585">
        <f>LOOKUP(9E+307,--MID(D585,1,{1,2,3,4,5}))</f>
        <v>7.5</v>
      </c>
      <c r="B585">
        <f>VLOOKUP(MID(D585,LOOKUP(2,1/ISNUMBER(-MID(D585,1,{1,2,3,4,5})),{1,2,3,4,5})+1,9),'Hue codes'!$A$1:$B$10,2,FALSE)</f>
        <v>40</v>
      </c>
      <c r="C585">
        <f t="shared" si="9"/>
        <v>47.5</v>
      </c>
      <c r="D585" t="s">
        <v>39</v>
      </c>
      <c r="E585">
        <v>3</v>
      </c>
      <c r="F585">
        <v>10</v>
      </c>
      <c r="G585">
        <v>0.18</v>
      </c>
      <c r="H585">
        <v>0.43099999999999999</v>
      </c>
      <c r="I585">
        <v>6.5549999999999997</v>
      </c>
    </row>
    <row r="586" spans="1:9" x14ac:dyDescent="0.3">
      <c r="A586">
        <f>LOOKUP(9E+307,--MID(D586,1,{1,2,3,4,5}))</f>
        <v>7.5</v>
      </c>
      <c r="B586">
        <f>VLOOKUP(MID(D586,LOOKUP(2,1/ISNUMBER(-MID(D586,1,{1,2,3,4,5})),{1,2,3,4,5})+1,9),'Hue codes'!$A$1:$B$10,2,FALSE)</f>
        <v>40</v>
      </c>
      <c r="C586">
        <f t="shared" si="9"/>
        <v>47.5</v>
      </c>
      <c r="D586" t="s">
        <v>39</v>
      </c>
      <c r="E586">
        <v>3</v>
      </c>
      <c r="F586">
        <v>12</v>
      </c>
      <c r="G586">
        <v>0.15160000000000001</v>
      </c>
      <c r="H586">
        <v>0.45050000000000001</v>
      </c>
      <c r="I586">
        <v>6.5549999999999997</v>
      </c>
    </row>
    <row r="587" spans="1:9" x14ac:dyDescent="0.3">
      <c r="A587">
        <f>LOOKUP(9E+307,--MID(D587,1,{1,2,3,4,5}))</f>
        <v>7.5</v>
      </c>
      <c r="B587">
        <f>VLOOKUP(MID(D587,LOOKUP(2,1/ISNUMBER(-MID(D587,1,{1,2,3,4,5})),{1,2,3,4,5})+1,9),'Hue codes'!$A$1:$B$10,2,FALSE)</f>
        <v>40</v>
      </c>
      <c r="C587">
        <f t="shared" si="9"/>
        <v>47.5</v>
      </c>
      <c r="D587" t="s">
        <v>39</v>
      </c>
      <c r="E587">
        <v>3</v>
      </c>
      <c r="F587">
        <v>14</v>
      </c>
      <c r="G587">
        <v>0.12620000000000001</v>
      </c>
      <c r="H587">
        <v>0.4667</v>
      </c>
      <c r="I587">
        <v>6.5549999999999997</v>
      </c>
    </row>
    <row r="588" spans="1:9" x14ac:dyDescent="0.3">
      <c r="A588">
        <f>LOOKUP(9E+307,--MID(D588,1,{1,2,3,4,5}))</f>
        <v>7.5</v>
      </c>
      <c r="B588">
        <f>VLOOKUP(MID(D588,LOOKUP(2,1/ISNUMBER(-MID(D588,1,{1,2,3,4,5})),{1,2,3,4,5})+1,9),'Hue codes'!$A$1:$B$10,2,FALSE)</f>
        <v>40</v>
      </c>
      <c r="C588">
        <f t="shared" si="9"/>
        <v>47.5</v>
      </c>
      <c r="D588" t="s">
        <v>39</v>
      </c>
      <c r="E588">
        <v>3</v>
      </c>
      <c r="F588">
        <v>16</v>
      </c>
      <c r="G588">
        <v>0.1023</v>
      </c>
      <c r="H588">
        <v>0.48180000000000001</v>
      </c>
      <c r="I588">
        <v>6.5549999999999997</v>
      </c>
    </row>
    <row r="589" spans="1:9" x14ac:dyDescent="0.3">
      <c r="A589">
        <f>LOOKUP(9E+307,--MID(D589,1,{1,2,3,4,5}))</f>
        <v>7.5</v>
      </c>
      <c r="B589">
        <f>VLOOKUP(MID(D589,LOOKUP(2,1/ISNUMBER(-MID(D589,1,{1,2,3,4,5})),{1,2,3,4,5})+1,9),'Hue codes'!$A$1:$B$10,2,FALSE)</f>
        <v>40</v>
      </c>
      <c r="C589">
        <f t="shared" si="9"/>
        <v>47.5</v>
      </c>
      <c r="D589" t="s">
        <v>39</v>
      </c>
      <c r="E589">
        <v>3</v>
      </c>
      <c r="F589">
        <v>18</v>
      </c>
      <c r="G589">
        <v>7.9799999999999996E-2</v>
      </c>
      <c r="H589">
        <v>0.49540000000000001</v>
      </c>
      <c r="I589">
        <v>6.5549999999999997</v>
      </c>
    </row>
    <row r="590" spans="1:9" x14ac:dyDescent="0.3">
      <c r="A590">
        <f>LOOKUP(9E+307,--MID(D590,1,{1,2,3,4,5}))</f>
        <v>7.5</v>
      </c>
      <c r="B590">
        <f>VLOOKUP(MID(D590,LOOKUP(2,1/ISNUMBER(-MID(D590,1,{1,2,3,4,5})),{1,2,3,4,5})+1,9),'Hue codes'!$A$1:$B$10,2,FALSE)</f>
        <v>40</v>
      </c>
      <c r="C590">
        <f t="shared" si="9"/>
        <v>47.5</v>
      </c>
      <c r="D590" t="s">
        <v>39</v>
      </c>
      <c r="E590">
        <v>3</v>
      </c>
      <c r="F590">
        <v>20</v>
      </c>
      <c r="G590">
        <v>5.6800000000000003E-2</v>
      </c>
      <c r="H590">
        <v>0.50819999999999999</v>
      </c>
      <c r="I590">
        <v>6.5549999999999997</v>
      </c>
    </row>
    <row r="591" spans="1:9" x14ac:dyDescent="0.3">
      <c r="A591">
        <f>LOOKUP(9E+307,--MID(D591,1,{1,2,3,4,5}))</f>
        <v>7.5</v>
      </c>
      <c r="B591">
        <f>VLOOKUP(MID(D591,LOOKUP(2,1/ISNUMBER(-MID(D591,1,{1,2,3,4,5})),{1,2,3,4,5})+1,9),'Hue codes'!$A$1:$B$10,2,FALSE)</f>
        <v>40</v>
      </c>
      <c r="C591">
        <f t="shared" si="9"/>
        <v>47.5</v>
      </c>
      <c r="D591" t="s">
        <v>39</v>
      </c>
      <c r="E591">
        <v>3</v>
      </c>
      <c r="F591">
        <v>22</v>
      </c>
      <c r="G591">
        <v>3.32E-2</v>
      </c>
      <c r="H591">
        <v>0.52059999999999995</v>
      </c>
      <c r="I591">
        <v>6.5549999999999997</v>
      </c>
    </row>
    <row r="592" spans="1:9" x14ac:dyDescent="0.3">
      <c r="A592">
        <f>LOOKUP(9E+307,--MID(D592,1,{1,2,3,4,5}))</f>
        <v>10</v>
      </c>
      <c r="B592">
        <f>VLOOKUP(MID(D592,LOOKUP(2,1/ISNUMBER(-MID(D592,1,{1,2,3,4,5})),{1,2,3,4,5})+1,9),'Hue codes'!$A$1:$B$10,2,FALSE)</f>
        <v>40</v>
      </c>
      <c r="C592">
        <f t="shared" si="9"/>
        <v>50</v>
      </c>
      <c r="D592" t="s">
        <v>40</v>
      </c>
      <c r="E592">
        <v>3</v>
      </c>
      <c r="F592">
        <v>2</v>
      </c>
      <c r="G592">
        <v>0.28439999999999999</v>
      </c>
      <c r="H592">
        <v>0.3337</v>
      </c>
      <c r="I592">
        <v>6.5549999999999997</v>
      </c>
    </row>
    <row r="593" spans="1:9" x14ac:dyDescent="0.3">
      <c r="A593">
        <f>LOOKUP(9E+307,--MID(D593,1,{1,2,3,4,5}))</f>
        <v>10</v>
      </c>
      <c r="B593">
        <f>VLOOKUP(MID(D593,LOOKUP(2,1/ISNUMBER(-MID(D593,1,{1,2,3,4,5})),{1,2,3,4,5})+1,9),'Hue codes'!$A$1:$B$10,2,FALSE)</f>
        <v>40</v>
      </c>
      <c r="C593">
        <f t="shared" si="9"/>
        <v>50</v>
      </c>
      <c r="D593" t="s">
        <v>40</v>
      </c>
      <c r="E593">
        <v>3</v>
      </c>
      <c r="F593">
        <v>4</v>
      </c>
      <c r="G593">
        <v>0.2525</v>
      </c>
      <c r="H593">
        <v>0.35370000000000001</v>
      </c>
      <c r="I593">
        <v>6.5549999999999997</v>
      </c>
    </row>
    <row r="594" spans="1:9" x14ac:dyDescent="0.3">
      <c r="A594">
        <f>LOOKUP(9E+307,--MID(D594,1,{1,2,3,4,5}))</f>
        <v>10</v>
      </c>
      <c r="B594">
        <f>VLOOKUP(MID(D594,LOOKUP(2,1/ISNUMBER(-MID(D594,1,{1,2,3,4,5})),{1,2,3,4,5})+1,9),'Hue codes'!$A$1:$B$10,2,FALSE)</f>
        <v>40</v>
      </c>
      <c r="C594">
        <f t="shared" si="9"/>
        <v>50</v>
      </c>
      <c r="D594" t="s">
        <v>40</v>
      </c>
      <c r="E594">
        <v>3</v>
      </c>
      <c r="F594">
        <v>6</v>
      </c>
      <c r="G594">
        <v>0.224</v>
      </c>
      <c r="H594">
        <v>0.36990000000000001</v>
      </c>
      <c r="I594">
        <v>6.5549999999999997</v>
      </c>
    </row>
    <row r="595" spans="1:9" x14ac:dyDescent="0.3">
      <c r="A595">
        <f>LOOKUP(9E+307,--MID(D595,1,{1,2,3,4,5}))</f>
        <v>10</v>
      </c>
      <c r="B595">
        <f>VLOOKUP(MID(D595,LOOKUP(2,1/ISNUMBER(-MID(D595,1,{1,2,3,4,5})),{1,2,3,4,5})+1,9),'Hue codes'!$A$1:$B$10,2,FALSE)</f>
        <v>40</v>
      </c>
      <c r="C595">
        <f t="shared" si="9"/>
        <v>50</v>
      </c>
      <c r="D595" t="s">
        <v>40</v>
      </c>
      <c r="E595">
        <v>3</v>
      </c>
      <c r="F595">
        <v>8</v>
      </c>
      <c r="G595">
        <v>0.19700000000000001</v>
      </c>
      <c r="H595">
        <v>0.3841</v>
      </c>
      <c r="I595">
        <v>6.5549999999999997</v>
      </c>
    </row>
    <row r="596" spans="1:9" x14ac:dyDescent="0.3">
      <c r="A596">
        <f>LOOKUP(9E+307,--MID(D596,1,{1,2,3,4,5}))</f>
        <v>10</v>
      </c>
      <c r="B596">
        <f>VLOOKUP(MID(D596,LOOKUP(2,1/ISNUMBER(-MID(D596,1,{1,2,3,4,5})),{1,2,3,4,5})+1,9),'Hue codes'!$A$1:$B$10,2,FALSE)</f>
        <v>40</v>
      </c>
      <c r="C596">
        <f t="shared" si="9"/>
        <v>50</v>
      </c>
      <c r="D596" t="s">
        <v>40</v>
      </c>
      <c r="E596">
        <v>3</v>
      </c>
      <c r="F596">
        <v>10</v>
      </c>
      <c r="G596">
        <v>0.16880000000000001</v>
      </c>
      <c r="H596">
        <v>0.39739999999999998</v>
      </c>
      <c r="I596">
        <v>6.5549999999999997</v>
      </c>
    </row>
    <row r="597" spans="1:9" x14ac:dyDescent="0.3">
      <c r="A597">
        <f>LOOKUP(9E+307,--MID(D597,1,{1,2,3,4,5}))</f>
        <v>10</v>
      </c>
      <c r="B597">
        <f>VLOOKUP(MID(D597,LOOKUP(2,1/ISNUMBER(-MID(D597,1,{1,2,3,4,5})),{1,2,3,4,5})+1,9),'Hue codes'!$A$1:$B$10,2,FALSE)</f>
        <v>40</v>
      </c>
      <c r="C597">
        <f t="shared" si="9"/>
        <v>50</v>
      </c>
      <c r="D597" t="s">
        <v>40</v>
      </c>
      <c r="E597">
        <v>3</v>
      </c>
      <c r="F597">
        <v>12</v>
      </c>
      <c r="G597">
        <v>0.1411</v>
      </c>
      <c r="H597">
        <v>0.40949999999999998</v>
      </c>
      <c r="I597">
        <v>6.5549999999999997</v>
      </c>
    </row>
    <row r="598" spans="1:9" x14ac:dyDescent="0.3">
      <c r="A598">
        <f>LOOKUP(9E+307,--MID(D598,1,{1,2,3,4,5}))</f>
        <v>10</v>
      </c>
      <c r="B598">
        <f>VLOOKUP(MID(D598,LOOKUP(2,1/ISNUMBER(-MID(D598,1,{1,2,3,4,5})),{1,2,3,4,5})+1,9),'Hue codes'!$A$1:$B$10,2,FALSE)</f>
        <v>40</v>
      </c>
      <c r="C598">
        <f t="shared" si="9"/>
        <v>50</v>
      </c>
      <c r="D598" t="s">
        <v>40</v>
      </c>
      <c r="E598">
        <v>3</v>
      </c>
      <c r="F598">
        <v>14</v>
      </c>
      <c r="G598">
        <v>0.11609999999999999</v>
      </c>
      <c r="H598">
        <v>0.41920000000000002</v>
      </c>
      <c r="I598">
        <v>6.5549999999999997</v>
      </c>
    </row>
    <row r="599" spans="1:9" x14ac:dyDescent="0.3">
      <c r="A599">
        <f>LOOKUP(9E+307,--MID(D599,1,{1,2,3,4,5}))</f>
        <v>10</v>
      </c>
      <c r="B599">
        <f>VLOOKUP(MID(D599,LOOKUP(2,1/ISNUMBER(-MID(D599,1,{1,2,3,4,5})),{1,2,3,4,5})+1,9),'Hue codes'!$A$1:$B$10,2,FALSE)</f>
        <v>40</v>
      </c>
      <c r="C599">
        <f t="shared" si="9"/>
        <v>50</v>
      </c>
      <c r="D599" t="s">
        <v>40</v>
      </c>
      <c r="E599">
        <v>3</v>
      </c>
      <c r="F599">
        <v>16</v>
      </c>
      <c r="G599">
        <v>9.2499999999999999E-2</v>
      </c>
      <c r="H599">
        <v>0.42749999999999999</v>
      </c>
      <c r="I599">
        <v>6.5549999999999997</v>
      </c>
    </row>
    <row r="600" spans="1:9" x14ac:dyDescent="0.3">
      <c r="A600">
        <f>LOOKUP(9E+307,--MID(D600,1,{1,2,3,4,5}))</f>
        <v>10</v>
      </c>
      <c r="B600">
        <f>VLOOKUP(MID(D600,LOOKUP(2,1/ISNUMBER(-MID(D600,1,{1,2,3,4,5})),{1,2,3,4,5})+1,9),'Hue codes'!$A$1:$B$10,2,FALSE)</f>
        <v>40</v>
      </c>
      <c r="C600">
        <f t="shared" si="9"/>
        <v>50</v>
      </c>
      <c r="D600" t="s">
        <v>40</v>
      </c>
      <c r="E600">
        <v>3</v>
      </c>
      <c r="F600">
        <v>18</v>
      </c>
      <c r="G600">
        <v>7.1800000000000003E-2</v>
      </c>
      <c r="H600">
        <v>0.434</v>
      </c>
      <c r="I600">
        <v>6.5549999999999997</v>
      </c>
    </row>
    <row r="601" spans="1:9" x14ac:dyDescent="0.3">
      <c r="A601">
        <f>LOOKUP(9E+307,--MID(D601,1,{1,2,3,4,5}))</f>
        <v>10</v>
      </c>
      <c r="B601">
        <f>VLOOKUP(MID(D601,LOOKUP(2,1/ISNUMBER(-MID(D601,1,{1,2,3,4,5})),{1,2,3,4,5})+1,9),'Hue codes'!$A$1:$B$10,2,FALSE)</f>
        <v>40</v>
      </c>
      <c r="C601">
        <f t="shared" si="9"/>
        <v>50</v>
      </c>
      <c r="D601" t="s">
        <v>40</v>
      </c>
      <c r="E601">
        <v>3</v>
      </c>
      <c r="F601">
        <v>20</v>
      </c>
      <c r="G601">
        <v>5.28E-2</v>
      </c>
      <c r="H601">
        <v>0.43930000000000002</v>
      </c>
      <c r="I601">
        <v>6.5549999999999997</v>
      </c>
    </row>
    <row r="602" spans="1:9" x14ac:dyDescent="0.3">
      <c r="A602">
        <f>LOOKUP(9E+307,--MID(D602,1,{1,2,3,4,5}))</f>
        <v>10</v>
      </c>
      <c r="B602">
        <f>VLOOKUP(MID(D602,LOOKUP(2,1/ISNUMBER(-MID(D602,1,{1,2,3,4,5})),{1,2,3,4,5})+1,9),'Hue codes'!$A$1:$B$10,2,FALSE)</f>
        <v>40</v>
      </c>
      <c r="C602">
        <f t="shared" si="9"/>
        <v>50</v>
      </c>
      <c r="D602" t="s">
        <v>40</v>
      </c>
      <c r="E602">
        <v>3</v>
      </c>
      <c r="F602">
        <v>22</v>
      </c>
      <c r="G602">
        <v>3.3300000000000003E-2</v>
      </c>
      <c r="H602">
        <v>0.44440000000000002</v>
      </c>
      <c r="I602">
        <v>6.5549999999999997</v>
      </c>
    </row>
    <row r="603" spans="1:9" x14ac:dyDescent="0.3">
      <c r="A603">
        <f>LOOKUP(9E+307,--MID(D603,1,{1,2,3,4,5}))</f>
        <v>2.5</v>
      </c>
      <c r="B603">
        <f>VLOOKUP(MID(D603,LOOKUP(2,1/ISNUMBER(-MID(D603,1,{1,2,3,4,5})),{1,2,3,4,5})+1,9),'Hue codes'!$A$1:$B$10,2,FALSE)</f>
        <v>50</v>
      </c>
      <c r="C603">
        <f t="shared" si="9"/>
        <v>52.5</v>
      </c>
      <c r="D603" t="s">
        <v>41</v>
      </c>
      <c r="E603">
        <v>3</v>
      </c>
      <c r="F603">
        <v>2</v>
      </c>
      <c r="G603">
        <v>0.27989999999999998</v>
      </c>
      <c r="H603">
        <v>0.3271</v>
      </c>
      <c r="I603">
        <v>6.5549999999999997</v>
      </c>
    </row>
    <row r="604" spans="1:9" x14ac:dyDescent="0.3">
      <c r="A604">
        <f>LOOKUP(9E+307,--MID(D604,1,{1,2,3,4,5}))</f>
        <v>2.5</v>
      </c>
      <c r="B604">
        <f>VLOOKUP(MID(D604,LOOKUP(2,1/ISNUMBER(-MID(D604,1,{1,2,3,4,5})),{1,2,3,4,5})+1,9),'Hue codes'!$A$1:$B$10,2,FALSE)</f>
        <v>50</v>
      </c>
      <c r="C604">
        <f t="shared" si="9"/>
        <v>52.5</v>
      </c>
      <c r="D604" t="s">
        <v>41</v>
      </c>
      <c r="E604">
        <v>3</v>
      </c>
      <c r="F604">
        <v>4</v>
      </c>
      <c r="G604">
        <v>0.2437</v>
      </c>
      <c r="H604">
        <v>0.33860000000000001</v>
      </c>
      <c r="I604">
        <v>6.5549999999999997</v>
      </c>
    </row>
    <row r="605" spans="1:9" x14ac:dyDescent="0.3">
      <c r="A605">
        <f>LOOKUP(9E+307,--MID(D605,1,{1,2,3,4,5}))</f>
        <v>2.5</v>
      </c>
      <c r="B605">
        <f>VLOOKUP(MID(D605,LOOKUP(2,1/ISNUMBER(-MID(D605,1,{1,2,3,4,5})),{1,2,3,4,5})+1,9),'Hue codes'!$A$1:$B$10,2,FALSE)</f>
        <v>50</v>
      </c>
      <c r="C605">
        <f t="shared" si="9"/>
        <v>52.5</v>
      </c>
      <c r="D605" t="s">
        <v>41</v>
      </c>
      <c r="E605">
        <v>3</v>
      </c>
      <c r="F605">
        <v>6</v>
      </c>
      <c r="G605">
        <v>0.2132</v>
      </c>
      <c r="H605">
        <v>0.3468</v>
      </c>
      <c r="I605">
        <v>6.5549999999999997</v>
      </c>
    </row>
    <row r="606" spans="1:9" x14ac:dyDescent="0.3">
      <c r="A606">
        <f>LOOKUP(9E+307,--MID(D606,1,{1,2,3,4,5}))</f>
        <v>2.5</v>
      </c>
      <c r="B606">
        <f>VLOOKUP(MID(D606,LOOKUP(2,1/ISNUMBER(-MID(D606,1,{1,2,3,4,5})),{1,2,3,4,5})+1,9),'Hue codes'!$A$1:$B$10,2,FALSE)</f>
        <v>50</v>
      </c>
      <c r="C606">
        <f t="shared" si="9"/>
        <v>52.5</v>
      </c>
      <c r="D606" t="s">
        <v>41</v>
      </c>
      <c r="E606">
        <v>3</v>
      </c>
      <c r="F606">
        <v>8</v>
      </c>
      <c r="G606">
        <v>0.1845</v>
      </c>
      <c r="H606">
        <v>0.35310000000000002</v>
      </c>
      <c r="I606">
        <v>6.5549999999999997</v>
      </c>
    </row>
    <row r="607" spans="1:9" x14ac:dyDescent="0.3">
      <c r="A607">
        <f>LOOKUP(9E+307,--MID(D607,1,{1,2,3,4,5}))</f>
        <v>2.5</v>
      </c>
      <c r="B607">
        <f>VLOOKUP(MID(D607,LOOKUP(2,1/ISNUMBER(-MID(D607,1,{1,2,3,4,5})),{1,2,3,4,5})+1,9),'Hue codes'!$A$1:$B$10,2,FALSE)</f>
        <v>50</v>
      </c>
      <c r="C607">
        <f t="shared" si="9"/>
        <v>52.5</v>
      </c>
      <c r="D607" t="s">
        <v>41</v>
      </c>
      <c r="E607">
        <v>3</v>
      </c>
      <c r="F607">
        <v>10</v>
      </c>
      <c r="G607">
        <v>0.1552</v>
      </c>
      <c r="H607">
        <v>0.35799999999999998</v>
      </c>
      <c r="I607">
        <v>6.5549999999999997</v>
      </c>
    </row>
    <row r="608" spans="1:9" x14ac:dyDescent="0.3">
      <c r="A608">
        <f>LOOKUP(9E+307,--MID(D608,1,{1,2,3,4,5}))</f>
        <v>2.5</v>
      </c>
      <c r="B608">
        <f>VLOOKUP(MID(D608,LOOKUP(2,1/ISNUMBER(-MID(D608,1,{1,2,3,4,5})),{1,2,3,4,5})+1,9),'Hue codes'!$A$1:$B$10,2,FALSE)</f>
        <v>50</v>
      </c>
      <c r="C608">
        <f t="shared" si="9"/>
        <v>52.5</v>
      </c>
      <c r="D608" t="s">
        <v>41</v>
      </c>
      <c r="E608">
        <v>3</v>
      </c>
      <c r="F608">
        <v>12</v>
      </c>
      <c r="G608">
        <v>0.1288</v>
      </c>
      <c r="H608">
        <v>0.36199999999999999</v>
      </c>
      <c r="I608">
        <v>6.5549999999999997</v>
      </c>
    </row>
    <row r="609" spans="1:9" x14ac:dyDescent="0.3">
      <c r="A609">
        <f>LOOKUP(9E+307,--MID(D609,1,{1,2,3,4,5}))</f>
        <v>2.5</v>
      </c>
      <c r="B609">
        <f>VLOOKUP(MID(D609,LOOKUP(2,1/ISNUMBER(-MID(D609,1,{1,2,3,4,5})),{1,2,3,4,5})+1,9),'Hue codes'!$A$1:$B$10,2,FALSE)</f>
        <v>50</v>
      </c>
      <c r="C609">
        <f t="shared" si="9"/>
        <v>52.5</v>
      </c>
      <c r="D609" t="s">
        <v>41</v>
      </c>
      <c r="E609">
        <v>3</v>
      </c>
      <c r="F609">
        <v>14</v>
      </c>
      <c r="G609">
        <v>0.1051</v>
      </c>
      <c r="H609">
        <v>0.36480000000000001</v>
      </c>
      <c r="I609">
        <v>6.5549999999999997</v>
      </c>
    </row>
    <row r="610" spans="1:9" x14ac:dyDescent="0.3">
      <c r="A610">
        <f>LOOKUP(9E+307,--MID(D610,1,{1,2,3,4,5}))</f>
        <v>2.5</v>
      </c>
      <c r="B610">
        <f>VLOOKUP(MID(D610,LOOKUP(2,1/ISNUMBER(-MID(D610,1,{1,2,3,4,5})),{1,2,3,4,5})+1,9),'Hue codes'!$A$1:$B$10,2,FALSE)</f>
        <v>50</v>
      </c>
      <c r="C610">
        <f t="shared" si="9"/>
        <v>52.5</v>
      </c>
      <c r="D610" t="s">
        <v>41</v>
      </c>
      <c r="E610">
        <v>3</v>
      </c>
      <c r="F610">
        <v>16</v>
      </c>
      <c r="G610">
        <v>8.43E-2</v>
      </c>
      <c r="H610">
        <v>0.36670000000000003</v>
      </c>
      <c r="I610">
        <v>6.5549999999999997</v>
      </c>
    </row>
    <row r="611" spans="1:9" x14ac:dyDescent="0.3">
      <c r="A611">
        <f>LOOKUP(9E+307,--MID(D611,1,{1,2,3,4,5}))</f>
        <v>2.5</v>
      </c>
      <c r="B611">
        <f>VLOOKUP(MID(D611,LOOKUP(2,1/ISNUMBER(-MID(D611,1,{1,2,3,4,5})),{1,2,3,4,5})+1,9),'Hue codes'!$A$1:$B$10,2,FALSE)</f>
        <v>50</v>
      </c>
      <c r="C611">
        <f t="shared" si="9"/>
        <v>52.5</v>
      </c>
      <c r="D611" t="s">
        <v>41</v>
      </c>
      <c r="E611">
        <v>3</v>
      </c>
      <c r="F611">
        <v>18</v>
      </c>
      <c r="G611">
        <v>6.4799999999999996E-2</v>
      </c>
      <c r="H611">
        <v>0.36820000000000003</v>
      </c>
      <c r="I611">
        <v>6.5549999999999997</v>
      </c>
    </row>
    <row r="612" spans="1:9" x14ac:dyDescent="0.3">
      <c r="A612">
        <f>LOOKUP(9E+307,--MID(D612,1,{1,2,3,4,5}))</f>
        <v>2.5</v>
      </c>
      <c r="B612">
        <f>VLOOKUP(MID(D612,LOOKUP(2,1/ISNUMBER(-MID(D612,1,{1,2,3,4,5})),{1,2,3,4,5})+1,9),'Hue codes'!$A$1:$B$10,2,FALSE)</f>
        <v>50</v>
      </c>
      <c r="C612">
        <f t="shared" si="9"/>
        <v>52.5</v>
      </c>
      <c r="D612" t="s">
        <v>41</v>
      </c>
      <c r="E612">
        <v>3</v>
      </c>
      <c r="F612">
        <v>20</v>
      </c>
      <c r="G612">
        <v>4.82E-2</v>
      </c>
      <c r="H612">
        <v>0.3695</v>
      </c>
      <c r="I612">
        <v>6.5549999999999997</v>
      </c>
    </row>
    <row r="613" spans="1:9" x14ac:dyDescent="0.3">
      <c r="A613">
        <f>LOOKUP(9E+307,--MID(D613,1,{1,2,3,4,5}))</f>
        <v>5</v>
      </c>
      <c r="B613">
        <f>VLOOKUP(MID(D613,LOOKUP(2,1/ISNUMBER(-MID(D613,1,{1,2,3,4,5})),{1,2,3,4,5})+1,9),'Hue codes'!$A$1:$B$10,2,FALSE)</f>
        <v>50</v>
      </c>
      <c r="C613">
        <f t="shared" si="9"/>
        <v>55</v>
      </c>
      <c r="D613" t="s">
        <v>42</v>
      </c>
      <c r="E613">
        <v>3</v>
      </c>
      <c r="F613">
        <v>2</v>
      </c>
      <c r="G613">
        <v>0.2742</v>
      </c>
      <c r="H613">
        <v>0.31919999999999998</v>
      </c>
      <c r="I613">
        <v>6.5549999999999997</v>
      </c>
    </row>
    <row r="614" spans="1:9" x14ac:dyDescent="0.3">
      <c r="A614">
        <f>LOOKUP(9E+307,--MID(D614,1,{1,2,3,4,5}))</f>
        <v>5</v>
      </c>
      <c r="B614">
        <f>VLOOKUP(MID(D614,LOOKUP(2,1/ISNUMBER(-MID(D614,1,{1,2,3,4,5})),{1,2,3,4,5})+1,9),'Hue codes'!$A$1:$B$10,2,FALSE)</f>
        <v>50</v>
      </c>
      <c r="C614">
        <f t="shared" si="9"/>
        <v>55</v>
      </c>
      <c r="D614" t="s">
        <v>42</v>
      </c>
      <c r="E614">
        <v>3</v>
      </c>
      <c r="F614">
        <v>4</v>
      </c>
      <c r="G614">
        <v>0.23430000000000001</v>
      </c>
      <c r="H614">
        <v>0.32</v>
      </c>
      <c r="I614">
        <v>6.5549999999999997</v>
      </c>
    </row>
    <row r="615" spans="1:9" x14ac:dyDescent="0.3">
      <c r="A615">
        <f>LOOKUP(9E+307,--MID(D615,1,{1,2,3,4,5}))</f>
        <v>5</v>
      </c>
      <c r="B615">
        <f>VLOOKUP(MID(D615,LOOKUP(2,1/ISNUMBER(-MID(D615,1,{1,2,3,4,5})),{1,2,3,4,5})+1,9),'Hue codes'!$A$1:$B$10,2,FALSE)</f>
        <v>50</v>
      </c>
      <c r="C615">
        <f t="shared" si="9"/>
        <v>55</v>
      </c>
      <c r="D615" t="s">
        <v>42</v>
      </c>
      <c r="E615">
        <v>3</v>
      </c>
      <c r="F615">
        <v>6</v>
      </c>
      <c r="G615">
        <v>0.20200000000000001</v>
      </c>
      <c r="H615">
        <v>0.31879999999999997</v>
      </c>
      <c r="I615">
        <v>6.5549999999999997</v>
      </c>
    </row>
    <row r="616" spans="1:9" x14ac:dyDescent="0.3">
      <c r="A616">
        <f>LOOKUP(9E+307,--MID(D616,1,{1,2,3,4,5}))</f>
        <v>5</v>
      </c>
      <c r="B616">
        <f>VLOOKUP(MID(D616,LOOKUP(2,1/ISNUMBER(-MID(D616,1,{1,2,3,4,5})),{1,2,3,4,5})+1,9),'Hue codes'!$A$1:$B$10,2,FALSE)</f>
        <v>50</v>
      </c>
      <c r="C616">
        <f t="shared" si="9"/>
        <v>55</v>
      </c>
      <c r="D616" t="s">
        <v>42</v>
      </c>
      <c r="E616">
        <v>3</v>
      </c>
      <c r="F616">
        <v>8</v>
      </c>
      <c r="G616">
        <v>0.17030000000000001</v>
      </c>
      <c r="H616">
        <v>0.31590000000000001</v>
      </c>
      <c r="I616">
        <v>6.5549999999999997</v>
      </c>
    </row>
    <row r="617" spans="1:9" x14ac:dyDescent="0.3">
      <c r="A617">
        <f>LOOKUP(9E+307,--MID(D617,1,{1,2,3,4,5}))</f>
        <v>5</v>
      </c>
      <c r="B617">
        <f>VLOOKUP(MID(D617,LOOKUP(2,1/ISNUMBER(-MID(D617,1,{1,2,3,4,5})),{1,2,3,4,5})+1,9),'Hue codes'!$A$1:$B$10,2,FALSE)</f>
        <v>50</v>
      </c>
      <c r="C617">
        <f t="shared" si="9"/>
        <v>55</v>
      </c>
      <c r="D617" t="s">
        <v>42</v>
      </c>
      <c r="E617">
        <v>3</v>
      </c>
      <c r="F617">
        <v>10</v>
      </c>
      <c r="G617">
        <v>0.14099999999999999</v>
      </c>
      <c r="H617">
        <v>0.31180000000000002</v>
      </c>
      <c r="I617">
        <v>6.5549999999999997</v>
      </c>
    </row>
    <row r="618" spans="1:9" x14ac:dyDescent="0.3">
      <c r="A618">
        <f>LOOKUP(9E+307,--MID(D618,1,{1,2,3,4,5}))</f>
        <v>5</v>
      </c>
      <c r="B618">
        <f>VLOOKUP(MID(D618,LOOKUP(2,1/ISNUMBER(-MID(D618,1,{1,2,3,4,5})),{1,2,3,4,5})+1,9),'Hue codes'!$A$1:$B$10,2,FALSE)</f>
        <v>50</v>
      </c>
      <c r="C618">
        <f t="shared" si="9"/>
        <v>55</v>
      </c>
      <c r="D618" t="s">
        <v>42</v>
      </c>
      <c r="E618">
        <v>3</v>
      </c>
      <c r="F618">
        <v>12</v>
      </c>
      <c r="G618">
        <v>0.1158</v>
      </c>
      <c r="H618">
        <v>0.30709999999999998</v>
      </c>
      <c r="I618">
        <v>6.5549999999999997</v>
      </c>
    </row>
    <row r="619" spans="1:9" x14ac:dyDescent="0.3">
      <c r="A619">
        <f>LOOKUP(9E+307,--MID(D619,1,{1,2,3,4,5}))</f>
        <v>5</v>
      </c>
      <c r="B619">
        <f>VLOOKUP(MID(D619,LOOKUP(2,1/ISNUMBER(-MID(D619,1,{1,2,3,4,5})),{1,2,3,4,5})+1,9),'Hue codes'!$A$1:$B$10,2,FALSE)</f>
        <v>50</v>
      </c>
      <c r="C619">
        <f t="shared" si="9"/>
        <v>55</v>
      </c>
      <c r="D619" t="s">
        <v>42</v>
      </c>
      <c r="E619">
        <v>3</v>
      </c>
      <c r="F619">
        <v>14</v>
      </c>
      <c r="G619">
        <v>9.4E-2</v>
      </c>
      <c r="H619">
        <v>0.30270000000000002</v>
      </c>
      <c r="I619">
        <v>6.5549999999999997</v>
      </c>
    </row>
    <row r="620" spans="1:9" x14ac:dyDescent="0.3">
      <c r="A620">
        <f>LOOKUP(9E+307,--MID(D620,1,{1,2,3,4,5}))</f>
        <v>5</v>
      </c>
      <c r="B620">
        <f>VLOOKUP(MID(D620,LOOKUP(2,1/ISNUMBER(-MID(D620,1,{1,2,3,4,5})),{1,2,3,4,5})+1,9),'Hue codes'!$A$1:$B$10,2,FALSE)</f>
        <v>50</v>
      </c>
      <c r="C620">
        <f t="shared" si="9"/>
        <v>55</v>
      </c>
      <c r="D620" t="s">
        <v>42</v>
      </c>
      <c r="E620">
        <v>3</v>
      </c>
      <c r="F620">
        <v>16</v>
      </c>
      <c r="G620">
        <v>7.3499999999999996E-2</v>
      </c>
      <c r="H620">
        <v>0.2979</v>
      </c>
      <c r="I620">
        <v>6.5549999999999997</v>
      </c>
    </row>
    <row r="621" spans="1:9" x14ac:dyDescent="0.3">
      <c r="A621">
        <f>LOOKUP(9E+307,--MID(D621,1,{1,2,3,4,5}))</f>
        <v>5</v>
      </c>
      <c r="B621">
        <f>VLOOKUP(MID(D621,LOOKUP(2,1/ISNUMBER(-MID(D621,1,{1,2,3,4,5})),{1,2,3,4,5})+1,9),'Hue codes'!$A$1:$B$10,2,FALSE)</f>
        <v>50</v>
      </c>
      <c r="C621">
        <f t="shared" si="9"/>
        <v>55</v>
      </c>
      <c r="D621" t="s">
        <v>42</v>
      </c>
      <c r="E621">
        <v>3</v>
      </c>
      <c r="F621">
        <v>18</v>
      </c>
      <c r="G621">
        <v>5.8000000000000003E-2</v>
      </c>
      <c r="H621">
        <v>0.29399999999999998</v>
      </c>
      <c r="I621">
        <v>6.5549999999999997</v>
      </c>
    </row>
    <row r="622" spans="1:9" x14ac:dyDescent="0.3">
      <c r="A622">
        <f>LOOKUP(9E+307,--MID(D622,1,{1,2,3,4,5}))</f>
        <v>7.5</v>
      </c>
      <c r="B622">
        <f>VLOOKUP(MID(D622,LOOKUP(2,1/ISNUMBER(-MID(D622,1,{1,2,3,4,5})),{1,2,3,4,5})+1,9),'Hue codes'!$A$1:$B$10,2,FALSE)</f>
        <v>50</v>
      </c>
      <c r="C622">
        <f t="shared" si="9"/>
        <v>57.5</v>
      </c>
      <c r="D622" t="s">
        <v>43</v>
      </c>
      <c r="E622">
        <v>3</v>
      </c>
      <c r="F622">
        <v>2</v>
      </c>
      <c r="G622">
        <v>0.26989999999999997</v>
      </c>
      <c r="H622">
        <v>0.312</v>
      </c>
      <c r="I622">
        <v>6.5549999999999997</v>
      </c>
    </row>
    <row r="623" spans="1:9" x14ac:dyDescent="0.3">
      <c r="A623">
        <f>LOOKUP(9E+307,--MID(D623,1,{1,2,3,4,5}))</f>
        <v>7.5</v>
      </c>
      <c r="B623">
        <f>VLOOKUP(MID(D623,LOOKUP(2,1/ISNUMBER(-MID(D623,1,{1,2,3,4,5})),{1,2,3,4,5})+1,9),'Hue codes'!$A$1:$B$10,2,FALSE)</f>
        <v>50</v>
      </c>
      <c r="C623">
        <f t="shared" si="9"/>
        <v>57.5</v>
      </c>
      <c r="D623" t="s">
        <v>43</v>
      </c>
      <c r="E623">
        <v>3</v>
      </c>
      <c r="F623">
        <v>4</v>
      </c>
      <c r="G623">
        <v>0.22720000000000001</v>
      </c>
      <c r="H623">
        <v>0.30409999999999998</v>
      </c>
      <c r="I623">
        <v>6.5549999999999997</v>
      </c>
    </row>
    <row r="624" spans="1:9" x14ac:dyDescent="0.3">
      <c r="A624">
        <f>LOOKUP(9E+307,--MID(D624,1,{1,2,3,4,5}))</f>
        <v>7.5</v>
      </c>
      <c r="B624">
        <f>VLOOKUP(MID(D624,LOOKUP(2,1/ISNUMBER(-MID(D624,1,{1,2,3,4,5})),{1,2,3,4,5})+1,9),'Hue codes'!$A$1:$B$10,2,FALSE)</f>
        <v>50</v>
      </c>
      <c r="C624">
        <f t="shared" si="9"/>
        <v>57.5</v>
      </c>
      <c r="D624" t="s">
        <v>43</v>
      </c>
      <c r="E624">
        <v>3</v>
      </c>
      <c r="F624">
        <v>6</v>
      </c>
      <c r="G624">
        <v>0.1928</v>
      </c>
      <c r="H624">
        <v>0.29580000000000001</v>
      </c>
      <c r="I624">
        <v>6.5549999999999997</v>
      </c>
    </row>
    <row r="625" spans="1:9" x14ac:dyDescent="0.3">
      <c r="A625">
        <f>LOOKUP(9E+307,--MID(D625,1,{1,2,3,4,5}))</f>
        <v>7.5</v>
      </c>
      <c r="B625">
        <f>VLOOKUP(MID(D625,LOOKUP(2,1/ISNUMBER(-MID(D625,1,{1,2,3,4,5})),{1,2,3,4,5})+1,9),'Hue codes'!$A$1:$B$10,2,FALSE)</f>
        <v>50</v>
      </c>
      <c r="C625">
        <f t="shared" si="9"/>
        <v>57.5</v>
      </c>
      <c r="D625" t="s">
        <v>43</v>
      </c>
      <c r="E625">
        <v>3</v>
      </c>
      <c r="F625">
        <v>8</v>
      </c>
      <c r="G625">
        <v>0.16200000000000001</v>
      </c>
      <c r="H625">
        <v>0.28720000000000001</v>
      </c>
      <c r="I625">
        <v>6.5549999999999997</v>
      </c>
    </row>
    <row r="626" spans="1:9" x14ac:dyDescent="0.3">
      <c r="A626">
        <f>LOOKUP(9E+307,--MID(D626,1,{1,2,3,4,5}))</f>
        <v>7.5</v>
      </c>
      <c r="B626">
        <f>VLOOKUP(MID(D626,LOOKUP(2,1/ISNUMBER(-MID(D626,1,{1,2,3,4,5})),{1,2,3,4,5})+1,9),'Hue codes'!$A$1:$B$10,2,FALSE)</f>
        <v>50</v>
      </c>
      <c r="C626">
        <f t="shared" si="9"/>
        <v>57.5</v>
      </c>
      <c r="D626" t="s">
        <v>43</v>
      </c>
      <c r="E626">
        <v>3</v>
      </c>
      <c r="F626">
        <v>10</v>
      </c>
      <c r="G626">
        <v>0.1326</v>
      </c>
      <c r="H626">
        <v>0.27839999999999998</v>
      </c>
      <c r="I626">
        <v>6.5549999999999997</v>
      </c>
    </row>
    <row r="627" spans="1:9" x14ac:dyDescent="0.3">
      <c r="A627">
        <f>LOOKUP(9E+307,--MID(D627,1,{1,2,3,4,5}))</f>
        <v>7.5</v>
      </c>
      <c r="B627">
        <f>VLOOKUP(MID(D627,LOOKUP(2,1/ISNUMBER(-MID(D627,1,{1,2,3,4,5})),{1,2,3,4,5})+1,9),'Hue codes'!$A$1:$B$10,2,FALSE)</f>
        <v>50</v>
      </c>
      <c r="C627">
        <f t="shared" si="9"/>
        <v>57.5</v>
      </c>
      <c r="D627" t="s">
        <v>43</v>
      </c>
      <c r="E627">
        <v>3</v>
      </c>
      <c r="F627">
        <v>12</v>
      </c>
      <c r="G627">
        <v>0.1086</v>
      </c>
      <c r="H627">
        <v>0.27060000000000001</v>
      </c>
      <c r="I627">
        <v>6.5549999999999997</v>
      </c>
    </row>
    <row r="628" spans="1:9" x14ac:dyDescent="0.3">
      <c r="A628">
        <f>LOOKUP(9E+307,--MID(D628,1,{1,2,3,4,5}))</f>
        <v>7.5</v>
      </c>
      <c r="B628">
        <f>VLOOKUP(MID(D628,LOOKUP(2,1/ISNUMBER(-MID(D628,1,{1,2,3,4,5})),{1,2,3,4,5})+1,9),'Hue codes'!$A$1:$B$10,2,FALSE)</f>
        <v>50</v>
      </c>
      <c r="C628">
        <f t="shared" si="9"/>
        <v>57.5</v>
      </c>
      <c r="D628" t="s">
        <v>43</v>
      </c>
      <c r="E628">
        <v>3</v>
      </c>
      <c r="F628">
        <v>14</v>
      </c>
      <c r="G628">
        <v>8.7400000000000005E-2</v>
      </c>
      <c r="H628">
        <v>0.26269999999999999</v>
      </c>
      <c r="I628">
        <v>6.5549999999999997</v>
      </c>
    </row>
    <row r="629" spans="1:9" x14ac:dyDescent="0.3">
      <c r="A629">
        <f>LOOKUP(9E+307,--MID(D629,1,{1,2,3,4,5}))</f>
        <v>7.5</v>
      </c>
      <c r="B629">
        <f>VLOOKUP(MID(D629,LOOKUP(2,1/ISNUMBER(-MID(D629,1,{1,2,3,4,5})),{1,2,3,4,5})+1,9),'Hue codes'!$A$1:$B$10,2,FALSE)</f>
        <v>50</v>
      </c>
      <c r="C629">
        <f t="shared" si="9"/>
        <v>57.5</v>
      </c>
      <c r="D629" t="s">
        <v>43</v>
      </c>
      <c r="E629">
        <v>3</v>
      </c>
      <c r="F629">
        <v>16</v>
      </c>
      <c r="G629">
        <v>6.9099999999999995E-2</v>
      </c>
      <c r="H629">
        <v>0.25590000000000002</v>
      </c>
      <c r="I629">
        <v>6.5549999999999997</v>
      </c>
    </row>
    <row r="630" spans="1:9" x14ac:dyDescent="0.3">
      <c r="A630">
        <f>LOOKUP(9E+307,--MID(D630,1,{1,2,3,4,5}))</f>
        <v>10</v>
      </c>
      <c r="B630">
        <f>VLOOKUP(MID(D630,LOOKUP(2,1/ISNUMBER(-MID(D630,1,{1,2,3,4,5})),{1,2,3,4,5})+1,9),'Hue codes'!$A$1:$B$10,2,FALSE)</f>
        <v>50</v>
      </c>
      <c r="C630">
        <f t="shared" si="9"/>
        <v>60</v>
      </c>
      <c r="D630" t="s">
        <v>44</v>
      </c>
      <c r="E630">
        <v>3</v>
      </c>
      <c r="F630">
        <v>2</v>
      </c>
      <c r="G630">
        <v>0.26600000000000001</v>
      </c>
      <c r="H630">
        <v>0.30499999999999999</v>
      </c>
      <c r="I630">
        <v>6.5549999999999997</v>
      </c>
    </row>
    <row r="631" spans="1:9" x14ac:dyDescent="0.3">
      <c r="A631">
        <f>LOOKUP(9E+307,--MID(D631,1,{1,2,3,4,5}))</f>
        <v>10</v>
      </c>
      <c r="B631">
        <f>VLOOKUP(MID(D631,LOOKUP(2,1/ISNUMBER(-MID(D631,1,{1,2,3,4,5})),{1,2,3,4,5})+1,9),'Hue codes'!$A$1:$B$10,2,FALSE)</f>
        <v>50</v>
      </c>
      <c r="C631">
        <f t="shared" si="9"/>
        <v>60</v>
      </c>
      <c r="D631" t="s">
        <v>44</v>
      </c>
      <c r="E631">
        <v>3</v>
      </c>
      <c r="F631">
        <v>4</v>
      </c>
      <c r="G631">
        <v>0.22209999999999999</v>
      </c>
      <c r="H631">
        <v>0.28860000000000002</v>
      </c>
      <c r="I631">
        <v>6.5549999999999997</v>
      </c>
    </row>
    <row r="632" spans="1:9" x14ac:dyDescent="0.3">
      <c r="A632">
        <f>LOOKUP(9E+307,--MID(D632,1,{1,2,3,4,5}))</f>
        <v>10</v>
      </c>
      <c r="B632">
        <f>VLOOKUP(MID(D632,LOOKUP(2,1/ISNUMBER(-MID(D632,1,{1,2,3,4,5})),{1,2,3,4,5})+1,9),'Hue codes'!$A$1:$B$10,2,FALSE)</f>
        <v>50</v>
      </c>
      <c r="C632">
        <f t="shared" si="9"/>
        <v>60</v>
      </c>
      <c r="D632" t="s">
        <v>44</v>
      </c>
      <c r="E632">
        <v>3</v>
      </c>
      <c r="F632">
        <v>6</v>
      </c>
      <c r="G632">
        <v>0.18609999999999999</v>
      </c>
      <c r="H632">
        <v>0.2722</v>
      </c>
      <c r="I632">
        <v>6.5549999999999997</v>
      </c>
    </row>
    <row r="633" spans="1:9" x14ac:dyDescent="0.3">
      <c r="A633">
        <f>LOOKUP(9E+307,--MID(D633,1,{1,2,3,4,5}))</f>
        <v>10</v>
      </c>
      <c r="B633">
        <f>VLOOKUP(MID(D633,LOOKUP(2,1/ISNUMBER(-MID(D633,1,{1,2,3,4,5})),{1,2,3,4,5})+1,9),'Hue codes'!$A$1:$B$10,2,FALSE)</f>
        <v>50</v>
      </c>
      <c r="C633">
        <f t="shared" si="9"/>
        <v>60</v>
      </c>
      <c r="D633" t="s">
        <v>44</v>
      </c>
      <c r="E633">
        <v>3</v>
      </c>
      <c r="F633">
        <v>8</v>
      </c>
      <c r="G633">
        <v>0.15509999999999999</v>
      </c>
      <c r="H633">
        <v>0.2571</v>
      </c>
      <c r="I633">
        <v>6.5549999999999997</v>
      </c>
    </row>
    <row r="634" spans="1:9" x14ac:dyDescent="0.3">
      <c r="A634">
        <f>LOOKUP(9E+307,--MID(D634,1,{1,2,3,4,5}))</f>
        <v>10</v>
      </c>
      <c r="B634">
        <f>VLOOKUP(MID(D634,LOOKUP(2,1/ISNUMBER(-MID(D634,1,{1,2,3,4,5})),{1,2,3,4,5})+1,9),'Hue codes'!$A$1:$B$10,2,FALSE)</f>
        <v>50</v>
      </c>
      <c r="C634">
        <f t="shared" si="9"/>
        <v>60</v>
      </c>
      <c r="D634" t="s">
        <v>44</v>
      </c>
      <c r="E634">
        <v>3</v>
      </c>
      <c r="F634">
        <v>10</v>
      </c>
      <c r="G634">
        <v>0.125</v>
      </c>
      <c r="H634">
        <v>0.24110000000000001</v>
      </c>
      <c r="I634">
        <v>6.5549999999999997</v>
      </c>
    </row>
    <row r="635" spans="1:9" x14ac:dyDescent="0.3">
      <c r="A635">
        <f>LOOKUP(9E+307,--MID(D635,1,{1,2,3,4,5}))</f>
        <v>10</v>
      </c>
      <c r="B635">
        <f>VLOOKUP(MID(D635,LOOKUP(2,1/ISNUMBER(-MID(D635,1,{1,2,3,4,5})),{1,2,3,4,5})+1,9),'Hue codes'!$A$1:$B$10,2,FALSE)</f>
        <v>50</v>
      </c>
      <c r="C635">
        <f t="shared" si="9"/>
        <v>60</v>
      </c>
      <c r="D635" t="s">
        <v>44</v>
      </c>
      <c r="E635">
        <v>3</v>
      </c>
      <c r="F635">
        <v>12</v>
      </c>
      <c r="G635">
        <v>0.1018</v>
      </c>
      <c r="H635">
        <v>0.2281</v>
      </c>
      <c r="I635">
        <v>6.5549999999999997</v>
      </c>
    </row>
    <row r="636" spans="1:9" x14ac:dyDescent="0.3">
      <c r="A636">
        <f>LOOKUP(9E+307,--MID(D636,1,{1,2,3,4,5}))</f>
        <v>10</v>
      </c>
      <c r="B636">
        <f>VLOOKUP(MID(D636,LOOKUP(2,1/ISNUMBER(-MID(D636,1,{1,2,3,4,5})),{1,2,3,4,5})+1,9),'Hue codes'!$A$1:$B$10,2,FALSE)</f>
        <v>50</v>
      </c>
      <c r="C636">
        <f t="shared" si="9"/>
        <v>60</v>
      </c>
      <c r="D636" t="s">
        <v>44</v>
      </c>
      <c r="E636">
        <v>3</v>
      </c>
      <c r="F636">
        <v>14</v>
      </c>
      <c r="G636">
        <v>7.9799999999999996E-2</v>
      </c>
      <c r="H636">
        <v>0.21510000000000001</v>
      </c>
      <c r="I636">
        <v>6.5549999999999997</v>
      </c>
    </row>
    <row r="637" spans="1:9" x14ac:dyDescent="0.3">
      <c r="A637">
        <f>LOOKUP(9E+307,--MID(D637,1,{1,2,3,4,5}))</f>
        <v>2.5</v>
      </c>
      <c r="B637">
        <f>VLOOKUP(MID(D637,LOOKUP(2,1/ISNUMBER(-MID(D637,1,{1,2,3,4,5})),{1,2,3,4,5})+1,9),'Hue codes'!$A$1:$B$10,2,FALSE)</f>
        <v>60</v>
      </c>
      <c r="C637">
        <f t="shared" si="9"/>
        <v>62.5</v>
      </c>
      <c r="D637" t="s">
        <v>45</v>
      </c>
      <c r="E637">
        <v>3</v>
      </c>
      <c r="F637">
        <v>2</v>
      </c>
      <c r="G637">
        <v>0.2636</v>
      </c>
      <c r="H637">
        <v>0.29830000000000001</v>
      </c>
      <c r="I637">
        <v>6.5549999999999997</v>
      </c>
    </row>
    <row r="638" spans="1:9" x14ac:dyDescent="0.3">
      <c r="A638">
        <f>LOOKUP(9E+307,--MID(D638,1,{1,2,3,4,5}))</f>
        <v>2.5</v>
      </c>
      <c r="B638">
        <f>VLOOKUP(MID(D638,LOOKUP(2,1/ISNUMBER(-MID(D638,1,{1,2,3,4,5})),{1,2,3,4,5})+1,9),'Hue codes'!$A$1:$B$10,2,FALSE)</f>
        <v>60</v>
      </c>
      <c r="C638">
        <f t="shared" si="9"/>
        <v>62.5</v>
      </c>
      <c r="D638" t="s">
        <v>45</v>
      </c>
      <c r="E638">
        <v>3</v>
      </c>
      <c r="F638">
        <v>4</v>
      </c>
      <c r="G638">
        <v>0.21829999999999999</v>
      </c>
      <c r="H638">
        <v>0.27479999999999999</v>
      </c>
      <c r="I638">
        <v>6.5549999999999997</v>
      </c>
    </row>
    <row r="639" spans="1:9" x14ac:dyDescent="0.3">
      <c r="A639">
        <f>LOOKUP(9E+307,--MID(D639,1,{1,2,3,4,5}))</f>
        <v>2.5</v>
      </c>
      <c r="B639">
        <f>VLOOKUP(MID(D639,LOOKUP(2,1/ISNUMBER(-MID(D639,1,{1,2,3,4,5})),{1,2,3,4,5})+1,9),'Hue codes'!$A$1:$B$10,2,FALSE)</f>
        <v>60</v>
      </c>
      <c r="C639">
        <f t="shared" si="9"/>
        <v>62.5</v>
      </c>
      <c r="D639" t="s">
        <v>45</v>
      </c>
      <c r="E639">
        <v>3</v>
      </c>
      <c r="F639">
        <v>6</v>
      </c>
      <c r="G639">
        <v>0.18260000000000001</v>
      </c>
      <c r="H639">
        <v>0.25359999999999999</v>
      </c>
      <c r="I639">
        <v>6.5549999999999997</v>
      </c>
    </row>
    <row r="640" spans="1:9" x14ac:dyDescent="0.3">
      <c r="A640">
        <f>LOOKUP(9E+307,--MID(D640,1,{1,2,3,4,5}))</f>
        <v>2.5</v>
      </c>
      <c r="B640">
        <f>VLOOKUP(MID(D640,LOOKUP(2,1/ISNUMBER(-MID(D640,1,{1,2,3,4,5})),{1,2,3,4,5})+1,9),'Hue codes'!$A$1:$B$10,2,FALSE)</f>
        <v>60</v>
      </c>
      <c r="C640">
        <f t="shared" si="9"/>
        <v>62.5</v>
      </c>
      <c r="D640" t="s">
        <v>45</v>
      </c>
      <c r="E640">
        <v>3</v>
      </c>
      <c r="F640">
        <v>8</v>
      </c>
      <c r="G640">
        <v>0.15110000000000001</v>
      </c>
      <c r="H640">
        <v>0.2331</v>
      </c>
      <c r="I640">
        <v>6.5549999999999997</v>
      </c>
    </row>
    <row r="641" spans="1:9" x14ac:dyDescent="0.3">
      <c r="A641">
        <f>LOOKUP(9E+307,--MID(D641,1,{1,2,3,4,5}))</f>
        <v>2.5</v>
      </c>
      <c r="B641">
        <f>VLOOKUP(MID(D641,LOOKUP(2,1/ISNUMBER(-MID(D641,1,{1,2,3,4,5})),{1,2,3,4,5})+1,9),'Hue codes'!$A$1:$B$10,2,FALSE)</f>
        <v>60</v>
      </c>
      <c r="C641">
        <f t="shared" si="9"/>
        <v>62.5</v>
      </c>
      <c r="D641" t="s">
        <v>45</v>
      </c>
      <c r="E641">
        <v>3</v>
      </c>
      <c r="F641">
        <v>10</v>
      </c>
      <c r="G641">
        <v>0.122</v>
      </c>
      <c r="H641">
        <v>0.2132</v>
      </c>
      <c r="I641">
        <v>6.5549999999999997</v>
      </c>
    </row>
    <row r="642" spans="1:9" x14ac:dyDescent="0.3">
      <c r="A642">
        <f>LOOKUP(9E+307,--MID(D642,1,{1,2,3,4,5}))</f>
        <v>2.5</v>
      </c>
      <c r="B642">
        <f>VLOOKUP(MID(D642,LOOKUP(2,1/ISNUMBER(-MID(D642,1,{1,2,3,4,5})),{1,2,3,4,5})+1,9),'Hue codes'!$A$1:$B$10,2,FALSE)</f>
        <v>60</v>
      </c>
      <c r="C642">
        <f t="shared" si="9"/>
        <v>62.5</v>
      </c>
      <c r="D642" t="s">
        <v>45</v>
      </c>
      <c r="E642">
        <v>3</v>
      </c>
      <c r="F642">
        <v>12</v>
      </c>
      <c r="G642">
        <v>9.8900000000000002E-2</v>
      </c>
      <c r="H642">
        <v>0.1963</v>
      </c>
      <c r="I642">
        <v>6.5549999999999997</v>
      </c>
    </row>
    <row r="643" spans="1:9" x14ac:dyDescent="0.3">
      <c r="A643">
        <f>LOOKUP(9E+307,--MID(D643,1,{1,2,3,4,5}))</f>
        <v>5</v>
      </c>
      <c r="B643">
        <f>VLOOKUP(MID(D643,LOOKUP(2,1/ISNUMBER(-MID(D643,1,{1,2,3,4,5})),{1,2,3,4,5})+1,9),'Hue codes'!$A$1:$B$10,2,FALSE)</f>
        <v>60</v>
      </c>
      <c r="C643">
        <f t="shared" ref="C643:C706" si="10">IF(A643+B643=100,0,A643+B643)</f>
        <v>65</v>
      </c>
      <c r="D643" t="s">
        <v>46</v>
      </c>
      <c r="E643">
        <v>3</v>
      </c>
      <c r="F643">
        <v>2</v>
      </c>
      <c r="G643">
        <v>0.26169999999999999</v>
      </c>
      <c r="H643">
        <v>0.29210000000000003</v>
      </c>
      <c r="I643">
        <v>6.5549999999999997</v>
      </c>
    </row>
    <row r="644" spans="1:9" x14ac:dyDescent="0.3">
      <c r="A644">
        <f>LOOKUP(9E+307,--MID(D644,1,{1,2,3,4,5}))</f>
        <v>5</v>
      </c>
      <c r="B644">
        <f>VLOOKUP(MID(D644,LOOKUP(2,1/ISNUMBER(-MID(D644,1,{1,2,3,4,5})),{1,2,3,4,5})+1,9),'Hue codes'!$A$1:$B$10,2,FALSE)</f>
        <v>60</v>
      </c>
      <c r="C644">
        <f t="shared" si="10"/>
        <v>65</v>
      </c>
      <c r="D644" t="s">
        <v>46</v>
      </c>
      <c r="E644">
        <v>3</v>
      </c>
      <c r="F644">
        <v>4</v>
      </c>
      <c r="G644">
        <v>0.21759999999999999</v>
      </c>
      <c r="H644">
        <v>0.26319999999999999</v>
      </c>
      <c r="I644">
        <v>6.5549999999999997</v>
      </c>
    </row>
    <row r="645" spans="1:9" x14ac:dyDescent="0.3">
      <c r="A645">
        <f>LOOKUP(9E+307,--MID(D645,1,{1,2,3,4,5}))</f>
        <v>5</v>
      </c>
      <c r="B645">
        <f>VLOOKUP(MID(D645,LOOKUP(2,1/ISNUMBER(-MID(D645,1,{1,2,3,4,5})),{1,2,3,4,5})+1,9),'Hue codes'!$A$1:$B$10,2,FALSE)</f>
        <v>60</v>
      </c>
      <c r="C645">
        <f t="shared" si="10"/>
        <v>65</v>
      </c>
      <c r="D645" t="s">
        <v>46</v>
      </c>
      <c r="E645">
        <v>3</v>
      </c>
      <c r="F645">
        <v>6</v>
      </c>
      <c r="G645">
        <v>0.1835</v>
      </c>
      <c r="H645">
        <v>0.23749999999999999</v>
      </c>
      <c r="I645">
        <v>6.5549999999999997</v>
      </c>
    </row>
    <row r="646" spans="1:9" x14ac:dyDescent="0.3">
      <c r="A646">
        <f>LOOKUP(9E+307,--MID(D646,1,{1,2,3,4,5}))</f>
        <v>5</v>
      </c>
      <c r="B646">
        <f>VLOOKUP(MID(D646,LOOKUP(2,1/ISNUMBER(-MID(D646,1,{1,2,3,4,5})),{1,2,3,4,5})+1,9),'Hue codes'!$A$1:$B$10,2,FALSE)</f>
        <v>60</v>
      </c>
      <c r="C646">
        <f t="shared" si="10"/>
        <v>65</v>
      </c>
      <c r="D646" t="s">
        <v>46</v>
      </c>
      <c r="E646">
        <v>3</v>
      </c>
      <c r="F646">
        <v>8</v>
      </c>
      <c r="G646">
        <v>0.1527</v>
      </c>
      <c r="H646">
        <v>0.21190000000000001</v>
      </c>
      <c r="I646">
        <v>6.5549999999999997</v>
      </c>
    </row>
    <row r="647" spans="1:9" x14ac:dyDescent="0.3">
      <c r="A647">
        <f>LOOKUP(9E+307,--MID(D647,1,{1,2,3,4,5}))</f>
        <v>5</v>
      </c>
      <c r="B647">
        <f>VLOOKUP(MID(D647,LOOKUP(2,1/ISNUMBER(-MID(D647,1,{1,2,3,4,5})),{1,2,3,4,5})+1,9),'Hue codes'!$A$1:$B$10,2,FALSE)</f>
        <v>60</v>
      </c>
      <c r="C647">
        <f t="shared" si="10"/>
        <v>65</v>
      </c>
      <c r="D647" t="s">
        <v>46</v>
      </c>
      <c r="E647">
        <v>3</v>
      </c>
      <c r="F647">
        <v>10</v>
      </c>
      <c r="G647">
        <v>0.12590000000000001</v>
      </c>
      <c r="H647">
        <v>0.18790000000000001</v>
      </c>
      <c r="I647">
        <v>6.5549999999999997</v>
      </c>
    </row>
    <row r="648" spans="1:9" x14ac:dyDescent="0.3">
      <c r="A648">
        <f>LOOKUP(9E+307,--MID(D648,1,{1,2,3,4,5}))</f>
        <v>5</v>
      </c>
      <c r="B648">
        <f>VLOOKUP(MID(D648,LOOKUP(2,1/ISNUMBER(-MID(D648,1,{1,2,3,4,5})),{1,2,3,4,5})+1,9),'Hue codes'!$A$1:$B$10,2,FALSE)</f>
        <v>60</v>
      </c>
      <c r="C648">
        <f t="shared" si="10"/>
        <v>65</v>
      </c>
      <c r="D648" t="s">
        <v>46</v>
      </c>
      <c r="E648">
        <v>3</v>
      </c>
      <c r="F648">
        <v>12</v>
      </c>
      <c r="G648">
        <v>0.1042</v>
      </c>
      <c r="H648">
        <v>0.1681</v>
      </c>
      <c r="I648">
        <v>6.5549999999999997</v>
      </c>
    </row>
    <row r="649" spans="1:9" x14ac:dyDescent="0.3">
      <c r="A649">
        <f>LOOKUP(9E+307,--MID(D649,1,{1,2,3,4,5}))</f>
        <v>7.5</v>
      </c>
      <c r="B649">
        <f>VLOOKUP(MID(D649,LOOKUP(2,1/ISNUMBER(-MID(D649,1,{1,2,3,4,5})),{1,2,3,4,5})+1,9),'Hue codes'!$A$1:$B$10,2,FALSE)</f>
        <v>60</v>
      </c>
      <c r="C649">
        <f t="shared" si="10"/>
        <v>67.5</v>
      </c>
      <c r="D649" t="s">
        <v>47</v>
      </c>
      <c r="E649">
        <v>3</v>
      </c>
      <c r="F649">
        <v>2</v>
      </c>
      <c r="G649">
        <v>0.2616</v>
      </c>
      <c r="H649">
        <v>0.28570000000000001</v>
      </c>
      <c r="I649">
        <v>6.5549999999999997</v>
      </c>
    </row>
    <row r="650" spans="1:9" x14ac:dyDescent="0.3">
      <c r="A650">
        <f>LOOKUP(9E+307,--MID(D650,1,{1,2,3,4,5}))</f>
        <v>7.5</v>
      </c>
      <c r="B650">
        <f>VLOOKUP(MID(D650,LOOKUP(2,1/ISNUMBER(-MID(D650,1,{1,2,3,4,5})),{1,2,3,4,5})+1,9),'Hue codes'!$A$1:$B$10,2,FALSE)</f>
        <v>60</v>
      </c>
      <c r="C650">
        <f t="shared" si="10"/>
        <v>67.5</v>
      </c>
      <c r="D650" t="s">
        <v>47</v>
      </c>
      <c r="E650">
        <v>3</v>
      </c>
      <c r="F650">
        <v>4</v>
      </c>
      <c r="G650">
        <v>0.22</v>
      </c>
      <c r="H650">
        <v>0.25359999999999999</v>
      </c>
      <c r="I650">
        <v>6.5549999999999997</v>
      </c>
    </row>
    <row r="651" spans="1:9" x14ac:dyDescent="0.3">
      <c r="A651">
        <f>LOOKUP(9E+307,--MID(D651,1,{1,2,3,4,5}))</f>
        <v>7.5</v>
      </c>
      <c r="B651">
        <f>VLOOKUP(MID(D651,LOOKUP(2,1/ISNUMBER(-MID(D651,1,{1,2,3,4,5})),{1,2,3,4,5})+1,9),'Hue codes'!$A$1:$B$10,2,FALSE)</f>
        <v>60</v>
      </c>
      <c r="C651">
        <f t="shared" si="10"/>
        <v>67.5</v>
      </c>
      <c r="D651" t="s">
        <v>47</v>
      </c>
      <c r="E651">
        <v>3</v>
      </c>
      <c r="F651">
        <v>6</v>
      </c>
      <c r="G651">
        <v>0.1875</v>
      </c>
      <c r="H651">
        <v>0.2258</v>
      </c>
      <c r="I651">
        <v>6.5549999999999997</v>
      </c>
    </row>
    <row r="652" spans="1:9" x14ac:dyDescent="0.3">
      <c r="A652">
        <f>LOOKUP(9E+307,--MID(D652,1,{1,2,3,4,5}))</f>
        <v>7.5</v>
      </c>
      <c r="B652">
        <f>VLOOKUP(MID(D652,LOOKUP(2,1/ISNUMBER(-MID(D652,1,{1,2,3,4,5})),{1,2,3,4,5})+1,9),'Hue codes'!$A$1:$B$10,2,FALSE)</f>
        <v>60</v>
      </c>
      <c r="C652">
        <f t="shared" si="10"/>
        <v>67.5</v>
      </c>
      <c r="D652" t="s">
        <v>47</v>
      </c>
      <c r="E652">
        <v>3</v>
      </c>
      <c r="F652">
        <v>8</v>
      </c>
      <c r="G652">
        <v>0.1583</v>
      </c>
      <c r="H652">
        <v>0.19869999999999999</v>
      </c>
      <c r="I652">
        <v>6.5549999999999997</v>
      </c>
    </row>
    <row r="653" spans="1:9" x14ac:dyDescent="0.3">
      <c r="A653">
        <f>LOOKUP(9E+307,--MID(D653,1,{1,2,3,4,5}))</f>
        <v>7.5</v>
      </c>
      <c r="B653">
        <f>VLOOKUP(MID(D653,LOOKUP(2,1/ISNUMBER(-MID(D653,1,{1,2,3,4,5})),{1,2,3,4,5})+1,9),'Hue codes'!$A$1:$B$10,2,FALSE)</f>
        <v>60</v>
      </c>
      <c r="C653">
        <f t="shared" si="10"/>
        <v>67.5</v>
      </c>
      <c r="D653" t="s">
        <v>47</v>
      </c>
      <c r="E653">
        <v>3</v>
      </c>
      <c r="F653">
        <v>10</v>
      </c>
      <c r="G653">
        <v>0.1343</v>
      </c>
      <c r="H653">
        <v>0.17560000000000001</v>
      </c>
      <c r="I653">
        <v>6.5549999999999997</v>
      </c>
    </row>
    <row r="654" spans="1:9" x14ac:dyDescent="0.3">
      <c r="A654">
        <f>LOOKUP(9E+307,--MID(D654,1,{1,2,3,4,5}))</f>
        <v>7.5</v>
      </c>
      <c r="B654">
        <f>VLOOKUP(MID(D654,LOOKUP(2,1/ISNUMBER(-MID(D654,1,{1,2,3,4,5})),{1,2,3,4,5})+1,9),'Hue codes'!$A$1:$B$10,2,FALSE)</f>
        <v>60</v>
      </c>
      <c r="C654">
        <f t="shared" si="10"/>
        <v>67.5</v>
      </c>
      <c r="D654" t="s">
        <v>47</v>
      </c>
      <c r="E654">
        <v>3</v>
      </c>
      <c r="F654">
        <v>12</v>
      </c>
      <c r="G654">
        <v>0.11310000000000001</v>
      </c>
      <c r="H654">
        <v>0.1542</v>
      </c>
      <c r="I654">
        <v>6.5549999999999997</v>
      </c>
    </row>
    <row r="655" spans="1:9" x14ac:dyDescent="0.3">
      <c r="A655">
        <f>LOOKUP(9E+307,--MID(D655,1,{1,2,3,4,5}))</f>
        <v>10</v>
      </c>
      <c r="B655">
        <f>VLOOKUP(MID(D655,LOOKUP(2,1/ISNUMBER(-MID(D655,1,{1,2,3,4,5})),{1,2,3,4,5})+1,9),'Hue codes'!$A$1:$B$10,2,FALSE)</f>
        <v>60</v>
      </c>
      <c r="C655">
        <f t="shared" si="10"/>
        <v>70</v>
      </c>
      <c r="D655" t="s">
        <v>48</v>
      </c>
      <c r="E655">
        <v>3</v>
      </c>
      <c r="F655">
        <v>2</v>
      </c>
      <c r="G655">
        <v>0.2631</v>
      </c>
      <c r="H655">
        <v>0.28010000000000002</v>
      </c>
      <c r="I655">
        <v>6.5549999999999997</v>
      </c>
    </row>
    <row r="656" spans="1:9" x14ac:dyDescent="0.3">
      <c r="A656">
        <f>LOOKUP(9E+307,--MID(D656,1,{1,2,3,4,5}))</f>
        <v>10</v>
      </c>
      <c r="B656">
        <f>VLOOKUP(MID(D656,LOOKUP(2,1/ISNUMBER(-MID(D656,1,{1,2,3,4,5})),{1,2,3,4,5})+1,9),'Hue codes'!$A$1:$B$10,2,FALSE)</f>
        <v>60</v>
      </c>
      <c r="C656">
        <f t="shared" si="10"/>
        <v>70</v>
      </c>
      <c r="D656" t="s">
        <v>48</v>
      </c>
      <c r="E656">
        <v>3</v>
      </c>
      <c r="F656">
        <v>4</v>
      </c>
      <c r="G656">
        <v>0.22459999999999999</v>
      </c>
      <c r="H656">
        <v>0.2467</v>
      </c>
      <c r="I656">
        <v>6.5549999999999997</v>
      </c>
    </row>
    <row r="657" spans="1:9" x14ac:dyDescent="0.3">
      <c r="A657">
        <f>LOOKUP(9E+307,--MID(D657,1,{1,2,3,4,5}))</f>
        <v>10</v>
      </c>
      <c r="B657">
        <f>VLOOKUP(MID(D657,LOOKUP(2,1/ISNUMBER(-MID(D657,1,{1,2,3,4,5})),{1,2,3,4,5})+1,9),'Hue codes'!$A$1:$B$10,2,FALSE)</f>
        <v>60</v>
      </c>
      <c r="C657">
        <f t="shared" si="10"/>
        <v>70</v>
      </c>
      <c r="D657" t="s">
        <v>48</v>
      </c>
      <c r="E657">
        <v>3</v>
      </c>
      <c r="F657">
        <v>6</v>
      </c>
      <c r="G657">
        <v>0.1933</v>
      </c>
      <c r="H657">
        <v>0.21729999999999999</v>
      </c>
      <c r="I657">
        <v>6.5549999999999997</v>
      </c>
    </row>
    <row r="658" spans="1:9" x14ac:dyDescent="0.3">
      <c r="A658">
        <f>LOOKUP(9E+307,--MID(D658,1,{1,2,3,4,5}))</f>
        <v>10</v>
      </c>
      <c r="B658">
        <f>VLOOKUP(MID(D658,LOOKUP(2,1/ISNUMBER(-MID(D658,1,{1,2,3,4,5})),{1,2,3,4,5})+1,9),'Hue codes'!$A$1:$B$10,2,FALSE)</f>
        <v>60</v>
      </c>
      <c r="C658">
        <f t="shared" si="10"/>
        <v>70</v>
      </c>
      <c r="D658" t="s">
        <v>48</v>
      </c>
      <c r="E658">
        <v>3</v>
      </c>
      <c r="F658">
        <v>8</v>
      </c>
      <c r="G658">
        <v>0.1658</v>
      </c>
      <c r="H658">
        <v>0.1905</v>
      </c>
      <c r="I658">
        <v>6.5549999999999997</v>
      </c>
    </row>
    <row r="659" spans="1:9" x14ac:dyDescent="0.3">
      <c r="A659">
        <f>LOOKUP(9E+307,--MID(D659,1,{1,2,3,4,5}))</f>
        <v>10</v>
      </c>
      <c r="B659">
        <f>VLOOKUP(MID(D659,LOOKUP(2,1/ISNUMBER(-MID(D659,1,{1,2,3,4,5})),{1,2,3,4,5})+1,9),'Hue codes'!$A$1:$B$10,2,FALSE)</f>
        <v>60</v>
      </c>
      <c r="C659">
        <f t="shared" si="10"/>
        <v>70</v>
      </c>
      <c r="D659" t="s">
        <v>48</v>
      </c>
      <c r="E659">
        <v>3</v>
      </c>
      <c r="F659">
        <v>10</v>
      </c>
      <c r="G659">
        <v>0.14319999999999999</v>
      </c>
      <c r="H659">
        <v>0.16750000000000001</v>
      </c>
      <c r="I659">
        <v>6.5549999999999997</v>
      </c>
    </row>
    <row r="660" spans="1:9" x14ac:dyDescent="0.3">
      <c r="A660">
        <f>LOOKUP(9E+307,--MID(D660,1,{1,2,3,4,5}))</f>
        <v>10</v>
      </c>
      <c r="B660">
        <f>VLOOKUP(MID(D660,LOOKUP(2,1/ISNUMBER(-MID(D660,1,{1,2,3,4,5})),{1,2,3,4,5})+1,9),'Hue codes'!$A$1:$B$10,2,FALSE)</f>
        <v>60</v>
      </c>
      <c r="C660">
        <f t="shared" si="10"/>
        <v>70</v>
      </c>
      <c r="D660" t="s">
        <v>48</v>
      </c>
      <c r="E660">
        <v>3</v>
      </c>
      <c r="F660">
        <v>12</v>
      </c>
      <c r="G660">
        <v>0.12280000000000001</v>
      </c>
      <c r="H660">
        <v>0.14599999999999999</v>
      </c>
      <c r="I660">
        <v>6.5549999999999997</v>
      </c>
    </row>
    <row r="661" spans="1:9" x14ac:dyDescent="0.3">
      <c r="A661">
        <f>LOOKUP(9E+307,--MID(D661,1,{1,2,3,4,5}))</f>
        <v>10</v>
      </c>
      <c r="B661">
        <f>VLOOKUP(MID(D661,LOOKUP(2,1/ISNUMBER(-MID(D661,1,{1,2,3,4,5})),{1,2,3,4,5})+1,9),'Hue codes'!$A$1:$B$10,2,FALSE)</f>
        <v>60</v>
      </c>
      <c r="C661">
        <f t="shared" si="10"/>
        <v>70</v>
      </c>
      <c r="D661" t="s">
        <v>48</v>
      </c>
      <c r="E661">
        <v>3</v>
      </c>
      <c r="F661">
        <v>14</v>
      </c>
      <c r="G661">
        <v>0.1065</v>
      </c>
      <c r="H661">
        <v>0.1285</v>
      </c>
      <c r="I661">
        <v>6.5549999999999997</v>
      </c>
    </row>
    <row r="662" spans="1:9" x14ac:dyDescent="0.3">
      <c r="A662">
        <f>LOOKUP(9E+307,--MID(D662,1,{1,2,3,4,5}))</f>
        <v>2.5</v>
      </c>
      <c r="B662">
        <f>VLOOKUP(MID(D662,LOOKUP(2,1/ISNUMBER(-MID(D662,1,{1,2,3,4,5})),{1,2,3,4,5})+1,9),'Hue codes'!$A$1:$B$10,2,FALSE)</f>
        <v>70</v>
      </c>
      <c r="C662">
        <f t="shared" si="10"/>
        <v>72.5</v>
      </c>
      <c r="D662" t="s">
        <v>49</v>
      </c>
      <c r="E662">
        <v>3</v>
      </c>
      <c r="F662">
        <v>2</v>
      </c>
      <c r="G662">
        <v>0.26629999999999998</v>
      </c>
      <c r="H662">
        <v>0.27560000000000001</v>
      </c>
      <c r="I662">
        <v>6.5549999999999997</v>
      </c>
    </row>
    <row r="663" spans="1:9" x14ac:dyDescent="0.3">
      <c r="A663">
        <f>LOOKUP(9E+307,--MID(D663,1,{1,2,3,4,5}))</f>
        <v>2.5</v>
      </c>
      <c r="B663">
        <f>VLOOKUP(MID(D663,LOOKUP(2,1/ISNUMBER(-MID(D663,1,{1,2,3,4,5})),{1,2,3,4,5})+1,9),'Hue codes'!$A$1:$B$10,2,FALSE)</f>
        <v>70</v>
      </c>
      <c r="C663">
        <f t="shared" si="10"/>
        <v>72.5</v>
      </c>
      <c r="D663" t="s">
        <v>49</v>
      </c>
      <c r="E663">
        <v>3</v>
      </c>
      <c r="F663">
        <v>4</v>
      </c>
      <c r="G663">
        <v>0.23119999999999999</v>
      </c>
      <c r="H663">
        <v>0.24049999999999999</v>
      </c>
      <c r="I663">
        <v>6.5549999999999997</v>
      </c>
    </row>
    <row r="664" spans="1:9" x14ac:dyDescent="0.3">
      <c r="A664">
        <f>LOOKUP(9E+307,--MID(D664,1,{1,2,3,4,5}))</f>
        <v>2.5</v>
      </c>
      <c r="B664">
        <f>VLOOKUP(MID(D664,LOOKUP(2,1/ISNUMBER(-MID(D664,1,{1,2,3,4,5})),{1,2,3,4,5})+1,9),'Hue codes'!$A$1:$B$10,2,FALSE)</f>
        <v>70</v>
      </c>
      <c r="C664">
        <f t="shared" si="10"/>
        <v>72.5</v>
      </c>
      <c r="D664" t="s">
        <v>49</v>
      </c>
      <c r="E664">
        <v>3</v>
      </c>
      <c r="F664">
        <v>6</v>
      </c>
      <c r="G664">
        <v>0.20219999999999999</v>
      </c>
      <c r="H664">
        <v>0.21010000000000001</v>
      </c>
      <c r="I664">
        <v>6.5549999999999997</v>
      </c>
    </row>
    <row r="665" spans="1:9" x14ac:dyDescent="0.3">
      <c r="A665">
        <f>LOOKUP(9E+307,--MID(D665,1,{1,2,3,4,5}))</f>
        <v>2.5</v>
      </c>
      <c r="B665">
        <f>VLOOKUP(MID(D665,LOOKUP(2,1/ISNUMBER(-MID(D665,1,{1,2,3,4,5})),{1,2,3,4,5})+1,9),'Hue codes'!$A$1:$B$10,2,FALSE)</f>
        <v>70</v>
      </c>
      <c r="C665">
        <f t="shared" si="10"/>
        <v>72.5</v>
      </c>
      <c r="D665" t="s">
        <v>49</v>
      </c>
      <c r="E665">
        <v>3</v>
      </c>
      <c r="F665">
        <v>8</v>
      </c>
      <c r="G665">
        <v>0.17799999999999999</v>
      </c>
      <c r="H665">
        <v>0.18329999999999999</v>
      </c>
      <c r="I665">
        <v>6.5549999999999997</v>
      </c>
    </row>
    <row r="666" spans="1:9" x14ac:dyDescent="0.3">
      <c r="A666">
        <f>LOOKUP(9E+307,--MID(D666,1,{1,2,3,4,5}))</f>
        <v>2.5</v>
      </c>
      <c r="B666">
        <f>VLOOKUP(MID(D666,LOOKUP(2,1/ISNUMBER(-MID(D666,1,{1,2,3,4,5})),{1,2,3,4,5})+1,9),'Hue codes'!$A$1:$B$10,2,FALSE)</f>
        <v>70</v>
      </c>
      <c r="C666">
        <f t="shared" si="10"/>
        <v>72.5</v>
      </c>
      <c r="D666" t="s">
        <v>49</v>
      </c>
      <c r="E666">
        <v>3</v>
      </c>
      <c r="F666">
        <v>10</v>
      </c>
      <c r="G666">
        <v>0.15759999999999999</v>
      </c>
      <c r="H666">
        <v>0.16</v>
      </c>
      <c r="I666">
        <v>6.5549999999999997</v>
      </c>
    </row>
    <row r="667" spans="1:9" x14ac:dyDescent="0.3">
      <c r="A667">
        <f>LOOKUP(9E+307,--MID(D667,1,{1,2,3,4,5}))</f>
        <v>2.5</v>
      </c>
      <c r="B667">
        <f>VLOOKUP(MID(D667,LOOKUP(2,1/ISNUMBER(-MID(D667,1,{1,2,3,4,5})),{1,2,3,4,5})+1,9),'Hue codes'!$A$1:$B$10,2,FALSE)</f>
        <v>70</v>
      </c>
      <c r="C667">
        <f t="shared" si="10"/>
        <v>72.5</v>
      </c>
      <c r="D667" t="s">
        <v>49</v>
      </c>
      <c r="E667">
        <v>3</v>
      </c>
      <c r="F667">
        <v>12</v>
      </c>
      <c r="G667">
        <v>0.13980000000000001</v>
      </c>
      <c r="H667">
        <v>0.13950000000000001</v>
      </c>
      <c r="I667">
        <v>6.5549999999999997</v>
      </c>
    </row>
    <row r="668" spans="1:9" x14ac:dyDescent="0.3">
      <c r="A668">
        <f>LOOKUP(9E+307,--MID(D668,1,{1,2,3,4,5}))</f>
        <v>2.5</v>
      </c>
      <c r="B668">
        <f>VLOOKUP(MID(D668,LOOKUP(2,1/ISNUMBER(-MID(D668,1,{1,2,3,4,5})),{1,2,3,4,5})+1,9),'Hue codes'!$A$1:$B$10,2,FALSE)</f>
        <v>70</v>
      </c>
      <c r="C668">
        <f t="shared" si="10"/>
        <v>72.5</v>
      </c>
      <c r="D668" t="s">
        <v>49</v>
      </c>
      <c r="E668">
        <v>3</v>
      </c>
      <c r="F668">
        <v>14</v>
      </c>
      <c r="G668">
        <v>0.12509999999999999</v>
      </c>
      <c r="H668">
        <v>0.12180000000000001</v>
      </c>
      <c r="I668">
        <v>6.5549999999999997</v>
      </c>
    </row>
    <row r="669" spans="1:9" x14ac:dyDescent="0.3">
      <c r="A669">
        <f>LOOKUP(9E+307,--MID(D669,1,{1,2,3,4,5}))</f>
        <v>5</v>
      </c>
      <c r="B669">
        <f>VLOOKUP(MID(D669,LOOKUP(2,1/ISNUMBER(-MID(D669,1,{1,2,3,4,5})),{1,2,3,4,5})+1,9),'Hue codes'!$A$1:$B$10,2,FALSE)</f>
        <v>70</v>
      </c>
      <c r="C669">
        <f t="shared" si="10"/>
        <v>75</v>
      </c>
      <c r="D669" t="s">
        <v>50</v>
      </c>
      <c r="E669">
        <v>3</v>
      </c>
      <c r="F669">
        <v>2</v>
      </c>
      <c r="G669">
        <v>0.27079999999999999</v>
      </c>
      <c r="H669">
        <v>0.27189999999999998</v>
      </c>
      <c r="I669">
        <v>6.5549999999999997</v>
      </c>
    </row>
    <row r="670" spans="1:9" x14ac:dyDescent="0.3">
      <c r="A670">
        <f>LOOKUP(9E+307,--MID(D670,1,{1,2,3,4,5}))</f>
        <v>5</v>
      </c>
      <c r="B670">
        <f>VLOOKUP(MID(D670,LOOKUP(2,1/ISNUMBER(-MID(D670,1,{1,2,3,4,5})),{1,2,3,4,5})+1,9),'Hue codes'!$A$1:$B$10,2,FALSE)</f>
        <v>70</v>
      </c>
      <c r="C670">
        <f t="shared" si="10"/>
        <v>75</v>
      </c>
      <c r="D670" t="s">
        <v>50</v>
      </c>
      <c r="E670">
        <v>3</v>
      </c>
      <c r="F670">
        <v>4</v>
      </c>
      <c r="G670">
        <v>0.23930000000000001</v>
      </c>
      <c r="H670">
        <v>0.2361</v>
      </c>
      <c r="I670">
        <v>6.5549999999999997</v>
      </c>
    </row>
    <row r="671" spans="1:9" x14ac:dyDescent="0.3">
      <c r="A671">
        <f>LOOKUP(9E+307,--MID(D671,1,{1,2,3,4,5}))</f>
        <v>5</v>
      </c>
      <c r="B671">
        <f>VLOOKUP(MID(D671,LOOKUP(2,1/ISNUMBER(-MID(D671,1,{1,2,3,4,5})),{1,2,3,4,5})+1,9),'Hue codes'!$A$1:$B$10,2,FALSE)</f>
        <v>70</v>
      </c>
      <c r="C671">
        <f t="shared" si="10"/>
        <v>75</v>
      </c>
      <c r="D671" t="s">
        <v>50</v>
      </c>
      <c r="E671">
        <v>3</v>
      </c>
      <c r="F671">
        <v>6</v>
      </c>
      <c r="G671">
        <v>0.2122</v>
      </c>
      <c r="H671">
        <v>0.20519999999999999</v>
      </c>
      <c r="I671">
        <v>6.5549999999999997</v>
      </c>
    </row>
    <row r="672" spans="1:9" x14ac:dyDescent="0.3">
      <c r="A672">
        <f>LOOKUP(9E+307,--MID(D672,1,{1,2,3,4,5}))</f>
        <v>5</v>
      </c>
      <c r="B672">
        <f>VLOOKUP(MID(D672,LOOKUP(2,1/ISNUMBER(-MID(D672,1,{1,2,3,4,5})),{1,2,3,4,5})+1,9),'Hue codes'!$A$1:$B$10,2,FALSE)</f>
        <v>70</v>
      </c>
      <c r="C672">
        <f t="shared" si="10"/>
        <v>75</v>
      </c>
      <c r="D672" t="s">
        <v>50</v>
      </c>
      <c r="E672">
        <v>3</v>
      </c>
      <c r="F672">
        <v>8</v>
      </c>
      <c r="G672">
        <v>0.1908</v>
      </c>
      <c r="H672">
        <v>0.1799</v>
      </c>
      <c r="I672">
        <v>6.5549999999999997</v>
      </c>
    </row>
    <row r="673" spans="1:9" x14ac:dyDescent="0.3">
      <c r="A673">
        <f>LOOKUP(9E+307,--MID(D673,1,{1,2,3,4,5}))</f>
        <v>5</v>
      </c>
      <c r="B673">
        <f>VLOOKUP(MID(D673,LOOKUP(2,1/ISNUMBER(-MID(D673,1,{1,2,3,4,5})),{1,2,3,4,5})+1,9),'Hue codes'!$A$1:$B$10,2,FALSE)</f>
        <v>70</v>
      </c>
      <c r="C673">
        <f t="shared" si="10"/>
        <v>75</v>
      </c>
      <c r="D673" t="s">
        <v>50</v>
      </c>
      <c r="E673">
        <v>3</v>
      </c>
      <c r="F673">
        <v>10</v>
      </c>
      <c r="G673">
        <v>0.17180000000000001</v>
      </c>
      <c r="H673">
        <v>0.15620000000000001</v>
      </c>
      <c r="I673">
        <v>6.5549999999999997</v>
      </c>
    </row>
    <row r="674" spans="1:9" x14ac:dyDescent="0.3">
      <c r="A674">
        <f>LOOKUP(9E+307,--MID(D674,1,{1,2,3,4,5}))</f>
        <v>5</v>
      </c>
      <c r="B674">
        <f>VLOOKUP(MID(D674,LOOKUP(2,1/ISNUMBER(-MID(D674,1,{1,2,3,4,5})),{1,2,3,4,5})+1,9),'Hue codes'!$A$1:$B$10,2,FALSE)</f>
        <v>70</v>
      </c>
      <c r="C674">
        <f t="shared" si="10"/>
        <v>75</v>
      </c>
      <c r="D674" t="s">
        <v>50</v>
      </c>
      <c r="E674">
        <v>3</v>
      </c>
      <c r="F674">
        <v>12</v>
      </c>
      <c r="G674">
        <v>0.15570000000000001</v>
      </c>
      <c r="H674">
        <v>0.1356</v>
      </c>
      <c r="I674">
        <v>6.5549999999999997</v>
      </c>
    </row>
    <row r="675" spans="1:9" x14ac:dyDescent="0.3">
      <c r="A675">
        <f>LOOKUP(9E+307,--MID(D675,1,{1,2,3,4,5}))</f>
        <v>5</v>
      </c>
      <c r="B675">
        <f>VLOOKUP(MID(D675,LOOKUP(2,1/ISNUMBER(-MID(D675,1,{1,2,3,4,5})),{1,2,3,4,5})+1,9),'Hue codes'!$A$1:$B$10,2,FALSE)</f>
        <v>70</v>
      </c>
      <c r="C675">
        <f t="shared" si="10"/>
        <v>75</v>
      </c>
      <c r="D675" t="s">
        <v>50</v>
      </c>
      <c r="E675">
        <v>3</v>
      </c>
      <c r="F675">
        <v>14</v>
      </c>
      <c r="G675">
        <v>0.1431</v>
      </c>
      <c r="H675">
        <v>0.11840000000000001</v>
      </c>
      <c r="I675">
        <v>6.5549999999999997</v>
      </c>
    </row>
    <row r="676" spans="1:9" x14ac:dyDescent="0.3">
      <c r="A676">
        <f>LOOKUP(9E+307,--MID(D676,1,{1,2,3,4,5}))</f>
        <v>5</v>
      </c>
      <c r="B676">
        <f>VLOOKUP(MID(D676,LOOKUP(2,1/ISNUMBER(-MID(D676,1,{1,2,3,4,5})),{1,2,3,4,5})+1,9),'Hue codes'!$A$1:$B$10,2,FALSE)</f>
        <v>70</v>
      </c>
      <c r="C676">
        <f t="shared" si="10"/>
        <v>75</v>
      </c>
      <c r="D676" t="s">
        <v>50</v>
      </c>
      <c r="E676">
        <v>3</v>
      </c>
      <c r="F676">
        <v>16</v>
      </c>
      <c r="G676">
        <v>0.1318</v>
      </c>
      <c r="H676">
        <v>0.1024</v>
      </c>
      <c r="I676">
        <v>6.5549999999999997</v>
      </c>
    </row>
    <row r="677" spans="1:9" x14ac:dyDescent="0.3">
      <c r="A677">
        <f>LOOKUP(9E+307,--MID(D677,1,{1,2,3,4,5}))</f>
        <v>5</v>
      </c>
      <c r="B677">
        <f>VLOOKUP(MID(D677,LOOKUP(2,1/ISNUMBER(-MID(D677,1,{1,2,3,4,5})),{1,2,3,4,5})+1,9),'Hue codes'!$A$1:$B$10,2,FALSE)</f>
        <v>70</v>
      </c>
      <c r="C677">
        <f t="shared" si="10"/>
        <v>75</v>
      </c>
      <c r="D677" t="s">
        <v>50</v>
      </c>
      <c r="E677">
        <v>3</v>
      </c>
      <c r="F677">
        <v>18</v>
      </c>
      <c r="G677">
        <v>0.12280000000000001</v>
      </c>
      <c r="H677">
        <v>8.9499999999999996E-2</v>
      </c>
      <c r="I677">
        <v>6.5549999999999997</v>
      </c>
    </row>
    <row r="678" spans="1:9" x14ac:dyDescent="0.3">
      <c r="A678">
        <f>LOOKUP(9E+307,--MID(D678,1,{1,2,3,4,5}))</f>
        <v>7.5</v>
      </c>
      <c r="B678">
        <f>VLOOKUP(MID(D678,LOOKUP(2,1/ISNUMBER(-MID(D678,1,{1,2,3,4,5})),{1,2,3,4,5})+1,9),'Hue codes'!$A$1:$B$10,2,FALSE)</f>
        <v>70</v>
      </c>
      <c r="C678">
        <f t="shared" si="10"/>
        <v>77.5</v>
      </c>
      <c r="D678" t="s">
        <v>51</v>
      </c>
      <c r="E678">
        <v>3</v>
      </c>
      <c r="F678">
        <v>2</v>
      </c>
      <c r="G678">
        <v>0.2777</v>
      </c>
      <c r="H678">
        <v>0.26869999999999999</v>
      </c>
      <c r="I678">
        <v>6.5549999999999997</v>
      </c>
    </row>
    <row r="679" spans="1:9" x14ac:dyDescent="0.3">
      <c r="A679">
        <f>LOOKUP(9E+307,--MID(D679,1,{1,2,3,4,5}))</f>
        <v>7.5</v>
      </c>
      <c r="B679">
        <f>VLOOKUP(MID(D679,LOOKUP(2,1/ISNUMBER(-MID(D679,1,{1,2,3,4,5})),{1,2,3,4,5})+1,9),'Hue codes'!$A$1:$B$10,2,FALSE)</f>
        <v>70</v>
      </c>
      <c r="C679">
        <f t="shared" si="10"/>
        <v>77.5</v>
      </c>
      <c r="D679" t="s">
        <v>51</v>
      </c>
      <c r="E679">
        <v>3</v>
      </c>
      <c r="F679">
        <v>4</v>
      </c>
      <c r="G679">
        <v>0.252</v>
      </c>
      <c r="H679">
        <v>0.2319</v>
      </c>
      <c r="I679">
        <v>6.5549999999999997</v>
      </c>
    </row>
    <row r="680" spans="1:9" x14ac:dyDescent="0.3">
      <c r="A680">
        <f>LOOKUP(9E+307,--MID(D680,1,{1,2,3,4,5}))</f>
        <v>7.5</v>
      </c>
      <c r="B680">
        <f>VLOOKUP(MID(D680,LOOKUP(2,1/ISNUMBER(-MID(D680,1,{1,2,3,4,5})),{1,2,3,4,5})+1,9),'Hue codes'!$A$1:$B$10,2,FALSE)</f>
        <v>70</v>
      </c>
      <c r="C680">
        <f t="shared" si="10"/>
        <v>77.5</v>
      </c>
      <c r="D680" t="s">
        <v>51</v>
      </c>
      <c r="E680">
        <v>3</v>
      </c>
      <c r="F680">
        <v>6</v>
      </c>
      <c r="G680">
        <v>0.2311</v>
      </c>
      <c r="H680">
        <v>0.20100000000000001</v>
      </c>
      <c r="I680">
        <v>6.5549999999999997</v>
      </c>
    </row>
    <row r="681" spans="1:9" x14ac:dyDescent="0.3">
      <c r="A681">
        <f>LOOKUP(9E+307,--MID(D681,1,{1,2,3,4,5}))</f>
        <v>7.5</v>
      </c>
      <c r="B681">
        <f>VLOOKUP(MID(D681,LOOKUP(2,1/ISNUMBER(-MID(D681,1,{1,2,3,4,5})),{1,2,3,4,5})+1,9),'Hue codes'!$A$1:$B$10,2,FALSE)</f>
        <v>70</v>
      </c>
      <c r="C681">
        <f t="shared" si="10"/>
        <v>77.5</v>
      </c>
      <c r="D681" t="s">
        <v>51</v>
      </c>
      <c r="E681">
        <v>3</v>
      </c>
      <c r="F681">
        <v>8</v>
      </c>
      <c r="G681">
        <v>0.21490000000000001</v>
      </c>
      <c r="H681">
        <v>0.17610000000000001</v>
      </c>
      <c r="I681">
        <v>6.5549999999999997</v>
      </c>
    </row>
    <row r="682" spans="1:9" x14ac:dyDescent="0.3">
      <c r="A682">
        <f>LOOKUP(9E+307,--MID(D682,1,{1,2,3,4,5}))</f>
        <v>7.5</v>
      </c>
      <c r="B682">
        <f>VLOOKUP(MID(D682,LOOKUP(2,1/ISNUMBER(-MID(D682,1,{1,2,3,4,5})),{1,2,3,4,5})+1,9),'Hue codes'!$A$1:$B$10,2,FALSE)</f>
        <v>70</v>
      </c>
      <c r="C682">
        <f t="shared" si="10"/>
        <v>77.5</v>
      </c>
      <c r="D682" t="s">
        <v>51</v>
      </c>
      <c r="E682">
        <v>3</v>
      </c>
      <c r="F682">
        <v>10</v>
      </c>
      <c r="G682">
        <v>0.20050000000000001</v>
      </c>
      <c r="H682">
        <v>0.15359999999999999</v>
      </c>
      <c r="I682">
        <v>6.5549999999999997</v>
      </c>
    </row>
    <row r="683" spans="1:9" x14ac:dyDescent="0.3">
      <c r="A683">
        <f>LOOKUP(9E+307,--MID(D683,1,{1,2,3,4,5}))</f>
        <v>7.5</v>
      </c>
      <c r="B683">
        <f>VLOOKUP(MID(D683,LOOKUP(2,1/ISNUMBER(-MID(D683,1,{1,2,3,4,5})),{1,2,3,4,5})+1,9),'Hue codes'!$A$1:$B$10,2,FALSE)</f>
        <v>70</v>
      </c>
      <c r="C683">
        <f t="shared" si="10"/>
        <v>77.5</v>
      </c>
      <c r="D683" t="s">
        <v>51</v>
      </c>
      <c r="E683">
        <v>3</v>
      </c>
      <c r="F683">
        <v>12</v>
      </c>
      <c r="G683">
        <v>0.1903</v>
      </c>
      <c r="H683">
        <v>0.1353</v>
      </c>
      <c r="I683">
        <v>6.5549999999999997</v>
      </c>
    </row>
    <row r="684" spans="1:9" x14ac:dyDescent="0.3">
      <c r="A684">
        <f>LOOKUP(9E+307,--MID(D684,1,{1,2,3,4,5}))</f>
        <v>7.5</v>
      </c>
      <c r="B684">
        <f>VLOOKUP(MID(D684,LOOKUP(2,1/ISNUMBER(-MID(D684,1,{1,2,3,4,5})),{1,2,3,4,5})+1,9),'Hue codes'!$A$1:$B$10,2,FALSE)</f>
        <v>70</v>
      </c>
      <c r="C684">
        <f t="shared" si="10"/>
        <v>77.5</v>
      </c>
      <c r="D684" t="s">
        <v>51</v>
      </c>
      <c r="E684">
        <v>3</v>
      </c>
      <c r="F684">
        <v>14</v>
      </c>
      <c r="G684">
        <v>0.18240000000000001</v>
      </c>
      <c r="H684">
        <v>0.1188</v>
      </c>
      <c r="I684">
        <v>6.5549999999999997</v>
      </c>
    </row>
    <row r="685" spans="1:9" x14ac:dyDescent="0.3">
      <c r="A685">
        <f>LOOKUP(9E+307,--MID(D685,1,{1,2,3,4,5}))</f>
        <v>7.5</v>
      </c>
      <c r="B685">
        <f>VLOOKUP(MID(D685,LOOKUP(2,1/ISNUMBER(-MID(D685,1,{1,2,3,4,5})),{1,2,3,4,5})+1,9),'Hue codes'!$A$1:$B$10,2,FALSE)</f>
        <v>70</v>
      </c>
      <c r="C685">
        <f t="shared" si="10"/>
        <v>77.5</v>
      </c>
      <c r="D685" t="s">
        <v>51</v>
      </c>
      <c r="E685">
        <v>3</v>
      </c>
      <c r="F685">
        <v>16</v>
      </c>
      <c r="G685">
        <v>0.17649999999999999</v>
      </c>
      <c r="H685">
        <v>0.1048</v>
      </c>
      <c r="I685">
        <v>6.5549999999999997</v>
      </c>
    </row>
    <row r="686" spans="1:9" x14ac:dyDescent="0.3">
      <c r="A686">
        <f>LOOKUP(9E+307,--MID(D686,1,{1,2,3,4,5}))</f>
        <v>7.5</v>
      </c>
      <c r="B686">
        <f>VLOOKUP(MID(D686,LOOKUP(2,1/ISNUMBER(-MID(D686,1,{1,2,3,4,5})),{1,2,3,4,5})+1,9),'Hue codes'!$A$1:$B$10,2,FALSE)</f>
        <v>70</v>
      </c>
      <c r="C686">
        <f t="shared" si="10"/>
        <v>77.5</v>
      </c>
      <c r="D686" t="s">
        <v>51</v>
      </c>
      <c r="E686">
        <v>3</v>
      </c>
      <c r="F686">
        <v>18</v>
      </c>
      <c r="G686">
        <v>0.17299999999999999</v>
      </c>
      <c r="H686">
        <v>9.4799999999999995E-2</v>
      </c>
      <c r="I686">
        <v>6.5549999999999997</v>
      </c>
    </row>
    <row r="687" spans="1:9" x14ac:dyDescent="0.3">
      <c r="A687">
        <f>LOOKUP(9E+307,--MID(D687,1,{1,2,3,4,5}))</f>
        <v>7.5</v>
      </c>
      <c r="B687">
        <f>VLOOKUP(MID(D687,LOOKUP(2,1/ISNUMBER(-MID(D687,1,{1,2,3,4,5})),{1,2,3,4,5})+1,9),'Hue codes'!$A$1:$B$10,2,FALSE)</f>
        <v>70</v>
      </c>
      <c r="C687">
        <f t="shared" si="10"/>
        <v>77.5</v>
      </c>
      <c r="D687" t="s">
        <v>51</v>
      </c>
      <c r="E687">
        <v>3</v>
      </c>
      <c r="F687">
        <v>20</v>
      </c>
      <c r="G687">
        <v>0.17019999999999999</v>
      </c>
      <c r="H687">
        <v>8.6699999999999999E-2</v>
      </c>
      <c r="I687">
        <v>6.5549999999999997</v>
      </c>
    </row>
    <row r="688" spans="1:9" x14ac:dyDescent="0.3">
      <c r="A688">
        <f>LOOKUP(9E+307,--MID(D688,1,{1,2,3,4,5}))</f>
        <v>7.5</v>
      </c>
      <c r="B688">
        <f>VLOOKUP(MID(D688,LOOKUP(2,1/ISNUMBER(-MID(D688,1,{1,2,3,4,5})),{1,2,3,4,5})+1,9),'Hue codes'!$A$1:$B$10,2,FALSE)</f>
        <v>70</v>
      </c>
      <c r="C688">
        <f t="shared" si="10"/>
        <v>77.5</v>
      </c>
      <c r="D688" t="s">
        <v>51</v>
      </c>
      <c r="E688">
        <v>3</v>
      </c>
      <c r="F688">
        <v>22</v>
      </c>
      <c r="G688">
        <v>0.16769999999999999</v>
      </c>
      <c r="H688">
        <v>7.8200000000000006E-2</v>
      </c>
      <c r="I688">
        <v>6.5549999999999997</v>
      </c>
    </row>
    <row r="689" spans="1:9" x14ac:dyDescent="0.3">
      <c r="A689">
        <f>LOOKUP(9E+307,--MID(D689,1,{1,2,3,4,5}))</f>
        <v>7.5</v>
      </c>
      <c r="B689">
        <f>VLOOKUP(MID(D689,LOOKUP(2,1/ISNUMBER(-MID(D689,1,{1,2,3,4,5})),{1,2,3,4,5})+1,9),'Hue codes'!$A$1:$B$10,2,FALSE)</f>
        <v>70</v>
      </c>
      <c r="C689">
        <f t="shared" si="10"/>
        <v>77.5</v>
      </c>
      <c r="D689" t="s">
        <v>51</v>
      </c>
      <c r="E689">
        <v>3</v>
      </c>
      <c r="F689">
        <v>24</v>
      </c>
      <c r="G689">
        <v>0.1658</v>
      </c>
      <c r="H689">
        <v>7.1099999999999997E-2</v>
      </c>
      <c r="I689">
        <v>6.5549999999999997</v>
      </c>
    </row>
    <row r="690" spans="1:9" x14ac:dyDescent="0.3">
      <c r="A690">
        <f>LOOKUP(9E+307,--MID(D690,1,{1,2,3,4,5}))</f>
        <v>7.5</v>
      </c>
      <c r="B690">
        <f>VLOOKUP(MID(D690,LOOKUP(2,1/ISNUMBER(-MID(D690,1,{1,2,3,4,5})),{1,2,3,4,5})+1,9),'Hue codes'!$A$1:$B$10,2,FALSE)</f>
        <v>70</v>
      </c>
      <c r="C690">
        <f t="shared" si="10"/>
        <v>77.5</v>
      </c>
      <c r="D690" t="s">
        <v>51</v>
      </c>
      <c r="E690">
        <v>3</v>
      </c>
      <c r="F690">
        <v>26</v>
      </c>
      <c r="G690">
        <v>0.16420000000000001</v>
      </c>
      <c r="H690">
        <v>6.5500000000000003E-2</v>
      </c>
      <c r="I690">
        <v>6.5549999999999997</v>
      </c>
    </row>
    <row r="691" spans="1:9" x14ac:dyDescent="0.3">
      <c r="A691">
        <f>LOOKUP(9E+307,--MID(D691,1,{1,2,3,4,5}))</f>
        <v>7.5</v>
      </c>
      <c r="B691">
        <f>VLOOKUP(MID(D691,LOOKUP(2,1/ISNUMBER(-MID(D691,1,{1,2,3,4,5})),{1,2,3,4,5})+1,9),'Hue codes'!$A$1:$B$10,2,FALSE)</f>
        <v>70</v>
      </c>
      <c r="C691">
        <f t="shared" si="10"/>
        <v>77.5</v>
      </c>
      <c r="D691" t="s">
        <v>51</v>
      </c>
      <c r="E691">
        <v>3</v>
      </c>
      <c r="F691">
        <v>28</v>
      </c>
      <c r="G691">
        <v>0.16320000000000001</v>
      </c>
      <c r="H691">
        <v>6.0900000000000003E-2</v>
      </c>
      <c r="I691">
        <v>6.5549999999999997</v>
      </c>
    </row>
    <row r="692" spans="1:9" x14ac:dyDescent="0.3">
      <c r="A692">
        <f>LOOKUP(9E+307,--MID(D692,1,{1,2,3,4,5}))</f>
        <v>7.5</v>
      </c>
      <c r="B692">
        <f>VLOOKUP(MID(D692,LOOKUP(2,1/ISNUMBER(-MID(D692,1,{1,2,3,4,5})),{1,2,3,4,5})+1,9),'Hue codes'!$A$1:$B$10,2,FALSE)</f>
        <v>70</v>
      </c>
      <c r="C692">
        <f t="shared" si="10"/>
        <v>77.5</v>
      </c>
      <c r="D692" t="s">
        <v>51</v>
      </c>
      <c r="E692">
        <v>3</v>
      </c>
      <c r="F692">
        <v>30</v>
      </c>
      <c r="G692">
        <v>0.16209999999999999</v>
      </c>
      <c r="H692">
        <v>5.5599999999999997E-2</v>
      </c>
      <c r="I692">
        <v>6.5549999999999997</v>
      </c>
    </row>
    <row r="693" spans="1:9" x14ac:dyDescent="0.3">
      <c r="A693">
        <f>LOOKUP(9E+307,--MID(D693,1,{1,2,3,4,5}))</f>
        <v>7.5</v>
      </c>
      <c r="B693">
        <f>VLOOKUP(MID(D693,LOOKUP(2,1/ISNUMBER(-MID(D693,1,{1,2,3,4,5})),{1,2,3,4,5})+1,9),'Hue codes'!$A$1:$B$10,2,FALSE)</f>
        <v>70</v>
      </c>
      <c r="C693">
        <f t="shared" si="10"/>
        <v>77.5</v>
      </c>
      <c r="D693" t="s">
        <v>51</v>
      </c>
      <c r="E693">
        <v>3</v>
      </c>
      <c r="F693">
        <v>32</v>
      </c>
      <c r="G693">
        <v>0.16120000000000001</v>
      </c>
      <c r="H693">
        <v>5.11E-2</v>
      </c>
      <c r="I693">
        <v>6.5549999999999997</v>
      </c>
    </row>
    <row r="694" spans="1:9" x14ac:dyDescent="0.3">
      <c r="A694">
        <f>LOOKUP(9E+307,--MID(D694,1,{1,2,3,4,5}))</f>
        <v>7.5</v>
      </c>
      <c r="B694">
        <f>VLOOKUP(MID(D694,LOOKUP(2,1/ISNUMBER(-MID(D694,1,{1,2,3,4,5})),{1,2,3,4,5})+1,9),'Hue codes'!$A$1:$B$10,2,FALSE)</f>
        <v>70</v>
      </c>
      <c r="C694">
        <f t="shared" si="10"/>
        <v>77.5</v>
      </c>
      <c r="D694" t="s">
        <v>51</v>
      </c>
      <c r="E694">
        <v>3</v>
      </c>
      <c r="F694">
        <v>34</v>
      </c>
      <c r="G694">
        <v>0.1608</v>
      </c>
      <c r="H694">
        <v>4.8000000000000001E-2</v>
      </c>
      <c r="I694">
        <v>6.5549999999999997</v>
      </c>
    </row>
    <row r="695" spans="1:9" x14ac:dyDescent="0.3">
      <c r="A695">
        <f>LOOKUP(9E+307,--MID(D695,1,{1,2,3,4,5}))</f>
        <v>10</v>
      </c>
      <c r="B695">
        <f>VLOOKUP(MID(D695,LOOKUP(2,1/ISNUMBER(-MID(D695,1,{1,2,3,4,5})),{1,2,3,4,5})+1,9),'Hue codes'!$A$1:$B$10,2,FALSE)</f>
        <v>70</v>
      </c>
      <c r="C695">
        <f t="shared" si="10"/>
        <v>80</v>
      </c>
      <c r="D695" t="s">
        <v>52</v>
      </c>
      <c r="E695">
        <v>3</v>
      </c>
      <c r="F695">
        <v>2</v>
      </c>
      <c r="G695">
        <v>0.28470000000000001</v>
      </c>
      <c r="H695">
        <v>0.26700000000000002</v>
      </c>
      <c r="I695">
        <v>6.5549999999999997</v>
      </c>
    </row>
    <row r="696" spans="1:9" x14ac:dyDescent="0.3">
      <c r="A696">
        <f>LOOKUP(9E+307,--MID(D696,1,{1,2,3,4,5}))</f>
        <v>10</v>
      </c>
      <c r="B696">
        <f>VLOOKUP(MID(D696,LOOKUP(2,1/ISNUMBER(-MID(D696,1,{1,2,3,4,5})),{1,2,3,4,5})+1,9),'Hue codes'!$A$1:$B$10,2,FALSE)</f>
        <v>70</v>
      </c>
      <c r="C696">
        <f t="shared" si="10"/>
        <v>80</v>
      </c>
      <c r="D696" t="s">
        <v>52</v>
      </c>
      <c r="E696">
        <v>3</v>
      </c>
      <c r="F696">
        <v>4</v>
      </c>
      <c r="G696">
        <v>0.26600000000000001</v>
      </c>
      <c r="H696">
        <v>0.2319</v>
      </c>
      <c r="I696">
        <v>6.5549999999999997</v>
      </c>
    </row>
    <row r="697" spans="1:9" x14ac:dyDescent="0.3">
      <c r="A697">
        <f>LOOKUP(9E+307,--MID(D697,1,{1,2,3,4,5}))</f>
        <v>10</v>
      </c>
      <c r="B697">
        <f>VLOOKUP(MID(D697,LOOKUP(2,1/ISNUMBER(-MID(D697,1,{1,2,3,4,5})),{1,2,3,4,5})+1,9),'Hue codes'!$A$1:$B$10,2,FALSE)</f>
        <v>70</v>
      </c>
      <c r="C697">
        <f t="shared" si="10"/>
        <v>80</v>
      </c>
      <c r="D697" t="s">
        <v>52</v>
      </c>
      <c r="E697">
        <v>3</v>
      </c>
      <c r="F697">
        <v>6</v>
      </c>
      <c r="G697">
        <v>0.25109999999999999</v>
      </c>
      <c r="H697">
        <v>0.2031</v>
      </c>
      <c r="I697">
        <v>6.5549999999999997</v>
      </c>
    </row>
    <row r="698" spans="1:9" x14ac:dyDescent="0.3">
      <c r="A698">
        <f>LOOKUP(9E+307,--MID(D698,1,{1,2,3,4,5}))</f>
        <v>10</v>
      </c>
      <c r="B698">
        <f>VLOOKUP(MID(D698,LOOKUP(2,1/ISNUMBER(-MID(D698,1,{1,2,3,4,5})),{1,2,3,4,5})+1,9),'Hue codes'!$A$1:$B$10,2,FALSE)</f>
        <v>70</v>
      </c>
      <c r="C698">
        <f t="shared" si="10"/>
        <v>80</v>
      </c>
      <c r="D698" t="s">
        <v>52</v>
      </c>
      <c r="E698">
        <v>3</v>
      </c>
      <c r="F698">
        <v>8</v>
      </c>
      <c r="G698">
        <v>0.2387</v>
      </c>
      <c r="H698">
        <v>0.17860000000000001</v>
      </c>
      <c r="I698">
        <v>6.5549999999999997</v>
      </c>
    </row>
    <row r="699" spans="1:9" x14ac:dyDescent="0.3">
      <c r="A699">
        <f>LOOKUP(9E+307,--MID(D699,1,{1,2,3,4,5}))</f>
        <v>10</v>
      </c>
      <c r="B699">
        <f>VLOOKUP(MID(D699,LOOKUP(2,1/ISNUMBER(-MID(D699,1,{1,2,3,4,5})),{1,2,3,4,5})+1,9),'Hue codes'!$A$1:$B$10,2,FALSE)</f>
        <v>70</v>
      </c>
      <c r="C699">
        <f t="shared" si="10"/>
        <v>80</v>
      </c>
      <c r="D699" t="s">
        <v>52</v>
      </c>
      <c r="E699">
        <v>3</v>
      </c>
      <c r="F699">
        <v>10</v>
      </c>
      <c r="G699">
        <v>0.2278</v>
      </c>
      <c r="H699">
        <v>0.1565</v>
      </c>
      <c r="I699">
        <v>6.5549999999999997</v>
      </c>
    </row>
    <row r="700" spans="1:9" x14ac:dyDescent="0.3">
      <c r="A700">
        <f>LOOKUP(9E+307,--MID(D700,1,{1,2,3,4,5}))</f>
        <v>10</v>
      </c>
      <c r="B700">
        <f>VLOOKUP(MID(D700,LOOKUP(2,1/ISNUMBER(-MID(D700,1,{1,2,3,4,5})),{1,2,3,4,5})+1,9),'Hue codes'!$A$1:$B$10,2,FALSE)</f>
        <v>70</v>
      </c>
      <c r="C700">
        <f t="shared" si="10"/>
        <v>80</v>
      </c>
      <c r="D700" t="s">
        <v>52</v>
      </c>
      <c r="E700">
        <v>3</v>
      </c>
      <c r="F700">
        <v>12</v>
      </c>
      <c r="G700">
        <v>0.22059999999999999</v>
      </c>
      <c r="H700">
        <v>0.14069999999999999</v>
      </c>
      <c r="I700">
        <v>6.5549999999999997</v>
      </c>
    </row>
    <row r="701" spans="1:9" x14ac:dyDescent="0.3">
      <c r="A701">
        <f>LOOKUP(9E+307,--MID(D701,1,{1,2,3,4,5}))</f>
        <v>10</v>
      </c>
      <c r="B701">
        <f>VLOOKUP(MID(D701,LOOKUP(2,1/ISNUMBER(-MID(D701,1,{1,2,3,4,5})),{1,2,3,4,5})+1,9),'Hue codes'!$A$1:$B$10,2,FALSE)</f>
        <v>70</v>
      </c>
      <c r="C701">
        <f t="shared" si="10"/>
        <v>80</v>
      </c>
      <c r="D701" t="s">
        <v>52</v>
      </c>
      <c r="E701">
        <v>3</v>
      </c>
      <c r="F701">
        <v>14</v>
      </c>
      <c r="G701">
        <v>0.2142</v>
      </c>
      <c r="H701">
        <v>0.125</v>
      </c>
      <c r="I701">
        <v>6.5549999999999997</v>
      </c>
    </row>
    <row r="702" spans="1:9" x14ac:dyDescent="0.3">
      <c r="A702">
        <f>LOOKUP(9E+307,--MID(D702,1,{1,2,3,4,5}))</f>
        <v>10</v>
      </c>
      <c r="B702">
        <f>VLOOKUP(MID(D702,LOOKUP(2,1/ISNUMBER(-MID(D702,1,{1,2,3,4,5})),{1,2,3,4,5})+1,9),'Hue codes'!$A$1:$B$10,2,FALSE)</f>
        <v>70</v>
      </c>
      <c r="C702">
        <f t="shared" si="10"/>
        <v>80</v>
      </c>
      <c r="D702" t="s">
        <v>52</v>
      </c>
      <c r="E702">
        <v>3</v>
      </c>
      <c r="F702">
        <v>16</v>
      </c>
      <c r="G702">
        <v>0.2092</v>
      </c>
      <c r="H702">
        <v>0.1118</v>
      </c>
      <c r="I702">
        <v>6.5549999999999997</v>
      </c>
    </row>
    <row r="703" spans="1:9" x14ac:dyDescent="0.3">
      <c r="A703">
        <f>LOOKUP(9E+307,--MID(D703,1,{1,2,3,4,5}))</f>
        <v>10</v>
      </c>
      <c r="B703">
        <f>VLOOKUP(MID(D703,LOOKUP(2,1/ISNUMBER(-MID(D703,1,{1,2,3,4,5})),{1,2,3,4,5})+1,9),'Hue codes'!$A$1:$B$10,2,FALSE)</f>
        <v>70</v>
      </c>
      <c r="C703">
        <f t="shared" si="10"/>
        <v>80</v>
      </c>
      <c r="D703" t="s">
        <v>52</v>
      </c>
      <c r="E703">
        <v>3</v>
      </c>
      <c r="F703">
        <v>18</v>
      </c>
      <c r="G703">
        <v>0.20599999999999999</v>
      </c>
      <c r="H703">
        <v>0.10199999999999999</v>
      </c>
      <c r="I703">
        <v>6.5549999999999997</v>
      </c>
    </row>
    <row r="704" spans="1:9" x14ac:dyDescent="0.3">
      <c r="A704">
        <f>LOOKUP(9E+307,--MID(D704,1,{1,2,3,4,5}))</f>
        <v>10</v>
      </c>
      <c r="B704">
        <f>VLOOKUP(MID(D704,LOOKUP(2,1/ISNUMBER(-MID(D704,1,{1,2,3,4,5})),{1,2,3,4,5})+1,9),'Hue codes'!$A$1:$B$10,2,FALSE)</f>
        <v>70</v>
      </c>
      <c r="C704">
        <f t="shared" si="10"/>
        <v>80</v>
      </c>
      <c r="D704" t="s">
        <v>52</v>
      </c>
      <c r="E704">
        <v>3</v>
      </c>
      <c r="F704">
        <v>20</v>
      </c>
      <c r="G704">
        <v>0.20300000000000001</v>
      </c>
      <c r="H704">
        <v>9.2999999999999999E-2</v>
      </c>
      <c r="I704">
        <v>6.5549999999999997</v>
      </c>
    </row>
    <row r="705" spans="1:9" x14ac:dyDescent="0.3">
      <c r="A705">
        <f>LOOKUP(9E+307,--MID(D705,1,{1,2,3,4,5}))</f>
        <v>10</v>
      </c>
      <c r="B705">
        <f>VLOOKUP(MID(D705,LOOKUP(2,1/ISNUMBER(-MID(D705,1,{1,2,3,4,5})),{1,2,3,4,5})+1,9),'Hue codes'!$A$1:$B$10,2,FALSE)</f>
        <v>70</v>
      </c>
      <c r="C705">
        <f t="shared" si="10"/>
        <v>80</v>
      </c>
      <c r="D705" t="s">
        <v>52</v>
      </c>
      <c r="E705">
        <v>3</v>
      </c>
      <c r="F705">
        <v>22</v>
      </c>
      <c r="G705">
        <v>0.20039999999999999</v>
      </c>
      <c r="H705">
        <v>8.4699999999999998E-2</v>
      </c>
      <c r="I705">
        <v>6.5549999999999997</v>
      </c>
    </row>
    <row r="706" spans="1:9" x14ac:dyDescent="0.3">
      <c r="A706">
        <f>LOOKUP(9E+307,--MID(D706,1,{1,2,3,4,5}))</f>
        <v>10</v>
      </c>
      <c r="B706">
        <f>VLOOKUP(MID(D706,LOOKUP(2,1/ISNUMBER(-MID(D706,1,{1,2,3,4,5})),{1,2,3,4,5})+1,9),'Hue codes'!$A$1:$B$10,2,FALSE)</f>
        <v>70</v>
      </c>
      <c r="C706">
        <f t="shared" si="10"/>
        <v>80</v>
      </c>
      <c r="D706" t="s">
        <v>52</v>
      </c>
      <c r="E706">
        <v>3</v>
      </c>
      <c r="F706">
        <v>24</v>
      </c>
      <c r="G706">
        <v>0.19819999999999999</v>
      </c>
      <c r="H706">
        <v>7.7200000000000005E-2</v>
      </c>
      <c r="I706">
        <v>6.5549999999999997</v>
      </c>
    </row>
    <row r="707" spans="1:9" x14ac:dyDescent="0.3">
      <c r="A707">
        <f>LOOKUP(9E+307,--MID(D707,1,{1,2,3,4,5}))</f>
        <v>10</v>
      </c>
      <c r="B707">
        <f>VLOOKUP(MID(D707,LOOKUP(2,1/ISNUMBER(-MID(D707,1,{1,2,3,4,5})),{1,2,3,4,5})+1,9),'Hue codes'!$A$1:$B$10,2,FALSE)</f>
        <v>70</v>
      </c>
      <c r="C707">
        <f t="shared" ref="C707:C770" si="11">IF(A707+B707=100,0,A707+B707)</f>
        <v>80</v>
      </c>
      <c r="D707" t="s">
        <v>52</v>
      </c>
      <c r="E707">
        <v>3</v>
      </c>
      <c r="F707">
        <v>26</v>
      </c>
      <c r="G707">
        <v>0.1963</v>
      </c>
      <c r="H707">
        <v>7.0800000000000002E-2</v>
      </c>
      <c r="I707">
        <v>6.5549999999999997</v>
      </c>
    </row>
    <row r="708" spans="1:9" x14ac:dyDescent="0.3">
      <c r="A708">
        <f>LOOKUP(9E+307,--MID(D708,1,{1,2,3,4,5}))</f>
        <v>10</v>
      </c>
      <c r="B708">
        <f>VLOOKUP(MID(D708,LOOKUP(2,1/ISNUMBER(-MID(D708,1,{1,2,3,4,5})),{1,2,3,4,5})+1,9),'Hue codes'!$A$1:$B$10,2,FALSE)</f>
        <v>70</v>
      </c>
      <c r="C708">
        <f t="shared" si="11"/>
        <v>80</v>
      </c>
      <c r="D708" t="s">
        <v>52</v>
      </c>
      <c r="E708">
        <v>3</v>
      </c>
      <c r="F708">
        <v>28</v>
      </c>
      <c r="G708">
        <v>0.19500000000000001</v>
      </c>
      <c r="H708">
        <v>6.5000000000000002E-2</v>
      </c>
      <c r="I708">
        <v>6.5549999999999997</v>
      </c>
    </row>
    <row r="709" spans="1:9" x14ac:dyDescent="0.3">
      <c r="A709">
        <f>LOOKUP(9E+307,--MID(D709,1,{1,2,3,4,5}))</f>
        <v>10</v>
      </c>
      <c r="B709">
        <f>VLOOKUP(MID(D709,LOOKUP(2,1/ISNUMBER(-MID(D709,1,{1,2,3,4,5})),{1,2,3,4,5})+1,9),'Hue codes'!$A$1:$B$10,2,FALSE)</f>
        <v>70</v>
      </c>
      <c r="C709">
        <f t="shared" si="11"/>
        <v>80</v>
      </c>
      <c r="D709" t="s">
        <v>52</v>
      </c>
      <c r="E709">
        <v>3</v>
      </c>
      <c r="F709">
        <v>30</v>
      </c>
      <c r="G709">
        <v>0.1938</v>
      </c>
      <c r="H709">
        <v>5.9900000000000002E-2</v>
      </c>
      <c r="I709">
        <v>6.5549999999999997</v>
      </c>
    </row>
    <row r="710" spans="1:9" x14ac:dyDescent="0.3">
      <c r="A710">
        <f>LOOKUP(9E+307,--MID(D710,1,{1,2,3,4,5}))</f>
        <v>10</v>
      </c>
      <c r="B710">
        <f>VLOOKUP(MID(D710,LOOKUP(2,1/ISNUMBER(-MID(D710,1,{1,2,3,4,5})),{1,2,3,4,5})+1,9),'Hue codes'!$A$1:$B$10,2,FALSE)</f>
        <v>70</v>
      </c>
      <c r="C710">
        <f t="shared" si="11"/>
        <v>80</v>
      </c>
      <c r="D710" t="s">
        <v>52</v>
      </c>
      <c r="E710">
        <v>3</v>
      </c>
      <c r="F710">
        <v>32</v>
      </c>
      <c r="G710">
        <v>0.19259999999999999</v>
      </c>
      <c r="H710">
        <v>5.4199999999999998E-2</v>
      </c>
      <c r="I710">
        <v>6.5549999999999997</v>
      </c>
    </row>
    <row r="711" spans="1:9" x14ac:dyDescent="0.3">
      <c r="A711">
        <f>LOOKUP(9E+307,--MID(D711,1,{1,2,3,4,5}))</f>
        <v>10</v>
      </c>
      <c r="B711">
        <f>VLOOKUP(MID(D711,LOOKUP(2,1/ISNUMBER(-MID(D711,1,{1,2,3,4,5})),{1,2,3,4,5})+1,9),'Hue codes'!$A$1:$B$10,2,FALSE)</f>
        <v>70</v>
      </c>
      <c r="C711">
        <f t="shared" si="11"/>
        <v>80</v>
      </c>
      <c r="D711" t="s">
        <v>52</v>
      </c>
      <c r="E711">
        <v>3</v>
      </c>
      <c r="F711">
        <v>34</v>
      </c>
      <c r="G711">
        <v>0.1918</v>
      </c>
      <c r="H711">
        <v>5.0299999999999997E-2</v>
      </c>
      <c r="I711">
        <v>6.5549999999999997</v>
      </c>
    </row>
    <row r="712" spans="1:9" x14ac:dyDescent="0.3">
      <c r="A712">
        <f>LOOKUP(9E+307,--MID(D712,1,{1,2,3,4,5}))</f>
        <v>2.5</v>
      </c>
      <c r="B712">
        <f>VLOOKUP(MID(D712,LOOKUP(2,1/ISNUMBER(-MID(D712,1,{1,2,3,4,5})),{1,2,3,4,5})+1,9),'Hue codes'!$A$1:$B$10,2,FALSE)</f>
        <v>80</v>
      </c>
      <c r="C712">
        <f t="shared" si="11"/>
        <v>82.5</v>
      </c>
      <c r="D712" t="s">
        <v>53</v>
      </c>
      <c r="E712">
        <v>3</v>
      </c>
      <c r="F712">
        <v>2</v>
      </c>
      <c r="G712">
        <v>0.29220000000000002</v>
      </c>
      <c r="H712">
        <v>0.26800000000000002</v>
      </c>
      <c r="I712">
        <v>6.5549999999999997</v>
      </c>
    </row>
    <row r="713" spans="1:9" x14ac:dyDescent="0.3">
      <c r="A713">
        <f>LOOKUP(9E+307,--MID(D713,1,{1,2,3,4,5}))</f>
        <v>2.5</v>
      </c>
      <c r="B713">
        <f>VLOOKUP(MID(D713,LOOKUP(2,1/ISNUMBER(-MID(D713,1,{1,2,3,4,5})),{1,2,3,4,5})+1,9),'Hue codes'!$A$1:$B$10,2,FALSE)</f>
        <v>80</v>
      </c>
      <c r="C713">
        <f t="shared" si="11"/>
        <v>82.5</v>
      </c>
      <c r="D713" t="s">
        <v>53</v>
      </c>
      <c r="E713">
        <v>3</v>
      </c>
      <c r="F713">
        <v>4</v>
      </c>
      <c r="G713">
        <v>0.2792</v>
      </c>
      <c r="H713">
        <v>0.23419999999999999</v>
      </c>
      <c r="I713">
        <v>6.5549999999999997</v>
      </c>
    </row>
    <row r="714" spans="1:9" x14ac:dyDescent="0.3">
      <c r="A714">
        <f>LOOKUP(9E+307,--MID(D714,1,{1,2,3,4,5}))</f>
        <v>2.5</v>
      </c>
      <c r="B714">
        <f>VLOOKUP(MID(D714,LOOKUP(2,1/ISNUMBER(-MID(D714,1,{1,2,3,4,5})),{1,2,3,4,5})+1,9),'Hue codes'!$A$1:$B$10,2,FALSE)</f>
        <v>80</v>
      </c>
      <c r="C714">
        <f t="shared" si="11"/>
        <v>82.5</v>
      </c>
      <c r="D714" t="s">
        <v>53</v>
      </c>
      <c r="E714">
        <v>3</v>
      </c>
      <c r="F714">
        <v>6</v>
      </c>
      <c r="G714">
        <v>0.26910000000000001</v>
      </c>
      <c r="H714">
        <v>0.2072</v>
      </c>
      <c r="I714">
        <v>6.5549999999999997</v>
      </c>
    </row>
    <row r="715" spans="1:9" x14ac:dyDescent="0.3">
      <c r="A715">
        <f>LOOKUP(9E+307,--MID(D715,1,{1,2,3,4,5}))</f>
        <v>2.5</v>
      </c>
      <c r="B715">
        <f>VLOOKUP(MID(D715,LOOKUP(2,1/ISNUMBER(-MID(D715,1,{1,2,3,4,5})),{1,2,3,4,5})+1,9),'Hue codes'!$A$1:$B$10,2,FALSE)</f>
        <v>80</v>
      </c>
      <c r="C715">
        <f t="shared" si="11"/>
        <v>82.5</v>
      </c>
      <c r="D715" t="s">
        <v>53</v>
      </c>
      <c r="E715">
        <v>3</v>
      </c>
      <c r="F715">
        <v>8</v>
      </c>
      <c r="G715">
        <v>0.26150000000000001</v>
      </c>
      <c r="H715">
        <v>0.1845</v>
      </c>
      <c r="I715">
        <v>6.5549999999999997</v>
      </c>
    </row>
    <row r="716" spans="1:9" x14ac:dyDescent="0.3">
      <c r="A716">
        <f>LOOKUP(9E+307,--MID(D716,1,{1,2,3,4,5}))</f>
        <v>2.5</v>
      </c>
      <c r="B716">
        <f>VLOOKUP(MID(D716,LOOKUP(2,1/ISNUMBER(-MID(D716,1,{1,2,3,4,5})),{1,2,3,4,5})+1,9),'Hue codes'!$A$1:$B$10,2,FALSE)</f>
        <v>80</v>
      </c>
      <c r="C716">
        <f t="shared" si="11"/>
        <v>82.5</v>
      </c>
      <c r="D716" t="s">
        <v>53</v>
      </c>
      <c r="E716">
        <v>3</v>
      </c>
      <c r="F716">
        <v>10</v>
      </c>
      <c r="G716">
        <v>0.25480000000000003</v>
      </c>
      <c r="H716">
        <v>0.1638</v>
      </c>
      <c r="I716">
        <v>6.5549999999999997</v>
      </c>
    </row>
    <row r="717" spans="1:9" x14ac:dyDescent="0.3">
      <c r="A717">
        <f>LOOKUP(9E+307,--MID(D717,1,{1,2,3,4,5}))</f>
        <v>2.5</v>
      </c>
      <c r="B717">
        <f>VLOOKUP(MID(D717,LOOKUP(2,1/ISNUMBER(-MID(D717,1,{1,2,3,4,5})),{1,2,3,4,5})+1,9),'Hue codes'!$A$1:$B$10,2,FALSE)</f>
        <v>80</v>
      </c>
      <c r="C717">
        <f t="shared" si="11"/>
        <v>82.5</v>
      </c>
      <c r="D717" t="s">
        <v>53</v>
      </c>
      <c r="E717">
        <v>3</v>
      </c>
      <c r="F717">
        <v>12</v>
      </c>
      <c r="G717">
        <v>0.24979999999999999</v>
      </c>
      <c r="H717">
        <v>0.14799999999999999</v>
      </c>
      <c r="I717">
        <v>6.5549999999999997</v>
      </c>
    </row>
    <row r="718" spans="1:9" x14ac:dyDescent="0.3">
      <c r="A718">
        <f>LOOKUP(9E+307,--MID(D718,1,{1,2,3,4,5}))</f>
        <v>2.5</v>
      </c>
      <c r="B718">
        <f>VLOOKUP(MID(D718,LOOKUP(2,1/ISNUMBER(-MID(D718,1,{1,2,3,4,5})),{1,2,3,4,5})+1,9),'Hue codes'!$A$1:$B$10,2,FALSE)</f>
        <v>80</v>
      </c>
      <c r="C718">
        <f t="shared" si="11"/>
        <v>82.5</v>
      </c>
      <c r="D718" t="s">
        <v>53</v>
      </c>
      <c r="E718">
        <v>3</v>
      </c>
      <c r="F718">
        <v>14</v>
      </c>
      <c r="G718">
        <v>0.24490000000000001</v>
      </c>
      <c r="H718">
        <v>0.13250000000000001</v>
      </c>
      <c r="I718">
        <v>6.5549999999999997</v>
      </c>
    </row>
    <row r="719" spans="1:9" x14ac:dyDescent="0.3">
      <c r="A719">
        <f>LOOKUP(9E+307,--MID(D719,1,{1,2,3,4,5}))</f>
        <v>2.5</v>
      </c>
      <c r="B719">
        <f>VLOOKUP(MID(D719,LOOKUP(2,1/ISNUMBER(-MID(D719,1,{1,2,3,4,5})),{1,2,3,4,5})+1,9),'Hue codes'!$A$1:$B$10,2,FALSE)</f>
        <v>80</v>
      </c>
      <c r="C719">
        <f t="shared" si="11"/>
        <v>82.5</v>
      </c>
      <c r="D719" t="s">
        <v>53</v>
      </c>
      <c r="E719">
        <v>3</v>
      </c>
      <c r="F719">
        <v>16</v>
      </c>
      <c r="G719">
        <v>0.24099999999999999</v>
      </c>
      <c r="H719">
        <v>0.1198</v>
      </c>
      <c r="I719">
        <v>6.5549999999999997</v>
      </c>
    </row>
    <row r="720" spans="1:9" x14ac:dyDescent="0.3">
      <c r="A720">
        <f>LOOKUP(9E+307,--MID(D720,1,{1,2,3,4,5}))</f>
        <v>2.5</v>
      </c>
      <c r="B720">
        <f>VLOOKUP(MID(D720,LOOKUP(2,1/ISNUMBER(-MID(D720,1,{1,2,3,4,5})),{1,2,3,4,5})+1,9),'Hue codes'!$A$1:$B$10,2,FALSE)</f>
        <v>80</v>
      </c>
      <c r="C720">
        <f t="shared" si="11"/>
        <v>82.5</v>
      </c>
      <c r="D720" t="s">
        <v>53</v>
      </c>
      <c r="E720">
        <v>3</v>
      </c>
      <c r="F720">
        <v>18</v>
      </c>
      <c r="G720">
        <v>0.23799999999999999</v>
      </c>
      <c r="H720">
        <v>0.1094</v>
      </c>
      <c r="I720">
        <v>6.5549999999999997</v>
      </c>
    </row>
    <row r="721" spans="1:9" x14ac:dyDescent="0.3">
      <c r="A721">
        <f>LOOKUP(9E+307,--MID(D721,1,{1,2,3,4,5}))</f>
        <v>2.5</v>
      </c>
      <c r="B721">
        <f>VLOOKUP(MID(D721,LOOKUP(2,1/ISNUMBER(-MID(D721,1,{1,2,3,4,5})),{1,2,3,4,5})+1,9),'Hue codes'!$A$1:$B$10,2,FALSE)</f>
        <v>80</v>
      </c>
      <c r="C721">
        <f t="shared" si="11"/>
        <v>82.5</v>
      </c>
      <c r="D721" t="s">
        <v>53</v>
      </c>
      <c r="E721">
        <v>3</v>
      </c>
      <c r="F721">
        <v>20</v>
      </c>
      <c r="G721">
        <v>0.2354</v>
      </c>
      <c r="H721">
        <v>0.1003</v>
      </c>
      <c r="I721">
        <v>6.5549999999999997</v>
      </c>
    </row>
    <row r="722" spans="1:9" x14ac:dyDescent="0.3">
      <c r="A722">
        <f>LOOKUP(9E+307,--MID(D722,1,{1,2,3,4,5}))</f>
        <v>2.5</v>
      </c>
      <c r="B722">
        <f>VLOOKUP(MID(D722,LOOKUP(2,1/ISNUMBER(-MID(D722,1,{1,2,3,4,5})),{1,2,3,4,5})+1,9),'Hue codes'!$A$1:$B$10,2,FALSE)</f>
        <v>80</v>
      </c>
      <c r="C722">
        <f t="shared" si="11"/>
        <v>82.5</v>
      </c>
      <c r="D722" t="s">
        <v>53</v>
      </c>
      <c r="E722">
        <v>3</v>
      </c>
      <c r="F722">
        <v>22</v>
      </c>
      <c r="G722">
        <v>0.2329</v>
      </c>
      <c r="H722">
        <v>9.11E-2</v>
      </c>
      <c r="I722">
        <v>6.5549999999999997</v>
      </c>
    </row>
    <row r="723" spans="1:9" x14ac:dyDescent="0.3">
      <c r="A723">
        <f>LOOKUP(9E+307,--MID(D723,1,{1,2,3,4,5}))</f>
        <v>2.5</v>
      </c>
      <c r="B723">
        <f>VLOOKUP(MID(D723,LOOKUP(2,1/ISNUMBER(-MID(D723,1,{1,2,3,4,5})),{1,2,3,4,5})+1,9),'Hue codes'!$A$1:$B$10,2,FALSE)</f>
        <v>80</v>
      </c>
      <c r="C723">
        <f t="shared" si="11"/>
        <v>82.5</v>
      </c>
      <c r="D723" t="s">
        <v>53</v>
      </c>
      <c r="E723">
        <v>3</v>
      </c>
      <c r="F723">
        <v>24</v>
      </c>
      <c r="G723">
        <v>0.23050000000000001</v>
      </c>
      <c r="H723">
        <v>8.3199999999999996E-2</v>
      </c>
      <c r="I723">
        <v>6.5549999999999997</v>
      </c>
    </row>
    <row r="724" spans="1:9" x14ac:dyDescent="0.3">
      <c r="A724">
        <f>LOOKUP(9E+307,--MID(D724,1,{1,2,3,4,5}))</f>
        <v>2.5</v>
      </c>
      <c r="B724">
        <f>VLOOKUP(MID(D724,LOOKUP(2,1/ISNUMBER(-MID(D724,1,{1,2,3,4,5})),{1,2,3,4,5})+1,9),'Hue codes'!$A$1:$B$10,2,FALSE)</f>
        <v>80</v>
      </c>
      <c r="C724">
        <f t="shared" si="11"/>
        <v>82.5</v>
      </c>
      <c r="D724" t="s">
        <v>53</v>
      </c>
      <c r="E724">
        <v>3</v>
      </c>
      <c r="F724">
        <v>26</v>
      </c>
      <c r="G724">
        <v>0.2286</v>
      </c>
      <c r="H724">
        <v>7.6499999999999999E-2</v>
      </c>
      <c r="I724">
        <v>6.5549999999999997</v>
      </c>
    </row>
    <row r="725" spans="1:9" x14ac:dyDescent="0.3">
      <c r="A725">
        <f>LOOKUP(9E+307,--MID(D725,1,{1,2,3,4,5}))</f>
        <v>2.5</v>
      </c>
      <c r="B725">
        <f>VLOOKUP(MID(D725,LOOKUP(2,1/ISNUMBER(-MID(D725,1,{1,2,3,4,5})),{1,2,3,4,5})+1,9),'Hue codes'!$A$1:$B$10,2,FALSE)</f>
        <v>80</v>
      </c>
      <c r="C725">
        <f t="shared" si="11"/>
        <v>82.5</v>
      </c>
      <c r="D725" t="s">
        <v>53</v>
      </c>
      <c r="E725">
        <v>3</v>
      </c>
      <c r="F725">
        <v>28</v>
      </c>
      <c r="G725">
        <v>0.2268</v>
      </c>
      <c r="H725">
        <v>6.9800000000000001E-2</v>
      </c>
      <c r="I725">
        <v>6.5549999999999997</v>
      </c>
    </row>
    <row r="726" spans="1:9" x14ac:dyDescent="0.3">
      <c r="A726">
        <f>LOOKUP(9E+307,--MID(D726,1,{1,2,3,4,5}))</f>
        <v>2.5</v>
      </c>
      <c r="B726">
        <f>VLOOKUP(MID(D726,LOOKUP(2,1/ISNUMBER(-MID(D726,1,{1,2,3,4,5})),{1,2,3,4,5})+1,9),'Hue codes'!$A$1:$B$10,2,FALSE)</f>
        <v>80</v>
      </c>
      <c r="C726">
        <f t="shared" si="11"/>
        <v>82.5</v>
      </c>
      <c r="D726" t="s">
        <v>53</v>
      </c>
      <c r="E726">
        <v>3</v>
      </c>
      <c r="F726">
        <v>30</v>
      </c>
      <c r="G726">
        <v>0.22520000000000001</v>
      </c>
      <c r="H726">
        <v>6.3799999999999996E-2</v>
      </c>
      <c r="I726">
        <v>6.5549999999999997</v>
      </c>
    </row>
    <row r="727" spans="1:9" x14ac:dyDescent="0.3">
      <c r="A727">
        <f>LOOKUP(9E+307,--MID(D727,1,{1,2,3,4,5}))</f>
        <v>2.5</v>
      </c>
      <c r="B727">
        <f>VLOOKUP(MID(D727,LOOKUP(2,1/ISNUMBER(-MID(D727,1,{1,2,3,4,5})),{1,2,3,4,5})+1,9),'Hue codes'!$A$1:$B$10,2,FALSE)</f>
        <v>80</v>
      </c>
      <c r="C727">
        <f t="shared" si="11"/>
        <v>82.5</v>
      </c>
      <c r="D727" t="s">
        <v>53</v>
      </c>
      <c r="E727">
        <v>3</v>
      </c>
      <c r="F727">
        <v>32</v>
      </c>
      <c r="G727">
        <v>0.22420000000000001</v>
      </c>
      <c r="H727">
        <v>5.8700000000000002E-2</v>
      </c>
      <c r="I727">
        <v>6.5549999999999997</v>
      </c>
    </row>
    <row r="728" spans="1:9" x14ac:dyDescent="0.3">
      <c r="A728">
        <f>LOOKUP(9E+307,--MID(D728,1,{1,2,3,4,5}))</f>
        <v>2.5</v>
      </c>
      <c r="B728">
        <f>VLOOKUP(MID(D728,LOOKUP(2,1/ISNUMBER(-MID(D728,1,{1,2,3,4,5})),{1,2,3,4,5})+1,9),'Hue codes'!$A$1:$B$10,2,FALSE)</f>
        <v>80</v>
      </c>
      <c r="C728">
        <f t="shared" si="11"/>
        <v>82.5</v>
      </c>
      <c r="D728" t="s">
        <v>53</v>
      </c>
      <c r="E728">
        <v>3</v>
      </c>
      <c r="F728">
        <v>34</v>
      </c>
      <c r="G728">
        <v>0.223</v>
      </c>
      <c r="H728">
        <v>5.4300000000000001E-2</v>
      </c>
      <c r="I728">
        <v>6.5549999999999997</v>
      </c>
    </row>
    <row r="729" spans="1:9" x14ac:dyDescent="0.3">
      <c r="A729">
        <f>LOOKUP(9E+307,--MID(D729,1,{1,2,3,4,5}))</f>
        <v>5</v>
      </c>
      <c r="B729">
        <f>VLOOKUP(MID(D729,LOOKUP(2,1/ISNUMBER(-MID(D729,1,{1,2,3,4,5})),{1,2,3,4,5})+1,9),'Hue codes'!$A$1:$B$10,2,FALSE)</f>
        <v>80</v>
      </c>
      <c r="C729">
        <f t="shared" si="11"/>
        <v>85</v>
      </c>
      <c r="D729" t="s">
        <v>54</v>
      </c>
      <c r="E729">
        <v>3</v>
      </c>
      <c r="F729">
        <v>2</v>
      </c>
      <c r="G729">
        <v>0.29970000000000002</v>
      </c>
      <c r="H729">
        <v>0.27</v>
      </c>
      <c r="I729">
        <v>6.5549999999999997</v>
      </c>
    </row>
    <row r="730" spans="1:9" x14ac:dyDescent="0.3">
      <c r="A730">
        <f>LOOKUP(9E+307,--MID(D730,1,{1,2,3,4,5}))</f>
        <v>5</v>
      </c>
      <c r="B730">
        <f>VLOOKUP(MID(D730,LOOKUP(2,1/ISNUMBER(-MID(D730,1,{1,2,3,4,5})),{1,2,3,4,5})+1,9),'Hue codes'!$A$1:$B$10,2,FALSE)</f>
        <v>80</v>
      </c>
      <c r="C730">
        <f t="shared" si="11"/>
        <v>85</v>
      </c>
      <c r="D730" t="s">
        <v>54</v>
      </c>
      <c r="E730">
        <v>3</v>
      </c>
      <c r="F730">
        <v>4</v>
      </c>
      <c r="G730">
        <v>0.2928</v>
      </c>
      <c r="H730">
        <v>0.23860000000000001</v>
      </c>
      <c r="I730">
        <v>6.5549999999999997</v>
      </c>
    </row>
    <row r="731" spans="1:9" x14ac:dyDescent="0.3">
      <c r="A731">
        <f>LOOKUP(9E+307,--MID(D731,1,{1,2,3,4,5}))</f>
        <v>5</v>
      </c>
      <c r="B731">
        <f>VLOOKUP(MID(D731,LOOKUP(2,1/ISNUMBER(-MID(D731,1,{1,2,3,4,5})),{1,2,3,4,5})+1,9),'Hue codes'!$A$1:$B$10,2,FALSE)</f>
        <v>80</v>
      </c>
      <c r="C731">
        <f t="shared" si="11"/>
        <v>85</v>
      </c>
      <c r="D731" t="s">
        <v>54</v>
      </c>
      <c r="E731">
        <v>3</v>
      </c>
      <c r="F731">
        <v>6</v>
      </c>
      <c r="G731">
        <v>0.28699999999999998</v>
      </c>
      <c r="H731">
        <v>0.2135</v>
      </c>
      <c r="I731">
        <v>6.5549999999999997</v>
      </c>
    </row>
    <row r="732" spans="1:9" x14ac:dyDescent="0.3">
      <c r="A732">
        <f>LOOKUP(9E+307,--MID(D732,1,{1,2,3,4,5}))</f>
        <v>5</v>
      </c>
      <c r="B732">
        <f>VLOOKUP(MID(D732,LOOKUP(2,1/ISNUMBER(-MID(D732,1,{1,2,3,4,5})),{1,2,3,4,5})+1,9),'Hue codes'!$A$1:$B$10,2,FALSE)</f>
        <v>80</v>
      </c>
      <c r="C732">
        <f t="shared" si="11"/>
        <v>85</v>
      </c>
      <c r="D732" t="s">
        <v>54</v>
      </c>
      <c r="E732">
        <v>3</v>
      </c>
      <c r="F732">
        <v>8</v>
      </c>
      <c r="G732">
        <v>0.28189999999999998</v>
      </c>
      <c r="H732">
        <v>0.191</v>
      </c>
      <c r="I732">
        <v>6.5549999999999997</v>
      </c>
    </row>
    <row r="733" spans="1:9" x14ac:dyDescent="0.3">
      <c r="A733">
        <f>LOOKUP(9E+307,--MID(D733,1,{1,2,3,4,5}))</f>
        <v>5</v>
      </c>
      <c r="B733">
        <f>VLOOKUP(MID(D733,LOOKUP(2,1/ISNUMBER(-MID(D733,1,{1,2,3,4,5})),{1,2,3,4,5})+1,9),'Hue codes'!$A$1:$B$10,2,FALSE)</f>
        <v>80</v>
      </c>
      <c r="C733">
        <f t="shared" si="11"/>
        <v>85</v>
      </c>
      <c r="D733" t="s">
        <v>54</v>
      </c>
      <c r="E733">
        <v>3</v>
      </c>
      <c r="F733">
        <v>10</v>
      </c>
      <c r="G733">
        <v>0.2772</v>
      </c>
      <c r="H733">
        <v>0.17069999999999999</v>
      </c>
      <c r="I733">
        <v>6.5549999999999997</v>
      </c>
    </row>
    <row r="734" spans="1:9" x14ac:dyDescent="0.3">
      <c r="A734">
        <f>LOOKUP(9E+307,--MID(D734,1,{1,2,3,4,5}))</f>
        <v>5</v>
      </c>
      <c r="B734">
        <f>VLOOKUP(MID(D734,LOOKUP(2,1/ISNUMBER(-MID(D734,1,{1,2,3,4,5})),{1,2,3,4,5})+1,9),'Hue codes'!$A$1:$B$10,2,FALSE)</f>
        <v>80</v>
      </c>
      <c r="C734">
        <f t="shared" si="11"/>
        <v>85</v>
      </c>
      <c r="D734" t="s">
        <v>54</v>
      </c>
      <c r="E734">
        <v>3</v>
      </c>
      <c r="F734">
        <v>12</v>
      </c>
      <c r="G734">
        <v>0.27389999999999998</v>
      </c>
      <c r="H734">
        <v>0.15390000000000001</v>
      </c>
      <c r="I734">
        <v>6.5549999999999997</v>
      </c>
    </row>
    <row r="735" spans="1:9" x14ac:dyDescent="0.3">
      <c r="A735">
        <f>LOOKUP(9E+307,--MID(D735,1,{1,2,3,4,5}))</f>
        <v>5</v>
      </c>
      <c r="B735">
        <f>VLOOKUP(MID(D735,LOOKUP(2,1/ISNUMBER(-MID(D735,1,{1,2,3,4,5})),{1,2,3,4,5})+1,9),'Hue codes'!$A$1:$B$10,2,FALSE)</f>
        <v>80</v>
      </c>
      <c r="C735">
        <f t="shared" si="11"/>
        <v>85</v>
      </c>
      <c r="D735" t="s">
        <v>54</v>
      </c>
      <c r="E735">
        <v>3</v>
      </c>
      <c r="F735">
        <v>14</v>
      </c>
      <c r="G735">
        <v>0.2707</v>
      </c>
      <c r="H735">
        <v>0.13969999999999999</v>
      </c>
      <c r="I735">
        <v>6.5549999999999997</v>
      </c>
    </row>
    <row r="736" spans="1:9" x14ac:dyDescent="0.3">
      <c r="A736">
        <f>LOOKUP(9E+307,--MID(D736,1,{1,2,3,4,5}))</f>
        <v>5</v>
      </c>
      <c r="B736">
        <f>VLOOKUP(MID(D736,LOOKUP(2,1/ISNUMBER(-MID(D736,1,{1,2,3,4,5})),{1,2,3,4,5})+1,9),'Hue codes'!$A$1:$B$10,2,FALSE)</f>
        <v>80</v>
      </c>
      <c r="C736">
        <f t="shared" si="11"/>
        <v>85</v>
      </c>
      <c r="D736" t="s">
        <v>54</v>
      </c>
      <c r="E736">
        <v>3</v>
      </c>
      <c r="F736">
        <v>16</v>
      </c>
      <c r="G736">
        <v>0.26800000000000002</v>
      </c>
      <c r="H736">
        <v>0.12720000000000001</v>
      </c>
      <c r="I736">
        <v>6.5549999999999997</v>
      </c>
    </row>
    <row r="737" spans="1:9" x14ac:dyDescent="0.3">
      <c r="A737">
        <f>LOOKUP(9E+307,--MID(D737,1,{1,2,3,4,5}))</f>
        <v>5</v>
      </c>
      <c r="B737">
        <f>VLOOKUP(MID(D737,LOOKUP(2,1/ISNUMBER(-MID(D737,1,{1,2,3,4,5})),{1,2,3,4,5})+1,9),'Hue codes'!$A$1:$B$10,2,FALSE)</f>
        <v>80</v>
      </c>
      <c r="C737">
        <f t="shared" si="11"/>
        <v>85</v>
      </c>
      <c r="D737" t="s">
        <v>54</v>
      </c>
      <c r="E737">
        <v>3</v>
      </c>
      <c r="F737">
        <v>18</v>
      </c>
      <c r="G737">
        <v>0.26569999999999999</v>
      </c>
      <c r="H737">
        <v>0.1163</v>
      </c>
      <c r="I737">
        <v>6.5549999999999997</v>
      </c>
    </row>
    <row r="738" spans="1:9" x14ac:dyDescent="0.3">
      <c r="A738">
        <f>LOOKUP(9E+307,--MID(D738,1,{1,2,3,4,5}))</f>
        <v>5</v>
      </c>
      <c r="B738">
        <f>VLOOKUP(MID(D738,LOOKUP(2,1/ISNUMBER(-MID(D738,1,{1,2,3,4,5})),{1,2,3,4,5})+1,9),'Hue codes'!$A$1:$B$10,2,FALSE)</f>
        <v>80</v>
      </c>
      <c r="C738">
        <f t="shared" si="11"/>
        <v>85</v>
      </c>
      <c r="D738" t="s">
        <v>54</v>
      </c>
      <c r="E738">
        <v>3</v>
      </c>
      <c r="F738">
        <v>20</v>
      </c>
      <c r="G738">
        <v>0.26390000000000002</v>
      </c>
      <c r="H738">
        <v>0.1074</v>
      </c>
      <c r="I738">
        <v>6.5549999999999997</v>
      </c>
    </row>
    <row r="739" spans="1:9" x14ac:dyDescent="0.3">
      <c r="A739">
        <f>LOOKUP(9E+307,--MID(D739,1,{1,2,3,4,5}))</f>
        <v>5</v>
      </c>
      <c r="B739">
        <f>VLOOKUP(MID(D739,LOOKUP(2,1/ISNUMBER(-MID(D739,1,{1,2,3,4,5})),{1,2,3,4,5})+1,9),'Hue codes'!$A$1:$B$10,2,FALSE)</f>
        <v>80</v>
      </c>
      <c r="C739">
        <f t="shared" si="11"/>
        <v>85</v>
      </c>
      <c r="D739" t="s">
        <v>54</v>
      </c>
      <c r="E739">
        <v>3</v>
      </c>
      <c r="F739">
        <v>22</v>
      </c>
      <c r="G739">
        <v>0.26200000000000001</v>
      </c>
      <c r="H739">
        <v>9.7799999999999998E-2</v>
      </c>
      <c r="I739">
        <v>6.5549999999999997</v>
      </c>
    </row>
    <row r="740" spans="1:9" x14ac:dyDescent="0.3">
      <c r="A740">
        <f>LOOKUP(9E+307,--MID(D740,1,{1,2,3,4,5}))</f>
        <v>5</v>
      </c>
      <c r="B740">
        <f>VLOOKUP(MID(D740,LOOKUP(2,1/ISNUMBER(-MID(D740,1,{1,2,3,4,5})),{1,2,3,4,5})+1,9),'Hue codes'!$A$1:$B$10,2,FALSE)</f>
        <v>80</v>
      </c>
      <c r="C740">
        <f t="shared" si="11"/>
        <v>85</v>
      </c>
      <c r="D740" t="s">
        <v>54</v>
      </c>
      <c r="E740">
        <v>3</v>
      </c>
      <c r="F740">
        <v>24</v>
      </c>
      <c r="G740">
        <v>0.26019999999999999</v>
      </c>
      <c r="H740">
        <v>8.9099999999999999E-2</v>
      </c>
      <c r="I740">
        <v>6.5549999999999997</v>
      </c>
    </row>
    <row r="741" spans="1:9" x14ac:dyDescent="0.3">
      <c r="A741">
        <f>LOOKUP(9E+307,--MID(D741,1,{1,2,3,4,5}))</f>
        <v>5</v>
      </c>
      <c r="B741">
        <f>VLOOKUP(MID(D741,LOOKUP(2,1/ISNUMBER(-MID(D741,1,{1,2,3,4,5})),{1,2,3,4,5})+1,9),'Hue codes'!$A$1:$B$10,2,FALSE)</f>
        <v>80</v>
      </c>
      <c r="C741">
        <f t="shared" si="11"/>
        <v>85</v>
      </c>
      <c r="D741" t="s">
        <v>54</v>
      </c>
      <c r="E741">
        <v>3</v>
      </c>
      <c r="F741">
        <v>26</v>
      </c>
      <c r="G741">
        <v>0.25900000000000001</v>
      </c>
      <c r="H741">
        <v>8.2199999999999995E-2</v>
      </c>
      <c r="I741">
        <v>6.5549999999999997</v>
      </c>
    </row>
    <row r="742" spans="1:9" x14ac:dyDescent="0.3">
      <c r="A742">
        <f>LOOKUP(9E+307,--MID(D742,1,{1,2,3,4,5}))</f>
        <v>5</v>
      </c>
      <c r="B742">
        <f>VLOOKUP(MID(D742,LOOKUP(2,1/ISNUMBER(-MID(D742,1,{1,2,3,4,5})),{1,2,3,4,5})+1,9),'Hue codes'!$A$1:$B$10,2,FALSE)</f>
        <v>80</v>
      </c>
      <c r="C742">
        <f t="shared" si="11"/>
        <v>85</v>
      </c>
      <c r="D742" t="s">
        <v>54</v>
      </c>
      <c r="E742">
        <v>3</v>
      </c>
      <c r="F742">
        <v>28</v>
      </c>
      <c r="G742">
        <v>0.25790000000000002</v>
      </c>
      <c r="H742">
        <v>7.4999999999999997E-2</v>
      </c>
      <c r="I742">
        <v>6.5549999999999997</v>
      </c>
    </row>
    <row r="743" spans="1:9" x14ac:dyDescent="0.3">
      <c r="A743">
        <f>LOOKUP(9E+307,--MID(D743,1,{1,2,3,4,5}))</f>
        <v>5</v>
      </c>
      <c r="B743">
        <f>VLOOKUP(MID(D743,LOOKUP(2,1/ISNUMBER(-MID(D743,1,{1,2,3,4,5})),{1,2,3,4,5})+1,9),'Hue codes'!$A$1:$B$10,2,FALSE)</f>
        <v>80</v>
      </c>
      <c r="C743">
        <f t="shared" si="11"/>
        <v>85</v>
      </c>
      <c r="D743" t="s">
        <v>54</v>
      </c>
      <c r="E743">
        <v>3</v>
      </c>
      <c r="F743">
        <v>30</v>
      </c>
      <c r="G743">
        <v>0.25679999999999997</v>
      </c>
      <c r="H743">
        <v>6.9000000000000006E-2</v>
      </c>
      <c r="I743">
        <v>6.5549999999999997</v>
      </c>
    </row>
    <row r="744" spans="1:9" x14ac:dyDescent="0.3">
      <c r="A744">
        <f>LOOKUP(9E+307,--MID(D744,1,{1,2,3,4,5}))</f>
        <v>5</v>
      </c>
      <c r="B744">
        <f>VLOOKUP(MID(D744,LOOKUP(2,1/ISNUMBER(-MID(D744,1,{1,2,3,4,5})),{1,2,3,4,5})+1,9),'Hue codes'!$A$1:$B$10,2,FALSE)</f>
        <v>80</v>
      </c>
      <c r="C744">
        <f t="shared" si="11"/>
        <v>85</v>
      </c>
      <c r="D744" t="s">
        <v>54</v>
      </c>
      <c r="E744">
        <v>3</v>
      </c>
      <c r="F744">
        <v>32</v>
      </c>
      <c r="G744">
        <v>0.25569999999999998</v>
      </c>
      <c r="H744">
        <v>6.3E-2</v>
      </c>
      <c r="I744">
        <v>6.5549999999999997</v>
      </c>
    </row>
    <row r="745" spans="1:9" x14ac:dyDescent="0.3">
      <c r="A745">
        <f>LOOKUP(9E+307,--MID(D745,1,{1,2,3,4,5}))</f>
        <v>7.5</v>
      </c>
      <c r="B745">
        <f>VLOOKUP(MID(D745,LOOKUP(2,1/ISNUMBER(-MID(D745,1,{1,2,3,4,5})),{1,2,3,4,5})+1,9),'Hue codes'!$A$1:$B$10,2,FALSE)</f>
        <v>80</v>
      </c>
      <c r="C745">
        <f t="shared" si="11"/>
        <v>87.5</v>
      </c>
      <c r="D745" t="s">
        <v>55</v>
      </c>
      <c r="E745">
        <v>3</v>
      </c>
      <c r="F745">
        <v>2</v>
      </c>
      <c r="G745">
        <v>0.30880000000000002</v>
      </c>
      <c r="H745">
        <v>0.27400000000000002</v>
      </c>
      <c r="I745">
        <v>6.5549999999999997</v>
      </c>
    </row>
    <row r="746" spans="1:9" x14ac:dyDescent="0.3">
      <c r="A746">
        <f>LOOKUP(9E+307,--MID(D746,1,{1,2,3,4,5}))</f>
        <v>7.5</v>
      </c>
      <c r="B746">
        <f>VLOOKUP(MID(D746,LOOKUP(2,1/ISNUMBER(-MID(D746,1,{1,2,3,4,5})),{1,2,3,4,5})+1,9),'Hue codes'!$A$1:$B$10,2,FALSE)</f>
        <v>80</v>
      </c>
      <c r="C746">
        <f t="shared" si="11"/>
        <v>87.5</v>
      </c>
      <c r="D746" t="s">
        <v>55</v>
      </c>
      <c r="E746">
        <v>3</v>
      </c>
      <c r="F746">
        <v>4</v>
      </c>
      <c r="G746">
        <v>0.30719999999999997</v>
      </c>
      <c r="H746">
        <v>0.24479999999999999</v>
      </c>
      <c r="I746">
        <v>6.5549999999999997</v>
      </c>
    </row>
    <row r="747" spans="1:9" x14ac:dyDescent="0.3">
      <c r="A747">
        <f>LOOKUP(9E+307,--MID(D747,1,{1,2,3,4,5}))</f>
        <v>7.5</v>
      </c>
      <c r="B747">
        <f>VLOOKUP(MID(D747,LOOKUP(2,1/ISNUMBER(-MID(D747,1,{1,2,3,4,5})),{1,2,3,4,5})+1,9),'Hue codes'!$A$1:$B$10,2,FALSE)</f>
        <v>80</v>
      </c>
      <c r="C747">
        <f t="shared" si="11"/>
        <v>87.5</v>
      </c>
      <c r="D747" t="s">
        <v>55</v>
      </c>
      <c r="E747">
        <v>3</v>
      </c>
      <c r="F747">
        <v>6</v>
      </c>
      <c r="G747">
        <v>0.30570000000000003</v>
      </c>
      <c r="H747">
        <v>0.2208</v>
      </c>
      <c r="I747">
        <v>6.5549999999999997</v>
      </c>
    </row>
    <row r="748" spans="1:9" x14ac:dyDescent="0.3">
      <c r="A748">
        <f>LOOKUP(9E+307,--MID(D748,1,{1,2,3,4,5}))</f>
        <v>7.5</v>
      </c>
      <c r="B748">
        <f>VLOOKUP(MID(D748,LOOKUP(2,1/ISNUMBER(-MID(D748,1,{1,2,3,4,5})),{1,2,3,4,5})+1,9),'Hue codes'!$A$1:$B$10,2,FALSE)</f>
        <v>80</v>
      </c>
      <c r="C748">
        <f t="shared" si="11"/>
        <v>87.5</v>
      </c>
      <c r="D748" t="s">
        <v>55</v>
      </c>
      <c r="E748">
        <v>3</v>
      </c>
      <c r="F748">
        <v>8</v>
      </c>
      <c r="G748">
        <v>0.30370000000000003</v>
      </c>
      <c r="H748">
        <v>0.1981</v>
      </c>
      <c r="I748">
        <v>6.5549999999999997</v>
      </c>
    </row>
    <row r="749" spans="1:9" x14ac:dyDescent="0.3">
      <c r="A749">
        <f>LOOKUP(9E+307,--MID(D749,1,{1,2,3,4,5}))</f>
        <v>7.5</v>
      </c>
      <c r="B749">
        <f>VLOOKUP(MID(D749,LOOKUP(2,1/ISNUMBER(-MID(D749,1,{1,2,3,4,5})),{1,2,3,4,5})+1,9),'Hue codes'!$A$1:$B$10,2,FALSE)</f>
        <v>80</v>
      </c>
      <c r="C749">
        <f t="shared" si="11"/>
        <v>87.5</v>
      </c>
      <c r="D749" t="s">
        <v>55</v>
      </c>
      <c r="E749">
        <v>3</v>
      </c>
      <c r="F749">
        <v>10</v>
      </c>
      <c r="G749">
        <v>0.30199999999999999</v>
      </c>
      <c r="H749">
        <v>0.1794</v>
      </c>
      <c r="I749">
        <v>6.5549999999999997</v>
      </c>
    </row>
    <row r="750" spans="1:9" x14ac:dyDescent="0.3">
      <c r="A750">
        <f>LOOKUP(9E+307,--MID(D750,1,{1,2,3,4,5}))</f>
        <v>7.5</v>
      </c>
      <c r="B750">
        <f>VLOOKUP(MID(D750,LOOKUP(2,1/ISNUMBER(-MID(D750,1,{1,2,3,4,5})),{1,2,3,4,5})+1,9),'Hue codes'!$A$1:$B$10,2,FALSE)</f>
        <v>80</v>
      </c>
      <c r="C750">
        <f t="shared" si="11"/>
        <v>87.5</v>
      </c>
      <c r="D750" t="s">
        <v>55</v>
      </c>
      <c r="E750">
        <v>3</v>
      </c>
      <c r="F750">
        <v>12</v>
      </c>
      <c r="G750">
        <v>0.30030000000000001</v>
      </c>
      <c r="H750">
        <v>0.1618</v>
      </c>
      <c r="I750">
        <v>6.5549999999999997</v>
      </c>
    </row>
    <row r="751" spans="1:9" x14ac:dyDescent="0.3">
      <c r="A751">
        <f>LOOKUP(9E+307,--MID(D751,1,{1,2,3,4,5}))</f>
        <v>7.5</v>
      </c>
      <c r="B751">
        <f>VLOOKUP(MID(D751,LOOKUP(2,1/ISNUMBER(-MID(D751,1,{1,2,3,4,5})),{1,2,3,4,5})+1,9),'Hue codes'!$A$1:$B$10,2,FALSE)</f>
        <v>80</v>
      </c>
      <c r="C751">
        <f t="shared" si="11"/>
        <v>87.5</v>
      </c>
      <c r="D751" t="s">
        <v>55</v>
      </c>
      <c r="E751">
        <v>3</v>
      </c>
      <c r="F751">
        <v>14</v>
      </c>
      <c r="G751">
        <v>0.29920000000000002</v>
      </c>
      <c r="H751">
        <v>0.14749999999999999</v>
      </c>
      <c r="I751">
        <v>6.5549999999999997</v>
      </c>
    </row>
    <row r="752" spans="1:9" x14ac:dyDescent="0.3">
      <c r="A752">
        <f>LOOKUP(9E+307,--MID(D752,1,{1,2,3,4,5}))</f>
        <v>7.5</v>
      </c>
      <c r="B752">
        <f>VLOOKUP(MID(D752,LOOKUP(2,1/ISNUMBER(-MID(D752,1,{1,2,3,4,5})),{1,2,3,4,5})+1,9),'Hue codes'!$A$1:$B$10,2,FALSE)</f>
        <v>80</v>
      </c>
      <c r="C752">
        <f t="shared" si="11"/>
        <v>87.5</v>
      </c>
      <c r="D752" t="s">
        <v>55</v>
      </c>
      <c r="E752">
        <v>3</v>
      </c>
      <c r="F752">
        <v>16</v>
      </c>
      <c r="G752">
        <v>0.29809999999999998</v>
      </c>
      <c r="H752">
        <v>0.1356</v>
      </c>
      <c r="I752">
        <v>6.5549999999999997</v>
      </c>
    </row>
    <row r="753" spans="1:9" x14ac:dyDescent="0.3">
      <c r="A753">
        <f>LOOKUP(9E+307,--MID(D753,1,{1,2,3,4,5}))</f>
        <v>7.5</v>
      </c>
      <c r="B753">
        <f>VLOOKUP(MID(D753,LOOKUP(2,1/ISNUMBER(-MID(D753,1,{1,2,3,4,5})),{1,2,3,4,5})+1,9),'Hue codes'!$A$1:$B$10,2,FALSE)</f>
        <v>80</v>
      </c>
      <c r="C753">
        <f t="shared" si="11"/>
        <v>87.5</v>
      </c>
      <c r="D753" t="s">
        <v>55</v>
      </c>
      <c r="E753">
        <v>3</v>
      </c>
      <c r="F753">
        <v>18</v>
      </c>
      <c r="G753">
        <v>0.2969</v>
      </c>
      <c r="H753">
        <v>0.1239</v>
      </c>
      <c r="I753">
        <v>6.5549999999999997</v>
      </c>
    </row>
    <row r="754" spans="1:9" x14ac:dyDescent="0.3">
      <c r="A754">
        <f>LOOKUP(9E+307,--MID(D754,1,{1,2,3,4,5}))</f>
        <v>7.5</v>
      </c>
      <c r="B754">
        <f>VLOOKUP(MID(D754,LOOKUP(2,1/ISNUMBER(-MID(D754,1,{1,2,3,4,5})),{1,2,3,4,5})+1,9),'Hue codes'!$A$1:$B$10,2,FALSE)</f>
        <v>80</v>
      </c>
      <c r="C754">
        <f t="shared" si="11"/>
        <v>87.5</v>
      </c>
      <c r="D754" t="s">
        <v>55</v>
      </c>
      <c r="E754">
        <v>3</v>
      </c>
      <c r="F754">
        <v>20</v>
      </c>
      <c r="G754">
        <v>0.29609999999999997</v>
      </c>
      <c r="H754">
        <v>0.11509999999999999</v>
      </c>
      <c r="I754">
        <v>6.5549999999999997</v>
      </c>
    </row>
    <row r="755" spans="1:9" x14ac:dyDescent="0.3">
      <c r="A755">
        <f>LOOKUP(9E+307,--MID(D755,1,{1,2,3,4,5}))</f>
        <v>7.5</v>
      </c>
      <c r="B755">
        <f>VLOOKUP(MID(D755,LOOKUP(2,1/ISNUMBER(-MID(D755,1,{1,2,3,4,5})),{1,2,3,4,5})+1,9),'Hue codes'!$A$1:$B$10,2,FALSE)</f>
        <v>80</v>
      </c>
      <c r="C755">
        <f t="shared" si="11"/>
        <v>87.5</v>
      </c>
      <c r="D755" t="s">
        <v>55</v>
      </c>
      <c r="E755">
        <v>3</v>
      </c>
      <c r="F755">
        <v>22</v>
      </c>
      <c r="G755">
        <v>0.29530000000000001</v>
      </c>
      <c r="H755">
        <v>0.1057</v>
      </c>
      <c r="I755">
        <v>6.5549999999999997</v>
      </c>
    </row>
    <row r="756" spans="1:9" x14ac:dyDescent="0.3">
      <c r="A756">
        <f>LOOKUP(9E+307,--MID(D756,1,{1,2,3,4,5}))</f>
        <v>7.5</v>
      </c>
      <c r="B756">
        <f>VLOOKUP(MID(D756,LOOKUP(2,1/ISNUMBER(-MID(D756,1,{1,2,3,4,5})),{1,2,3,4,5})+1,9),'Hue codes'!$A$1:$B$10,2,FALSE)</f>
        <v>80</v>
      </c>
      <c r="C756">
        <f t="shared" si="11"/>
        <v>87.5</v>
      </c>
      <c r="D756" t="s">
        <v>55</v>
      </c>
      <c r="E756">
        <v>3</v>
      </c>
      <c r="F756">
        <v>24</v>
      </c>
      <c r="G756">
        <v>0.2944</v>
      </c>
      <c r="H756">
        <v>9.6699999999999994E-2</v>
      </c>
      <c r="I756">
        <v>6.5549999999999997</v>
      </c>
    </row>
    <row r="757" spans="1:9" x14ac:dyDescent="0.3">
      <c r="A757">
        <f>LOOKUP(9E+307,--MID(D757,1,{1,2,3,4,5}))</f>
        <v>7.5</v>
      </c>
      <c r="B757">
        <f>VLOOKUP(MID(D757,LOOKUP(2,1/ISNUMBER(-MID(D757,1,{1,2,3,4,5})),{1,2,3,4,5})+1,9),'Hue codes'!$A$1:$B$10,2,FALSE)</f>
        <v>80</v>
      </c>
      <c r="C757">
        <f t="shared" si="11"/>
        <v>87.5</v>
      </c>
      <c r="D757" t="s">
        <v>55</v>
      </c>
      <c r="E757">
        <v>3</v>
      </c>
      <c r="F757">
        <v>26</v>
      </c>
      <c r="G757">
        <v>0.29380000000000001</v>
      </c>
      <c r="H757">
        <v>8.9200000000000002E-2</v>
      </c>
      <c r="I757">
        <v>6.5549999999999997</v>
      </c>
    </row>
    <row r="758" spans="1:9" x14ac:dyDescent="0.3">
      <c r="A758">
        <f>LOOKUP(9E+307,--MID(D758,1,{1,2,3,4,5}))</f>
        <v>7.5</v>
      </c>
      <c r="B758">
        <f>VLOOKUP(MID(D758,LOOKUP(2,1/ISNUMBER(-MID(D758,1,{1,2,3,4,5})),{1,2,3,4,5})+1,9),'Hue codes'!$A$1:$B$10,2,FALSE)</f>
        <v>80</v>
      </c>
      <c r="C758">
        <f t="shared" si="11"/>
        <v>87.5</v>
      </c>
      <c r="D758" t="s">
        <v>55</v>
      </c>
      <c r="E758">
        <v>3</v>
      </c>
      <c r="F758">
        <v>28</v>
      </c>
      <c r="G758">
        <v>0.29299999999999998</v>
      </c>
      <c r="H758">
        <v>8.1199999999999994E-2</v>
      </c>
      <c r="I758">
        <v>6.5549999999999997</v>
      </c>
    </row>
    <row r="759" spans="1:9" x14ac:dyDescent="0.3">
      <c r="A759">
        <f>LOOKUP(9E+307,--MID(D759,1,{1,2,3,4,5}))</f>
        <v>7.5</v>
      </c>
      <c r="B759">
        <f>VLOOKUP(MID(D759,LOOKUP(2,1/ISNUMBER(-MID(D759,1,{1,2,3,4,5})),{1,2,3,4,5})+1,9),'Hue codes'!$A$1:$B$10,2,FALSE)</f>
        <v>80</v>
      </c>
      <c r="C759">
        <f t="shared" si="11"/>
        <v>87.5</v>
      </c>
      <c r="D759" t="s">
        <v>55</v>
      </c>
      <c r="E759">
        <v>3</v>
      </c>
      <c r="F759">
        <v>30</v>
      </c>
      <c r="G759">
        <v>0.29220000000000002</v>
      </c>
      <c r="H759">
        <v>7.4999999999999997E-2</v>
      </c>
      <c r="I759">
        <v>6.5549999999999997</v>
      </c>
    </row>
    <row r="760" spans="1:9" x14ac:dyDescent="0.3">
      <c r="A760">
        <f>LOOKUP(9E+307,--MID(D760,1,{1,2,3,4,5}))</f>
        <v>10</v>
      </c>
      <c r="B760">
        <f>VLOOKUP(MID(D760,LOOKUP(2,1/ISNUMBER(-MID(D760,1,{1,2,3,4,5})),{1,2,3,4,5})+1,9),'Hue codes'!$A$1:$B$10,2,FALSE)</f>
        <v>80</v>
      </c>
      <c r="C760">
        <f t="shared" si="11"/>
        <v>90</v>
      </c>
      <c r="D760" t="s">
        <v>56</v>
      </c>
      <c r="E760">
        <v>3</v>
      </c>
      <c r="F760">
        <v>2</v>
      </c>
      <c r="G760">
        <v>0.317</v>
      </c>
      <c r="H760">
        <v>0.27900000000000003</v>
      </c>
      <c r="I760">
        <v>6.5549999999999997</v>
      </c>
    </row>
    <row r="761" spans="1:9" x14ac:dyDescent="0.3">
      <c r="A761">
        <f>LOOKUP(9E+307,--MID(D761,1,{1,2,3,4,5}))</f>
        <v>10</v>
      </c>
      <c r="B761">
        <f>VLOOKUP(MID(D761,LOOKUP(2,1/ISNUMBER(-MID(D761,1,{1,2,3,4,5})),{1,2,3,4,5})+1,9),'Hue codes'!$A$1:$B$10,2,FALSE)</f>
        <v>80</v>
      </c>
      <c r="C761">
        <f t="shared" si="11"/>
        <v>90</v>
      </c>
      <c r="D761" t="s">
        <v>56</v>
      </c>
      <c r="E761">
        <v>3</v>
      </c>
      <c r="F761">
        <v>4</v>
      </c>
      <c r="G761">
        <v>0.32140000000000002</v>
      </c>
      <c r="H761">
        <v>0.25169999999999998</v>
      </c>
      <c r="I761">
        <v>6.5549999999999997</v>
      </c>
    </row>
    <row r="762" spans="1:9" x14ac:dyDescent="0.3">
      <c r="A762">
        <f>LOOKUP(9E+307,--MID(D762,1,{1,2,3,4,5}))</f>
        <v>10</v>
      </c>
      <c r="B762">
        <f>VLOOKUP(MID(D762,LOOKUP(2,1/ISNUMBER(-MID(D762,1,{1,2,3,4,5})),{1,2,3,4,5})+1,9),'Hue codes'!$A$1:$B$10,2,FALSE)</f>
        <v>80</v>
      </c>
      <c r="C762">
        <f t="shared" si="11"/>
        <v>90</v>
      </c>
      <c r="D762" t="s">
        <v>56</v>
      </c>
      <c r="E762">
        <v>3</v>
      </c>
      <c r="F762">
        <v>6</v>
      </c>
      <c r="G762">
        <v>0.32429999999999998</v>
      </c>
      <c r="H762">
        <v>0.2293</v>
      </c>
      <c r="I762">
        <v>6.5549999999999997</v>
      </c>
    </row>
    <row r="763" spans="1:9" x14ac:dyDescent="0.3">
      <c r="A763">
        <f>LOOKUP(9E+307,--MID(D763,1,{1,2,3,4,5}))</f>
        <v>10</v>
      </c>
      <c r="B763">
        <f>VLOOKUP(MID(D763,LOOKUP(2,1/ISNUMBER(-MID(D763,1,{1,2,3,4,5})),{1,2,3,4,5})+1,9),'Hue codes'!$A$1:$B$10,2,FALSE)</f>
        <v>80</v>
      </c>
      <c r="C763">
        <f t="shared" si="11"/>
        <v>90</v>
      </c>
      <c r="D763" t="s">
        <v>56</v>
      </c>
      <c r="E763">
        <v>3</v>
      </c>
      <c r="F763">
        <v>8</v>
      </c>
      <c r="G763">
        <v>0.32690000000000002</v>
      </c>
      <c r="H763">
        <v>0.20749999999999999</v>
      </c>
      <c r="I763">
        <v>6.5549999999999997</v>
      </c>
    </row>
    <row r="764" spans="1:9" x14ac:dyDescent="0.3">
      <c r="A764">
        <f>LOOKUP(9E+307,--MID(D764,1,{1,2,3,4,5}))</f>
        <v>10</v>
      </c>
      <c r="B764">
        <f>VLOOKUP(MID(D764,LOOKUP(2,1/ISNUMBER(-MID(D764,1,{1,2,3,4,5})),{1,2,3,4,5})+1,9),'Hue codes'!$A$1:$B$10,2,FALSE)</f>
        <v>80</v>
      </c>
      <c r="C764">
        <f t="shared" si="11"/>
        <v>90</v>
      </c>
      <c r="D764" t="s">
        <v>56</v>
      </c>
      <c r="E764">
        <v>3</v>
      </c>
      <c r="F764">
        <v>10</v>
      </c>
      <c r="G764">
        <v>0.3286</v>
      </c>
      <c r="H764">
        <v>0.18890000000000001</v>
      </c>
      <c r="I764">
        <v>6.5549999999999997</v>
      </c>
    </row>
    <row r="765" spans="1:9" x14ac:dyDescent="0.3">
      <c r="A765">
        <f>LOOKUP(9E+307,--MID(D765,1,{1,2,3,4,5}))</f>
        <v>10</v>
      </c>
      <c r="B765">
        <f>VLOOKUP(MID(D765,LOOKUP(2,1/ISNUMBER(-MID(D765,1,{1,2,3,4,5})),{1,2,3,4,5})+1,9),'Hue codes'!$A$1:$B$10,2,FALSE)</f>
        <v>80</v>
      </c>
      <c r="C765">
        <f t="shared" si="11"/>
        <v>90</v>
      </c>
      <c r="D765" t="s">
        <v>56</v>
      </c>
      <c r="E765">
        <v>3</v>
      </c>
      <c r="F765">
        <v>12</v>
      </c>
      <c r="G765">
        <v>0.3301</v>
      </c>
      <c r="H765">
        <v>0.17150000000000001</v>
      </c>
      <c r="I765">
        <v>6.5549999999999997</v>
      </c>
    </row>
    <row r="766" spans="1:9" x14ac:dyDescent="0.3">
      <c r="A766">
        <f>LOOKUP(9E+307,--MID(D766,1,{1,2,3,4,5}))</f>
        <v>10</v>
      </c>
      <c r="B766">
        <f>VLOOKUP(MID(D766,LOOKUP(2,1/ISNUMBER(-MID(D766,1,{1,2,3,4,5})),{1,2,3,4,5})+1,9),'Hue codes'!$A$1:$B$10,2,FALSE)</f>
        <v>80</v>
      </c>
      <c r="C766">
        <f t="shared" si="11"/>
        <v>90</v>
      </c>
      <c r="D766" t="s">
        <v>56</v>
      </c>
      <c r="E766">
        <v>3</v>
      </c>
      <c r="F766">
        <v>14</v>
      </c>
      <c r="G766">
        <v>0.33090000000000003</v>
      </c>
      <c r="H766">
        <v>0.15720000000000001</v>
      </c>
      <c r="I766">
        <v>6.5549999999999997</v>
      </c>
    </row>
    <row r="767" spans="1:9" x14ac:dyDescent="0.3">
      <c r="A767">
        <f>LOOKUP(9E+307,--MID(D767,1,{1,2,3,4,5}))</f>
        <v>10</v>
      </c>
      <c r="B767">
        <f>VLOOKUP(MID(D767,LOOKUP(2,1/ISNUMBER(-MID(D767,1,{1,2,3,4,5})),{1,2,3,4,5})+1,9),'Hue codes'!$A$1:$B$10,2,FALSE)</f>
        <v>80</v>
      </c>
      <c r="C767">
        <f t="shared" si="11"/>
        <v>90</v>
      </c>
      <c r="D767" t="s">
        <v>56</v>
      </c>
      <c r="E767">
        <v>3</v>
      </c>
      <c r="F767">
        <v>16</v>
      </c>
      <c r="G767">
        <v>0.33200000000000002</v>
      </c>
      <c r="H767">
        <v>0.14560000000000001</v>
      </c>
      <c r="I767">
        <v>6.5549999999999997</v>
      </c>
    </row>
    <row r="768" spans="1:9" x14ac:dyDescent="0.3">
      <c r="A768">
        <f>LOOKUP(9E+307,--MID(D768,1,{1,2,3,4,5}))</f>
        <v>10</v>
      </c>
      <c r="B768">
        <f>VLOOKUP(MID(D768,LOOKUP(2,1/ISNUMBER(-MID(D768,1,{1,2,3,4,5})),{1,2,3,4,5})+1,9),'Hue codes'!$A$1:$B$10,2,FALSE)</f>
        <v>80</v>
      </c>
      <c r="C768">
        <f t="shared" si="11"/>
        <v>90</v>
      </c>
      <c r="D768" t="s">
        <v>56</v>
      </c>
      <c r="E768">
        <v>3</v>
      </c>
      <c r="F768">
        <v>18</v>
      </c>
      <c r="G768">
        <v>0.33289999999999997</v>
      </c>
      <c r="H768">
        <v>0.13320000000000001</v>
      </c>
      <c r="I768">
        <v>6.5549999999999997</v>
      </c>
    </row>
    <row r="769" spans="1:9" x14ac:dyDescent="0.3">
      <c r="A769">
        <f>LOOKUP(9E+307,--MID(D769,1,{1,2,3,4,5}))</f>
        <v>10</v>
      </c>
      <c r="B769">
        <f>VLOOKUP(MID(D769,LOOKUP(2,1/ISNUMBER(-MID(D769,1,{1,2,3,4,5})),{1,2,3,4,5})+1,9),'Hue codes'!$A$1:$B$10,2,FALSE)</f>
        <v>80</v>
      </c>
      <c r="C769">
        <f t="shared" si="11"/>
        <v>90</v>
      </c>
      <c r="D769" t="s">
        <v>56</v>
      </c>
      <c r="E769">
        <v>3</v>
      </c>
      <c r="F769">
        <v>20</v>
      </c>
      <c r="G769">
        <v>0.3332</v>
      </c>
      <c r="H769">
        <v>0.124</v>
      </c>
      <c r="I769">
        <v>6.5549999999999997</v>
      </c>
    </row>
    <row r="770" spans="1:9" x14ac:dyDescent="0.3">
      <c r="A770">
        <f>LOOKUP(9E+307,--MID(D770,1,{1,2,3,4,5}))</f>
        <v>10</v>
      </c>
      <c r="B770">
        <f>VLOOKUP(MID(D770,LOOKUP(2,1/ISNUMBER(-MID(D770,1,{1,2,3,4,5})),{1,2,3,4,5})+1,9),'Hue codes'!$A$1:$B$10,2,FALSE)</f>
        <v>80</v>
      </c>
      <c r="C770">
        <f t="shared" si="11"/>
        <v>90</v>
      </c>
      <c r="D770" t="s">
        <v>56</v>
      </c>
      <c r="E770">
        <v>3</v>
      </c>
      <c r="F770">
        <v>22</v>
      </c>
      <c r="G770">
        <v>0.33400000000000002</v>
      </c>
      <c r="H770">
        <v>0.11459999999999999</v>
      </c>
      <c r="I770">
        <v>6.5549999999999997</v>
      </c>
    </row>
    <row r="771" spans="1:9" x14ac:dyDescent="0.3">
      <c r="A771">
        <f>LOOKUP(9E+307,--MID(D771,1,{1,2,3,4,5}))</f>
        <v>10</v>
      </c>
      <c r="B771">
        <f>VLOOKUP(MID(D771,LOOKUP(2,1/ISNUMBER(-MID(D771,1,{1,2,3,4,5})),{1,2,3,4,5})+1,9),'Hue codes'!$A$1:$B$10,2,FALSE)</f>
        <v>80</v>
      </c>
      <c r="C771">
        <f t="shared" ref="C771:C834" si="12">IF(A771+B771=100,0,A771+B771)</f>
        <v>90</v>
      </c>
      <c r="D771" t="s">
        <v>56</v>
      </c>
      <c r="E771">
        <v>3</v>
      </c>
      <c r="F771">
        <v>24</v>
      </c>
      <c r="G771">
        <v>0.33410000000000001</v>
      </c>
      <c r="H771">
        <v>0.1055</v>
      </c>
      <c r="I771">
        <v>6.5549999999999997</v>
      </c>
    </row>
    <row r="772" spans="1:9" x14ac:dyDescent="0.3">
      <c r="A772">
        <f>LOOKUP(9E+307,--MID(D772,1,{1,2,3,4,5}))</f>
        <v>10</v>
      </c>
      <c r="B772">
        <f>VLOOKUP(MID(D772,LOOKUP(2,1/ISNUMBER(-MID(D772,1,{1,2,3,4,5})),{1,2,3,4,5})+1,9),'Hue codes'!$A$1:$B$10,2,FALSE)</f>
        <v>80</v>
      </c>
      <c r="C772">
        <f t="shared" si="12"/>
        <v>90</v>
      </c>
      <c r="D772" t="s">
        <v>56</v>
      </c>
      <c r="E772">
        <v>3</v>
      </c>
      <c r="F772">
        <v>26</v>
      </c>
      <c r="G772">
        <v>0.33429999999999999</v>
      </c>
      <c r="H772">
        <v>9.7799999999999998E-2</v>
      </c>
      <c r="I772">
        <v>6.5549999999999997</v>
      </c>
    </row>
    <row r="773" spans="1:9" x14ac:dyDescent="0.3">
      <c r="A773">
        <f>LOOKUP(9E+307,--MID(D773,1,{1,2,3,4,5}))</f>
        <v>2.5</v>
      </c>
      <c r="B773">
        <f>VLOOKUP(MID(D773,LOOKUP(2,1/ISNUMBER(-MID(D773,1,{1,2,3,4,5})),{1,2,3,4,5})+1,9),'Hue codes'!$A$1:$B$10,2,FALSE)</f>
        <v>90</v>
      </c>
      <c r="C773">
        <f t="shared" si="12"/>
        <v>92.5</v>
      </c>
      <c r="D773" t="s">
        <v>57</v>
      </c>
      <c r="E773">
        <v>3</v>
      </c>
      <c r="F773">
        <v>2</v>
      </c>
      <c r="G773">
        <v>0.32719999999999999</v>
      </c>
      <c r="H773">
        <v>0.28610000000000002</v>
      </c>
      <c r="I773">
        <v>6.5549999999999997</v>
      </c>
    </row>
    <row r="774" spans="1:9" x14ac:dyDescent="0.3">
      <c r="A774">
        <f>LOOKUP(9E+307,--MID(D774,1,{1,2,3,4,5}))</f>
        <v>2.5</v>
      </c>
      <c r="B774">
        <f>VLOOKUP(MID(D774,LOOKUP(2,1/ISNUMBER(-MID(D774,1,{1,2,3,4,5})),{1,2,3,4,5})+1,9),'Hue codes'!$A$1:$B$10,2,FALSE)</f>
        <v>90</v>
      </c>
      <c r="C774">
        <f t="shared" si="12"/>
        <v>92.5</v>
      </c>
      <c r="D774" t="s">
        <v>57</v>
      </c>
      <c r="E774">
        <v>3</v>
      </c>
      <c r="F774">
        <v>4</v>
      </c>
      <c r="G774">
        <v>0.34</v>
      </c>
      <c r="H774">
        <v>0.26240000000000002</v>
      </c>
      <c r="I774">
        <v>6.5549999999999997</v>
      </c>
    </row>
    <row r="775" spans="1:9" x14ac:dyDescent="0.3">
      <c r="A775">
        <f>LOOKUP(9E+307,--MID(D775,1,{1,2,3,4,5}))</f>
        <v>2.5</v>
      </c>
      <c r="B775">
        <f>VLOOKUP(MID(D775,LOOKUP(2,1/ISNUMBER(-MID(D775,1,{1,2,3,4,5})),{1,2,3,4,5})+1,9),'Hue codes'!$A$1:$B$10,2,FALSE)</f>
        <v>90</v>
      </c>
      <c r="C775">
        <f t="shared" si="12"/>
        <v>92.5</v>
      </c>
      <c r="D775" t="s">
        <v>57</v>
      </c>
      <c r="E775">
        <v>3</v>
      </c>
      <c r="F775">
        <v>6</v>
      </c>
      <c r="G775">
        <v>0.35010000000000002</v>
      </c>
      <c r="H775">
        <v>0.24249999999999999</v>
      </c>
      <c r="I775">
        <v>6.5549999999999997</v>
      </c>
    </row>
    <row r="776" spans="1:9" x14ac:dyDescent="0.3">
      <c r="A776">
        <f>LOOKUP(9E+307,--MID(D776,1,{1,2,3,4,5}))</f>
        <v>2.5</v>
      </c>
      <c r="B776">
        <f>VLOOKUP(MID(D776,LOOKUP(2,1/ISNUMBER(-MID(D776,1,{1,2,3,4,5})),{1,2,3,4,5})+1,9),'Hue codes'!$A$1:$B$10,2,FALSE)</f>
        <v>90</v>
      </c>
      <c r="C776">
        <f t="shared" si="12"/>
        <v>92.5</v>
      </c>
      <c r="D776" t="s">
        <v>57</v>
      </c>
      <c r="E776">
        <v>3</v>
      </c>
      <c r="F776">
        <v>8</v>
      </c>
      <c r="G776">
        <v>0.35980000000000001</v>
      </c>
      <c r="H776">
        <v>0.2233</v>
      </c>
      <c r="I776">
        <v>6.5549999999999997</v>
      </c>
    </row>
    <row r="777" spans="1:9" x14ac:dyDescent="0.3">
      <c r="A777">
        <f>LOOKUP(9E+307,--MID(D777,1,{1,2,3,4,5}))</f>
        <v>2.5</v>
      </c>
      <c r="B777">
        <f>VLOOKUP(MID(D777,LOOKUP(2,1/ISNUMBER(-MID(D777,1,{1,2,3,4,5})),{1,2,3,4,5})+1,9),'Hue codes'!$A$1:$B$10,2,FALSE)</f>
        <v>90</v>
      </c>
      <c r="C777">
        <f t="shared" si="12"/>
        <v>92.5</v>
      </c>
      <c r="D777" t="s">
        <v>57</v>
      </c>
      <c r="E777">
        <v>3</v>
      </c>
      <c r="F777">
        <v>10</v>
      </c>
      <c r="G777">
        <v>0.36809999999999998</v>
      </c>
      <c r="H777">
        <v>0.2054</v>
      </c>
      <c r="I777">
        <v>6.5549999999999997</v>
      </c>
    </row>
    <row r="778" spans="1:9" x14ac:dyDescent="0.3">
      <c r="A778">
        <f>LOOKUP(9E+307,--MID(D778,1,{1,2,3,4,5}))</f>
        <v>2.5</v>
      </c>
      <c r="B778">
        <f>VLOOKUP(MID(D778,LOOKUP(2,1/ISNUMBER(-MID(D778,1,{1,2,3,4,5})),{1,2,3,4,5})+1,9),'Hue codes'!$A$1:$B$10,2,FALSE)</f>
        <v>90</v>
      </c>
      <c r="C778">
        <f t="shared" si="12"/>
        <v>92.5</v>
      </c>
      <c r="D778" t="s">
        <v>57</v>
      </c>
      <c r="E778">
        <v>3</v>
      </c>
      <c r="F778">
        <v>12</v>
      </c>
      <c r="G778">
        <v>0.37540000000000001</v>
      </c>
      <c r="H778">
        <v>0.1898</v>
      </c>
      <c r="I778">
        <v>6.5549999999999997</v>
      </c>
    </row>
    <row r="779" spans="1:9" x14ac:dyDescent="0.3">
      <c r="A779">
        <f>LOOKUP(9E+307,--MID(D779,1,{1,2,3,4,5}))</f>
        <v>2.5</v>
      </c>
      <c r="B779">
        <f>VLOOKUP(MID(D779,LOOKUP(2,1/ISNUMBER(-MID(D779,1,{1,2,3,4,5})),{1,2,3,4,5})+1,9),'Hue codes'!$A$1:$B$10,2,FALSE)</f>
        <v>90</v>
      </c>
      <c r="C779">
        <f t="shared" si="12"/>
        <v>92.5</v>
      </c>
      <c r="D779" t="s">
        <v>57</v>
      </c>
      <c r="E779">
        <v>3</v>
      </c>
      <c r="F779">
        <v>14</v>
      </c>
      <c r="G779">
        <v>0.38179999999999997</v>
      </c>
      <c r="H779">
        <v>0.17580000000000001</v>
      </c>
      <c r="I779">
        <v>6.5549999999999997</v>
      </c>
    </row>
    <row r="780" spans="1:9" x14ac:dyDescent="0.3">
      <c r="A780">
        <f>LOOKUP(9E+307,--MID(D780,1,{1,2,3,4,5}))</f>
        <v>2.5</v>
      </c>
      <c r="B780">
        <f>VLOOKUP(MID(D780,LOOKUP(2,1/ISNUMBER(-MID(D780,1,{1,2,3,4,5})),{1,2,3,4,5})+1,9),'Hue codes'!$A$1:$B$10,2,FALSE)</f>
        <v>90</v>
      </c>
      <c r="C780">
        <f t="shared" si="12"/>
        <v>92.5</v>
      </c>
      <c r="D780" t="s">
        <v>57</v>
      </c>
      <c r="E780">
        <v>3</v>
      </c>
      <c r="F780">
        <v>16</v>
      </c>
      <c r="G780">
        <v>0.3876</v>
      </c>
      <c r="H780">
        <v>0.16289999999999999</v>
      </c>
      <c r="I780">
        <v>6.5549999999999997</v>
      </c>
    </row>
    <row r="781" spans="1:9" x14ac:dyDescent="0.3">
      <c r="A781">
        <f>LOOKUP(9E+307,--MID(D781,1,{1,2,3,4,5}))</f>
        <v>2.5</v>
      </c>
      <c r="B781">
        <f>VLOOKUP(MID(D781,LOOKUP(2,1/ISNUMBER(-MID(D781,1,{1,2,3,4,5})),{1,2,3,4,5})+1,9),'Hue codes'!$A$1:$B$10,2,FALSE)</f>
        <v>90</v>
      </c>
      <c r="C781">
        <f t="shared" si="12"/>
        <v>92.5</v>
      </c>
      <c r="D781" t="s">
        <v>57</v>
      </c>
      <c r="E781">
        <v>3</v>
      </c>
      <c r="F781">
        <v>18</v>
      </c>
      <c r="G781">
        <v>0.39290000000000003</v>
      </c>
      <c r="H781">
        <v>0.15060000000000001</v>
      </c>
      <c r="I781">
        <v>6.5549999999999997</v>
      </c>
    </row>
    <row r="782" spans="1:9" x14ac:dyDescent="0.3">
      <c r="A782">
        <f>LOOKUP(9E+307,--MID(D782,1,{1,2,3,4,5}))</f>
        <v>2.5</v>
      </c>
      <c r="B782">
        <f>VLOOKUP(MID(D782,LOOKUP(2,1/ISNUMBER(-MID(D782,1,{1,2,3,4,5})),{1,2,3,4,5})+1,9),'Hue codes'!$A$1:$B$10,2,FALSE)</f>
        <v>90</v>
      </c>
      <c r="C782">
        <f t="shared" si="12"/>
        <v>92.5</v>
      </c>
      <c r="D782" t="s">
        <v>57</v>
      </c>
      <c r="E782">
        <v>3</v>
      </c>
      <c r="F782">
        <v>20</v>
      </c>
      <c r="G782">
        <v>0.39689999999999998</v>
      </c>
      <c r="H782">
        <v>0.14130000000000001</v>
      </c>
      <c r="I782">
        <v>6.5549999999999997</v>
      </c>
    </row>
    <row r="783" spans="1:9" x14ac:dyDescent="0.3">
      <c r="A783">
        <f>LOOKUP(9E+307,--MID(D783,1,{1,2,3,4,5}))</f>
        <v>2.5</v>
      </c>
      <c r="B783">
        <f>VLOOKUP(MID(D783,LOOKUP(2,1/ISNUMBER(-MID(D783,1,{1,2,3,4,5})),{1,2,3,4,5})+1,9),'Hue codes'!$A$1:$B$10,2,FALSE)</f>
        <v>90</v>
      </c>
      <c r="C783">
        <f t="shared" si="12"/>
        <v>92.5</v>
      </c>
      <c r="D783" t="s">
        <v>57</v>
      </c>
      <c r="E783">
        <v>3</v>
      </c>
      <c r="F783">
        <v>22</v>
      </c>
      <c r="G783">
        <v>0.40179999999999999</v>
      </c>
      <c r="H783">
        <v>0.13039999999999999</v>
      </c>
      <c r="I783">
        <v>6.5549999999999997</v>
      </c>
    </row>
    <row r="784" spans="1:9" x14ac:dyDescent="0.3">
      <c r="A784">
        <f>LOOKUP(9E+307,--MID(D784,1,{1,2,3,4,5}))</f>
        <v>5</v>
      </c>
      <c r="B784">
        <f>VLOOKUP(MID(D784,LOOKUP(2,1/ISNUMBER(-MID(D784,1,{1,2,3,4,5})),{1,2,3,4,5})+1,9),'Hue codes'!$A$1:$B$10,2,FALSE)</f>
        <v>90</v>
      </c>
      <c r="C784">
        <f t="shared" si="12"/>
        <v>95</v>
      </c>
      <c r="D784" t="s">
        <v>58</v>
      </c>
      <c r="E784">
        <v>3</v>
      </c>
      <c r="F784">
        <v>2</v>
      </c>
      <c r="G784">
        <v>0.33700000000000002</v>
      </c>
      <c r="H784">
        <v>0.29399999999999998</v>
      </c>
      <c r="I784">
        <v>6.5549999999999997</v>
      </c>
    </row>
    <row r="785" spans="1:9" x14ac:dyDescent="0.3">
      <c r="A785">
        <f>LOOKUP(9E+307,--MID(D785,1,{1,2,3,4,5}))</f>
        <v>5</v>
      </c>
      <c r="B785">
        <f>VLOOKUP(MID(D785,LOOKUP(2,1/ISNUMBER(-MID(D785,1,{1,2,3,4,5})),{1,2,3,4,5})+1,9),'Hue codes'!$A$1:$B$10,2,FALSE)</f>
        <v>90</v>
      </c>
      <c r="C785">
        <f t="shared" si="12"/>
        <v>95</v>
      </c>
      <c r="D785" t="s">
        <v>58</v>
      </c>
      <c r="E785">
        <v>3</v>
      </c>
      <c r="F785">
        <v>4</v>
      </c>
      <c r="G785">
        <v>0.35859999999999997</v>
      </c>
      <c r="H785">
        <v>0.2742</v>
      </c>
      <c r="I785">
        <v>6.5549999999999997</v>
      </c>
    </row>
    <row r="786" spans="1:9" x14ac:dyDescent="0.3">
      <c r="A786">
        <f>LOOKUP(9E+307,--MID(D786,1,{1,2,3,4,5}))</f>
        <v>5</v>
      </c>
      <c r="B786">
        <f>VLOOKUP(MID(D786,LOOKUP(2,1/ISNUMBER(-MID(D786,1,{1,2,3,4,5})),{1,2,3,4,5})+1,9),'Hue codes'!$A$1:$B$10,2,FALSE)</f>
        <v>90</v>
      </c>
      <c r="C786">
        <f t="shared" si="12"/>
        <v>95</v>
      </c>
      <c r="D786" t="s">
        <v>58</v>
      </c>
      <c r="E786">
        <v>3</v>
      </c>
      <c r="F786">
        <v>6</v>
      </c>
      <c r="G786">
        <v>0.3765</v>
      </c>
      <c r="H786">
        <v>0.25690000000000002</v>
      </c>
      <c r="I786">
        <v>6.5549999999999997</v>
      </c>
    </row>
    <row r="787" spans="1:9" x14ac:dyDescent="0.3">
      <c r="A787">
        <f>LOOKUP(9E+307,--MID(D787,1,{1,2,3,4,5}))</f>
        <v>5</v>
      </c>
      <c r="B787">
        <f>VLOOKUP(MID(D787,LOOKUP(2,1/ISNUMBER(-MID(D787,1,{1,2,3,4,5})),{1,2,3,4,5})+1,9),'Hue codes'!$A$1:$B$10,2,FALSE)</f>
        <v>90</v>
      </c>
      <c r="C787">
        <f t="shared" si="12"/>
        <v>95</v>
      </c>
      <c r="D787" t="s">
        <v>58</v>
      </c>
      <c r="E787">
        <v>3</v>
      </c>
      <c r="F787">
        <v>8</v>
      </c>
      <c r="G787">
        <v>0.39300000000000002</v>
      </c>
      <c r="H787">
        <v>0.23949999999999999</v>
      </c>
      <c r="I787">
        <v>6.5549999999999997</v>
      </c>
    </row>
    <row r="788" spans="1:9" x14ac:dyDescent="0.3">
      <c r="A788">
        <f>LOOKUP(9E+307,--MID(D788,1,{1,2,3,4,5}))</f>
        <v>5</v>
      </c>
      <c r="B788">
        <f>VLOOKUP(MID(D788,LOOKUP(2,1/ISNUMBER(-MID(D788,1,{1,2,3,4,5})),{1,2,3,4,5})+1,9),'Hue codes'!$A$1:$B$10,2,FALSE)</f>
        <v>90</v>
      </c>
      <c r="C788">
        <f t="shared" si="12"/>
        <v>95</v>
      </c>
      <c r="D788" t="s">
        <v>58</v>
      </c>
      <c r="E788">
        <v>3</v>
      </c>
      <c r="F788">
        <v>10</v>
      </c>
      <c r="G788">
        <v>0.4073</v>
      </c>
      <c r="H788">
        <v>0.2235</v>
      </c>
      <c r="I788">
        <v>6.5549999999999997</v>
      </c>
    </row>
    <row r="789" spans="1:9" x14ac:dyDescent="0.3">
      <c r="A789">
        <f>LOOKUP(9E+307,--MID(D789,1,{1,2,3,4,5}))</f>
        <v>5</v>
      </c>
      <c r="B789">
        <f>VLOOKUP(MID(D789,LOOKUP(2,1/ISNUMBER(-MID(D789,1,{1,2,3,4,5})),{1,2,3,4,5})+1,9),'Hue codes'!$A$1:$B$10,2,FALSE)</f>
        <v>90</v>
      </c>
      <c r="C789">
        <f t="shared" si="12"/>
        <v>95</v>
      </c>
      <c r="D789" t="s">
        <v>58</v>
      </c>
      <c r="E789">
        <v>3</v>
      </c>
      <c r="F789">
        <v>12</v>
      </c>
      <c r="G789">
        <v>0.4199</v>
      </c>
      <c r="H789">
        <v>0.2089</v>
      </c>
      <c r="I789">
        <v>6.5549999999999997</v>
      </c>
    </row>
    <row r="790" spans="1:9" x14ac:dyDescent="0.3">
      <c r="A790">
        <f>LOOKUP(9E+307,--MID(D790,1,{1,2,3,4,5}))</f>
        <v>5</v>
      </c>
      <c r="B790">
        <f>VLOOKUP(MID(D790,LOOKUP(2,1/ISNUMBER(-MID(D790,1,{1,2,3,4,5})),{1,2,3,4,5})+1,9),'Hue codes'!$A$1:$B$10,2,FALSE)</f>
        <v>90</v>
      </c>
      <c r="C790">
        <f t="shared" si="12"/>
        <v>95</v>
      </c>
      <c r="D790" t="s">
        <v>58</v>
      </c>
      <c r="E790">
        <v>3</v>
      </c>
      <c r="F790">
        <v>14</v>
      </c>
      <c r="G790">
        <v>0.43130000000000002</v>
      </c>
      <c r="H790">
        <v>0.19439999999999999</v>
      </c>
      <c r="I790">
        <v>6.5549999999999997</v>
      </c>
    </row>
    <row r="791" spans="1:9" x14ac:dyDescent="0.3">
      <c r="A791">
        <f>LOOKUP(9E+307,--MID(D791,1,{1,2,3,4,5}))</f>
        <v>5</v>
      </c>
      <c r="B791">
        <f>VLOOKUP(MID(D791,LOOKUP(2,1/ISNUMBER(-MID(D791,1,{1,2,3,4,5})),{1,2,3,4,5})+1,9),'Hue codes'!$A$1:$B$10,2,FALSE)</f>
        <v>90</v>
      </c>
      <c r="C791">
        <f t="shared" si="12"/>
        <v>95</v>
      </c>
      <c r="D791" t="s">
        <v>58</v>
      </c>
      <c r="E791">
        <v>3</v>
      </c>
      <c r="F791">
        <v>16</v>
      </c>
      <c r="G791">
        <v>0.44180000000000003</v>
      </c>
      <c r="H791">
        <v>0.18090000000000001</v>
      </c>
      <c r="I791">
        <v>6.5549999999999997</v>
      </c>
    </row>
    <row r="792" spans="1:9" x14ac:dyDescent="0.3">
      <c r="A792">
        <f>LOOKUP(9E+307,--MID(D792,1,{1,2,3,4,5}))</f>
        <v>5</v>
      </c>
      <c r="B792">
        <f>VLOOKUP(MID(D792,LOOKUP(2,1/ISNUMBER(-MID(D792,1,{1,2,3,4,5})),{1,2,3,4,5})+1,9),'Hue codes'!$A$1:$B$10,2,FALSE)</f>
        <v>90</v>
      </c>
      <c r="C792">
        <f t="shared" si="12"/>
        <v>95</v>
      </c>
      <c r="D792" t="s">
        <v>58</v>
      </c>
      <c r="E792">
        <v>3</v>
      </c>
      <c r="F792">
        <v>18</v>
      </c>
      <c r="G792">
        <v>0.45029999999999998</v>
      </c>
      <c r="H792">
        <v>0.16950000000000001</v>
      </c>
      <c r="I792">
        <v>6.5549999999999997</v>
      </c>
    </row>
    <row r="793" spans="1:9" x14ac:dyDescent="0.3">
      <c r="A793">
        <f>LOOKUP(9E+307,--MID(D793,1,{1,2,3,4,5}))</f>
        <v>5</v>
      </c>
      <c r="B793">
        <f>VLOOKUP(MID(D793,LOOKUP(2,1/ISNUMBER(-MID(D793,1,{1,2,3,4,5})),{1,2,3,4,5})+1,9),'Hue codes'!$A$1:$B$10,2,FALSE)</f>
        <v>90</v>
      </c>
      <c r="C793">
        <f t="shared" si="12"/>
        <v>95</v>
      </c>
      <c r="D793" t="s">
        <v>58</v>
      </c>
      <c r="E793">
        <v>3</v>
      </c>
      <c r="F793">
        <v>20</v>
      </c>
      <c r="G793">
        <v>0.4577</v>
      </c>
      <c r="H793">
        <v>0.1593</v>
      </c>
      <c r="I793">
        <v>6.5549999999999997</v>
      </c>
    </row>
    <row r="794" spans="1:9" x14ac:dyDescent="0.3">
      <c r="A794">
        <f>LOOKUP(9E+307,--MID(D794,1,{1,2,3,4,5}))</f>
        <v>7.5</v>
      </c>
      <c r="B794">
        <f>VLOOKUP(MID(D794,LOOKUP(2,1/ISNUMBER(-MID(D794,1,{1,2,3,4,5})),{1,2,3,4,5})+1,9),'Hue codes'!$A$1:$B$10,2,FALSE)</f>
        <v>90</v>
      </c>
      <c r="C794">
        <f t="shared" si="12"/>
        <v>97.5</v>
      </c>
      <c r="D794" t="s">
        <v>59</v>
      </c>
      <c r="E794">
        <v>3</v>
      </c>
      <c r="F794">
        <v>2</v>
      </c>
      <c r="G794">
        <v>0.34499999999999997</v>
      </c>
      <c r="H794">
        <v>0.30009999999999998</v>
      </c>
      <c r="I794">
        <v>6.5549999999999997</v>
      </c>
    </row>
    <row r="795" spans="1:9" x14ac:dyDescent="0.3">
      <c r="A795">
        <f>LOOKUP(9E+307,--MID(D795,1,{1,2,3,4,5}))</f>
        <v>7.5</v>
      </c>
      <c r="B795">
        <f>VLOOKUP(MID(D795,LOOKUP(2,1/ISNUMBER(-MID(D795,1,{1,2,3,4,5})),{1,2,3,4,5})+1,9),'Hue codes'!$A$1:$B$10,2,FALSE)</f>
        <v>90</v>
      </c>
      <c r="C795">
        <f t="shared" si="12"/>
        <v>97.5</v>
      </c>
      <c r="D795" t="s">
        <v>59</v>
      </c>
      <c r="E795">
        <v>3</v>
      </c>
      <c r="F795">
        <v>4</v>
      </c>
      <c r="G795">
        <v>0.37390000000000001</v>
      </c>
      <c r="H795">
        <v>0.28510000000000002</v>
      </c>
      <c r="I795">
        <v>6.5549999999999997</v>
      </c>
    </row>
    <row r="796" spans="1:9" x14ac:dyDescent="0.3">
      <c r="A796">
        <f>LOOKUP(9E+307,--MID(D796,1,{1,2,3,4,5}))</f>
        <v>7.5</v>
      </c>
      <c r="B796">
        <f>VLOOKUP(MID(D796,LOOKUP(2,1/ISNUMBER(-MID(D796,1,{1,2,3,4,5})),{1,2,3,4,5})+1,9),'Hue codes'!$A$1:$B$10,2,FALSE)</f>
        <v>90</v>
      </c>
      <c r="C796">
        <f t="shared" si="12"/>
        <v>97.5</v>
      </c>
      <c r="D796" t="s">
        <v>59</v>
      </c>
      <c r="E796">
        <v>3</v>
      </c>
      <c r="F796">
        <v>6</v>
      </c>
      <c r="G796">
        <v>0.39900000000000002</v>
      </c>
      <c r="H796">
        <v>0.27079999999999999</v>
      </c>
      <c r="I796">
        <v>6.5549999999999997</v>
      </c>
    </row>
    <row r="797" spans="1:9" x14ac:dyDescent="0.3">
      <c r="A797">
        <f>LOOKUP(9E+307,--MID(D797,1,{1,2,3,4,5}))</f>
        <v>7.5</v>
      </c>
      <c r="B797">
        <f>VLOOKUP(MID(D797,LOOKUP(2,1/ISNUMBER(-MID(D797,1,{1,2,3,4,5})),{1,2,3,4,5})+1,9),'Hue codes'!$A$1:$B$10,2,FALSE)</f>
        <v>90</v>
      </c>
      <c r="C797">
        <f t="shared" si="12"/>
        <v>97.5</v>
      </c>
      <c r="D797" t="s">
        <v>59</v>
      </c>
      <c r="E797">
        <v>3</v>
      </c>
      <c r="F797">
        <v>8</v>
      </c>
      <c r="G797">
        <v>0.4234</v>
      </c>
      <c r="H797">
        <v>0.25559999999999999</v>
      </c>
      <c r="I797">
        <v>6.5549999999999997</v>
      </c>
    </row>
    <row r="798" spans="1:9" x14ac:dyDescent="0.3">
      <c r="A798">
        <f>LOOKUP(9E+307,--MID(D798,1,{1,2,3,4,5}))</f>
        <v>7.5</v>
      </c>
      <c r="B798">
        <f>VLOOKUP(MID(D798,LOOKUP(2,1/ISNUMBER(-MID(D798,1,{1,2,3,4,5})),{1,2,3,4,5})+1,9),'Hue codes'!$A$1:$B$10,2,FALSE)</f>
        <v>90</v>
      </c>
      <c r="C798">
        <f t="shared" si="12"/>
        <v>97.5</v>
      </c>
      <c r="D798" t="s">
        <v>59</v>
      </c>
      <c r="E798">
        <v>3</v>
      </c>
      <c r="F798">
        <v>10</v>
      </c>
      <c r="G798">
        <v>0.44450000000000001</v>
      </c>
      <c r="H798">
        <v>0.2419</v>
      </c>
      <c r="I798">
        <v>6.5549999999999997</v>
      </c>
    </row>
    <row r="799" spans="1:9" x14ac:dyDescent="0.3">
      <c r="A799">
        <f>LOOKUP(9E+307,--MID(D799,1,{1,2,3,4,5}))</f>
        <v>7.5</v>
      </c>
      <c r="B799">
        <f>VLOOKUP(MID(D799,LOOKUP(2,1/ISNUMBER(-MID(D799,1,{1,2,3,4,5})),{1,2,3,4,5})+1,9),'Hue codes'!$A$1:$B$10,2,FALSE)</f>
        <v>90</v>
      </c>
      <c r="C799">
        <f t="shared" si="12"/>
        <v>97.5</v>
      </c>
      <c r="D799" t="s">
        <v>59</v>
      </c>
      <c r="E799">
        <v>3</v>
      </c>
      <c r="F799">
        <v>12</v>
      </c>
      <c r="G799">
        <v>0.46539999999999998</v>
      </c>
      <c r="H799">
        <v>0.2273</v>
      </c>
      <c r="I799">
        <v>6.5549999999999997</v>
      </c>
    </row>
    <row r="800" spans="1:9" x14ac:dyDescent="0.3">
      <c r="A800">
        <f>LOOKUP(9E+307,--MID(D800,1,{1,2,3,4,5}))</f>
        <v>7.5</v>
      </c>
      <c r="B800">
        <f>VLOOKUP(MID(D800,LOOKUP(2,1/ISNUMBER(-MID(D800,1,{1,2,3,4,5})),{1,2,3,4,5})+1,9),'Hue codes'!$A$1:$B$10,2,FALSE)</f>
        <v>90</v>
      </c>
      <c r="C800">
        <f t="shared" si="12"/>
        <v>97.5</v>
      </c>
      <c r="D800" t="s">
        <v>59</v>
      </c>
      <c r="E800">
        <v>3</v>
      </c>
      <c r="F800">
        <v>14</v>
      </c>
      <c r="G800">
        <v>0.48309999999999997</v>
      </c>
      <c r="H800">
        <v>0.214</v>
      </c>
      <c r="I800">
        <v>6.5549999999999997</v>
      </c>
    </row>
    <row r="801" spans="1:9" x14ac:dyDescent="0.3">
      <c r="A801">
        <f>LOOKUP(9E+307,--MID(D801,1,{1,2,3,4,5}))</f>
        <v>7.5</v>
      </c>
      <c r="B801">
        <f>VLOOKUP(MID(D801,LOOKUP(2,1/ISNUMBER(-MID(D801,1,{1,2,3,4,5})),{1,2,3,4,5})+1,9),'Hue codes'!$A$1:$B$10,2,FALSE)</f>
        <v>90</v>
      </c>
      <c r="C801">
        <f t="shared" si="12"/>
        <v>97.5</v>
      </c>
      <c r="D801" t="s">
        <v>59</v>
      </c>
      <c r="E801">
        <v>3</v>
      </c>
      <c r="F801">
        <v>16</v>
      </c>
      <c r="G801">
        <v>0.49909999999999999</v>
      </c>
      <c r="H801">
        <v>0.2011</v>
      </c>
      <c r="I801">
        <v>6.5549999999999997</v>
      </c>
    </row>
    <row r="802" spans="1:9" x14ac:dyDescent="0.3">
      <c r="A802">
        <f>LOOKUP(9E+307,--MID(D802,1,{1,2,3,4,5}))</f>
        <v>7.5</v>
      </c>
      <c r="B802">
        <f>VLOOKUP(MID(D802,LOOKUP(2,1/ISNUMBER(-MID(D802,1,{1,2,3,4,5})),{1,2,3,4,5})+1,9),'Hue codes'!$A$1:$B$10,2,FALSE)</f>
        <v>90</v>
      </c>
      <c r="C802">
        <f t="shared" si="12"/>
        <v>97.5</v>
      </c>
      <c r="D802" t="s">
        <v>59</v>
      </c>
      <c r="E802">
        <v>3</v>
      </c>
      <c r="F802">
        <v>18</v>
      </c>
      <c r="G802">
        <v>0.51300000000000001</v>
      </c>
      <c r="H802">
        <v>0.1893</v>
      </c>
      <c r="I802">
        <v>6.5549999999999997</v>
      </c>
    </row>
    <row r="803" spans="1:9" x14ac:dyDescent="0.3">
      <c r="A803">
        <f>LOOKUP(9E+307,--MID(D803,1,{1,2,3,4,5}))</f>
        <v>10</v>
      </c>
      <c r="B803">
        <f>VLOOKUP(MID(D803,LOOKUP(2,1/ISNUMBER(-MID(D803,1,{1,2,3,4,5})),{1,2,3,4,5})+1,9),'Hue codes'!$A$1:$B$10,2,FALSE)</f>
        <v>90</v>
      </c>
      <c r="C803">
        <f t="shared" si="12"/>
        <v>0</v>
      </c>
      <c r="D803" t="s">
        <v>20</v>
      </c>
      <c r="E803">
        <v>4</v>
      </c>
      <c r="F803">
        <v>2</v>
      </c>
      <c r="G803">
        <v>0.3417</v>
      </c>
      <c r="H803">
        <v>0.31059999999999999</v>
      </c>
      <c r="I803">
        <v>12</v>
      </c>
    </row>
    <row r="804" spans="1:9" x14ac:dyDescent="0.3">
      <c r="A804">
        <f>LOOKUP(9E+307,--MID(D804,1,{1,2,3,4,5}))</f>
        <v>10</v>
      </c>
      <c r="B804">
        <f>VLOOKUP(MID(D804,LOOKUP(2,1/ISNUMBER(-MID(D804,1,{1,2,3,4,5})),{1,2,3,4,5})+1,9),'Hue codes'!$A$1:$B$10,2,FALSE)</f>
        <v>90</v>
      </c>
      <c r="C804">
        <f t="shared" si="12"/>
        <v>0</v>
      </c>
      <c r="D804" t="s">
        <v>20</v>
      </c>
      <c r="E804">
        <v>4</v>
      </c>
      <c r="F804">
        <v>4</v>
      </c>
      <c r="G804">
        <v>0.3715</v>
      </c>
      <c r="H804">
        <v>0.30420000000000003</v>
      </c>
      <c r="I804">
        <v>12</v>
      </c>
    </row>
    <row r="805" spans="1:9" x14ac:dyDescent="0.3">
      <c r="A805">
        <f>LOOKUP(9E+307,--MID(D805,1,{1,2,3,4,5}))</f>
        <v>10</v>
      </c>
      <c r="B805">
        <f>VLOOKUP(MID(D805,LOOKUP(2,1/ISNUMBER(-MID(D805,1,{1,2,3,4,5})),{1,2,3,4,5})+1,9),'Hue codes'!$A$1:$B$10,2,FALSE)</f>
        <v>90</v>
      </c>
      <c r="C805">
        <f t="shared" si="12"/>
        <v>0</v>
      </c>
      <c r="D805" t="s">
        <v>20</v>
      </c>
      <c r="E805">
        <v>4</v>
      </c>
      <c r="F805">
        <v>6</v>
      </c>
      <c r="G805">
        <v>0.39989999999999998</v>
      </c>
      <c r="H805">
        <v>0.29720000000000002</v>
      </c>
      <c r="I805">
        <v>12</v>
      </c>
    </row>
    <row r="806" spans="1:9" x14ac:dyDescent="0.3">
      <c r="A806">
        <f>LOOKUP(9E+307,--MID(D806,1,{1,2,3,4,5}))</f>
        <v>10</v>
      </c>
      <c r="B806">
        <f>VLOOKUP(MID(D806,LOOKUP(2,1/ISNUMBER(-MID(D806,1,{1,2,3,4,5})),{1,2,3,4,5})+1,9),'Hue codes'!$A$1:$B$10,2,FALSE)</f>
        <v>90</v>
      </c>
      <c r="C806">
        <f t="shared" si="12"/>
        <v>0</v>
      </c>
      <c r="D806" t="s">
        <v>20</v>
      </c>
      <c r="E806">
        <v>4</v>
      </c>
      <c r="F806">
        <v>8</v>
      </c>
      <c r="G806">
        <v>0.42820000000000003</v>
      </c>
      <c r="H806">
        <v>0.28899999999999998</v>
      </c>
      <c r="I806">
        <v>12</v>
      </c>
    </row>
    <row r="807" spans="1:9" x14ac:dyDescent="0.3">
      <c r="A807">
        <f>LOOKUP(9E+307,--MID(D807,1,{1,2,3,4,5}))</f>
        <v>10</v>
      </c>
      <c r="B807">
        <f>VLOOKUP(MID(D807,LOOKUP(2,1/ISNUMBER(-MID(D807,1,{1,2,3,4,5})),{1,2,3,4,5})+1,9),'Hue codes'!$A$1:$B$10,2,FALSE)</f>
        <v>90</v>
      </c>
      <c r="C807">
        <f t="shared" si="12"/>
        <v>0</v>
      </c>
      <c r="D807" t="s">
        <v>20</v>
      </c>
      <c r="E807">
        <v>4</v>
      </c>
      <c r="F807">
        <v>10</v>
      </c>
      <c r="G807">
        <v>0.45279999999999998</v>
      </c>
      <c r="H807">
        <v>0.28110000000000002</v>
      </c>
      <c r="I807">
        <v>12</v>
      </c>
    </row>
    <row r="808" spans="1:9" x14ac:dyDescent="0.3">
      <c r="A808">
        <f>LOOKUP(9E+307,--MID(D808,1,{1,2,3,4,5}))</f>
        <v>10</v>
      </c>
      <c r="B808">
        <f>VLOOKUP(MID(D808,LOOKUP(2,1/ISNUMBER(-MID(D808,1,{1,2,3,4,5})),{1,2,3,4,5})+1,9),'Hue codes'!$A$1:$B$10,2,FALSE)</f>
        <v>90</v>
      </c>
      <c r="C808">
        <f t="shared" si="12"/>
        <v>0</v>
      </c>
      <c r="D808" t="s">
        <v>20</v>
      </c>
      <c r="E808">
        <v>4</v>
      </c>
      <c r="F808">
        <v>12</v>
      </c>
      <c r="G808">
        <v>0.47889999999999999</v>
      </c>
      <c r="H808">
        <v>0.2717</v>
      </c>
      <c r="I808">
        <v>12</v>
      </c>
    </row>
    <row r="809" spans="1:9" x14ac:dyDescent="0.3">
      <c r="A809">
        <f>LOOKUP(9E+307,--MID(D809,1,{1,2,3,4,5}))</f>
        <v>10</v>
      </c>
      <c r="B809">
        <f>VLOOKUP(MID(D809,LOOKUP(2,1/ISNUMBER(-MID(D809,1,{1,2,3,4,5})),{1,2,3,4,5})+1,9),'Hue codes'!$A$1:$B$10,2,FALSE)</f>
        <v>90</v>
      </c>
      <c r="C809">
        <f t="shared" si="12"/>
        <v>0</v>
      </c>
      <c r="D809" t="s">
        <v>20</v>
      </c>
      <c r="E809">
        <v>4</v>
      </c>
      <c r="F809">
        <v>14</v>
      </c>
      <c r="G809">
        <v>0.502</v>
      </c>
      <c r="H809">
        <v>0.26229999999999998</v>
      </c>
      <c r="I809">
        <v>12</v>
      </c>
    </row>
    <row r="810" spans="1:9" x14ac:dyDescent="0.3">
      <c r="A810">
        <f>LOOKUP(9E+307,--MID(D810,1,{1,2,3,4,5}))</f>
        <v>10</v>
      </c>
      <c r="B810">
        <f>VLOOKUP(MID(D810,LOOKUP(2,1/ISNUMBER(-MID(D810,1,{1,2,3,4,5})),{1,2,3,4,5})+1,9),'Hue codes'!$A$1:$B$10,2,FALSE)</f>
        <v>90</v>
      </c>
      <c r="C810">
        <f t="shared" si="12"/>
        <v>0</v>
      </c>
      <c r="D810" t="s">
        <v>20</v>
      </c>
      <c r="E810">
        <v>4</v>
      </c>
      <c r="F810">
        <v>16</v>
      </c>
      <c r="G810">
        <v>0.52339999999999998</v>
      </c>
      <c r="H810">
        <v>0.253</v>
      </c>
      <c r="I810">
        <v>12</v>
      </c>
    </row>
    <row r="811" spans="1:9" x14ac:dyDescent="0.3">
      <c r="A811">
        <f>LOOKUP(9E+307,--MID(D811,1,{1,2,3,4,5}))</f>
        <v>10</v>
      </c>
      <c r="B811">
        <f>VLOOKUP(MID(D811,LOOKUP(2,1/ISNUMBER(-MID(D811,1,{1,2,3,4,5})),{1,2,3,4,5})+1,9),'Hue codes'!$A$1:$B$10,2,FALSE)</f>
        <v>90</v>
      </c>
      <c r="C811">
        <f t="shared" si="12"/>
        <v>0</v>
      </c>
      <c r="D811" t="s">
        <v>20</v>
      </c>
      <c r="E811">
        <v>4</v>
      </c>
      <c r="F811">
        <v>18</v>
      </c>
      <c r="G811">
        <v>0.54659999999999997</v>
      </c>
      <c r="H811">
        <v>0.2424</v>
      </c>
      <c r="I811">
        <v>12</v>
      </c>
    </row>
    <row r="812" spans="1:9" x14ac:dyDescent="0.3">
      <c r="A812">
        <f>LOOKUP(9E+307,--MID(D812,1,{1,2,3,4,5}))</f>
        <v>10</v>
      </c>
      <c r="B812">
        <f>VLOOKUP(MID(D812,LOOKUP(2,1/ISNUMBER(-MID(D812,1,{1,2,3,4,5})),{1,2,3,4,5})+1,9),'Hue codes'!$A$1:$B$10,2,FALSE)</f>
        <v>90</v>
      </c>
      <c r="C812">
        <f t="shared" si="12"/>
        <v>0</v>
      </c>
      <c r="D812" t="s">
        <v>20</v>
      </c>
      <c r="E812">
        <v>4</v>
      </c>
      <c r="F812">
        <v>20</v>
      </c>
      <c r="G812">
        <v>0.56740000000000002</v>
      </c>
      <c r="H812">
        <v>0.2319</v>
      </c>
      <c r="I812">
        <v>12</v>
      </c>
    </row>
    <row r="813" spans="1:9" x14ac:dyDescent="0.3">
      <c r="A813">
        <f>LOOKUP(9E+307,--MID(D813,1,{1,2,3,4,5}))</f>
        <v>2.5</v>
      </c>
      <c r="B813">
        <f>VLOOKUP(MID(D813,LOOKUP(2,1/ISNUMBER(-MID(D813,1,{1,2,3,4,5})),{1,2,3,4,5})+1,9),'Hue codes'!$A$1:$B$10,2,FALSE)</f>
        <v>0</v>
      </c>
      <c r="C813">
        <f t="shared" si="12"/>
        <v>2.5</v>
      </c>
      <c r="D813" t="s">
        <v>21</v>
      </c>
      <c r="E813">
        <v>4</v>
      </c>
      <c r="F813">
        <v>2</v>
      </c>
      <c r="G813">
        <v>0.34610000000000002</v>
      </c>
      <c r="H813">
        <v>0.315</v>
      </c>
      <c r="I813">
        <v>12</v>
      </c>
    </row>
    <row r="814" spans="1:9" x14ac:dyDescent="0.3">
      <c r="A814">
        <f>LOOKUP(9E+307,--MID(D814,1,{1,2,3,4,5}))</f>
        <v>2.5</v>
      </c>
      <c r="B814">
        <f>VLOOKUP(MID(D814,LOOKUP(2,1/ISNUMBER(-MID(D814,1,{1,2,3,4,5})),{1,2,3,4,5})+1,9),'Hue codes'!$A$1:$B$10,2,FALSE)</f>
        <v>0</v>
      </c>
      <c r="C814">
        <f t="shared" si="12"/>
        <v>2.5</v>
      </c>
      <c r="D814" t="s">
        <v>21</v>
      </c>
      <c r="E814">
        <v>4</v>
      </c>
      <c r="F814">
        <v>4</v>
      </c>
      <c r="G814">
        <v>0.38059999999999999</v>
      </c>
      <c r="H814">
        <v>0.3125</v>
      </c>
      <c r="I814">
        <v>12</v>
      </c>
    </row>
    <row r="815" spans="1:9" x14ac:dyDescent="0.3">
      <c r="A815">
        <f>LOOKUP(9E+307,--MID(D815,1,{1,2,3,4,5}))</f>
        <v>2.5</v>
      </c>
      <c r="B815">
        <f>VLOOKUP(MID(D815,LOOKUP(2,1/ISNUMBER(-MID(D815,1,{1,2,3,4,5})),{1,2,3,4,5})+1,9),'Hue codes'!$A$1:$B$10,2,FALSE)</f>
        <v>0</v>
      </c>
      <c r="C815">
        <f t="shared" si="12"/>
        <v>2.5</v>
      </c>
      <c r="D815" t="s">
        <v>21</v>
      </c>
      <c r="E815">
        <v>4</v>
      </c>
      <c r="F815">
        <v>6</v>
      </c>
      <c r="G815">
        <v>0.41410000000000002</v>
      </c>
      <c r="H815">
        <v>0.3085</v>
      </c>
      <c r="I815">
        <v>12</v>
      </c>
    </row>
    <row r="816" spans="1:9" x14ac:dyDescent="0.3">
      <c r="A816">
        <f>LOOKUP(9E+307,--MID(D816,1,{1,2,3,4,5}))</f>
        <v>2.5</v>
      </c>
      <c r="B816">
        <f>VLOOKUP(MID(D816,LOOKUP(2,1/ISNUMBER(-MID(D816,1,{1,2,3,4,5})),{1,2,3,4,5})+1,9),'Hue codes'!$A$1:$B$10,2,FALSE)</f>
        <v>0</v>
      </c>
      <c r="C816">
        <f t="shared" si="12"/>
        <v>2.5</v>
      </c>
      <c r="D816" t="s">
        <v>21</v>
      </c>
      <c r="E816">
        <v>4</v>
      </c>
      <c r="F816">
        <v>8</v>
      </c>
      <c r="G816">
        <v>0.44719999999999999</v>
      </c>
      <c r="H816">
        <v>0.30309999999999998</v>
      </c>
      <c r="I816">
        <v>12</v>
      </c>
    </row>
    <row r="817" spans="1:9" x14ac:dyDescent="0.3">
      <c r="A817">
        <f>LOOKUP(9E+307,--MID(D817,1,{1,2,3,4,5}))</f>
        <v>2.5</v>
      </c>
      <c r="B817">
        <f>VLOOKUP(MID(D817,LOOKUP(2,1/ISNUMBER(-MID(D817,1,{1,2,3,4,5})),{1,2,3,4,5})+1,9),'Hue codes'!$A$1:$B$10,2,FALSE)</f>
        <v>0</v>
      </c>
      <c r="C817">
        <f t="shared" si="12"/>
        <v>2.5</v>
      </c>
      <c r="D817" t="s">
        <v>21</v>
      </c>
      <c r="E817">
        <v>4</v>
      </c>
      <c r="F817">
        <v>10</v>
      </c>
      <c r="G817">
        <v>0.47739999999999999</v>
      </c>
      <c r="H817">
        <v>0.2969</v>
      </c>
      <c r="I817">
        <v>12</v>
      </c>
    </row>
    <row r="818" spans="1:9" x14ac:dyDescent="0.3">
      <c r="A818">
        <f>LOOKUP(9E+307,--MID(D818,1,{1,2,3,4,5}))</f>
        <v>2.5</v>
      </c>
      <c r="B818">
        <f>VLOOKUP(MID(D818,LOOKUP(2,1/ISNUMBER(-MID(D818,1,{1,2,3,4,5})),{1,2,3,4,5})+1,9),'Hue codes'!$A$1:$B$10,2,FALSE)</f>
        <v>0</v>
      </c>
      <c r="C818">
        <f t="shared" si="12"/>
        <v>2.5</v>
      </c>
      <c r="D818" t="s">
        <v>21</v>
      </c>
      <c r="E818">
        <v>4</v>
      </c>
      <c r="F818">
        <v>12</v>
      </c>
      <c r="G818">
        <v>0.50719999999999998</v>
      </c>
      <c r="H818">
        <v>0.28970000000000001</v>
      </c>
      <c r="I818">
        <v>12</v>
      </c>
    </row>
    <row r="819" spans="1:9" x14ac:dyDescent="0.3">
      <c r="A819">
        <f>LOOKUP(9E+307,--MID(D819,1,{1,2,3,4,5}))</f>
        <v>2.5</v>
      </c>
      <c r="B819">
        <f>VLOOKUP(MID(D819,LOOKUP(2,1/ISNUMBER(-MID(D819,1,{1,2,3,4,5})),{1,2,3,4,5})+1,9),'Hue codes'!$A$1:$B$10,2,FALSE)</f>
        <v>0</v>
      </c>
      <c r="C819">
        <f t="shared" si="12"/>
        <v>2.5</v>
      </c>
      <c r="D819" t="s">
        <v>21</v>
      </c>
      <c r="E819">
        <v>4</v>
      </c>
      <c r="F819">
        <v>14</v>
      </c>
      <c r="G819">
        <v>0.53690000000000004</v>
      </c>
      <c r="H819">
        <v>0.28100000000000003</v>
      </c>
      <c r="I819">
        <v>12</v>
      </c>
    </row>
    <row r="820" spans="1:9" x14ac:dyDescent="0.3">
      <c r="A820">
        <f>LOOKUP(9E+307,--MID(D820,1,{1,2,3,4,5}))</f>
        <v>2.5</v>
      </c>
      <c r="B820">
        <f>VLOOKUP(MID(D820,LOOKUP(2,1/ISNUMBER(-MID(D820,1,{1,2,3,4,5})),{1,2,3,4,5})+1,9),'Hue codes'!$A$1:$B$10,2,FALSE)</f>
        <v>0</v>
      </c>
      <c r="C820">
        <f t="shared" si="12"/>
        <v>2.5</v>
      </c>
      <c r="D820" t="s">
        <v>21</v>
      </c>
      <c r="E820">
        <v>4</v>
      </c>
      <c r="F820">
        <v>16</v>
      </c>
      <c r="G820">
        <v>0.56200000000000006</v>
      </c>
      <c r="H820">
        <v>0.27239999999999998</v>
      </c>
      <c r="I820">
        <v>12</v>
      </c>
    </row>
    <row r="821" spans="1:9" x14ac:dyDescent="0.3">
      <c r="A821">
        <f>LOOKUP(9E+307,--MID(D821,1,{1,2,3,4,5}))</f>
        <v>2.5</v>
      </c>
      <c r="B821">
        <f>VLOOKUP(MID(D821,LOOKUP(2,1/ISNUMBER(-MID(D821,1,{1,2,3,4,5})),{1,2,3,4,5})+1,9),'Hue codes'!$A$1:$B$10,2,FALSE)</f>
        <v>0</v>
      </c>
      <c r="C821">
        <f t="shared" si="12"/>
        <v>2.5</v>
      </c>
      <c r="D821" t="s">
        <v>21</v>
      </c>
      <c r="E821">
        <v>4</v>
      </c>
      <c r="F821">
        <v>18</v>
      </c>
      <c r="G821">
        <v>0.58979999999999999</v>
      </c>
      <c r="H821">
        <v>0.26219999999999999</v>
      </c>
      <c r="I821">
        <v>12</v>
      </c>
    </row>
    <row r="822" spans="1:9" x14ac:dyDescent="0.3">
      <c r="A822">
        <f>LOOKUP(9E+307,--MID(D822,1,{1,2,3,4,5}))</f>
        <v>5</v>
      </c>
      <c r="B822">
        <f>VLOOKUP(MID(D822,LOOKUP(2,1/ISNUMBER(-MID(D822,1,{1,2,3,4,5})),{1,2,3,4,5})+1,9),'Hue codes'!$A$1:$B$10,2,FALSE)</f>
        <v>0</v>
      </c>
      <c r="C822">
        <f t="shared" si="12"/>
        <v>5</v>
      </c>
      <c r="D822" t="s">
        <v>22</v>
      </c>
      <c r="E822">
        <v>4</v>
      </c>
      <c r="F822">
        <v>2</v>
      </c>
      <c r="G822">
        <v>0.3508</v>
      </c>
      <c r="H822">
        <v>0.32</v>
      </c>
      <c r="I822">
        <v>12</v>
      </c>
    </row>
    <row r="823" spans="1:9" x14ac:dyDescent="0.3">
      <c r="A823">
        <f>LOOKUP(9E+307,--MID(D823,1,{1,2,3,4,5}))</f>
        <v>5</v>
      </c>
      <c r="B823">
        <f>VLOOKUP(MID(D823,LOOKUP(2,1/ISNUMBER(-MID(D823,1,{1,2,3,4,5})),{1,2,3,4,5})+1,9),'Hue codes'!$A$1:$B$10,2,FALSE)</f>
        <v>0</v>
      </c>
      <c r="C823">
        <f t="shared" si="12"/>
        <v>5</v>
      </c>
      <c r="D823" t="s">
        <v>22</v>
      </c>
      <c r="E823">
        <v>4</v>
      </c>
      <c r="F823">
        <v>4</v>
      </c>
      <c r="G823">
        <v>0.3916</v>
      </c>
      <c r="H823">
        <v>0.32229999999999998</v>
      </c>
      <c r="I823">
        <v>12</v>
      </c>
    </row>
    <row r="824" spans="1:9" x14ac:dyDescent="0.3">
      <c r="A824">
        <f>LOOKUP(9E+307,--MID(D824,1,{1,2,3,4,5}))</f>
        <v>5</v>
      </c>
      <c r="B824">
        <f>VLOOKUP(MID(D824,LOOKUP(2,1/ISNUMBER(-MID(D824,1,{1,2,3,4,5})),{1,2,3,4,5})+1,9),'Hue codes'!$A$1:$B$10,2,FALSE)</f>
        <v>0</v>
      </c>
      <c r="C824">
        <f t="shared" si="12"/>
        <v>5</v>
      </c>
      <c r="D824" t="s">
        <v>22</v>
      </c>
      <c r="E824">
        <v>4</v>
      </c>
      <c r="F824">
        <v>6</v>
      </c>
      <c r="G824">
        <v>0.4299</v>
      </c>
      <c r="H824">
        <v>0.3226</v>
      </c>
      <c r="I824">
        <v>12</v>
      </c>
    </row>
    <row r="825" spans="1:9" x14ac:dyDescent="0.3">
      <c r="A825">
        <f>LOOKUP(9E+307,--MID(D825,1,{1,2,3,4,5}))</f>
        <v>5</v>
      </c>
      <c r="B825">
        <f>VLOOKUP(MID(D825,LOOKUP(2,1/ISNUMBER(-MID(D825,1,{1,2,3,4,5})),{1,2,3,4,5})+1,9),'Hue codes'!$A$1:$B$10,2,FALSE)</f>
        <v>0</v>
      </c>
      <c r="C825">
        <f t="shared" si="12"/>
        <v>5</v>
      </c>
      <c r="D825" t="s">
        <v>22</v>
      </c>
      <c r="E825">
        <v>4</v>
      </c>
      <c r="F825">
        <v>8</v>
      </c>
      <c r="G825">
        <v>0.46899999999999997</v>
      </c>
      <c r="H825">
        <v>0.32090000000000002</v>
      </c>
      <c r="I825">
        <v>12</v>
      </c>
    </row>
    <row r="826" spans="1:9" x14ac:dyDescent="0.3">
      <c r="A826">
        <f>LOOKUP(9E+307,--MID(D826,1,{1,2,3,4,5}))</f>
        <v>5</v>
      </c>
      <c r="B826">
        <f>VLOOKUP(MID(D826,LOOKUP(2,1/ISNUMBER(-MID(D826,1,{1,2,3,4,5})),{1,2,3,4,5})+1,9),'Hue codes'!$A$1:$B$10,2,FALSE)</f>
        <v>0</v>
      </c>
      <c r="C826">
        <f t="shared" si="12"/>
        <v>5</v>
      </c>
      <c r="D826" t="s">
        <v>22</v>
      </c>
      <c r="E826">
        <v>4</v>
      </c>
      <c r="F826">
        <v>10</v>
      </c>
      <c r="G826">
        <v>0.50429999999999997</v>
      </c>
      <c r="H826">
        <v>0.31759999999999999</v>
      </c>
      <c r="I826">
        <v>12</v>
      </c>
    </row>
    <row r="827" spans="1:9" x14ac:dyDescent="0.3">
      <c r="A827">
        <f>LOOKUP(9E+307,--MID(D827,1,{1,2,3,4,5}))</f>
        <v>5</v>
      </c>
      <c r="B827">
        <f>VLOOKUP(MID(D827,LOOKUP(2,1/ISNUMBER(-MID(D827,1,{1,2,3,4,5})),{1,2,3,4,5})+1,9),'Hue codes'!$A$1:$B$10,2,FALSE)</f>
        <v>0</v>
      </c>
      <c r="C827">
        <f t="shared" si="12"/>
        <v>5</v>
      </c>
      <c r="D827" t="s">
        <v>22</v>
      </c>
      <c r="E827">
        <v>4</v>
      </c>
      <c r="F827">
        <v>12</v>
      </c>
      <c r="G827">
        <v>0.53849999999999998</v>
      </c>
      <c r="H827">
        <v>0.31290000000000001</v>
      </c>
      <c r="I827">
        <v>12</v>
      </c>
    </row>
    <row r="828" spans="1:9" x14ac:dyDescent="0.3">
      <c r="A828">
        <f>LOOKUP(9E+307,--MID(D828,1,{1,2,3,4,5}))</f>
        <v>5</v>
      </c>
      <c r="B828">
        <f>VLOOKUP(MID(D828,LOOKUP(2,1/ISNUMBER(-MID(D828,1,{1,2,3,4,5})),{1,2,3,4,5})+1,9),'Hue codes'!$A$1:$B$10,2,FALSE)</f>
        <v>0</v>
      </c>
      <c r="C828">
        <f t="shared" si="12"/>
        <v>5</v>
      </c>
      <c r="D828" t="s">
        <v>22</v>
      </c>
      <c r="E828">
        <v>4</v>
      </c>
      <c r="F828">
        <v>14</v>
      </c>
      <c r="G828">
        <v>0.57340000000000002</v>
      </c>
      <c r="H828">
        <v>0.30570000000000003</v>
      </c>
      <c r="I828">
        <v>12</v>
      </c>
    </row>
    <row r="829" spans="1:9" x14ac:dyDescent="0.3">
      <c r="A829">
        <f>LOOKUP(9E+307,--MID(D829,1,{1,2,3,4,5}))</f>
        <v>5</v>
      </c>
      <c r="B829">
        <f>VLOOKUP(MID(D829,LOOKUP(2,1/ISNUMBER(-MID(D829,1,{1,2,3,4,5})),{1,2,3,4,5})+1,9),'Hue codes'!$A$1:$B$10,2,FALSE)</f>
        <v>0</v>
      </c>
      <c r="C829">
        <f t="shared" si="12"/>
        <v>5</v>
      </c>
      <c r="D829" t="s">
        <v>22</v>
      </c>
      <c r="E829">
        <v>4</v>
      </c>
      <c r="F829">
        <v>16</v>
      </c>
      <c r="G829">
        <v>0.60389999999999999</v>
      </c>
      <c r="H829">
        <v>0.29780000000000001</v>
      </c>
      <c r="I829">
        <v>12</v>
      </c>
    </row>
    <row r="830" spans="1:9" x14ac:dyDescent="0.3">
      <c r="A830">
        <f>LOOKUP(9E+307,--MID(D830,1,{1,2,3,4,5}))</f>
        <v>5</v>
      </c>
      <c r="B830">
        <f>VLOOKUP(MID(D830,LOOKUP(2,1/ISNUMBER(-MID(D830,1,{1,2,3,4,5})),{1,2,3,4,5})+1,9),'Hue codes'!$A$1:$B$10,2,FALSE)</f>
        <v>0</v>
      </c>
      <c r="C830">
        <f t="shared" si="12"/>
        <v>5</v>
      </c>
      <c r="D830" t="s">
        <v>22</v>
      </c>
      <c r="E830">
        <v>4</v>
      </c>
      <c r="F830">
        <v>18</v>
      </c>
      <c r="G830">
        <v>0.63290000000000002</v>
      </c>
      <c r="H830">
        <v>0.28810000000000002</v>
      </c>
      <c r="I830">
        <v>12</v>
      </c>
    </row>
    <row r="831" spans="1:9" x14ac:dyDescent="0.3">
      <c r="A831">
        <f>LOOKUP(9E+307,--MID(D831,1,{1,2,3,4,5}))</f>
        <v>7.5</v>
      </c>
      <c r="B831">
        <f>VLOOKUP(MID(D831,LOOKUP(2,1/ISNUMBER(-MID(D831,1,{1,2,3,4,5})),{1,2,3,4,5})+1,9),'Hue codes'!$A$1:$B$10,2,FALSE)</f>
        <v>0</v>
      </c>
      <c r="C831">
        <f t="shared" si="12"/>
        <v>7.5</v>
      </c>
      <c r="D831" t="s">
        <v>23</v>
      </c>
      <c r="E831">
        <v>4</v>
      </c>
      <c r="F831">
        <v>2</v>
      </c>
      <c r="G831">
        <v>0.3538</v>
      </c>
      <c r="H831">
        <v>0.3236</v>
      </c>
      <c r="I831">
        <v>12</v>
      </c>
    </row>
    <row r="832" spans="1:9" x14ac:dyDescent="0.3">
      <c r="A832">
        <f>LOOKUP(9E+307,--MID(D832,1,{1,2,3,4,5}))</f>
        <v>7.5</v>
      </c>
      <c r="B832">
        <f>VLOOKUP(MID(D832,LOOKUP(2,1/ISNUMBER(-MID(D832,1,{1,2,3,4,5})),{1,2,3,4,5})+1,9),'Hue codes'!$A$1:$B$10,2,FALSE)</f>
        <v>0</v>
      </c>
      <c r="C832">
        <f t="shared" si="12"/>
        <v>7.5</v>
      </c>
      <c r="D832" t="s">
        <v>23</v>
      </c>
      <c r="E832">
        <v>4</v>
      </c>
      <c r="F832">
        <v>4</v>
      </c>
      <c r="G832">
        <v>0.39900000000000002</v>
      </c>
      <c r="H832">
        <v>0.33</v>
      </c>
      <c r="I832">
        <v>12</v>
      </c>
    </row>
    <row r="833" spans="1:9" x14ac:dyDescent="0.3">
      <c r="A833">
        <f>LOOKUP(9E+307,--MID(D833,1,{1,2,3,4,5}))</f>
        <v>7.5</v>
      </c>
      <c r="B833">
        <f>VLOOKUP(MID(D833,LOOKUP(2,1/ISNUMBER(-MID(D833,1,{1,2,3,4,5})),{1,2,3,4,5})+1,9),'Hue codes'!$A$1:$B$10,2,FALSE)</f>
        <v>0</v>
      </c>
      <c r="C833">
        <f t="shared" si="12"/>
        <v>7.5</v>
      </c>
      <c r="D833" t="s">
        <v>23</v>
      </c>
      <c r="E833">
        <v>4</v>
      </c>
      <c r="F833">
        <v>6</v>
      </c>
      <c r="G833">
        <v>0.4415</v>
      </c>
      <c r="H833">
        <v>0.33400000000000002</v>
      </c>
      <c r="I833">
        <v>12</v>
      </c>
    </row>
    <row r="834" spans="1:9" x14ac:dyDescent="0.3">
      <c r="A834">
        <f>LOOKUP(9E+307,--MID(D834,1,{1,2,3,4,5}))</f>
        <v>7.5</v>
      </c>
      <c r="B834">
        <f>VLOOKUP(MID(D834,LOOKUP(2,1/ISNUMBER(-MID(D834,1,{1,2,3,4,5})),{1,2,3,4,5})+1,9),'Hue codes'!$A$1:$B$10,2,FALSE)</f>
        <v>0</v>
      </c>
      <c r="C834">
        <f t="shared" si="12"/>
        <v>7.5</v>
      </c>
      <c r="D834" t="s">
        <v>23</v>
      </c>
      <c r="E834">
        <v>4</v>
      </c>
      <c r="F834">
        <v>8</v>
      </c>
      <c r="G834">
        <v>0.48499999999999999</v>
      </c>
      <c r="H834">
        <v>0.33589999999999998</v>
      </c>
      <c r="I834">
        <v>12</v>
      </c>
    </row>
    <row r="835" spans="1:9" x14ac:dyDescent="0.3">
      <c r="A835">
        <f>LOOKUP(9E+307,--MID(D835,1,{1,2,3,4,5}))</f>
        <v>7.5</v>
      </c>
      <c r="B835">
        <f>VLOOKUP(MID(D835,LOOKUP(2,1/ISNUMBER(-MID(D835,1,{1,2,3,4,5})),{1,2,3,4,5})+1,9),'Hue codes'!$A$1:$B$10,2,FALSE)</f>
        <v>0</v>
      </c>
      <c r="C835">
        <f t="shared" ref="C835:C898" si="13">IF(A835+B835=100,0,A835+B835)</f>
        <v>7.5</v>
      </c>
      <c r="D835" t="s">
        <v>23</v>
      </c>
      <c r="E835">
        <v>4</v>
      </c>
      <c r="F835">
        <v>10</v>
      </c>
      <c r="G835">
        <v>0.52349999999999997</v>
      </c>
      <c r="H835">
        <v>0.33510000000000001</v>
      </c>
      <c r="I835">
        <v>12</v>
      </c>
    </row>
    <row r="836" spans="1:9" x14ac:dyDescent="0.3">
      <c r="A836">
        <f>LOOKUP(9E+307,--MID(D836,1,{1,2,3,4,5}))</f>
        <v>7.5</v>
      </c>
      <c r="B836">
        <f>VLOOKUP(MID(D836,LOOKUP(2,1/ISNUMBER(-MID(D836,1,{1,2,3,4,5})),{1,2,3,4,5})+1,9),'Hue codes'!$A$1:$B$10,2,FALSE)</f>
        <v>0</v>
      </c>
      <c r="C836">
        <f t="shared" si="13"/>
        <v>7.5</v>
      </c>
      <c r="D836" t="s">
        <v>23</v>
      </c>
      <c r="E836">
        <v>4</v>
      </c>
      <c r="F836">
        <v>12</v>
      </c>
      <c r="G836">
        <v>0.56030000000000002</v>
      </c>
      <c r="H836">
        <v>0.33210000000000001</v>
      </c>
      <c r="I836">
        <v>12</v>
      </c>
    </row>
    <row r="837" spans="1:9" x14ac:dyDescent="0.3">
      <c r="A837">
        <f>LOOKUP(9E+307,--MID(D837,1,{1,2,3,4,5}))</f>
        <v>7.5</v>
      </c>
      <c r="B837">
        <f>VLOOKUP(MID(D837,LOOKUP(2,1/ISNUMBER(-MID(D837,1,{1,2,3,4,5})),{1,2,3,4,5})+1,9),'Hue codes'!$A$1:$B$10,2,FALSE)</f>
        <v>0</v>
      </c>
      <c r="C837">
        <f t="shared" si="13"/>
        <v>7.5</v>
      </c>
      <c r="D837" t="s">
        <v>23</v>
      </c>
      <c r="E837">
        <v>4</v>
      </c>
      <c r="F837">
        <v>14</v>
      </c>
      <c r="G837">
        <v>0.59589999999999999</v>
      </c>
      <c r="H837">
        <v>0.32690000000000002</v>
      </c>
      <c r="I837">
        <v>12</v>
      </c>
    </row>
    <row r="838" spans="1:9" x14ac:dyDescent="0.3">
      <c r="A838">
        <f>LOOKUP(9E+307,--MID(D838,1,{1,2,3,4,5}))</f>
        <v>7.5</v>
      </c>
      <c r="B838">
        <f>VLOOKUP(MID(D838,LOOKUP(2,1/ISNUMBER(-MID(D838,1,{1,2,3,4,5})),{1,2,3,4,5})+1,9),'Hue codes'!$A$1:$B$10,2,FALSE)</f>
        <v>0</v>
      </c>
      <c r="C838">
        <f t="shared" si="13"/>
        <v>7.5</v>
      </c>
      <c r="D838" t="s">
        <v>23</v>
      </c>
      <c r="E838">
        <v>4</v>
      </c>
      <c r="F838">
        <v>16</v>
      </c>
      <c r="G838">
        <v>0.626</v>
      </c>
      <c r="H838">
        <v>0.31919999999999998</v>
      </c>
      <c r="I838">
        <v>12</v>
      </c>
    </row>
    <row r="839" spans="1:9" x14ac:dyDescent="0.3">
      <c r="A839">
        <f>LOOKUP(9E+307,--MID(D839,1,{1,2,3,4,5}))</f>
        <v>7.5</v>
      </c>
      <c r="B839">
        <f>VLOOKUP(MID(D839,LOOKUP(2,1/ISNUMBER(-MID(D839,1,{1,2,3,4,5})),{1,2,3,4,5})+1,9),'Hue codes'!$A$1:$B$10,2,FALSE)</f>
        <v>0</v>
      </c>
      <c r="C839">
        <f t="shared" si="13"/>
        <v>7.5</v>
      </c>
      <c r="D839" t="s">
        <v>23</v>
      </c>
      <c r="E839">
        <v>4</v>
      </c>
      <c r="F839">
        <v>18</v>
      </c>
      <c r="G839">
        <v>0.65380000000000005</v>
      </c>
      <c r="H839">
        <v>0.31</v>
      </c>
      <c r="I839">
        <v>12</v>
      </c>
    </row>
    <row r="840" spans="1:9" x14ac:dyDescent="0.3">
      <c r="A840">
        <f>LOOKUP(9E+307,--MID(D840,1,{1,2,3,4,5}))</f>
        <v>7.5</v>
      </c>
      <c r="B840">
        <f>VLOOKUP(MID(D840,LOOKUP(2,1/ISNUMBER(-MID(D840,1,{1,2,3,4,5})),{1,2,3,4,5})+1,9),'Hue codes'!$A$1:$B$10,2,FALSE)</f>
        <v>0</v>
      </c>
      <c r="C840">
        <f t="shared" si="13"/>
        <v>7.5</v>
      </c>
      <c r="D840" t="s">
        <v>23</v>
      </c>
      <c r="E840">
        <v>4</v>
      </c>
      <c r="F840">
        <v>20</v>
      </c>
      <c r="G840">
        <v>0.68059999999999998</v>
      </c>
      <c r="H840">
        <v>0.29880000000000001</v>
      </c>
      <c r="I840">
        <v>12</v>
      </c>
    </row>
    <row r="841" spans="1:9" x14ac:dyDescent="0.3">
      <c r="A841">
        <f>LOOKUP(9E+307,--MID(D841,1,{1,2,3,4,5}))</f>
        <v>10</v>
      </c>
      <c r="B841">
        <f>VLOOKUP(MID(D841,LOOKUP(2,1/ISNUMBER(-MID(D841,1,{1,2,3,4,5})),{1,2,3,4,5})+1,9),'Hue codes'!$A$1:$B$10,2,FALSE)</f>
        <v>0</v>
      </c>
      <c r="C841">
        <f t="shared" si="13"/>
        <v>10</v>
      </c>
      <c r="D841" t="s">
        <v>24</v>
      </c>
      <c r="E841">
        <v>4</v>
      </c>
      <c r="F841">
        <v>2</v>
      </c>
      <c r="G841">
        <v>0.35820000000000002</v>
      </c>
      <c r="H841">
        <v>0.32940000000000003</v>
      </c>
      <c r="I841">
        <v>12</v>
      </c>
    </row>
    <row r="842" spans="1:9" x14ac:dyDescent="0.3">
      <c r="A842">
        <f>LOOKUP(9E+307,--MID(D842,1,{1,2,3,4,5}))</f>
        <v>10</v>
      </c>
      <c r="B842">
        <f>VLOOKUP(MID(D842,LOOKUP(2,1/ISNUMBER(-MID(D842,1,{1,2,3,4,5})),{1,2,3,4,5})+1,9),'Hue codes'!$A$1:$B$10,2,FALSE)</f>
        <v>0</v>
      </c>
      <c r="C842">
        <f t="shared" si="13"/>
        <v>10</v>
      </c>
      <c r="D842" t="s">
        <v>24</v>
      </c>
      <c r="E842">
        <v>4</v>
      </c>
      <c r="F842">
        <v>4</v>
      </c>
      <c r="G842">
        <v>0.4078</v>
      </c>
      <c r="H842">
        <v>0.3412</v>
      </c>
      <c r="I842">
        <v>12</v>
      </c>
    </row>
    <row r="843" spans="1:9" x14ac:dyDescent="0.3">
      <c r="A843">
        <f>LOOKUP(9E+307,--MID(D843,1,{1,2,3,4,5}))</f>
        <v>10</v>
      </c>
      <c r="B843">
        <f>VLOOKUP(MID(D843,LOOKUP(2,1/ISNUMBER(-MID(D843,1,{1,2,3,4,5})),{1,2,3,4,5})+1,9),'Hue codes'!$A$1:$B$10,2,FALSE)</f>
        <v>0</v>
      </c>
      <c r="C843">
        <f t="shared" si="13"/>
        <v>10</v>
      </c>
      <c r="D843" t="s">
        <v>24</v>
      </c>
      <c r="E843">
        <v>4</v>
      </c>
      <c r="F843">
        <v>6</v>
      </c>
      <c r="G843">
        <v>0.45350000000000001</v>
      </c>
      <c r="H843">
        <v>0.35</v>
      </c>
      <c r="I843">
        <v>12</v>
      </c>
    </row>
    <row r="844" spans="1:9" x14ac:dyDescent="0.3">
      <c r="A844">
        <f>LOOKUP(9E+307,--MID(D844,1,{1,2,3,4,5}))</f>
        <v>10</v>
      </c>
      <c r="B844">
        <f>VLOOKUP(MID(D844,LOOKUP(2,1/ISNUMBER(-MID(D844,1,{1,2,3,4,5})),{1,2,3,4,5})+1,9),'Hue codes'!$A$1:$B$10,2,FALSE)</f>
        <v>0</v>
      </c>
      <c r="C844">
        <f t="shared" si="13"/>
        <v>10</v>
      </c>
      <c r="D844" t="s">
        <v>24</v>
      </c>
      <c r="E844">
        <v>4</v>
      </c>
      <c r="F844">
        <v>8</v>
      </c>
      <c r="G844">
        <v>0.4995</v>
      </c>
      <c r="H844">
        <v>0.35570000000000002</v>
      </c>
      <c r="I844">
        <v>12</v>
      </c>
    </row>
    <row r="845" spans="1:9" x14ac:dyDescent="0.3">
      <c r="A845">
        <f>LOOKUP(9E+307,--MID(D845,1,{1,2,3,4,5}))</f>
        <v>10</v>
      </c>
      <c r="B845">
        <f>VLOOKUP(MID(D845,LOOKUP(2,1/ISNUMBER(-MID(D845,1,{1,2,3,4,5})),{1,2,3,4,5})+1,9),'Hue codes'!$A$1:$B$10,2,FALSE)</f>
        <v>0</v>
      </c>
      <c r="C845">
        <f t="shared" si="13"/>
        <v>10</v>
      </c>
      <c r="D845" t="s">
        <v>24</v>
      </c>
      <c r="E845">
        <v>4</v>
      </c>
      <c r="F845">
        <v>10</v>
      </c>
      <c r="G845">
        <v>0.54179999999999995</v>
      </c>
      <c r="H845">
        <v>0.35799999999999998</v>
      </c>
      <c r="I845">
        <v>12</v>
      </c>
    </row>
    <row r="846" spans="1:9" x14ac:dyDescent="0.3">
      <c r="A846">
        <f>LOOKUP(9E+307,--MID(D846,1,{1,2,3,4,5}))</f>
        <v>10</v>
      </c>
      <c r="B846">
        <f>VLOOKUP(MID(D846,LOOKUP(2,1/ISNUMBER(-MID(D846,1,{1,2,3,4,5})),{1,2,3,4,5})+1,9),'Hue codes'!$A$1:$B$10,2,FALSE)</f>
        <v>0</v>
      </c>
      <c r="C846">
        <f t="shared" si="13"/>
        <v>10</v>
      </c>
      <c r="D846" t="s">
        <v>24</v>
      </c>
      <c r="E846">
        <v>4</v>
      </c>
      <c r="F846">
        <v>12</v>
      </c>
      <c r="G846">
        <v>0.58009999999999995</v>
      </c>
      <c r="H846">
        <v>0.35880000000000001</v>
      </c>
      <c r="I846">
        <v>12</v>
      </c>
    </row>
    <row r="847" spans="1:9" x14ac:dyDescent="0.3">
      <c r="A847">
        <f>LOOKUP(9E+307,--MID(D847,1,{1,2,3,4,5}))</f>
        <v>10</v>
      </c>
      <c r="B847">
        <f>VLOOKUP(MID(D847,LOOKUP(2,1/ISNUMBER(-MID(D847,1,{1,2,3,4,5})),{1,2,3,4,5})+1,9),'Hue codes'!$A$1:$B$10,2,FALSE)</f>
        <v>0</v>
      </c>
      <c r="C847">
        <f t="shared" si="13"/>
        <v>10</v>
      </c>
      <c r="D847" t="s">
        <v>24</v>
      </c>
      <c r="E847">
        <v>4</v>
      </c>
      <c r="F847">
        <v>14</v>
      </c>
      <c r="G847">
        <v>0.61539999999999995</v>
      </c>
      <c r="H847">
        <v>0.35680000000000001</v>
      </c>
      <c r="I847">
        <v>12</v>
      </c>
    </row>
    <row r="848" spans="1:9" x14ac:dyDescent="0.3">
      <c r="A848">
        <f>LOOKUP(9E+307,--MID(D848,1,{1,2,3,4,5}))</f>
        <v>10</v>
      </c>
      <c r="B848">
        <f>VLOOKUP(MID(D848,LOOKUP(2,1/ISNUMBER(-MID(D848,1,{1,2,3,4,5})),{1,2,3,4,5})+1,9),'Hue codes'!$A$1:$B$10,2,FALSE)</f>
        <v>0</v>
      </c>
      <c r="C848">
        <f t="shared" si="13"/>
        <v>10</v>
      </c>
      <c r="D848" t="s">
        <v>24</v>
      </c>
      <c r="E848">
        <v>4</v>
      </c>
      <c r="F848">
        <v>16</v>
      </c>
      <c r="G848">
        <v>0.64090000000000003</v>
      </c>
      <c r="H848">
        <v>0.3533</v>
      </c>
      <c r="I848">
        <v>12</v>
      </c>
    </row>
    <row r="849" spans="1:9" x14ac:dyDescent="0.3">
      <c r="A849">
        <f>LOOKUP(9E+307,--MID(D849,1,{1,2,3,4,5}))</f>
        <v>2.5</v>
      </c>
      <c r="B849">
        <f>VLOOKUP(MID(D849,LOOKUP(2,1/ISNUMBER(-MID(D849,1,{1,2,3,4,5})),{1,2,3,4,5})+1,9),'Hue codes'!$A$1:$B$10,2,FALSE)</f>
        <v>10</v>
      </c>
      <c r="C849">
        <f t="shared" si="13"/>
        <v>12.5</v>
      </c>
      <c r="D849" t="s">
        <v>25</v>
      </c>
      <c r="E849">
        <v>4</v>
      </c>
      <c r="F849">
        <v>2</v>
      </c>
      <c r="G849">
        <v>0.3624</v>
      </c>
      <c r="H849">
        <v>0.3367</v>
      </c>
      <c r="I849">
        <v>12</v>
      </c>
    </row>
    <row r="850" spans="1:9" x14ac:dyDescent="0.3">
      <c r="A850">
        <f>LOOKUP(9E+307,--MID(D850,1,{1,2,3,4,5}))</f>
        <v>2.5</v>
      </c>
      <c r="B850">
        <f>VLOOKUP(MID(D850,LOOKUP(2,1/ISNUMBER(-MID(D850,1,{1,2,3,4,5})),{1,2,3,4,5})+1,9),'Hue codes'!$A$1:$B$10,2,FALSE)</f>
        <v>10</v>
      </c>
      <c r="C850">
        <f t="shared" si="13"/>
        <v>12.5</v>
      </c>
      <c r="D850" t="s">
        <v>25</v>
      </c>
      <c r="E850">
        <v>4</v>
      </c>
      <c r="F850">
        <v>4</v>
      </c>
      <c r="G850">
        <v>0.41410000000000002</v>
      </c>
      <c r="H850">
        <v>0.35389999999999999</v>
      </c>
      <c r="I850">
        <v>12</v>
      </c>
    </row>
    <row r="851" spans="1:9" x14ac:dyDescent="0.3">
      <c r="A851">
        <f>LOOKUP(9E+307,--MID(D851,1,{1,2,3,4,5}))</f>
        <v>2.5</v>
      </c>
      <c r="B851">
        <f>VLOOKUP(MID(D851,LOOKUP(2,1/ISNUMBER(-MID(D851,1,{1,2,3,4,5})),{1,2,3,4,5})+1,9),'Hue codes'!$A$1:$B$10,2,FALSE)</f>
        <v>10</v>
      </c>
      <c r="C851">
        <f t="shared" si="13"/>
        <v>12.5</v>
      </c>
      <c r="D851" t="s">
        <v>25</v>
      </c>
      <c r="E851">
        <v>4</v>
      </c>
      <c r="F851">
        <v>6</v>
      </c>
      <c r="G851">
        <v>0.4612</v>
      </c>
      <c r="H851">
        <v>0.3674</v>
      </c>
      <c r="I851">
        <v>12</v>
      </c>
    </row>
    <row r="852" spans="1:9" x14ac:dyDescent="0.3">
      <c r="A852">
        <f>LOOKUP(9E+307,--MID(D852,1,{1,2,3,4,5}))</f>
        <v>2.5</v>
      </c>
      <c r="B852">
        <f>VLOOKUP(MID(D852,LOOKUP(2,1/ISNUMBER(-MID(D852,1,{1,2,3,4,5})),{1,2,3,4,5})+1,9),'Hue codes'!$A$1:$B$10,2,FALSE)</f>
        <v>10</v>
      </c>
      <c r="C852">
        <f t="shared" si="13"/>
        <v>12.5</v>
      </c>
      <c r="D852" t="s">
        <v>25</v>
      </c>
      <c r="E852">
        <v>4</v>
      </c>
      <c r="F852">
        <v>8</v>
      </c>
      <c r="G852">
        <v>0.5071</v>
      </c>
      <c r="H852">
        <v>0.37769999999999998</v>
      </c>
      <c r="I852">
        <v>12</v>
      </c>
    </row>
    <row r="853" spans="1:9" x14ac:dyDescent="0.3">
      <c r="A853">
        <f>LOOKUP(9E+307,--MID(D853,1,{1,2,3,4,5}))</f>
        <v>2.5</v>
      </c>
      <c r="B853">
        <f>VLOOKUP(MID(D853,LOOKUP(2,1/ISNUMBER(-MID(D853,1,{1,2,3,4,5})),{1,2,3,4,5})+1,9),'Hue codes'!$A$1:$B$10,2,FALSE)</f>
        <v>10</v>
      </c>
      <c r="C853">
        <f t="shared" si="13"/>
        <v>12.5</v>
      </c>
      <c r="D853" t="s">
        <v>25</v>
      </c>
      <c r="E853">
        <v>4</v>
      </c>
      <c r="F853">
        <v>10</v>
      </c>
      <c r="G853">
        <v>0.54749999999999999</v>
      </c>
      <c r="H853">
        <v>0.3856</v>
      </c>
      <c r="I853">
        <v>12</v>
      </c>
    </row>
    <row r="854" spans="1:9" x14ac:dyDescent="0.3">
      <c r="A854">
        <f>LOOKUP(9E+307,--MID(D854,1,{1,2,3,4,5}))</f>
        <v>2.5</v>
      </c>
      <c r="B854">
        <f>VLOOKUP(MID(D854,LOOKUP(2,1/ISNUMBER(-MID(D854,1,{1,2,3,4,5})),{1,2,3,4,5})+1,9),'Hue codes'!$A$1:$B$10,2,FALSE)</f>
        <v>10</v>
      </c>
      <c r="C854">
        <f t="shared" si="13"/>
        <v>12.5</v>
      </c>
      <c r="D854" t="s">
        <v>25</v>
      </c>
      <c r="E854">
        <v>4</v>
      </c>
      <c r="F854">
        <v>12</v>
      </c>
      <c r="G854">
        <v>0.58089999999999997</v>
      </c>
      <c r="H854">
        <v>0.39100000000000001</v>
      </c>
      <c r="I854">
        <v>12</v>
      </c>
    </row>
    <row r="855" spans="1:9" x14ac:dyDescent="0.3">
      <c r="A855">
        <f>LOOKUP(9E+307,--MID(D855,1,{1,2,3,4,5}))</f>
        <v>5</v>
      </c>
      <c r="B855">
        <f>VLOOKUP(MID(D855,LOOKUP(2,1/ISNUMBER(-MID(D855,1,{1,2,3,4,5})),{1,2,3,4,5})+1,9),'Hue codes'!$A$1:$B$10,2,FALSE)</f>
        <v>10</v>
      </c>
      <c r="C855">
        <f t="shared" si="13"/>
        <v>15</v>
      </c>
      <c r="D855" t="s">
        <v>26</v>
      </c>
      <c r="E855">
        <v>4</v>
      </c>
      <c r="F855">
        <v>2</v>
      </c>
      <c r="G855">
        <v>0.36509999999999998</v>
      </c>
      <c r="H855">
        <v>0.34420000000000001</v>
      </c>
      <c r="I855">
        <v>12</v>
      </c>
    </row>
    <row r="856" spans="1:9" x14ac:dyDescent="0.3">
      <c r="A856">
        <f>LOOKUP(9E+307,--MID(D856,1,{1,2,3,4,5}))</f>
        <v>5</v>
      </c>
      <c r="B856">
        <f>VLOOKUP(MID(D856,LOOKUP(2,1/ISNUMBER(-MID(D856,1,{1,2,3,4,5})),{1,2,3,4,5})+1,9),'Hue codes'!$A$1:$B$10,2,FALSE)</f>
        <v>10</v>
      </c>
      <c r="C856">
        <f t="shared" si="13"/>
        <v>15</v>
      </c>
      <c r="D856" t="s">
        <v>26</v>
      </c>
      <c r="E856">
        <v>4</v>
      </c>
      <c r="F856">
        <v>4</v>
      </c>
      <c r="G856">
        <v>0.41870000000000002</v>
      </c>
      <c r="H856">
        <v>0.3679</v>
      </c>
      <c r="I856">
        <v>12</v>
      </c>
    </row>
    <row r="857" spans="1:9" x14ac:dyDescent="0.3">
      <c r="A857">
        <f>LOOKUP(9E+307,--MID(D857,1,{1,2,3,4,5}))</f>
        <v>5</v>
      </c>
      <c r="B857">
        <f>VLOOKUP(MID(D857,LOOKUP(2,1/ISNUMBER(-MID(D857,1,{1,2,3,4,5})),{1,2,3,4,5})+1,9),'Hue codes'!$A$1:$B$10,2,FALSE)</f>
        <v>10</v>
      </c>
      <c r="C857">
        <f t="shared" si="13"/>
        <v>15</v>
      </c>
      <c r="D857" t="s">
        <v>26</v>
      </c>
      <c r="E857">
        <v>4</v>
      </c>
      <c r="F857">
        <v>6</v>
      </c>
      <c r="G857">
        <v>0.46510000000000001</v>
      </c>
      <c r="H857">
        <v>0.38590000000000002</v>
      </c>
      <c r="I857">
        <v>12</v>
      </c>
    </row>
    <row r="858" spans="1:9" x14ac:dyDescent="0.3">
      <c r="A858">
        <f>LOOKUP(9E+307,--MID(D858,1,{1,2,3,4,5}))</f>
        <v>5</v>
      </c>
      <c r="B858">
        <f>VLOOKUP(MID(D858,LOOKUP(2,1/ISNUMBER(-MID(D858,1,{1,2,3,4,5})),{1,2,3,4,5})+1,9),'Hue codes'!$A$1:$B$10,2,FALSE)</f>
        <v>10</v>
      </c>
      <c r="C858">
        <f t="shared" si="13"/>
        <v>15</v>
      </c>
      <c r="D858" t="s">
        <v>26</v>
      </c>
      <c r="E858">
        <v>4</v>
      </c>
      <c r="F858">
        <v>8</v>
      </c>
      <c r="G858">
        <v>0.50700000000000001</v>
      </c>
      <c r="H858">
        <v>0.39939999999999998</v>
      </c>
      <c r="I858">
        <v>12</v>
      </c>
    </row>
    <row r="859" spans="1:9" x14ac:dyDescent="0.3">
      <c r="A859">
        <f>LOOKUP(9E+307,--MID(D859,1,{1,2,3,4,5}))</f>
        <v>5</v>
      </c>
      <c r="B859">
        <f>VLOOKUP(MID(D859,LOOKUP(2,1/ISNUMBER(-MID(D859,1,{1,2,3,4,5})),{1,2,3,4,5})+1,9),'Hue codes'!$A$1:$B$10,2,FALSE)</f>
        <v>10</v>
      </c>
      <c r="C859">
        <f t="shared" si="13"/>
        <v>15</v>
      </c>
      <c r="D859" t="s">
        <v>26</v>
      </c>
      <c r="E859">
        <v>4</v>
      </c>
      <c r="F859">
        <v>10</v>
      </c>
      <c r="G859">
        <v>0.54320000000000002</v>
      </c>
      <c r="H859">
        <v>0.40970000000000001</v>
      </c>
      <c r="I859">
        <v>12</v>
      </c>
    </row>
    <row r="860" spans="1:9" x14ac:dyDescent="0.3">
      <c r="A860">
        <f>LOOKUP(9E+307,--MID(D860,1,{1,2,3,4,5}))</f>
        <v>5</v>
      </c>
      <c r="B860">
        <f>VLOOKUP(MID(D860,LOOKUP(2,1/ISNUMBER(-MID(D860,1,{1,2,3,4,5})),{1,2,3,4,5})+1,9),'Hue codes'!$A$1:$B$10,2,FALSE)</f>
        <v>10</v>
      </c>
      <c r="C860">
        <f t="shared" si="13"/>
        <v>15</v>
      </c>
      <c r="D860" t="s">
        <v>26</v>
      </c>
      <c r="E860">
        <v>4</v>
      </c>
      <c r="F860">
        <v>12</v>
      </c>
      <c r="G860">
        <v>0.57289999999999996</v>
      </c>
      <c r="H860">
        <v>0.41689999999999999</v>
      </c>
      <c r="I860">
        <v>12</v>
      </c>
    </row>
    <row r="861" spans="1:9" x14ac:dyDescent="0.3">
      <c r="A861">
        <f>LOOKUP(9E+307,--MID(D861,1,{1,2,3,4,5}))</f>
        <v>7.5</v>
      </c>
      <c r="B861">
        <f>VLOOKUP(MID(D861,LOOKUP(2,1/ISNUMBER(-MID(D861,1,{1,2,3,4,5})),{1,2,3,4,5})+1,9),'Hue codes'!$A$1:$B$10,2,FALSE)</f>
        <v>10</v>
      </c>
      <c r="C861">
        <f t="shared" si="13"/>
        <v>17.5</v>
      </c>
      <c r="D861" t="s">
        <v>27</v>
      </c>
      <c r="E861">
        <v>4</v>
      </c>
      <c r="F861">
        <v>2</v>
      </c>
      <c r="G861">
        <v>0.36620000000000003</v>
      </c>
      <c r="H861">
        <v>0.35039999999999999</v>
      </c>
      <c r="I861">
        <v>12</v>
      </c>
    </row>
    <row r="862" spans="1:9" x14ac:dyDescent="0.3">
      <c r="A862">
        <f>LOOKUP(9E+307,--MID(D862,1,{1,2,3,4,5}))</f>
        <v>7.5</v>
      </c>
      <c r="B862">
        <f>VLOOKUP(MID(D862,LOOKUP(2,1/ISNUMBER(-MID(D862,1,{1,2,3,4,5})),{1,2,3,4,5})+1,9),'Hue codes'!$A$1:$B$10,2,FALSE)</f>
        <v>10</v>
      </c>
      <c r="C862">
        <f t="shared" si="13"/>
        <v>17.5</v>
      </c>
      <c r="D862" t="s">
        <v>27</v>
      </c>
      <c r="E862">
        <v>4</v>
      </c>
      <c r="F862">
        <v>4</v>
      </c>
      <c r="G862">
        <v>0.42080000000000001</v>
      </c>
      <c r="H862">
        <v>0.38090000000000002</v>
      </c>
      <c r="I862">
        <v>12</v>
      </c>
    </row>
    <row r="863" spans="1:9" x14ac:dyDescent="0.3">
      <c r="A863">
        <f>LOOKUP(9E+307,--MID(D863,1,{1,2,3,4,5}))</f>
        <v>7.5</v>
      </c>
      <c r="B863">
        <f>VLOOKUP(MID(D863,LOOKUP(2,1/ISNUMBER(-MID(D863,1,{1,2,3,4,5})),{1,2,3,4,5})+1,9),'Hue codes'!$A$1:$B$10,2,FALSE)</f>
        <v>10</v>
      </c>
      <c r="C863">
        <f t="shared" si="13"/>
        <v>17.5</v>
      </c>
      <c r="D863" t="s">
        <v>27</v>
      </c>
      <c r="E863">
        <v>4</v>
      </c>
      <c r="F863">
        <v>6</v>
      </c>
      <c r="G863">
        <v>0.46550000000000002</v>
      </c>
      <c r="H863">
        <v>0.40289999999999998</v>
      </c>
      <c r="I863">
        <v>12</v>
      </c>
    </row>
    <row r="864" spans="1:9" x14ac:dyDescent="0.3">
      <c r="A864">
        <f>LOOKUP(9E+307,--MID(D864,1,{1,2,3,4,5}))</f>
        <v>7.5</v>
      </c>
      <c r="B864">
        <f>VLOOKUP(MID(D864,LOOKUP(2,1/ISNUMBER(-MID(D864,1,{1,2,3,4,5})),{1,2,3,4,5})+1,9),'Hue codes'!$A$1:$B$10,2,FALSE)</f>
        <v>10</v>
      </c>
      <c r="C864">
        <f t="shared" si="13"/>
        <v>17.5</v>
      </c>
      <c r="D864" t="s">
        <v>27</v>
      </c>
      <c r="E864">
        <v>4</v>
      </c>
      <c r="F864">
        <v>8</v>
      </c>
      <c r="G864">
        <v>0.50380000000000003</v>
      </c>
      <c r="H864">
        <v>0.4204</v>
      </c>
      <c r="I864">
        <v>12</v>
      </c>
    </row>
    <row r="865" spans="1:9" x14ac:dyDescent="0.3">
      <c r="A865">
        <f>LOOKUP(9E+307,--MID(D865,1,{1,2,3,4,5}))</f>
        <v>7.5</v>
      </c>
      <c r="B865">
        <f>VLOOKUP(MID(D865,LOOKUP(2,1/ISNUMBER(-MID(D865,1,{1,2,3,4,5})),{1,2,3,4,5})+1,9),'Hue codes'!$A$1:$B$10,2,FALSE)</f>
        <v>10</v>
      </c>
      <c r="C865">
        <f t="shared" si="13"/>
        <v>17.5</v>
      </c>
      <c r="D865" t="s">
        <v>27</v>
      </c>
      <c r="E865">
        <v>4</v>
      </c>
      <c r="F865">
        <v>10</v>
      </c>
      <c r="G865">
        <v>0.53559999999999997</v>
      </c>
      <c r="H865">
        <v>0.43419999999999997</v>
      </c>
      <c r="I865">
        <v>12</v>
      </c>
    </row>
    <row r="866" spans="1:9" x14ac:dyDescent="0.3">
      <c r="A866">
        <f>LOOKUP(9E+307,--MID(D866,1,{1,2,3,4,5}))</f>
        <v>10</v>
      </c>
      <c r="B866">
        <f>VLOOKUP(MID(D866,LOOKUP(2,1/ISNUMBER(-MID(D866,1,{1,2,3,4,5})),{1,2,3,4,5})+1,9),'Hue codes'!$A$1:$B$10,2,FALSE)</f>
        <v>10</v>
      </c>
      <c r="C866">
        <f t="shared" si="13"/>
        <v>20</v>
      </c>
      <c r="D866" t="s">
        <v>28</v>
      </c>
      <c r="E866">
        <v>4</v>
      </c>
      <c r="F866">
        <v>2</v>
      </c>
      <c r="G866">
        <v>0.36599999999999999</v>
      </c>
      <c r="H866">
        <v>0.35899999999999999</v>
      </c>
      <c r="I866">
        <v>12</v>
      </c>
    </row>
    <row r="867" spans="1:9" x14ac:dyDescent="0.3">
      <c r="A867">
        <f>LOOKUP(9E+307,--MID(D867,1,{1,2,3,4,5}))</f>
        <v>10</v>
      </c>
      <c r="B867">
        <f>VLOOKUP(MID(D867,LOOKUP(2,1/ISNUMBER(-MID(D867,1,{1,2,3,4,5})),{1,2,3,4,5})+1,9),'Hue codes'!$A$1:$B$10,2,FALSE)</f>
        <v>10</v>
      </c>
      <c r="C867">
        <f t="shared" si="13"/>
        <v>20</v>
      </c>
      <c r="D867" t="s">
        <v>28</v>
      </c>
      <c r="E867">
        <v>4</v>
      </c>
      <c r="F867">
        <v>4</v>
      </c>
      <c r="G867">
        <v>0.41889999999999999</v>
      </c>
      <c r="H867">
        <v>0.39479999999999998</v>
      </c>
      <c r="I867">
        <v>12</v>
      </c>
    </row>
    <row r="868" spans="1:9" x14ac:dyDescent="0.3">
      <c r="A868">
        <f>LOOKUP(9E+307,--MID(D868,1,{1,2,3,4,5}))</f>
        <v>10</v>
      </c>
      <c r="B868">
        <f>VLOOKUP(MID(D868,LOOKUP(2,1/ISNUMBER(-MID(D868,1,{1,2,3,4,5})),{1,2,3,4,5})+1,9),'Hue codes'!$A$1:$B$10,2,FALSE)</f>
        <v>10</v>
      </c>
      <c r="C868">
        <f t="shared" si="13"/>
        <v>20</v>
      </c>
      <c r="D868" t="s">
        <v>28</v>
      </c>
      <c r="E868">
        <v>4</v>
      </c>
      <c r="F868">
        <v>6</v>
      </c>
      <c r="G868">
        <v>0.46179999999999999</v>
      </c>
      <c r="H868">
        <v>0.42130000000000001</v>
      </c>
      <c r="I868">
        <v>12</v>
      </c>
    </row>
    <row r="869" spans="1:9" x14ac:dyDescent="0.3">
      <c r="A869">
        <f>LOOKUP(9E+307,--MID(D869,1,{1,2,3,4,5}))</f>
        <v>10</v>
      </c>
      <c r="B869">
        <f>VLOOKUP(MID(D869,LOOKUP(2,1/ISNUMBER(-MID(D869,1,{1,2,3,4,5})),{1,2,3,4,5})+1,9),'Hue codes'!$A$1:$B$10,2,FALSE)</f>
        <v>10</v>
      </c>
      <c r="C869">
        <f t="shared" si="13"/>
        <v>20</v>
      </c>
      <c r="D869" t="s">
        <v>28</v>
      </c>
      <c r="E869">
        <v>4</v>
      </c>
      <c r="F869">
        <v>8</v>
      </c>
      <c r="G869">
        <v>0.4965</v>
      </c>
      <c r="H869">
        <v>0.44140000000000001</v>
      </c>
      <c r="I869">
        <v>12</v>
      </c>
    </row>
    <row r="870" spans="1:9" x14ac:dyDescent="0.3">
      <c r="A870">
        <f>LOOKUP(9E+307,--MID(D870,1,{1,2,3,4,5}))</f>
        <v>10</v>
      </c>
      <c r="B870">
        <f>VLOOKUP(MID(D870,LOOKUP(2,1/ISNUMBER(-MID(D870,1,{1,2,3,4,5})),{1,2,3,4,5})+1,9),'Hue codes'!$A$1:$B$10,2,FALSE)</f>
        <v>10</v>
      </c>
      <c r="C870">
        <f t="shared" si="13"/>
        <v>20</v>
      </c>
      <c r="D870" t="s">
        <v>28</v>
      </c>
      <c r="E870">
        <v>4</v>
      </c>
      <c r="F870">
        <v>10</v>
      </c>
      <c r="G870">
        <v>0.52500000000000002</v>
      </c>
      <c r="H870">
        <v>0.45729999999999998</v>
      </c>
      <c r="I870">
        <v>12</v>
      </c>
    </row>
    <row r="871" spans="1:9" x14ac:dyDescent="0.3">
      <c r="A871">
        <f>LOOKUP(9E+307,--MID(D871,1,{1,2,3,4,5}))</f>
        <v>2.5</v>
      </c>
      <c r="B871">
        <f>VLOOKUP(MID(D871,LOOKUP(2,1/ISNUMBER(-MID(D871,1,{1,2,3,4,5})),{1,2,3,4,5})+1,9),'Hue codes'!$A$1:$B$10,2,FALSE)</f>
        <v>20</v>
      </c>
      <c r="C871">
        <f t="shared" si="13"/>
        <v>22.5</v>
      </c>
      <c r="D871" t="s">
        <v>29</v>
      </c>
      <c r="E871">
        <v>4</v>
      </c>
      <c r="F871">
        <v>2</v>
      </c>
      <c r="G871">
        <v>0.36330000000000001</v>
      </c>
      <c r="H871">
        <v>0.3654</v>
      </c>
      <c r="I871">
        <v>12</v>
      </c>
    </row>
    <row r="872" spans="1:9" x14ac:dyDescent="0.3">
      <c r="A872">
        <f>LOOKUP(9E+307,--MID(D872,1,{1,2,3,4,5}))</f>
        <v>2.5</v>
      </c>
      <c r="B872">
        <f>VLOOKUP(MID(D872,LOOKUP(2,1/ISNUMBER(-MID(D872,1,{1,2,3,4,5})),{1,2,3,4,5})+1,9),'Hue codes'!$A$1:$B$10,2,FALSE)</f>
        <v>20</v>
      </c>
      <c r="C872">
        <f t="shared" si="13"/>
        <v>22.5</v>
      </c>
      <c r="D872" t="s">
        <v>29</v>
      </c>
      <c r="E872">
        <v>4</v>
      </c>
      <c r="F872">
        <v>4</v>
      </c>
      <c r="G872">
        <v>0.4138</v>
      </c>
      <c r="H872">
        <v>0.40760000000000002</v>
      </c>
      <c r="I872">
        <v>12</v>
      </c>
    </row>
    <row r="873" spans="1:9" x14ac:dyDescent="0.3">
      <c r="A873">
        <f>LOOKUP(9E+307,--MID(D873,1,{1,2,3,4,5}))</f>
        <v>2.5</v>
      </c>
      <c r="B873">
        <f>VLOOKUP(MID(D873,LOOKUP(2,1/ISNUMBER(-MID(D873,1,{1,2,3,4,5})),{1,2,3,4,5})+1,9),'Hue codes'!$A$1:$B$10,2,FALSE)</f>
        <v>20</v>
      </c>
      <c r="C873">
        <f t="shared" si="13"/>
        <v>22.5</v>
      </c>
      <c r="D873" t="s">
        <v>29</v>
      </c>
      <c r="E873">
        <v>4</v>
      </c>
      <c r="F873">
        <v>6</v>
      </c>
      <c r="G873">
        <v>0.45419999999999999</v>
      </c>
      <c r="H873">
        <v>0.43909999999999999</v>
      </c>
      <c r="I873">
        <v>12</v>
      </c>
    </row>
    <row r="874" spans="1:9" x14ac:dyDescent="0.3">
      <c r="A874">
        <f>LOOKUP(9E+307,--MID(D874,1,{1,2,3,4,5}))</f>
        <v>2.5</v>
      </c>
      <c r="B874">
        <f>VLOOKUP(MID(D874,LOOKUP(2,1/ISNUMBER(-MID(D874,1,{1,2,3,4,5})),{1,2,3,4,5})+1,9),'Hue codes'!$A$1:$B$10,2,FALSE)</f>
        <v>20</v>
      </c>
      <c r="C874">
        <f t="shared" si="13"/>
        <v>22.5</v>
      </c>
      <c r="D874" t="s">
        <v>29</v>
      </c>
      <c r="E874">
        <v>4</v>
      </c>
      <c r="F874">
        <v>8</v>
      </c>
      <c r="G874">
        <v>0.48649999999999999</v>
      </c>
      <c r="H874">
        <v>0.46250000000000002</v>
      </c>
      <c r="I874">
        <v>12</v>
      </c>
    </row>
    <row r="875" spans="1:9" x14ac:dyDescent="0.3">
      <c r="A875">
        <f>LOOKUP(9E+307,--MID(D875,1,{1,2,3,4,5}))</f>
        <v>2.5</v>
      </c>
      <c r="B875">
        <f>VLOOKUP(MID(D875,LOOKUP(2,1/ISNUMBER(-MID(D875,1,{1,2,3,4,5})),{1,2,3,4,5})+1,9),'Hue codes'!$A$1:$B$10,2,FALSE)</f>
        <v>20</v>
      </c>
      <c r="C875">
        <f t="shared" si="13"/>
        <v>22.5</v>
      </c>
      <c r="D875" t="s">
        <v>29</v>
      </c>
      <c r="E875">
        <v>4</v>
      </c>
      <c r="F875">
        <v>10</v>
      </c>
      <c r="G875">
        <v>0.51200000000000001</v>
      </c>
      <c r="H875">
        <v>0.48</v>
      </c>
      <c r="I875">
        <v>12</v>
      </c>
    </row>
    <row r="876" spans="1:9" x14ac:dyDescent="0.3">
      <c r="A876">
        <f>LOOKUP(9E+307,--MID(D876,1,{1,2,3,4,5}))</f>
        <v>5</v>
      </c>
      <c r="B876">
        <f>VLOOKUP(MID(D876,LOOKUP(2,1/ISNUMBER(-MID(D876,1,{1,2,3,4,5})),{1,2,3,4,5})+1,9),'Hue codes'!$A$1:$B$10,2,FALSE)</f>
        <v>20</v>
      </c>
      <c r="C876">
        <f t="shared" si="13"/>
        <v>25</v>
      </c>
      <c r="D876" t="s">
        <v>30</v>
      </c>
      <c r="E876">
        <v>4</v>
      </c>
      <c r="F876">
        <v>2</v>
      </c>
      <c r="G876">
        <v>0.35899999999999999</v>
      </c>
      <c r="H876">
        <v>0.37009999999999998</v>
      </c>
      <c r="I876">
        <v>12</v>
      </c>
    </row>
    <row r="877" spans="1:9" x14ac:dyDescent="0.3">
      <c r="A877">
        <f>LOOKUP(9E+307,--MID(D877,1,{1,2,3,4,5}))</f>
        <v>5</v>
      </c>
      <c r="B877">
        <f>VLOOKUP(MID(D877,LOOKUP(2,1/ISNUMBER(-MID(D877,1,{1,2,3,4,5})),{1,2,3,4,5})+1,9),'Hue codes'!$A$1:$B$10,2,FALSE)</f>
        <v>20</v>
      </c>
      <c r="C877">
        <f t="shared" si="13"/>
        <v>25</v>
      </c>
      <c r="D877" t="s">
        <v>30</v>
      </c>
      <c r="E877">
        <v>4</v>
      </c>
      <c r="F877">
        <v>4</v>
      </c>
      <c r="G877">
        <v>0.40689999999999998</v>
      </c>
      <c r="H877">
        <v>0.41880000000000001</v>
      </c>
      <c r="I877">
        <v>12</v>
      </c>
    </row>
    <row r="878" spans="1:9" x14ac:dyDescent="0.3">
      <c r="A878">
        <f>LOOKUP(9E+307,--MID(D878,1,{1,2,3,4,5}))</f>
        <v>5</v>
      </c>
      <c r="B878">
        <f>VLOOKUP(MID(D878,LOOKUP(2,1/ISNUMBER(-MID(D878,1,{1,2,3,4,5})),{1,2,3,4,5})+1,9),'Hue codes'!$A$1:$B$10,2,FALSE)</f>
        <v>20</v>
      </c>
      <c r="C878">
        <f t="shared" si="13"/>
        <v>25</v>
      </c>
      <c r="D878" t="s">
        <v>30</v>
      </c>
      <c r="E878">
        <v>4</v>
      </c>
      <c r="F878">
        <v>6</v>
      </c>
      <c r="G878">
        <v>0.4451</v>
      </c>
      <c r="H878">
        <v>0.45500000000000002</v>
      </c>
      <c r="I878">
        <v>12</v>
      </c>
    </row>
    <row r="879" spans="1:9" x14ac:dyDescent="0.3">
      <c r="A879">
        <f>LOOKUP(9E+307,--MID(D879,1,{1,2,3,4,5}))</f>
        <v>5</v>
      </c>
      <c r="B879">
        <f>VLOOKUP(MID(D879,LOOKUP(2,1/ISNUMBER(-MID(D879,1,{1,2,3,4,5})),{1,2,3,4,5})+1,9),'Hue codes'!$A$1:$B$10,2,FALSE)</f>
        <v>20</v>
      </c>
      <c r="C879">
        <f t="shared" si="13"/>
        <v>25</v>
      </c>
      <c r="D879" t="s">
        <v>30</v>
      </c>
      <c r="E879">
        <v>4</v>
      </c>
      <c r="F879">
        <v>8</v>
      </c>
      <c r="G879">
        <v>0.47449999999999998</v>
      </c>
      <c r="H879">
        <v>0.48099999999999998</v>
      </c>
      <c r="I879">
        <v>12</v>
      </c>
    </row>
    <row r="880" spans="1:9" x14ac:dyDescent="0.3">
      <c r="A880">
        <f>LOOKUP(9E+307,--MID(D880,1,{1,2,3,4,5}))</f>
        <v>7.5</v>
      </c>
      <c r="B880">
        <f>VLOOKUP(MID(D880,LOOKUP(2,1/ISNUMBER(-MID(D880,1,{1,2,3,4,5})),{1,2,3,4,5})+1,9),'Hue codes'!$A$1:$B$10,2,FALSE)</f>
        <v>20</v>
      </c>
      <c r="C880">
        <f t="shared" si="13"/>
        <v>27.5</v>
      </c>
      <c r="D880" t="s">
        <v>31</v>
      </c>
      <c r="E880">
        <v>4</v>
      </c>
      <c r="F880">
        <v>2</v>
      </c>
      <c r="G880">
        <v>0.35420000000000001</v>
      </c>
      <c r="H880">
        <v>0.37269999999999998</v>
      </c>
      <c r="I880">
        <v>12</v>
      </c>
    </row>
    <row r="881" spans="1:9" x14ac:dyDescent="0.3">
      <c r="A881">
        <f>LOOKUP(9E+307,--MID(D881,1,{1,2,3,4,5}))</f>
        <v>7.5</v>
      </c>
      <c r="B881">
        <f>VLOOKUP(MID(D881,LOOKUP(2,1/ISNUMBER(-MID(D881,1,{1,2,3,4,5})),{1,2,3,4,5})+1,9),'Hue codes'!$A$1:$B$10,2,FALSE)</f>
        <v>20</v>
      </c>
      <c r="C881">
        <f t="shared" si="13"/>
        <v>27.5</v>
      </c>
      <c r="D881" t="s">
        <v>31</v>
      </c>
      <c r="E881">
        <v>4</v>
      </c>
      <c r="F881">
        <v>4</v>
      </c>
      <c r="G881">
        <v>0.3982</v>
      </c>
      <c r="H881">
        <v>0.42720000000000002</v>
      </c>
      <c r="I881">
        <v>12</v>
      </c>
    </row>
    <row r="882" spans="1:9" x14ac:dyDescent="0.3">
      <c r="A882">
        <f>LOOKUP(9E+307,--MID(D882,1,{1,2,3,4,5}))</f>
        <v>7.5</v>
      </c>
      <c r="B882">
        <f>VLOOKUP(MID(D882,LOOKUP(2,1/ISNUMBER(-MID(D882,1,{1,2,3,4,5})),{1,2,3,4,5})+1,9),'Hue codes'!$A$1:$B$10,2,FALSE)</f>
        <v>20</v>
      </c>
      <c r="C882">
        <f t="shared" si="13"/>
        <v>27.5</v>
      </c>
      <c r="D882" t="s">
        <v>31</v>
      </c>
      <c r="E882">
        <v>4</v>
      </c>
      <c r="F882">
        <v>6</v>
      </c>
      <c r="G882">
        <v>0.43309999999999998</v>
      </c>
      <c r="H882">
        <v>0.46879999999999999</v>
      </c>
      <c r="I882">
        <v>12</v>
      </c>
    </row>
    <row r="883" spans="1:9" x14ac:dyDescent="0.3">
      <c r="A883">
        <f>LOOKUP(9E+307,--MID(D883,1,{1,2,3,4,5}))</f>
        <v>7.5</v>
      </c>
      <c r="B883">
        <f>VLOOKUP(MID(D883,LOOKUP(2,1/ISNUMBER(-MID(D883,1,{1,2,3,4,5})),{1,2,3,4,5})+1,9),'Hue codes'!$A$1:$B$10,2,FALSE)</f>
        <v>20</v>
      </c>
      <c r="C883">
        <f t="shared" si="13"/>
        <v>27.5</v>
      </c>
      <c r="D883" t="s">
        <v>31</v>
      </c>
      <c r="E883">
        <v>4</v>
      </c>
      <c r="F883">
        <v>8</v>
      </c>
      <c r="G883">
        <v>0.45950000000000002</v>
      </c>
      <c r="H883">
        <v>0.499</v>
      </c>
      <c r="I883">
        <v>12</v>
      </c>
    </row>
    <row r="884" spans="1:9" x14ac:dyDescent="0.3">
      <c r="A884">
        <f>LOOKUP(9E+307,--MID(D884,1,{1,2,3,4,5}))</f>
        <v>10</v>
      </c>
      <c r="B884">
        <f>VLOOKUP(MID(D884,LOOKUP(2,1/ISNUMBER(-MID(D884,1,{1,2,3,4,5})),{1,2,3,4,5})+1,9),'Hue codes'!$A$1:$B$10,2,FALSE)</f>
        <v>20</v>
      </c>
      <c r="C884">
        <f t="shared" si="13"/>
        <v>30</v>
      </c>
      <c r="D884" t="s">
        <v>32</v>
      </c>
      <c r="E884">
        <v>4</v>
      </c>
      <c r="F884">
        <v>2</v>
      </c>
      <c r="G884">
        <v>0.34760000000000002</v>
      </c>
      <c r="H884">
        <v>0.37319999999999998</v>
      </c>
      <c r="I884">
        <v>12</v>
      </c>
    </row>
    <row r="885" spans="1:9" x14ac:dyDescent="0.3">
      <c r="A885">
        <f>LOOKUP(9E+307,--MID(D885,1,{1,2,3,4,5}))</f>
        <v>10</v>
      </c>
      <c r="B885">
        <f>VLOOKUP(MID(D885,LOOKUP(2,1/ISNUMBER(-MID(D885,1,{1,2,3,4,5})),{1,2,3,4,5})+1,9),'Hue codes'!$A$1:$B$10,2,FALSE)</f>
        <v>20</v>
      </c>
      <c r="C885">
        <f t="shared" si="13"/>
        <v>30</v>
      </c>
      <c r="D885" t="s">
        <v>32</v>
      </c>
      <c r="E885">
        <v>4</v>
      </c>
      <c r="F885">
        <v>4</v>
      </c>
      <c r="G885">
        <v>0.3871</v>
      </c>
      <c r="H885">
        <v>0.43209999999999998</v>
      </c>
      <c r="I885">
        <v>12</v>
      </c>
    </row>
    <row r="886" spans="1:9" x14ac:dyDescent="0.3">
      <c r="A886">
        <f>LOOKUP(9E+307,--MID(D886,1,{1,2,3,4,5}))</f>
        <v>10</v>
      </c>
      <c r="B886">
        <f>VLOOKUP(MID(D886,LOOKUP(2,1/ISNUMBER(-MID(D886,1,{1,2,3,4,5})),{1,2,3,4,5})+1,9),'Hue codes'!$A$1:$B$10,2,FALSE)</f>
        <v>20</v>
      </c>
      <c r="C886">
        <f t="shared" si="13"/>
        <v>30</v>
      </c>
      <c r="D886" t="s">
        <v>32</v>
      </c>
      <c r="E886">
        <v>4</v>
      </c>
      <c r="F886">
        <v>6</v>
      </c>
      <c r="G886">
        <v>0.41899999999999998</v>
      </c>
      <c r="H886">
        <v>0.47949999999999998</v>
      </c>
      <c r="I886">
        <v>12</v>
      </c>
    </row>
    <row r="887" spans="1:9" x14ac:dyDescent="0.3">
      <c r="A887">
        <f>LOOKUP(9E+307,--MID(D887,1,{1,2,3,4,5}))</f>
        <v>10</v>
      </c>
      <c r="B887">
        <f>VLOOKUP(MID(D887,LOOKUP(2,1/ISNUMBER(-MID(D887,1,{1,2,3,4,5})),{1,2,3,4,5})+1,9),'Hue codes'!$A$1:$B$10,2,FALSE)</f>
        <v>20</v>
      </c>
      <c r="C887">
        <f t="shared" si="13"/>
        <v>30</v>
      </c>
      <c r="D887" t="s">
        <v>32</v>
      </c>
      <c r="E887">
        <v>4</v>
      </c>
      <c r="F887">
        <v>8</v>
      </c>
      <c r="G887">
        <v>0.443</v>
      </c>
      <c r="H887">
        <v>0.51529999999999998</v>
      </c>
      <c r="I887">
        <v>12</v>
      </c>
    </row>
    <row r="888" spans="1:9" x14ac:dyDescent="0.3">
      <c r="A888">
        <f>LOOKUP(9E+307,--MID(D888,1,{1,2,3,4,5}))</f>
        <v>2.5</v>
      </c>
      <c r="B888">
        <f>VLOOKUP(MID(D888,LOOKUP(2,1/ISNUMBER(-MID(D888,1,{1,2,3,4,5})),{1,2,3,4,5})+1,9),'Hue codes'!$A$1:$B$10,2,FALSE)</f>
        <v>30</v>
      </c>
      <c r="C888">
        <f t="shared" si="13"/>
        <v>32.5</v>
      </c>
      <c r="D888" t="s">
        <v>33</v>
      </c>
      <c r="E888">
        <v>4</v>
      </c>
      <c r="F888">
        <v>2</v>
      </c>
      <c r="G888">
        <v>0.3382</v>
      </c>
      <c r="H888">
        <v>0.37059999999999998</v>
      </c>
      <c r="I888">
        <v>12</v>
      </c>
    </row>
    <row r="889" spans="1:9" x14ac:dyDescent="0.3">
      <c r="A889">
        <f>LOOKUP(9E+307,--MID(D889,1,{1,2,3,4,5}))</f>
        <v>2.5</v>
      </c>
      <c r="B889">
        <f>VLOOKUP(MID(D889,LOOKUP(2,1/ISNUMBER(-MID(D889,1,{1,2,3,4,5})),{1,2,3,4,5})+1,9),'Hue codes'!$A$1:$B$10,2,FALSE)</f>
        <v>30</v>
      </c>
      <c r="C889">
        <f t="shared" si="13"/>
        <v>32.5</v>
      </c>
      <c r="D889" t="s">
        <v>33</v>
      </c>
      <c r="E889">
        <v>4</v>
      </c>
      <c r="F889">
        <v>4</v>
      </c>
      <c r="G889">
        <v>0.37080000000000002</v>
      </c>
      <c r="H889">
        <v>0.43290000000000001</v>
      </c>
      <c r="I889">
        <v>12</v>
      </c>
    </row>
    <row r="890" spans="1:9" x14ac:dyDescent="0.3">
      <c r="A890">
        <f>LOOKUP(9E+307,--MID(D890,1,{1,2,3,4,5}))</f>
        <v>2.5</v>
      </c>
      <c r="B890">
        <f>VLOOKUP(MID(D890,LOOKUP(2,1/ISNUMBER(-MID(D890,1,{1,2,3,4,5})),{1,2,3,4,5})+1,9),'Hue codes'!$A$1:$B$10,2,FALSE)</f>
        <v>30</v>
      </c>
      <c r="C890">
        <f t="shared" si="13"/>
        <v>32.5</v>
      </c>
      <c r="D890" t="s">
        <v>33</v>
      </c>
      <c r="E890">
        <v>4</v>
      </c>
      <c r="F890">
        <v>6</v>
      </c>
      <c r="G890">
        <v>0.39679999999999999</v>
      </c>
      <c r="H890">
        <v>0.48570000000000002</v>
      </c>
      <c r="I890">
        <v>12</v>
      </c>
    </row>
    <row r="891" spans="1:9" x14ac:dyDescent="0.3">
      <c r="A891">
        <f>LOOKUP(9E+307,--MID(D891,1,{1,2,3,4,5}))</f>
        <v>2.5</v>
      </c>
      <c r="B891">
        <f>VLOOKUP(MID(D891,LOOKUP(2,1/ISNUMBER(-MID(D891,1,{1,2,3,4,5})),{1,2,3,4,5})+1,9),'Hue codes'!$A$1:$B$10,2,FALSE)</f>
        <v>30</v>
      </c>
      <c r="C891">
        <f t="shared" si="13"/>
        <v>32.5</v>
      </c>
      <c r="D891" t="s">
        <v>33</v>
      </c>
      <c r="E891">
        <v>4</v>
      </c>
      <c r="F891">
        <v>8</v>
      </c>
      <c r="G891">
        <v>0.41739999999999999</v>
      </c>
      <c r="H891">
        <v>0.53</v>
      </c>
      <c r="I891">
        <v>12</v>
      </c>
    </row>
    <row r="892" spans="1:9" x14ac:dyDescent="0.3">
      <c r="A892">
        <f>LOOKUP(9E+307,--MID(D892,1,{1,2,3,4,5}))</f>
        <v>5</v>
      </c>
      <c r="B892">
        <f>VLOOKUP(MID(D892,LOOKUP(2,1/ISNUMBER(-MID(D892,1,{1,2,3,4,5})),{1,2,3,4,5})+1,9),'Hue codes'!$A$1:$B$10,2,FALSE)</f>
        <v>30</v>
      </c>
      <c r="C892">
        <f t="shared" si="13"/>
        <v>35</v>
      </c>
      <c r="D892" t="s">
        <v>34</v>
      </c>
      <c r="E892">
        <v>4</v>
      </c>
      <c r="F892">
        <v>2</v>
      </c>
      <c r="G892">
        <v>0.33119999999999999</v>
      </c>
      <c r="H892">
        <v>0.36780000000000002</v>
      </c>
      <c r="I892">
        <v>12</v>
      </c>
    </row>
    <row r="893" spans="1:9" x14ac:dyDescent="0.3">
      <c r="A893">
        <f>LOOKUP(9E+307,--MID(D893,1,{1,2,3,4,5}))</f>
        <v>5</v>
      </c>
      <c r="B893">
        <f>VLOOKUP(MID(D893,LOOKUP(2,1/ISNUMBER(-MID(D893,1,{1,2,3,4,5})),{1,2,3,4,5})+1,9),'Hue codes'!$A$1:$B$10,2,FALSE)</f>
        <v>30</v>
      </c>
      <c r="C893">
        <f t="shared" si="13"/>
        <v>35</v>
      </c>
      <c r="D893" t="s">
        <v>34</v>
      </c>
      <c r="E893">
        <v>4</v>
      </c>
      <c r="F893">
        <v>4</v>
      </c>
      <c r="G893">
        <v>0.3538</v>
      </c>
      <c r="H893">
        <v>0.4284</v>
      </c>
      <c r="I893">
        <v>12</v>
      </c>
    </row>
    <row r="894" spans="1:9" x14ac:dyDescent="0.3">
      <c r="A894">
        <f>LOOKUP(9E+307,--MID(D894,1,{1,2,3,4,5}))</f>
        <v>5</v>
      </c>
      <c r="B894">
        <f>VLOOKUP(MID(D894,LOOKUP(2,1/ISNUMBER(-MID(D894,1,{1,2,3,4,5})),{1,2,3,4,5})+1,9),'Hue codes'!$A$1:$B$10,2,FALSE)</f>
        <v>30</v>
      </c>
      <c r="C894">
        <f t="shared" si="13"/>
        <v>35</v>
      </c>
      <c r="D894" t="s">
        <v>34</v>
      </c>
      <c r="E894">
        <v>4</v>
      </c>
      <c r="F894">
        <v>6</v>
      </c>
      <c r="G894">
        <v>0.37180000000000002</v>
      </c>
      <c r="H894">
        <v>0.48520000000000002</v>
      </c>
      <c r="I894">
        <v>12</v>
      </c>
    </row>
    <row r="895" spans="1:9" x14ac:dyDescent="0.3">
      <c r="A895">
        <f>LOOKUP(9E+307,--MID(D895,1,{1,2,3,4,5}))</f>
        <v>5</v>
      </c>
      <c r="B895">
        <f>VLOOKUP(MID(D895,LOOKUP(2,1/ISNUMBER(-MID(D895,1,{1,2,3,4,5})),{1,2,3,4,5})+1,9),'Hue codes'!$A$1:$B$10,2,FALSE)</f>
        <v>30</v>
      </c>
      <c r="C895">
        <f t="shared" si="13"/>
        <v>35</v>
      </c>
      <c r="D895" t="s">
        <v>34</v>
      </c>
      <c r="E895">
        <v>4</v>
      </c>
      <c r="F895">
        <v>8</v>
      </c>
      <c r="G895">
        <v>0.38679999999999998</v>
      </c>
      <c r="H895">
        <v>0.53839999999999999</v>
      </c>
      <c r="I895">
        <v>12</v>
      </c>
    </row>
    <row r="896" spans="1:9" x14ac:dyDescent="0.3">
      <c r="A896">
        <f>LOOKUP(9E+307,--MID(D896,1,{1,2,3,4,5}))</f>
        <v>5</v>
      </c>
      <c r="B896">
        <f>VLOOKUP(MID(D896,LOOKUP(2,1/ISNUMBER(-MID(D896,1,{1,2,3,4,5})),{1,2,3,4,5})+1,9),'Hue codes'!$A$1:$B$10,2,FALSE)</f>
        <v>30</v>
      </c>
      <c r="C896">
        <f t="shared" si="13"/>
        <v>35</v>
      </c>
      <c r="D896" t="s">
        <v>34</v>
      </c>
      <c r="E896">
        <v>4</v>
      </c>
      <c r="F896">
        <v>10</v>
      </c>
      <c r="G896">
        <v>0.39829999999999999</v>
      </c>
      <c r="H896">
        <v>0.58499999999999996</v>
      </c>
      <c r="I896">
        <v>12</v>
      </c>
    </row>
    <row r="897" spans="1:9" x14ac:dyDescent="0.3">
      <c r="A897">
        <f>LOOKUP(9E+307,--MID(D897,1,{1,2,3,4,5}))</f>
        <v>7.5</v>
      </c>
      <c r="B897">
        <f>VLOOKUP(MID(D897,LOOKUP(2,1/ISNUMBER(-MID(D897,1,{1,2,3,4,5})),{1,2,3,4,5})+1,9),'Hue codes'!$A$1:$B$10,2,FALSE)</f>
        <v>30</v>
      </c>
      <c r="C897">
        <f t="shared" si="13"/>
        <v>37.5</v>
      </c>
      <c r="D897" t="s">
        <v>35</v>
      </c>
      <c r="E897">
        <v>4</v>
      </c>
      <c r="F897">
        <v>2</v>
      </c>
      <c r="G897">
        <v>0.31850000000000001</v>
      </c>
      <c r="H897">
        <v>0.3604</v>
      </c>
      <c r="I897">
        <v>12</v>
      </c>
    </row>
    <row r="898" spans="1:9" x14ac:dyDescent="0.3">
      <c r="A898">
        <f>LOOKUP(9E+307,--MID(D898,1,{1,2,3,4,5}))</f>
        <v>7.5</v>
      </c>
      <c r="B898">
        <f>VLOOKUP(MID(D898,LOOKUP(2,1/ISNUMBER(-MID(D898,1,{1,2,3,4,5})),{1,2,3,4,5})+1,9),'Hue codes'!$A$1:$B$10,2,FALSE)</f>
        <v>30</v>
      </c>
      <c r="C898">
        <f t="shared" si="13"/>
        <v>37.5</v>
      </c>
      <c r="D898" t="s">
        <v>35</v>
      </c>
      <c r="E898">
        <v>4</v>
      </c>
      <c r="F898">
        <v>4</v>
      </c>
      <c r="G898">
        <v>0.3281</v>
      </c>
      <c r="H898">
        <v>0.41570000000000001</v>
      </c>
      <c r="I898">
        <v>12</v>
      </c>
    </row>
    <row r="899" spans="1:9" x14ac:dyDescent="0.3">
      <c r="A899">
        <f>LOOKUP(9E+307,--MID(D899,1,{1,2,3,4,5}))</f>
        <v>7.5</v>
      </c>
      <c r="B899">
        <f>VLOOKUP(MID(D899,LOOKUP(2,1/ISNUMBER(-MID(D899,1,{1,2,3,4,5})),{1,2,3,4,5})+1,9),'Hue codes'!$A$1:$B$10,2,FALSE)</f>
        <v>30</v>
      </c>
      <c r="C899">
        <f t="shared" ref="C899:C962" si="14">IF(A899+B899=100,0,A899+B899)</f>
        <v>37.5</v>
      </c>
      <c r="D899" t="s">
        <v>35</v>
      </c>
      <c r="E899">
        <v>4</v>
      </c>
      <c r="F899">
        <v>6</v>
      </c>
      <c r="G899">
        <v>0.33550000000000002</v>
      </c>
      <c r="H899">
        <v>0.47389999999999999</v>
      </c>
      <c r="I899">
        <v>12</v>
      </c>
    </row>
    <row r="900" spans="1:9" x14ac:dyDescent="0.3">
      <c r="A900">
        <f>LOOKUP(9E+307,--MID(D900,1,{1,2,3,4,5}))</f>
        <v>7.5</v>
      </c>
      <c r="B900">
        <f>VLOOKUP(MID(D900,LOOKUP(2,1/ISNUMBER(-MID(D900,1,{1,2,3,4,5})),{1,2,3,4,5})+1,9),'Hue codes'!$A$1:$B$10,2,FALSE)</f>
        <v>30</v>
      </c>
      <c r="C900">
        <f t="shared" si="14"/>
        <v>37.5</v>
      </c>
      <c r="D900" t="s">
        <v>35</v>
      </c>
      <c r="E900">
        <v>4</v>
      </c>
      <c r="F900">
        <v>8</v>
      </c>
      <c r="G900">
        <v>0.34</v>
      </c>
      <c r="H900">
        <v>0.53480000000000005</v>
      </c>
      <c r="I900">
        <v>12</v>
      </c>
    </row>
    <row r="901" spans="1:9" x14ac:dyDescent="0.3">
      <c r="A901">
        <f>LOOKUP(9E+307,--MID(D901,1,{1,2,3,4,5}))</f>
        <v>7.5</v>
      </c>
      <c r="B901">
        <f>VLOOKUP(MID(D901,LOOKUP(2,1/ISNUMBER(-MID(D901,1,{1,2,3,4,5})),{1,2,3,4,5})+1,9),'Hue codes'!$A$1:$B$10,2,FALSE)</f>
        <v>30</v>
      </c>
      <c r="C901">
        <f t="shared" si="14"/>
        <v>37.5</v>
      </c>
      <c r="D901" t="s">
        <v>35</v>
      </c>
      <c r="E901">
        <v>4</v>
      </c>
      <c r="F901">
        <v>10</v>
      </c>
      <c r="G901">
        <v>0.33950000000000002</v>
      </c>
      <c r="H901">
        <v>0.59130000000000005</v>
      </c>
      <c r="I901">
        <v>12</v>
      </c>
    </row>
    <row r="902" spans="1:9" x14ac:dyDescent="0.3">
      <c r="A902">
        <f>LOOKUP(9E+307,--MID(D902,1,{1,2,3,4,5}))</f>
        <v>7.5</v>
      </c>
      <c r="B902">
        <f>VLOOKUP(MID(D902,LOOKUP(2,1/ISNUMBER(-MID(D902,1,{1,2,3,4,5})),{1,2,3,4,5})+1,9),'Hue codes'!$A$1:$B$10,2,FALSE)</f>
        <v>30</v>
      </c>
      <c r="C902">
        <f t="shared" si="14"/>
        <v>37.5</v>
      </c>
      <c r="D902" t="s">
        <v>35</v>
      </c>
      <c r="E902">
        <v>4</v>
      </c>
      <c r="F902">
        <v>12</v>
      </c>
      <c r="G902">
        <v>0.33479999999999999</v>
      </c>
      <c r="H902">
        <v>0.64680000000000004</v>
      </c>
      <c r="I902">
        <v>12</v>
      </c>
    </row>
    <row r="903" spans="1:9" x14ac:dyDescent="0.3">
      <c r="A903">
        <f>LOOKUP(9E+307,--MID(D903,1,{1,2,3,4,5}))</f>
        <v>10</v>
      </c>
      <c r="B903">
        <f>VLOOKUP(MID(D903,LOOKUP(2,1/ISNUMBER(-MID(D903,1,{1,2,3,4,5})),{1,2,3,4,5})+1,9),'Hue codes'!$A$1:$B$10,2,FALSE)</f>
        <v>30</v>
      </c>
      <c r="C903">
        <f t="shared" si="14"/>
        <v>40</v>
      </c>
      <c r="D903" t="s">
        <v>36</v>
      </c>
      <c r="E903">
        <v>4</v>
      </c>
      <c r="F903">
        <v>2</v>
      </c>
      <c r="G903">
        <v>0.31090000000000001</v>
      </c>
      <c r="H903">
        <v>0.35499999999999998</v>
      </c>
      <c r="I903">
        <v>12</v>
      </c>
    </row>
    <row r="904" spans="1:9" x14ac:dyDescent="0.3">
      <c r="A904">
        <f>LOOKUP(9E+307,--MID(D904,1,{1,2,3,4,5}))</f>
        <v>10</v>
      </c>
      <c r="B904">
        <f>VLOOKUP(MID(D904,LOOKUP(2,1/ISNUMBER(-MID(D904,1,{1,2,3,4,5})),{1,2,3,4,5})+1,9),'Hue codes'!$A$1:$B$10,2,FALSE)</f>
        <v>30</v>
      </c>
      <c r="C904">
        <f t="shared" si="14"/>
        <v>40</v>
      </c>
      <c r="D904" t="s">
        <v>36</v>
      </c>
      <c r="E904">
        <v>4</v>
      </c>
      <c r="F904">
        <v>4</v>
      </c>
      <c r="G904">
        <v>0.31</v>
      </c>
      <c r="H904">
        <v>0.40179999999999999</v>
      </c>
      <c r="I904">
        <v>12</v>
      </c>
    </row>
    <row r="905" spans="1:9" x14ac:dyDescent="0.3">
      <c r="A905">
        <f>LOOKUP(9E+307,--MID(D905,1,{1,2,3,4,5}))</f>
        <v>10</v>
      </c>
      <c r="B905">
        <f>VLOOKUP(MID(D905,LOOKUP(2,1/ISNUMBER(-MID(D905,1,{1,2,3,4,5})),{1,2,3,4,5})+1,9),'Hue codes'!$A$1:$B$10,2,FALSE)</f>
        <v>30</v>
      </c>
      <c r="C905">
        <f t="shared" si="14"/>
        <v>40</v>
      </c>
      <c r="D905" t="s">
        <v>36</v>
      </c>
      <c r="E905">
        <v>4</v>
      </c>
      <c r="F905">
        <v>6</v>
      </c>
      <c r="G905">
        <v>0.30690000000000001</v>
      </c>
      <c r="H905">
        <v>0.45500000000000002</v>
      </c>
      <c r="I905">
        <v>12</v>
      </c>
    </row>
    <row r="906" spans="1:9" x14ac:dyDescent="0.3">
      <c r="A906">
        <f>LOOKUP(9E+307,--MID(D906,1,{1,2,3,4,5}))</f>
        <v>10</v>
      </c>
      <c r="B906">
        <f>VLOOKUP(MID(D906,LOOKUP(2,1/ISNUMBER(-MID(D906,1,{1,2,3,4,5})),{1,2,3,4,5})+1,9),'Hue codes'!$A$1:$B$10,2,FALSE)</f>
        <v>30</v>
      </c>
      <c r="C906">
        <f t="shared" si="14"/>
        <v>40</v>
      </c>
      <c r="D906" t="s">
        <v>36</v>
      </c>
      <c r="E906">
        <v>4</v>
      </c>
      <c r="F906">
        <v>8</v>
      </c>
      <c r="G906">
        <v>0.30080000000000001</v>
      </c>
      <c r="H906">
        <v>0.50949999999999995</v>
      </c>
      <c r="I906">
        <v>12</v>
      </c>
    </row>
    <row r="907" spans="1:9" x14ac:dyDescent="0.3">
      <c r="A907">
        <f>LOOKUP(9E+307,--MID(D907,1,{1,2,3,4,5}))</f>
        <v>10</v>
      </c>
      <c r="B907">
        <f>VLOOKUP(MID(D907,LOOKUP(2,1/ISNUMBER(-MID(D907,1,{1,2,3,4,5})),{1,2,3,4,5})+1,9),'Hue codes'!$A$1:$B$10,2,FALSE)</f>
        <v>30</v>
      </c>
      <c r="C907">
        <f t="shared" si="14"/>
        <v>40</v>
      </c>
      <c r="D907" t="s">
        <v>36</v>
      </c>
      <c r="E907">
        <v>4</v>
      </c>
      <c r="F907">
        <v>10</v>
      </c>
      <c r="G907">
        <v>0.2908</v>
      </c>
      <c r="H907">
        <v>0.56720000000000004</v>
      </c>
      <c r="I907">
        <v>12</v>
      </c>
    </row>
    <row r="908" spans="1:9" x14ac:dyDescent="0.3">
      <c r="A908">
        <f>LOOKUP(9E+307,--MID(D908,1,{1,2,3,4,5}))</f>
        <v>10</v>
      </c>
      <c r="B908">
        <f>VLOOKUP(MID(D908,LOOKUP(2,1/ISNUMBER(-MID(D908,1,{1,2,3,4,5})),{1,2,3,4,5})+1,9),'Hue codes'!$A$1:$B$10,2,FALSE)</f>
        <v>30</v>
      </c>
      <c r="C908">
        <f t="shared" si="14"/>
        <v>40</v>
      </c>
      <c r="D908" t="s">
        <v>36</v>
      </c>
      <c r="E908">
        <v>4</v>
      </c>
      <c r="F908">
        <v>12</v>
      </c>
      <c r="G908">
        <v>0.27579999999999999</v>
      </c>
      <c r="H908">
        <v>0.62819999999999998</v>
      </c>
      <c r="I908">
        <v>12</v>
      </c>
    </row>
    <row r="909" spans="1:9" x14ac:dyDescent="0.3">
      <c r="A909">
        <f>LOOKUP(9E+307,--MID(D909,1,{1,2,3,4,5}))</f>
        <v>10</v>
      </c>
      <c r="B909">
        <f>VLOOKUP(MID(D909,LOOKUP(2,1/ISNUMBER(-MID(D909,1,{1,2,3,4,5})),{1,2,3,4,5})+1,9),'Hue codes'!$A$1:$B$10,2,FALSE)</f>
        <v>30</v>
      </c>
      <c r="C909">
        <f t="shared" si="14"/>
        <v>40</v>
      </c>
      <c r="D909" t="s">
        <v>36</v>
      </c>
      <c r="E909">
        <v>4</v>
      </c>
      <c r="F909">
        <v>14</v>
      </c>
      <c r="G909">
        <v>0.25900000000000001</v>
      </c>
      <c r="H909">
        <v>0.68579999999999997</v>
      </c>
      <c r="I909">
        <v>12</v>
      </c>
    </row>
    <row r="910" spans="1:9" x14ac:dyDescent="0.3">
      <c r="A910">
        <f>LOOKUP(9E+307,--MID(D910,1,{1,2,3,4,5}))</f>
        <v>10</v>
      </c>
      <c r="B910">
        <f>VLOOKUP(MID(D910,LOOKUP(2,1/ISNUMBER(-MID(D910,1,{1,2,3,4,5})),{1,2,3,4,5})+1,9),'Hue codes'!$A$1:$B$10,2,FALSE)</f>
        <v>30</v>
      </c>
      <c r="C910">
        <f t="shared" si="14"/>
        <v>40</v>
      </c>
      <c r="D910" t="s">
        <v>36</v>
      </c>
      <c r="E910">
        <v>4</v>
      </c>
      <c r="F910">
        <v>16</v>
      </c>
      <c r="G910">
        <v>0.2422</v>
      </c>
      <c r="H910">
        <v>0.73599999999999999</v>
      </c>
      <c r="I910">
        <v>12</v>
      </c>
    </row>
    <row r="911" spans="1:9" x14ac:dyDescent="0.3">
      <c r="A911">
        <f>LOOKUP(9E+307,--MID(D911,1,{1,2,3,4,5}))</f>
        <v>2.5</v>
      </c>
      <c r="B911">
        <f>VLOOKUP(MID(D911,LOOKUP(2,1/ISNUMBER(-MID(D911,1,{1,2,3,4,5})),{1,2,3,4,5})+1,9),'Hue codes'!$A$1:$B$10,2,FALSE)</f>
        <v>40</v>
      </c>
      <c r="C911">
        <f t="shared" si="14"/>
        <v>42.5</v>
      </c>
      <c r="D911" t="s">
        <v>37</v>
      </c>
      <c r="E911">
        <v>4</v>
      </c>
      <c r="F911">
        <v>2</v>
      </c>
      <c r="G911">
        <v>0.30120000000000002</v>
      </c>
      <c r="H911">
        <v>0.34699999999999998</v>
      </c>
      <c r="I911">
        <v>12</v>
      </c>
    </row>
    <row r="912" spans="1:9" x14ac:dyDescent="0.3">
      <c r="A912">
        <f>LOOKUP(9E+307,--MID(D912,1,{1,2,3,4,5}))</f>
        <v>2.5</v>
      </c>
      <c r="B912">
        <f>VLOOKUP(MID(D912,LOOKUP(2,1/ISNUMBER(-MID(D912,1,{1,2,3,4,5})),{1,2,3,4,5})+1,9),'Hue codes'!$A$1:$B$10,2,FALSE)</f>
        <v>40</v>
      </c>
      <c r="C912">
        <f t="shared" si="14"/>
        <v>42.5</v>
      </c>
      <c r="D912" t="s">
        <v>37</v>
      </c>
      <c r="E912">
        <v>4</v>
      </c>
      <c r="F912">
        <v>4</v>
      </c>
      <c r="G912">
        <v>0.28910000000000002</v>
      </c>
      <c r="H912">
        <v>0.3821</v>
      </c>
      <c r="I912">
        <v>12</v>
      </c>
    </row>
    <row r="913" spans="1:9" x14ac:dyDescent="0.3">
      <c r="A913">
        <f>LOOKUP(9E+307,--MID(D913,1,{1,2,3,4,5}))</f>
        <v>2.5</v>
      </c>
      <c r="B913">
        <f>VLOOKUP(MID(D913,LOOKUP(2,1/ISNUMBER(-MID(D913,1,{1,2,3,4,5})),{1,2,3,4,5})+1,9),'Hue codes'!$A$1:$B$10,2,FALSE)</f>
        <v>40</v>
      </c>
      <c r="C913">
        <f t="shared" si="14"/>
        <v>42.5</v>
      </c>
      <c r="D913" t="s">
        <v>37</v>
      </c>
      <c r="E913">
        <v>4</v>
      </c>
      <c r="F913">
        <v>6</v>
      </c>
      <c r="G913">
        <v>0.27350000000000002</v>
      </c>
      <c r="H913">
        <v>0.42149999999999999</v>
      </c>
      <c r="I913">
        <v>12</v>
      </c>
    </row>
    <row r="914" spans="1:9" x14ac:dyDescent="0.3">
      <c r="A914">
        <f>LOOKUP(9E+307,--MID(D914,1,{1,2,3,4,5}))</f>
        <v>2.5</v>
      </c>
      <c r="B914">
        <f>VLOOKUP(MID(D914,LOOKUP(2,1/ISNUMBER(-MID(D914,1,{1,2,3,4,5})),{1,2,3,4,5})+1,9),'Hue codes'!$A$1:$B$10,2,FALSE)</f>
        <v>40</v>
      </c>
      <c r="C914">
        <f t="shared" si="14"/>
        <v>42.5</v>
      </c>
      <c r="D914" t="s">
        <v>37</v>
      </c>
      <c r="E914">
        <v>4</v>
      </c>
      <c r="F914">
        <v>8</v>
      </c>
      <c r="G914">
        <v>0.25609999999999999</v>
      </c>
      <c r="H914">
        <v>0.4597</v>
      </c>
      <c r="I914">
        <v>12</v>
      </c>
    </row>
    <row r="915" spans="1:9" x14ac:dyDescent="0.3">
      <c r="A915">
        <f>LOOKUP(9E+307,--MID(D915,1,{1,2,3,4,5}))</f>
        <v>2.5</v>
      </c>
      <c r="B915">
        <f>VLOOKUP(MID(D915,LOOKUP(2,1/ISNUMBER(-MID(D915,1,{1,2,3,4,5})),{1,2,3,4,5})+1,9),'Hue codes'!$A$1:$B$10,2,FALSE)</f>
        <v>40</v>
      </c>
      <c r="C915">
        <f t="shared" si="14"/>
        <v>42.5</v>
      </c>
      <c r="D915" t="s">
        <v>37</v>
      </c>
      <c r="E915">
        <v>4</v>
      </c>
      <c r="F915">
        <v>10</v>
      </c>
      <c r="G915">
        <v>0.23549999999999999</v>
      </c>
      <c r="H915">
        <v>0.50060000000000004</v>
      </c>
      <c r="I915">
        <v>12</v>
      </c>
    </row>
    <row r="916" spans="1:9" x14ac:dyDescent="0.3">
      <c r="A916">
        <f>LOOKUP(9E+307,--MID(D916,1,{1,2,3,4,5}))</f>
        <v>2.5</v>
      </c>
      <c r="B916">
        <f>VLOOKUP(MID(D916,LOOKUP(2,1/ISNUMBER(-MID(D916,1,{1,2,3,4,5})),{1,2,3,4,5})+1,9),'Hue codes'!$A$1:$B$10,2,FALSE)</f>
        <v>40</v>
      </c>
      <c r="C916">
        <f t="shared" si="14"/>
        <v>42.5</v>
      </c>
      <c r="D916" t="s">
        <v>37</v>
      </c>
      <c r="E916">
        <v>4</v>
      </c>
      <c r="F916">
        <v>12</v>
      </c>
      <c r="G916">
        <v>0.21279999999999999</v>
      </c>
      <c r="H916">
        <v>0.54249999999999998</v>
      </c>
      <c r="I916">
        <v>12</v>
      </c>
    </row>
    <row r="917" spans="1:9" x14ac:dyDescent="0.3">
      <c r="A917">
        <f>LOOKUP(9E+307,--MID(D917,1,{1,2,3,4,5}))</f>
        <v>2.5</v>
      </c>
      <c r="B917">
        <f>VLOOKUP(MID(D917,LOOKUP(2,1/ISNUMBER(-MID(D917,1,{1,2,3,4,5})),{1,2,3,4,5})+1,9),'Hue codes'!$A$1:$B$10,2,FALSE)</f>
        <v>40</v>
      </c>
      <c r="C917">
        <f t="shared" si="14"/>
        <v>42.5</v>
      </c>
      <c r="D917" t="s">
        <v>37</v>
      </c>
      <c r="E917">
        <v>4</v>
      </c>
      <c r="F917">
        <v>14</v>
      </c>
      <c r="G917">
        <v>0.19089999999999999</v>
      </c>
      <c r="H917">
        <v>0.57789999999999997</v>
      </c>
      <c r="I917">
        <v>12</v>
      </c>
    </row>
    <row r="918" spans="1:9" x14ac:dyDescent="0.3">
      <c r="A918">
        <f>LOOKUP(9E+307,--MID(D918,1,{1,2,3,4,5}))</f>
        <v>2.5</v>
      </c>
      <c r="B918">
        <f>VLOOKUP(MID(D918,LOOKUP(2,1/ISNUMBER(-MID(D918,1,{1,2,3,4,5})),{1,2,3,4,5})+1,9),'Hue codes'!$A$1:$B$10,2,FALSE)</f>
        <v>40</v>
      </c>
      <c r="C918">
        <f t="shared" si="14"/>
        <v>42.5</v>
      </c>
      <c r="D918" t="s">
        <v>37</v>
      </c>
      <c r="E918">
        <v>4</v>
      </c>
      <c r="F918">
        <v>16</v>
      </c>
      <c r="G918">
        <v>0.16819999999999999</v>
      </c>
      <c r="H918">
        <v>0.61109999999999998</v>
      </c>
      <c r="I918">
        <v>12</v>
      </c>
    </row>
    <row r="919" spans="1:9" x14ac:dyDescent="0.3">
      <c r="A919">
        <f>LOOKUP(9E+307,--MID(D919,1,{1,2,3,4,5}))</f>
        <v>2.5</v>
      </c>
      <c r="B919">
        <f>VLOOKUP(MID(D919,LOOKUP(2,1/ISNUMBER(-MID(D919,1,{1,2,3,4,5})),{1,2,3,4,5})+1,9),'Hue codes'!$A$1:$B$10,2,FALSE)</f>
        <v>40</v>
      </c>
      <c r="C919">
        <f t="shared" si="14"/>
        <v>42.5</v>
      </c>
      <c r="D919" t="s">
        <v>37</v>
      </c>
      <c r="E919">
        <v>4</v>
      </c>
      <c r="F919">
        <v>18</v>
      </c>
      <c r="G919">
        <v>0.14460000000000001</v>
      </c>
      <c r="H919">
        <v>0.6431</v>
      </c>
      <c r="I919">
        <v>12</v>
      </c>
    </row>
    <row r="920" spans="1:9" x14ac:dyDescent="0.3">
      <c r="A920">
        <f>LOOKUP(9E+307,--MID(D920,1,{1,2,3,4,5}))</f>
        <v>2.5</v>
      </c>
      <c r="B920">
        <f>VLOOKUP(MID(D920,LOOKUP(2,1/ISNUMBER(-MID(D920,1,{1,2,3,4,5})),{1,2,3,4,5})+1,9),'Hue codes'!$A$1:$B$10,2,FALSE)</f>
        <v>40</v>
      </c>
      <c r="C920">
        <f t="shared" si="14"/>
        <v>42.5</v>
      </c>
      <c r="D920" t="s">
        <v>37</v>
      </c>
      <c r="E920">
        <v>4</v>
      </c>
      <c r="F920">
        <v>20</v>
      </c>
      <c r="G920">
        <v>0.123</v>
      </c>
      <c r="H920">
        <v>0.67059999999999997</v>
      </c>
      <c r="I920">
        <v>12</v>
      </c>
    </row>
    <row r="921" spans="1:9" x14ac:dyDescent="0.3">
      <c r="A921">
        <f>LOOKUP(9E+307,--MID(D921,1,{1,2,3,4,5}))</f>
        <v>2.5</v>
      </c>
      <c r="B921">
        <f>VLOOKUP(MID(D921,LOOKUP(2,1/ISNUMBER(-MID(D921,1,{1,2,3,4,5})),{1,2,3,4,5})+1,9),'Hue codes'!$A$1:$B$10,2,FALSE)</f>
        <v>40</v>
      </c>
      <c r="C921">
        <f t="shared" si="14"/>
        <v>42.5</v>
      </c>
      <c r="D921" t="s">
        <v>37</v>
      </c>
      <c r="E921">
        <v>4</v>
      </c>
      <c r="F921">
        <v>22</v>
      </c>
      <c r="G921">
        <v>0.1009</v>
      </c>
      <c r="H921">
        <v>0.69750000000000001</v>
      </c>
      <c r="I921">
        <v>12</v>
      </c>
    </row>
    <row r="922" spans="1:9" x14ac:dyDescent="0.3">
      <c r="A922">
        <f>LOOKUP(9E+307,--MID(D922,1,{1,2,3,4,5}))</f>
        <v>2.5</v>
      </c>
      <c r="B922">
        <f>VLOOKUP(MID(D922,LOOKUP(2,1/ISNUMBER(-MID(D922,1,{1,2,3,4,5})),{1,2,3,4,5})+1,9),'Hue codes'!$A$1:$B$10,2,FALSE)</f>
        <v>40</v>
      </c>
      <c r="C922">
        <f t="shared" si="14"/>
        <v>42.5</v>
      </c>
      <c r="D922" t="s">
        <v>37</v>
      </c>
      <c r="E922">
        <v>4</v>
      </c>
      <c r="F922">
        <v>24</v>
      </c>
      <c r="G922">
        <v>7.5999999999999998E-2</v>
      </c>
      <c r="H922">
        <v>0.72499999999999998</v>
      </c>
      <c r="I922">
        <v>12</v>
      </c>
    </row>
    <row r="923" spans="1:9" x14ac:dyDescent="0.3">
      <c r="A923">
        <f>LOOKUP(9E+307,--MID(D923,1,{1,2,3,4,5}))</f>
        <v>2.5</v>
      </c>
      <c r="B923">
        <f>VLOOKUP(MID(D923,LOOKUP(2,1/ISNUMBER(-MID(D923,1,{1,2,3,4,5})),{1,2,3,4,5})+1,9),'Hue codes'!$A$1:$B$10,2,FALSE)</f>
        <v>40</v>
      </c>
      <c r="C923">
        <f t="shared" si="14"/>
        <v>42.5</v>
      </c>
      <c r="D923" t="s">
        <v>37</v>
      </c>
      <c r="E923">
        <v>4</v>
      </c>
      <c r="F923">
        <v>26</v>
      </c>
      <c r="G923">
        <v>5.28E-2</v>
      </c>
      <c r="H923">
        <v>0.75019999999999998</v>
      </c>
      <c r="I923">
        <v>12</v>
      </c>
    </row>
    <row r="924" spans="1:9" x14ac:dyDescent="0.3">
      <c r="A924">
        <f>LOOKUP(9E+307,--MID(D924,1,{1,2,3,4,5}))</f>
        <v>5</v>
      </c>
      <c r="B924">
        <f>VLOOKUP(MID(D924,LOOKUP(2,1/ISNUMBER(-MID(D924,1,{1,2,3,4,5})),{1,2,3,4,5})+1,9),'Hue codes'!$A$1:$B$10,2,FALSE)</f>
        <v>40</v>
      </c>
      <c r="C924">
        <f t="shared" si="14"/>
        <v>45</v>
      </c>
      <c r="D924" t="s">
        <v>38</v>
      </c>
      <c r="E924">
        <v>4</v>
      </c>
      <c r="F924">
        <v>2</v>
      </c>
      <c r="G924">
        <v>0.2959</v>
      </c>
      <c r="H924">
        <v>0.3417</v>
      </c>
      <c r="I924">
        <v>12</v>
      </c>
    </row>
    <row r="925" spans="1:9" x14ac:dyDescent="0.3">
      <c r="A925">
        <f>LOOKUP(9E+307,--MID(D925,1,{1,2,3,4,5}))</f>
        <v>5</v>
      </c>
      <c r="B925">
        <f>VLOOKUP(MID(D925,LOOKUP(2,1/ISNUMBER(-MID(D925,1,{1,2,3,4,5})),{1,2,3,4,5})+1,9),'Hue codes'!$A$1:$B$10,2,FALSE)</f>
        <v>40</v>
      </c>
      <c r="C925">
        <f t="shared" si="14"/>
        <v>45</v>
      </c>
      <c r="D925" t="s">
        <v>38</v>
      </c>
      <c r="E925">
        <v>4</v>
      </c>
      <c r="F925">
        <v>4</v>
      </c>
      <c r="G925">
        <v>0.27810000000000001</v>
      </c>
      <c r="H925">
        <v>0.37040000000000001</v>
      </c>
      <c r="I925">
        <v>12</v>
      </c>
    </row>
    <row r="926" spans="1:9" x14ac:dyDescent="0.3">
      <c r="A926">
        <f>LOOKUP(9E+307,--MID(D926,1,{1,2,3,4,5}))</f>
        <v>5</v>
      </c>
      <c r="B926">
        <f>VLOOKUP(MID(D926,LOOKUP(2,1/ISNUMBER(-MID(D926,1,{1,2,3,4,5})),{1,2,3,4,5})+1,9),'Hue codes'!$A$1:$B$10,2,FALSE)</f>
        <v>40</v>
      </c>
      <c r="C926">
        <f t="shared" si="14"/>
        <v>45</v>
      </c>
      <c r="D926" t="s">
        <v>38</v>
      </c>
      <c r="E926">
        <v>4</v>
      </c>
      <c r="F926">
        <v>6</v>
      </c>
      <c r="G926">
        <v>0.2581</v>
      </c>
      <c r="H926">
        <v>0.3992</v>
      </c>
      <c r="I926">
        <v>12</v>
      </c>
    </row>
    <row r="927" spans="1:9" x14ac:dyDescent="0.3">
      <c r="A927">
        <f>LOOKUP(9E+307,--MID(D927,1,{1,2,3,4,5}))</f>
        <v>5</v>
      </c>
      <c r="B927">
        <f>VLOOKUP(MID(D927,LOOKUP(2,1/ISNUMBER(-MID(D927,1,{1,2,3,4,5})),{1,2,3,4,5})+1,9),'Hue codes'!$A$1:$B$10,2,FALSE)</f>
        <v>40</v>
      </c>
      <c r="C927">
        <f t="shared" si="14"/>
        <v>45</v>
      </c>
      <c r="D927" t="s">
        <v>38</v>
      </c>
      <c r="E927">
        <v>4</v>
      </c>
      <c r="F927">
        <v>8</v>
      </c>
      <c r="G927">
        <v>0.2359</v>
      </c>
      <c r="H927">
        <v>0.42659999999999998</v>
      </c>
      <c r="I927">
        <v>12</v>
      </c>
    </row>
    <row r="928" spans="1:9" x14ac:dyDescent="0.3">
      <c r="A928">
        <f>LOOKUP(9E+307,--MID(D928,1,{1,2,3,4,5}))</f>
        <v>5</v>
      </c>
      <c r="B928">
        <f>VLOOKUP(MID(D928,LOOKUP(2,1/ISNUMBER(-MID(D928,1,{1,2,3,4,5})),{1,2,3,4,5})+1,9),'Hue codes'!$A$1:$B$10,2,FALSE)</f>
        <v>40</v>
      </c>
      <c r="C928">
        <f t="shared" si="14"/>
        <v>45</v>
      </c>
      <c r="D928" t="s">
        <v>38</v>
      </c>
      <c r="E928">
        <v>4</v>
      </c>
      <c r="F928">
        <v>10</v>
      </c>
      <c r="G928">
        <v>0.21149999999999999</v>
      </c>
      <c r="H928">
        <v>0.45319999999999999</v>
      </c>
      <c r="I928">
        <v>12</v>
      </c>
    </row>
    <row r="929" spans="1:9" x14ac:dyDescent="0.3">
      <c r="A929">
        <f>LOOKUP(9E+307,--MID(D929,1,{1,2,3,4,5}))</f>
        <v>5</v>
      </c>
      <c r="B929">
        <f>VLOOKUP(MID(D929,LOOKUP(2,1/ISNUMBER(-MID(D929,1,{1,2,3,4,5})),{1,2,3,4,5})+1,9),'Hue codes'!$A$1:$B$10,2,FALSE)</f>
        <v>40</v>
      </c>
      <c r="C929">
        <f t="shared" si="14"/>
        <v>45</v>
      </c>
      <c r="D929" t="s">
        <v>38</v>
      </c>
      <c r="E929">
        <v>4</v>
      </c>
      <c r="F929">
        <v>12</v>
      </c>
      <c r="G929">
        <v>0.18429999999999999</v>
      </c>
      <c r="H929">
        <v>0.48070000000000002</v>
      </c>
      <c r="I929">
        <v>12</v>
      </c>
    </row>
    <row r="930" spans="1:9" x14ac:dyDescent="0.3">
      <c r="A930">
        <f>LOOKUP(9E+307,--MID(D930,1,{1,2,3,4,5}))</f>
        <v>5</v>
      </c>
      <c r="B930">
        <f>VLOOKUP(MID(D930,LOOKUP(2,1/ISNUMBER(-MID(D930,1,{1,2,3,4,5})),{1,2,3,4,5})+1,9),'Hue codes'!$A$1:$B$10,2,FALSE)</f>
        <v>40</v>
      </c>
      <c r="C930">
        <f t="shared" si="14"/>
        <v>45</v>
      </c>
      <c r="D930" t="s">
        <v>38</v>
      </c>
      <c r="E930">
        <v>4</v>
      </c>
      <c r="F930">
        <v>14</v>
      </c>
      <c r="G930">
        <v>0.16270000000000001</v>
      </c>
      <c r="H930">
        <v>0.50149999999999995</v>
      </c>
      <c r="I930">
        <v>12</v>
      </c>
    </row>
    <row r="931" spans="1:9" x14ac:dyDescent="0.3">
      <c r="A931">
        <f>LOOKUP(9E+307,--MID(D931,1,{1,2,3,4,5}))</f>
        <v>5</v>
      </c>
      <c r="B931">
        <f>VLOOKUP(MID(D931,LOOKUP(2,1/ISNUMBER(-MID(D931,1,{1,2,3,4,5})),{1,2,3,4,5})+1,9),'Hue codes'!$A$1:$B$10,2,FALSE)</f>
        <v>40</v>
      </c>
      <c r="C931">
        <f t="shared" si="14"/>
        <v>45</v>
      </c>
      <c r="D931" t="s">
        <v>38</v>
      </c>
      <c r="E931">
        <v>4</v>
      </c>
      <c r="F931">
        <v>16</v>
      </c>
      <c r="G931">
        <v>0.14019999999999999</v>
      </c>
      <c r="H931">
        <v>0.52139999999999997</v>
      </c>
      <c r="I931">
        <v>12</v>
      </c>
    </row>
    <row r="932" spans="1:9" x14ac:dyDescent="0.3">
      <c r="A932">
        <f>LOOKUP(9E+307,--MID(D932,1,{1,2,3,4,5}))</f>
        <v>5</v>
      </c>
      <c r="B932">
        <f>VLOOKUP(MID(D932,LOOKUP(2,1/ISNUMBER(-MID(D932,1,{1,2,3,4,5})),{1,2,3,4,5})+1,9),'Hue codes'!$A$1:$B$10,2,FALSE)</f>
        <v>40</v>
      </c>
      <c r="C932">
        <f t="shared" si="14"/>
        <v>45</v>
      </c>
      <c r="D932" t="s">
        <v>38</v>
      </c>
      <c r="E932">
        <v>4</v>
      </c>
      <c r="F932">
        <v>18</v>
      </c>
      <c r="G932">
        <v>0.1188</v>
      </c>
      <c r="H932">
        <v>0.54</v>
      </c>
      <c r="I932">
        <v>12</v>
      </c>
    </row>
    <row r="933" spans="1:9" x14ac:dyDescent="0.3">
      <c r="A933">
        <f>LOOKUP(9E+307,--MID(D933,1,{1,2,3,4,5}))</f>
        <v>5</v>
      </c>
      <c r="B933">
        <f>VLOOKUP(MID(D933,LOOKUP(2,1/ISNUMBER(-MID(D933,1,{1,2,3,4,5})),{1,2,3,4,5})+1,9),'Hue codes'!$A$1:$B$10,2,FALSE)</f>
        <v>40</v>
      </c>
      <c r="C933">
        <f t="shared" si="14"/>
        <v>45</v>
      </c>
      <c r="D933" t="s">
        <v>38</v>
      </c>
      <c r="E933">
        <v>4</v>
      </c>
      <c r="F933">
        <v>20</v>
      </c>
      <c r="G933">
        <v>0.1018</v>
      </c>
      <c r="H933">
        <v>0.55430000000000001</v>
      </c>
      <c r="I933">
        <v>12</v>
      </c>
    </row>
    <row r="934" spans="1:9" x14ac:dyDescent="0.3">
      <c r="A934">
        <f>LOOKUP(9E+307,--MID(D934,1,{1,2,3,4,5}))</f>
        <v>5</v>
      </c>
      <c r="B934">
        <f>VLOOKUP(MID(D934,LOOKUP(2,1/ISNUMBER(-MID(D934,1,{1,2,3,4,5})),{1,2,3,4,5})+1,9),'Hue codes'!$A$1:$B$10,2,FALSE)</f>
        <v>40</v>
      </c>
      <c r="C934">
        <f t="shared" si="14"/>
        <v>45</v>
      </c>
      <c r="D934" t="s">
        <v>38</v>
      </c>
      <c r="E934">
        <v>4</v>
      </c>
      <c r="F934">
        <v>22</v>
      </c>
      <c r="G934">
        <v>8.4099999999999994E-2</v>
      </c>
      <c r="H934">
        <v>0.56840000000000002</v>
      </c>
      <c r="I934">
        <v>12</v>
      </c>
    </row>
    <row r="935" spans="1:9" x14ac:dyDescent="0.3">
      <c r="A935">
        <f>LOOKUP(9E+307,--MID(D935,1,{1,2,3,4,5}))</f>
        <v>5</v>
      </c>
      <c r="B935">
        <f>VLOOKUP(MID(D935,LOOKUP(2,1/ISNUMBER(-MID(D935,1,{1,2,3,4,5})),{1,2,3,4,5})+1,9),'Hue codes'!$A$1:$B$10,2,FALSE)</f>
        <v>40</v>
      </c>
      <c r="C935">
        <f t="shared" si="14"/>
        <v>45</v>
      </c>
      <c r="D935" t="s">
        <v>38</v>
      </c>
      <c r="E935">
        <v>4</v>
      </c>
      <c r="F935">
        <v>24</v>
      </c>
      <c r="G935">
        <v>6.1400000000000003E-2</v>
      </c>
      <c r="H935">
        <v>0.5857</v>
      </c>
      <c r="I935">
        <v>12</v>
      </c>
    </row>
    <row r="936" spans="1:9" x14ac:dyDescent="0.3">
      <c r="A936">
        <f>LOOKUP(9E+307,--MID(D936,1,{1,2,3,4,5}))</f>
        <v>5</v>
      </c>
      <c r="B936">
        <f>VLOOKUP(MID(D936,LOOKUP(2,1/ISNUMBER(-MID(D936,1,{1,2,3,4,5})),{1,2,3,4,5})+1,9),'Hue codes'!$A$1:$B$10,2,FALSE)</f>
        <v>40</v>
      </c>
      <c r="C936">
        <f t="shared" si="14"/>
        <v>45</v>
      </c>
      <c r="D936" t="s">
        <v>38</v>
      </c>
      <c r="E936">
        <v>4</v>
      </c>
      <c r="F936">
        <v>26</v>
      </c>
      <c r="G936">
        <v>4.07E-2</v>
      </c>
      <c r="H936">
        <v>0.60099999999999998</v>
      </c>
      <c r="I936">
        <v>12</v>
      </c>
    </row>
    <row r="937" spans="1:9" x14ac:dyDescent="0.3">
      <c r="A937">
        <f>LOOKUP(9E+307,--MID(D937,1,{1,2,3,4,5}))</f>
        <v>7.5</v>
      </c>
      <c r="B937">
        <f>VLOOKUP(MID(D937,LOOKUP(2,1/ISNUMBER(-MID(D937,1,{1,2,3,4,5})),{1,2,3,4,5})+1,9),'Hue codes'!$A$1:$B$10,2,FALSE)</f>
        <v>40</v>
      </c>
      <c r="C937">
        <f t="shared" si="14"/>
        <v>47.5</v>
      </c>
      <c r="D937" t="s">
        <v>39</v>
      </c>
      <c r="E937">
        <v>4</v>
      </c>
      <c r="F937">
        <v>2</v>
      </c>
      <c r="G937">
        <v>0.29189999999999999</v>
      </c>
      <c r="H937">
        <v>0.33710000000000001</v>
      </c>
      <c r="I937">
        <v>12</v>
      </c>
    </row>
    <row r="938" spans="1:9" x14ac:dyDescent="0.3">
      <c r="A938">
        <f>LOOKUP(9E+307,--MID(D938,1,{1,2,3,4,5}))</f>
        <v>7.5</v>
      </c>
      <c r="B938">
        <f>VLOOKUP(MID(D938,LOOKUP(2,1/ISNUMBER(-MID(D938,1,{1,2,3,4,5})),{1,2,3,4,5})+1,9),'Hue codes'!$A$1:$B$10,2,FALSE)</f>
        <v>40</v>
      </c>
      <c r="C938">
        <f t="shared" si="14"/>
        <v>47.5</v>
      </c>
      <c r="D938" t="s">
        <v>39</v>
      </c>
      <c r="E938">
        <v>4</v>
      </c>
      <c r="F938">
        <v>4</v>
      </c>
      <c r="G938">
        <v>0.2702</v>
      </c>
      <c r="H938">
        <v>0.36020000000000002</v>
      </c>
      <c r="I938">
        <v>12</v>
      </c>
    </row>
    <row r="939" spans="1:9" x14ac:dyDescent="0.3">
      <c r="A939">
        <f>LOOKUP(9E+307,--MID(D939,1,{1,2,3,4,5}))</f>
        <v>7.5</v>
      </c>
      <c r="B939">
        <f>VLOOKUP(MID(D939,LOOKUP(2,1/ISNUMBER(-MID(D939,1,{1,2,3,4,5})),{1,2,3,4,5})+1,9),'Hue codes'!$A$1:$B$10,2,FALSE)</f>
        <v>40</v>
      </c>
      <c r="C939">
        <f t="shared" si="14"/>
        <v>47.5</v>
      </c>
      <c r="D939" t="s">
        <v>39</v>
      </c>
      <c r="E939">
        <v>4</v>
      </c>
      <c r="F939">
        <v>6</v>
      </c>
      <c r="G939">
        <v>0.2467</v>
      </c>
      <c r="H939">
        <v>0.38219999999999998</v>
      </c>
      <c r="I939">
        <v>12</v>
      </c>
    </row>
    <row r="940" spans="1:9" x14ac:dyDescent="0.3">
      <c r="A940">
        <f>LOOKUP(9E+307,--MID(D940,1,{1,2,3,4,5}))</f>
        <v>7.5</v>
      </c>
      <c r="B940">
        <f>VLOOKUP(MID(D940,LOOKUP(2,1/ISNUMBER(-MID(D940,1,{1,2,3,4,5})),{1,2,3,4,5})+1,9),'Hue codes'!$A$1:$B$10,2,FALSE)</f>
        <v>40</v>
      </c>
      <c r="C940">
        <f t="shared" si="14"/>
        <v>47.5</v>
      </c>
      <c r="D940" t="s">
        <v>39</v>
      </c>
      <c r="E940">
        <v>4</v>
      </c>
      <c r="F940">
        <v>8</v>
      </c>
      <c r="G940">
        <v>0.22320000000000001</v>
      </c>
      <c r="H940">
        <v>0.4022</v>
      </c>
      <c r="I940">
        <v>12</v>
      </c>
    </row>
    <row r="941" spans="1:9" x14ac:dyDescent="0.3">
      <c r="A941">
        <f>LOOKUP(9E+307,--MID(D941,1,{1,2,3,4,5}))</f>
        <v>7.5</v>
      </c>
      <c r="B941">
        <f>VLOOKUP(MID(D941,LOOKUP(2,1/ISNUMBER(-MID(D941,1,{1,2,3,4,5})),{1,2,3,4,5})+1,9),'Hue codes'!$A$1:$B$10,2,FALSE)</f>
        <v>40</v>
      </c>
      <c r="C941">
        <f t="shared" si="14"/>
        <v>47.5</v>
      </c>
      <c r="D941" t="s">
        <v>39</v>
      </c>
      <c r="E941">
        <v>4</v>
      </c>
      <c r="F941">
        <v>10</v>
      </c>
      <c r="G941">
        <v>0.19889999999999999</v>
      </c>
      <c r="H941">
        <v>0.4219</v>
      </c>
      <c r="I941">
        <v>12</v>
      </c>
    </row>
    <row r="942" spans="1:9" x14ac:dyDescent="0.3">
      <c r="A942">
        <f>LOOKUP(9E+307,--MID(D942,1,{1,2,3,4,5}))</f>
        <v>7.5</v>
      </c>
      <c r="B942">
        <f>VLOOKUP(MID(D942,LOOKUP(2,1/ISNUMBER(-MID(D942,1,{1,2,3,4,5})),{1,2,3,4,5})+1,9),'Hue codes'!$A$1:$B$10,2,FALSE)</f>
        <v>40</v>
      </c>
      <c r="C942">
        <f t="shared" si="14"/>
        <v>47.5</v>
      </c>
      <c r="D942" t="s">
        <v>39</v>
      </c>
      <c r="E942">
        <v>4</v>
      </c>
      <c r="F942">
        <v>12</v>
      </c>
      <c r="G942">
        <v>0.1706</v>
      </c>
      <c r="H942">
        <v>0.44190000000000002</v>
      </c>
      <c r="I942">
        <v>12</v>
      </c>
    </row>
    <row r="943" spans="1:9" x14ac:dyDescent="0.3">
      <c r="A943">
        <f>LOOKUP(9E+307,--MID(D943,1,{1,2,3,4,5}))</f>
        <v>7.5</v>
      </c>
      <c r="B943">
        <f>VLOOKUP(MID(D943,LOOKUP(2,1/ISNUMBER(-MID(D943,1,{1,2,3,4,5})),{1,2,3,4,5})+1,9),'Hue codes'!$A$1:$B$10,2,FALSE)</f>
        <v>40</v>
      </c>
      <c r="C943">
        <f t="shared" si="14"/>
        <v>47.5</v>
      </c>
      <c r="D943" t="s">
        <v>39</v>
      </c>
      <c r="E943">
        <v>4</v>
      </c>
      <c r="F943">
        <v>14</v>
      </c>
      <c r="G943">
        <v>0.15</v>
      </c>
      <c r="H943">
        <v>0.45619999999999999</v>
      </c>
      <c r="I943">
        <v>12</v>
      </c>
    </row>
    <row r="944" spans="1:9" x14ac:dyDescent="0.3">
      <c r="A944">
        <f>LOOKUP(9E+307,--MID(D944,1,{1,2,3,4,5}))</f>
        <v>7.5</v>
      </c>
      <c r="B944">
        <f>VLOOKUP(MID(D944,LOOKUP(2,1/ISNUMBER(-MID(D944,1,{1,2,3,4,5})),{1,2,3,4,5})+1,9),'Hue codes'!$A$1:$B$10,2,FALSE)</f>
        <v>40</v>
      </c>
      <c r="C944">
        <f t="shared" si="14"/>
        <v>47.5</v>
      </c>
      <c r="D944" t="s">
        <v>39</v>
      </c>
      <c r="E944">
        <v>4</v>
      </c>
      <c r="F944">
        <v>16</v>
      </c>
      <c r="G944">
        <v>0.1293</v>
      </c>
      <c r="H944">
        <v>0.4703</v>
      </c>
      <c r="I944">
        <v>12</v>
      </c>
    </row>
    <row r="945" spans="1:9" x14ac:dyDescent="0.3">
      <c r="A945">
        <f>LOOKUP(9E+307,--MID(D945,1,{1,2,3,4,5}))</f>
        <v>7.5</v>
      </c>
      <c r="B945">
        <f>VLOOKUP(MID(D945,LOOKUP(2,1/ISNUMBER(-MID(D945,1,{1,2,3,4,5})),{1,2,3,4,5})+1,9),'Hue codes'!$A$1:$B$10,2,FALSE)</f>
        <v>40</v>
      </c>
      <c r="C945">
        <f t="shared" si="14"/>
        <v>47.5</v>
      </c>
      <c r="D945" t="s">
        <v>39</v>
      </c>
      <c r="E945">
        <v>4</v>
      </c>
      <c r="F945">
        <v>18</v>
      </c>
      <c r="G945">
        <v>0.1086</v>
      </c>
      <c r="H945">
        <v>0.48420000000000002</v>
      </c>
      <c r="I945">
        <v>12</v>
      </c>
    </row>
    <row r="946" spans="1:9" x14ac:dyDescent="0.3">
      <c r="A946">
        <f>LOOKUP(9E+307,--MID(D946,1,{1,2,3,4,5}))</f>
        <v>7.5</v>
      </c>
      <c r="B946">
        <f>VLOOKUP(MID(D946,LOOKUP(2,1/ISNUMBER(-MID(D946,1,{1,2,3,4,5})),{1,2,3,4,5})+1,9),'Hue codes'!$A$1:$B$10,2,FALSE)</f>
        <v>40</v>
      </c>
      <c r="C946">
        <f t="shared" si="14"/>
        <v>47.5</v>
      </c>
      <c r="D946" t="s">
        <v>39</v>
      </c>
      <c r="E946">
        <v>4</v>
      </c>
      <c r="F946">
        <v>20</v>
      </c>
      <c r="G946">
        <v>9.2799999999999994E-2</v>
      </c>
      <c r="H946">
        <v>0.49419999999999997</v>
      </c>
      <c r="I946">
        <v>12</v>
      </c>
    </row>
    <row r="947" spans="1:9" x14ac:dyDescent="0.3">
      <c r="A947">
        <f>LOOKUP(9E+307,--MID(D947,1,{1,2,3,4,5}))</f>
        <v>7.5</v>
      </c>
      <c r="B947">
        <f>VLOOKUP(MID(D947,LOOKUP(2,1/ISNUMBER(-MID(D947,1,{1,2,3,4,5})),{1,2,3,4,5})+1,9),'Hue codes'!$A$1:$B$10,2,FALSE)</f>
        <v>40</v>
      </c>
      <c r="C947">
        <f t="shared" si="14"/>
        <v>47.5</v>
      </c>
      <c r="D947" t="s">
        <v>39</v>
      </c>
      <c r="E947">
        <v>4</v>
      </c>
      <c r="F947">
        <v>22</v>
      </c>
      <c r="G947">
        <v>7.6999999999999999E-2</v>
      </c>
      <c r="H947">
        <v>0.504</v>
      </c>
      <c r="I947">
        <v>12</v>
      </c>
    </row>
    <row r="948" spans="1:9" x14ac:dyDescent="0.3">
      <c r="A948">
        <f>LOOKUP(9E+307,--MID(D948,1,{1,2,3,4,5}))</f>
        <v>7.5</v>
      </c>
      <c r="B948">
        <f>VLOOKUP(MID(D948,LOOKUP(2,1/ISNUMBER(-MID(D948,1,{1,2,3,4,5})),{1,2,3,4,5})+1,9),'Hue codes'!$A$1:$B$10,2,FALSE)</f>
        <v>40</v>
      </c>
      <c r="C948">
        <f t="shared" si="14"/>
        <v>47.5</v>
      </c>
      <c r="D948" t="s">
        <v>39</v>
      </c>
      <c r="E948">
        <v>4</v>
      </c>
      <c r="F948">
        <v>24</v>
      </c>
      <c r="G948">
        <v>5.8099999999999999E-2</v>
      </c>
      <c r="H948">
        <v>0.5151</v>
      </c>
      <c r="I948">
        <v>12</v>
      </c>
    </row>
    <row r="949" spans="1:9" x14ac:dyDescent="0.3">
      <c r="A949">
        <f>LOOKUP(9E+307,--MID(D949,1,{1,2,3,4,5}))</f>
        <v>7.5</v>
      </c>
      <c r="B949">
        <f>VLOOKUP(MID(D949,LOOKUP(2,1/ISNUMBER(-MID(D949,1,{1,2,3,4,5})),{1,2,3,4,5})+1,9),'Hue codes'!$A$1:$B$10,2,FALSE)</f>
        <v>40</v>
      </c>
      <c r="C949">
        <f t="shared" si="14"/>
        <v>47.5</v>
      </c>
      <c r="D949" t="s">
        <v>39</v>
      </c>
      <c r="E949">
        <v>4</v>
      </c>
      <c r="F949">
        <v>26</v>
      </c>
      <c r="G949">
        <v>3.9199999999999999E-2</v>
      </c>
      <c r="H949">
        <v>0.52580000000000005</v>
      </c>
      <c r="I949">
        <v>12</v>
      </c>
    </row>
    <row r="950" spans="1:9" x14ac:dyDescent="0.3">
      <c r="A950">
        <f>LOOKUP(9E+307,--MID(D950,1,{1,2,3,4,5}))</f>
        <v>10</v>
      </c>
      <c r="B950">
        <f>VLOOKUP(MID(D950,LOOKUP(2,1/ISNUMBER(-MID(D950,1,{1,2,3,4,5})),{1,2,3,4,5})+1,9),'Hue codes'!$A$1:$B$10,2,FALSE)</f>
        <v>40</v>
      </c>
      <c r="C950">
        <f t="shared" si="14"/>
        <v>50</v>
      </c>
      <c r="D950" t="s">
        <v>40</v>
      </c>
      <c r="E950">
        <v>4</v>
      </c>
      <c r="F950">
        <v>2</v>
      </c>
      <c r="G950">
        <v>0.28799999999999998</v>
      </c>
      <c r="H950">
        <v>0.3327</v>
      </c>
      <c r="I950">
        <v>12</v>
      </c>
    </row>
    <row r="951" spans="1:9" x14ac:dyDescent="0.3">
      <c r="A951">
        <f>LOOKUP(9E+307,--MID(D951,1,{1,2,3,4,5}))</f>
        <v>10</v>
      </c>
      <c r="B951">
        <f>VLOOKUP(MID(D951,LOOKUP(2,1/ISNUMBER(-MID(D951,1,{1,2,3,4,5})),{1,2,3,4,5})+1,9),'Hue codes'!$A$1:$B$10,2,FALSE)</f>
        <v>40</v>
      </c>
      <c r="C951">
        <f t="shared" si="14"/>
        <v>50</v>
      </c>
      <c r="D951" t="s">
        <v>40</v>
      </c>
      <c r="E951">
        <v>4</v>
      </c>
      <c r="F951">
        <v>4</v>
      </c>
      <c r="G951">
        <v>0.26279999999999998</v>
      </c>
      <c r="H951">
        <v>0.3498</v>
      </c>
      <c r="I951">
        <v>12</v>
      </c>
    </row>
    <row r="952" spans="1:9" x14ac:dyDescent="0.3">
      <c r="A952">
        <f>LOOKUP(9E+307,--MID(D952,1,{1,2,3,4,5}))</f>
        <v>10</v>
      </c>
      <c r="B952">
        <f>VLOOKUP(MID(D952,LOOKUP(2,1/ISNUMBER(-MID(D952,1,{1,2,3,4,5})),{1,2,3,4,5})+1,9),'Hue codes'!$A$1:$B$10,2,FALSE)</f>
        <v>40</v>
      </c>
      <c r="C952">
        <f t="shared" si="14"/>
        <v>50</v>
      </c>
      <c r="D952" t="s">
        <v>40</v>
      </c>
      <c r="E952">
        <v>4</v>
      </c>
      <c r="F952">
        <v>6</v>
      </c>
      <c r="G952">
        <v>0.2374</v>
      </c>
      <c r="H952">
        <v>0.36549999999999999</v>
      </c>
      <c r="I952">
        <v>12</v>
      </c>
    </row>
    <row r="953" spans="1:9" x14ac:dyDescent="0.3">
      <c r="A953">
        <f>LOOKUP(9E+307,--MID(D953,1,{1,2,3,4,5}))</f>
        <v>10</v>
      </c>
      <c r="B953">
        <f>VLOOKUP(MID(D953,LOOKUP(2,1/ISNUMBER(-MID(D953,1,{1,2,3,4,5})),{1,2,3,4,5})+1,9),'Hue codes'!$A$1:$B$10,2,FALSE)</f>
        <v>40</v>
      </c>
      <c r="C953">
        <f t="shared" si="14"/>
        <v>50</v>
      </c>
      <c r="D953" t="s">
        <v>40</v>
      </c>
      <c r="E953">
        <v>4</v>
      </c>
      <c r="F953">
        <v>8</v>
      </c>
      <c r="G953">
        <v>0.21240000000000001</v>
      </c>
      <c r="H953">
        <v>0.37990000000000002</v>
      </c>
      <c r="I953">
        <v>12</v>
      </c>
    </row>
    <row r="954" spans="1:9" x14ac:dyDescent="0.3">
      <c r="A954">
        <f>LOOKUP(9E+307,--MID(D954,1,{1,2,3,4,5}))</f>
        <v>10</v>
      </c>
      <c r="B954">
        <f>VLOOKUP(MID(D954,LOOKUP(2,1/ISNUMBER(-MID(D954,1,{1,2,3,4,5})),{1,2,3,4,5})+1,9),'Hue codes'!$A$1:$B$10,2,FALSE)</f>
        <v>40</v>
      </c>
      <c r="C954">
        <f t="shared" si="14"/>
        <v>50</v>
      </c>
      <c r="D954" t="s">
        <v>40</v>
      </c>
      <c r="E954">
        <v>4</v>
      </c>
      <c r="F954">
        <v>10</v>
      </c>
      <c r="G954">
        <v>0.18759999999999999</v>
      </c>
      <c r="H954">
        <v>0.39329999999999998</v>
      </c>
      <c r="I954">
        <v>12</v>
      </c>
    </row>
    <row r="955" spans="1:9" x14ac:dyDescent="0.3">
      <c r="A955">
        <f>LOOKUP(9E+307,--MID(D955,1,{1,2,3,4,5}))</f>
        <v>10</v>
      </c>
      <c r="B955">
        <f>VLOOKUP(MID(D955,LOOKUP(2,1/ISNUMBER(-MID(D955,1,{1,2,3,4,5})),{1,2,3,4,5})+1,9),'Hue codes'!$A$1:$B$10,2,FALSE)</f>
        <v>40</v>
      </c>
      <c r="C955">
        <f t="shared" si="14"/>
        <v>50</v>
      </c>
      <c r="D955" t="s">
        <v>40</v>
      </c>
      <c r="E955">
        <v>4</v>
      </c>
      <c r="F955">
        <v>12</v>
      </c>
      <c r="G955">
        <v>0.16020000000000001</v>
      </c>
      <c r="H955">
        <v>0.40699999999999997</v>
      </c>
      <c r="I955">
        <v>12</v>
      </c>
    </row>
    <row r="956" spans="1:9" x14ac:dyDescent="0.3">
      <c r="A956">
        <f>LOOKUP(9E+307,--MID(D956,1,{1,2,3,4,5}))</f>
        <v>10</v>
      </c>
      <c r="B956">
        <f>VLOOKUP(MID(D956,LOOKUP(2,1/ISNUMBER(-MID(D956,1,{1,2,3,4,5})),{1,2,3,4,5})+1,9),'Hue codes'!$A$1:$B$10,2,FALSE)</f>
        <v>40</v>
      </c>
      <c r="C956">
        <f t="shared" si="14"/>
        <v>50</v>
      </c>
      <c r="D956" t="s">
        <v>40</v>
      </c>
      <c r="E956">
        <v>4</v>
      </c>
      <c r="F956">
        <v>14</v>
      </c>
      <c r="G956">
        <v>0.13980000000000001</v>
      </c>
      <c r="H956">
        <v>0.4168</v>
      </c>
      <c r="I956">
        <v>12</v>
      </c>
    </row>
    <row r="957" spans="1:9" x14ac:dyDescent="0.3">
      <c r="A957">
        <f>LOOKUP(9E+307,--MID(D957,1,{1,2,3,4,5}))</f>
        <v>10</v>
      </c>
      <c r="B957">
        <f>VLOOKUP(MID(D957,LOOKUP(2,1/ISNUMBER(-MID(D957,1,{1,2,3,4,5})),{1,2,3,4,5})+1,9),'Hue codes'!$A$1:$B$10,2,FALSE)</f>
        <v>40</v>
      </c>
      <c r="C957">
        <f t="shared" si="14"/>
        <v>50</v>
      </c>
      <c r="D957" t="s">
        <v>40</v>
      </c>
      <c r="E957">
        <v>4</v>
      </c>
      <c r="F957">
        <v>16</v>
      </c>
      <c r="G957">
        <v>0.1212</v>
      </c>
      <c r="H957">
        <v>0.42449999999999999</v>
      </c>
      <c r="I957">
        <v>12</v>
      </c>
    </row>
    <row r="958" spans="1:9" x14ac:dyDescent="0.3">
      <c r="A958">
        <f>LOOKUP(9E+307,--MID(D958,1,{1,2,3,4,5}))</f>
        <v>10</v>
      </c>
      <c r="B958">
        <f>VLOOKUP(MID(D958,LOOKUP(2,1/ISNUMBER(-MID(D958,1,{1,2,3,4,5})),{1,2,3,4,5})+1,9),'Hue codes'!$A$1:$B$10,2,FALSE)</f>
        <v>40</v>
      </c>
      <c r="C958">
        <f t="shared" si="14"/>
        <v>50</v>
      </c>
      <c r="D958" t="s">
        <v>40</v>
      </c>
      <c r="E958">
        <v>4</v>
      </c>
      <c r="F958">
        <v>18</v>
      </c>
      <c r="G958">
        <v>0.10059999999999999</v>
      </c>
      <c r="H958">
        <v>0.433</v>
      </c>
      <c r="I958">
        <v>12</v>
      </c>
    </row>
    <row r="959" spans="1:9" x14ac:dyDescent="0.3">
      <c r="A959">
        <f>LOOKUP(9E+307,--MID(D959,1,{1,2,3,4,5}))</f>
        <v>10</v>
      </c>
      <c r="B959">
        <f>VLOOKUP(MID(D959,LOOKUP(2,1/ISNUMBER(-MID(D959,1,{1,2,3,4,5})),{1,2,3,4,5})+1,9),'Hue codes'!$A$1:$B$10,2,FALSE)</f>
        <v>40</v>
      </c>
      <c r="C959">
        <f t="shared" si="14"/>
        <v>50</v>
      </c>
      <c r="D959" t="s">
        <v>40</v>
      </c>
      <c r="E959">
        <v>4</v>
      </c>
      <c r="F959">
        <v>20</v>
      </c>
      <c r="G959">
        <v>8.5000000000000006E-2</v>
      </c>
      <c r="H959">
        <v>0.43880000000000002</v>
      </c>
      <c r="I959">
        <v>12</v>
      </c>
    </row>
    <row r="960" spans="1:9" x14ac:dyDescent="0.3">
      <c r="A960">
        <f>LOOKUP(9E+307,--MID(D960,1,{1,2,3,4,5}))</f>
        <v>10</v>
      </c>
      <c r="B960">
        <f>VLOOKUP(MID(D960,LOOKUP(2,1/ISNUMBER(-MID(D960,1,{1,2,3,4,5})),{1,2,3,4,5})+1,9),'Hue codes'!$A$1:$B$10,2,FALSE)</f>
        <v>40</v>
      </c>
      <c r="C960">
        <f t="shared" si="14"/>
        <v>50</v>
      </c>
      <c r="D960" t="s">
        <v>40</v>
      </c>
      <c r="E960">
        <v>4</v>
      </c>
      <c r="F960">
        <v>22</v>
      </c>
      <c r="G960">
        <v>7.0199999999999999E-2</v>
      </c>
      <c r="H960">
        <v>0.44400000000000001</v>
      </c>
      <c r="I960">
        <v>12</v>
      </c>
    </row>
    <row r="961" spans="1:9" x14ac:dyDescent="0.3">
      <c r="A961">
        <f>LOOKUP(9E+307,--MID(D961,1,{1,2,3,4,5}))</f>
        <v>10</v>
      </c>
      <c r="B961">
        <f>VLOOKUP(MID(D961,LOOKUP(2,1/ISNUMBER(-MID(D961,1,{1,2,3,4,5})),{1,2,3,4,5})+1,9),'Hue codes'!$A$1:$B$10,2,FALSE)</f>
        <v>40</v>
      </c>
      <c r="C961">
        <f t="shared" si="14"/>
        <v>50</v>
      </c>
      <c r="D961" t="s">
        <v>40</v>
      </c>
      <c r="E961">
        <v>4</v>
      </c>
      <c r="F961">
        <v>24</v>
      </c>
      <c r="G961">
        <v>5.5300000000000002E-2</v>
      </c>
      <c r="H961">
        <v>0.44919999999999999</v>
      </c>
      <c r="I961">
        <v>12</v>
      </c>
    </row>
    <row r="962" spans="1:9" x14ac:dyDescent="0.3">
      <c r="A962">
        <f>LOOKUP(9E+307,--MID(D962,1,{1,2,3,4,5}))</f>
        <v>10</v>
      </c>
      <c r="B962">
        <f>VLOOKUP(MID(D962,LOOKUP(2,1/ISNUMBER(-MID(D962,1,{1,2,3,4,5})),{1,2,3,4,5})+1,9),'Hue codes'!$A$1:$B$10,2,FALSE)</f>
        <v>40</v>
      </c>
      <c r="C962">
        <f t="shared" si="14"/>
        <v>50</v>
      </c>
      <c r="D962" t="s">
        <v>40</v>
      </c>
      <c r="E962">
        <v>4</v>
      </c>
      <c r="F962">
        <v>26</v>
      </c>
      <c r="G962">
        <v>0.04</v>
      </c>
      <c r="H962">
        <v>0.45450000000000002</v>
      </c>
      <c r="I962">
        <v>12</v>
      </c>
    </row>
    <row r="963" spans="1:9" x14ac:dyDescent="0.3">
      <c r="A963">
        <f>LOOKUP(9E+307,--MID(D963,1,{1,2,3,4,5}))</f>
        <v>2.5</v>
      </c>
      <c r="B963">
        <f>VLOOKUP(MID(D963,LOOKUP(2,1/ISNUMBER(-MID(D963,1,{1,2,3,4,5})),{1,2,3,4,5})+1,9),'Hue codes'!$A$1:$B$10,2,FALSE)</f>
        <v>50</v>
      </c>
      <c r="C963">
        <f t="shared" ref="C963:C1026" si="15">IF(A963+B963=100,0,A963+B963)</f>
        <v>52.5</v>
      </c>
      <c r="D963" t="s">
        <v>41</v>
      </c>
      <c r="E963">
        <v>4</v>
      </c>
      <c r="F963">
        <v>2</v>
      </c>
      <c r="G963">
        <v>0.28399999999999997</v>
      </c>
      <c r="H963">
        <v>0.32700000000000001</v>
      </c>
      <c r="I963">
        <v>12</v>
      </c>
    </row>
    <row r="964" spans="1:9" x14ac:dyDescent="0.3">
      <c r="A964">
        <f>LOOKUP(9E+307,--MID(D964,1,{1,2,3,4,5}))</f>
        <v>2.5</v>
      </c>
      <c r="B964">
        <f>VLOOKUP(MID(D964,LOOKUP(2,1/ISNUMBER(-MID(D964,1,{1,2,3,4,5})),{1,2,3,4,5})+1,9),'Hue codes'!$A$1:$B$10,2,FALSE)</f>
        <v>50</v>
      </c>
      <c r="C964">
        <f t="shared" si="15"/>
        <v>52.5</v>
      </c>
      <c r="D964" t="s">
        <v>41</v>
      </c>
      <c r="E964">
        <v>4</v>
      </c>
      <c r="F964">
        <v>4</v>
      </c>
      <c r="G964">
        <v>0.25519999999999998</v>
      </c>
      <c r="H964">
        <v>0.33750000000000002</v>
      </c>
      <c r="I964">
        <v>12</v>
      </c>
    </row>
    <row r="965" spans="1:9" x14ac:dyDescent="0.3">
      <c r="A965">
        <f>LOOKUP(9E+307,--MID(D965,1,{1,2,3,4,5}))</f>
        <v>2.5</v>
      </c>
      <c r="B965">
        <f>VLOOKUP(MID(D965,LOOKUP(2,1/ISNUMBER(-MID(D965,1,{1,2,3,4,5})),{1,2,3,4,5})+1,9),'Hue codes'!$A$1:$B$10,2,FALSE)</f>
        <v>50</v>
      </c>
      <c r="C965">
        <f t="shared" si="15"/>
        <v>52.5</v>
      </c>
      <c r="D965" t="s">
        <v>41</v>
      </c>
      <c r="E965">
        <v>4</v>
      </c>
      <c r="F965">
        <v>6</v>
      </c>
      <c r="G965">
        <v>0.2278</v>
      </c>
      <c r="H965">
        <v>0.3463</v>
      </c>
      <c r="I965">
        <v>12</v>
      </c>
    </row>
    <row r="966" spans="1:9" x14ac:dyDescent="0.3">
      <c r="A966">
        <f>LOOKUP(9E+307,--MID(D966,1,{1,2,3,4,5}))</f>
        <v>2.5</v>
      </c>
      <c r="B966">
        <f>VLOOKUP(MID(D966,LOOKUP(2,1/ISNUMBER(-MID(D966,1,{1,2,3,4,5})),{1,2,3,4,5})+1,9),'Hue codes'!$A$1:$B$10,2,FALSE)</f>
        <v>50</v>
      </c>
      <c r="C966">
        <f t="shared" si="15"/>
        <v>52.5</v>
      </c>
      <c r="D966" t="s">
        <v>41</v>
      </c>
      <c r="E966">
        <v>4</v>
      </c>
      <c r="F966">
        <v>8</v>
      </c>
      <c r="G966">
        <v>0.2006</v>
      </c>
      <c r="H966">
        <v>0.35399999999999998</v>
      </c>
      <c r="I966">
        <v>12</v>
      </c>
    </row>
    <row r="967" spans="1:9" x14ac:dyDescent="0.3">
      <c r="A967">
        <f>LOOKUP(9E+307,--MID(D967,1,{1,2,3,4,5}))</f>
        <v>2.5</v>
      </c>
      <c r="B967">
        <f>VLOOKUP(MID(D967,LOOKUP(2,1/ISNUMBER(-MID(D967,1,{1,2,3,4,5})),{1,2,3,4,5})+1,9),'Hue codes'!$A$1:$B$10,2,FALSE)</f>
        <v>50</v>
      </c>
      <c r="C967">
        <f t="shared" si="15"/>
        <v>52.5</v>
      </c>
      <c r="D967" t="s">
        <v>41</v>
      </c>
      <c r="E967">
        <v>4</v>
      </c>
      <c r="F967">
        <v>10</v>
      </c>
      <c r="G967">
        <v>0.17380000000000001</v>
      </c>
      <c r="H967">
        <v>0.36</v>
      </c>
      <c r="I967">
        <v>12</v>
      </c>
    </row>
    <row r="968" spans="1:9" x14ac:dyDescent="0.3">
      <c r="A968">
        <f>LOOKUP(9E+307,--MID(D968,1,{1,2,3,4,5}))</f>
        <v>2.5</v>
      </c>
      <c r="B968">
        <f>VLOOKUP(MID(D968,LOOKUP(2,1/ISNUMBER(-MID(D968,1,{1,2,3,4,5})),{1,2,3,4,5})+1,9),'Hue codes'!$A$1:$B$10,2,FALSE)</f>
        <v>50</v>
      </c>
      <c r="C968">
        <f t="shared" si="15"/>
        <v>52.5</v>
      </c>
      <c r="D968" t="s">
        <v>41</v>
      </c>
      <c r="E968">
        <v>4</v>
      </c>
      <c r="F968">
        <v>12</v>
      </c>
      <c r="G968">
        <v>0.1492</v>
      </c>
      <c r="H968">
        <v>0.3649</v>
      </c>
      <c r="I968">
        <v>12</v>
      </c>
    </row>
    <row r="969" spans="1:9" x14ac:dyDescent="0.3">
      <c r="A969">
        <f>LOOKUP(9E+307,--MID(D969,1,{1,2,3,4,5}))</f>
        <v>2.5</v>
      </c>
      <c r="B969">
        <f>VLOOKUP(MID(D969,LOOKUP(2,1/ISNUMBER(-MID(D969,1,{1,2,3,4,5})),{1,2,3,4,5})+1,9),'Hue codes'!$A$1:$B$10,2,FALSE)</f>
        <v>50</v>
      </c>
      <c r="C969">
        <f t="shared" si="15"/>
        <v>52.5</v>
      </c>
      <c r="D969" t="s">
        <v>41</v>
      </c>
      <c r="E969">
        <v>4</v>
      </c>
      <c r="F969">
        <v>14</v>
      </c>
      <c r="G969">
        <v>0.1283</v>
      </c>
      <c r="H969">
        <v>0.36880000000000002</v>
      </c>
      <c r="I969">
        <v>12</v>
      </c>
    </row>
    <row r="970" spans="1:9" x14ac:dyDescent="0.3">
      <c r="A970">
        <f>LOOKUP(9E+307,--MID(D970,1,{1,2,3,4,5}))</f>
        <v>2.5</v>
      </c>
      <c r="B970">
        <f>VLOOKUP(MID(D970,LOOKUP(2,1/ISNUMBER(-MID(D970,1,{1,2,3,4,5})),{1,2,3,4,5})+1,9),'Hue codes'!$A$1:$B$10,2,FALSE)</f>
        <v>50</v>
      </c>
      <c r="C970">
        <f t="shared" si="15"/>
        <v>52.5</v>
      </c>
      <c r="D970" t="s">
        <v>41</v>
      </c>
      <c r="E970">
        <v>4</v>
      </c>
      <c r="F970">
        <v>16</v>
      </c>
      <c r="G970">
        <v>0.11020000000000001</v>
      </c>
      <c r="H970">
        <v>0.372</v>
      </c>
      <c r="I970">
        <v>12</v>
      </c>
    </row>
    <row r="971" spans="1:9" x14ac:dyDescent="0.3">
      <c r="A971">
        <f>LOOKUP(9E+307,--MID(D971,1,{1,2,3,4,5}))</f>
        <v>2.5</v>
      </c>
      <c r="B971">
        <f>VLOOKUP(MID(D971,LOOKUP(2,1/ISNUMBER(-MID(D971,1,{1,2,3,4,5})),{1,2,3,4,5})+1,9),'Hue codes'!$A$1:$B$10,2,FALSE)</f>
        <v>50</v>
      </c>
      <c r="C971">
        <f t="shared" si="15"/>
        <v>52.5</v>
      </c>
      <c r="D971" t="s">
        <v>41</v>
      </c>
      <c r="E971">
        <v>4</v>
      </c>
      <c r="F971">
        <v>18</v>
      </c>
      <c r="G971">
        <v>9.1499999999999998E-2</v>
      </c>
      <c r="H971">
        <v>0.37540000000000001</v>
      </c>
      <c r="I971">
        <v>12</v>
      </c>
    </row>
    <row r="972" spans="1:9" x14ac:dyDescent="0.3">
      <c r="A972">
        <f>LOOKUP(9E+307,--MID(D972,1,{1,2,3,4,5}))</f>
        <v>2.5</v>
      </c>
      <c r="B972">
        <f>VLOOKUP(MID(D972,LOOKUP(2,1/ISNUMBER(-MID(D972,1,{1,2,3,4,5})),{1,2,3,4,5})+1,9),'Hue codes'!$A$1:$B$10,2,FALSE)</f>
        <v>50</v>
      </c>
      <c r="C972">
        <f t="shared" si="15"/>
        <v>52.5</v>
      </c>
      <c r="D972" t="s">
        <v>41</v>
      </c>
      <c r="E972">
        <v>4</v>
      </c>
      <c r="F972">
        <v>20</v>
      </c>
      <c r="G972">
        <v>7.6799999999999993E-2</v>
      </c>
      <c r="H972">
        <v>0.37730000000000002</v>
      </c>
      <c r="I972">
        <v>12</v>
      </c>
    </row>
    <row r="973" spans="1:9" x14ac:dyDescent="0.3">
      <c r="A973">
        <f>LOOKUP(9E+307,--MID(D973,1,{1,2,3,4,5}))</f>
        <v>2.5</v>
      </c>
      <c r="B973">
        <f>VLOOKUP(MID(D973,LOOKUP(2,1/ISNUMBER(-MID(D973,1,{1,2,3,4,5})),{1,2,3,4,5})+1,9),'Hue codes'!$A$1:$B$10,2,FALSE)</f>
        <v>50</v>
      </c>
      <c r="C973">
        <f t="shared" si="15"/>
        <v>52.5</v>
      </c>
      <c r="D973" t="s">
        <v>41</v>
      </c>
      <c r="E973">
        <v>4</v>
      </c>
      <c r="F973">
        <v>22</v>
      </c>
      <c r="G973">
        <v>6.3600000000000004E-2</v>
      </c>
      <c r="H973">
        <v>0.37880000000000003</v>
      </c>
      <c r="I973">
        <v>12</v>
      </c>
    </row>
    <row r="974" spans="1:9" x14ac:dyDescent="0.3">
      <c r="A974">
        <f>LOOKUP(9E+307,--MID(D974,1,{1,2,3,4,5}))</f>
        <v>2.5</v>
      </c>
      <c r="B974">
        <f>VLOOKUP(MID(D974,LOOKUP(2,1/ISNUMBER(-MID(D974,1,{1,2,3,4,5})),{1,2,3,4,5})+1,9),'Hue codes'!$A$1:$B$10,2,FALSE)</f>
        <v>50</v>
      </c>
      <c r="C974">
        <f t="shared" si="15"/>
        <v>52.5</v>
      </c>
      <c r="D974" t="s">
        <v>41</v>
      </c>
      <c r="E974">
        <v>4</v>
      </c>
      <c r="F974">
        <v>24</v>
      </c>
      <c r="G974">
        <v>5.0999999999999997E-2</v>
      </c>
      <c r="H974">
        <v>0.38</v>
      </c>
      <c r="I974">
        <v>12</v>
      </c>
    </row>
    <row r="975" spans="1:9" x14ac:dyDescent="0.3">
      <c r="A975">
        <f>LOOKUP(9E+307,--MID(D975,1,{1,2,3,4,5}))</f>
        <v>5</v>
      </c>
      <c r="B975">
        <f>VLOOKUP(MID(D975,LOOKUP(2,1/ISNUMBER(-MID(D975,1,{1,2,3,4,5})),{1,2,3,4,5})+1,9),'Hue codes'!$A$1:$B$10,2,FALSE)</f>
        <v>50</v>
      </c>
      <c r="C975">
        <f t="shared" si="15"/>
        <v>55</v>
      </c>
      <c r="D975" t="s">
        <v>42</v>
      </c>
      <c r="E975">
        <v>4</v>
      </c>
      <c r="F975">
        <v>2</v>
      </c>
      <c r="G975">
        <v>0.27989999999999998</v>
      </c>
      <c r="H975">
        <v>0.32079999999999997</v>
      </c>
      <c r="I975">
        <v>12</v>
      </c>
    </row>
    <row r="976" spans="1:9" x14ac:dyDescent="0.3">
      <c r="A976">
        <f>LOOKUP(9E+307,--MID(D976,1,{1,2,3,4,5}))</f>
        <v>5</v>
      </c>
      <c r="B976">
        <f>VLOOKUP(MID(D976,LOOKUP(2,1/ISNUMBER(-MID(D976,1,{1,2,3,4,5})),{1,2,3,4,5})+1,9),'Hue codes'!$A$1:$B$10,2,FALSE)</f>
        <v>50</v>
      </c>
      <c r="C976">
        <f t="shared" si="15"/>
        <v>55</v>
      </c>
      <c r="D976" t="s">
        <v>42</v>
      </c>
      <c r="E976">
        <v>4</v>
      </c>
      <c r="F976">
        <v>4</v>
      </c>
      <c r="G976">
        <v>0.248</v>
      </c>
      <c r="H976">
        <v>0.32319999999999999</v>
      </c>
      <c r="I976">
        <v>12</v>
      </c>
    </row>
    <row r="977" spans="1:9" x14ac:dyDescent="0.3">
      <c r="A977">
        <f>LOOKUP(9E+307,--MID(D977,1,{1,2,3,4,5}))</f>
        <v>5</v>
      </c>
      <c r="B977">
        <f>VLOOKUP(MID(D977,LOOKUP(2,1/ISNUMBER(-MID(D977,1,{1,2,3,4,5})),{1,2,3,4,5})+1,9),'Hue codes'!$A$1:$B$10,2,FALSE)</f>
        <v>50</v>
      </c>
      <c r="C977">
        <f t="shared" si="15"/>
        <v>55</v>
      </c>
      <c r="D977" t="s">
        <v>42</v>
      </c>
      <c r="E977">
        <v>4</v>
      </c>
      <c r="F977">
        <v>6</v>
      </c>
      <c r="G977">
        <v>0.21820000000000001</v>
      </c>
      <c r="H977">
        <v>0.32400000000000001</v>
      </c>
      <c r="I977">
        <v>12</v>
      </c>
    </row>
    <row r="978" spans="1:9" x14ac:dyDescent="0.3">
      <c r="A978">
        <f>LOOKUP(9E+307,--MID(D978,1,{1,2,3,4,5}))</f>
        <v>5</v>
      </c>
      <c r="B978">
        <f>VLOOKUP(MID(D978,LOOKUP(2,1/ISNUMBER(-MID(D978,1,{1,2,3,4,5})),{1,2,3,4,5})+1,9),'Hue codes'!$A$1:$B$10,2,FALSE)</f>
        <v>50</v>
      </c>
      <c r="C978">
        <f t="shared" si="15"/>
        <v>55</v>
      </c>
      <c r="D978" t="s">
        <v>42</v>
      </c>
      <c r="E978">
        <v>4</v>
      </c>
      <c r="F978">
        <v>8</v>
      </c>
      <c r="G978">
        <v>0.189</v>
      </c>
      <c r="H978">
        <v>0.32340000000000002</v>
      </c>
      <c r="I978">
        <v>12</v>
      </c>
    </row>
    <row r="979" spans="1:9" x14ac:dyDescent="0.3">
      <c r="A979">
        <f>LOOKUP(9E+307,--MID(D979,1,{1,2,3,4,5}))</f>
        <v>5</v>
      </c>
      <c r="B979">
        <f>VLOOKUP(MID(D979,LOOKUP(2,1/ISNUMBER(-MID(D979,1,{1,2,3,4,5})),{1,2,3,4,5})+1,9),'Hue codes'!$A$1:$B$10,2,FALSE)</f>
        <v>50</v>
      </c>
      <c r="C979">
        <f t="shared" si="15"/>
        <v>55</v>
      </c>
      <c r="D979" t="s">
        <v>42</v>
      </c>
      <c r="E979">
        <v>4</v>
      </c>
      <c r="F979">
        <v>10</v>
      </c>
      <c r="G979">
        <v>0.1618</v>
      </c>
      <c r="H979">
        <v>0.32190000000000002</v>
      </c>
      <c r="I979">
        <v>12</v>
      </c>
    </row>
    <row r="980" spans="1:9" x14ac:dyDescent="0.3">
      <c r="A980">
        <f>LOOKUP(9E+307,--MID(D980,1,{1,2,3,4,5}))</f>
        <v>5</v>
      </c>
      <c r="B980">
        <f>VLOOKUP(MID(D980,LOOKUP(2,1/ISNUMBER(-MID(D980,1,{1,2,3,4,5})),{1,2,3,4,5})+1,9),'Hue codes'!$A$1:$B$10,2,FALSE)</f>
        <v>50</v>
      </c>
      <c r="C980">
        <f t="shared" si="15"/>
        <v>55</v>
      </c>
      <c r="D980" t="s">
        <v>42</v>
      </c>
      <c r="E980">
        <v>4</v>
      </c>
      <c r="F980">
        <v>12</v>
      </c>
      <c r="G980">
        <v>0.13789999999999999</v>
      </c>
      <c r="H980">
        <v>0.31979999999999997</v>
      </c>
      <c r="I980">
        <v>12</v>
      </c>
    </row>
    <row r="981" spans="1:9" x14ac:dyDescent="0.3">
      <c r="A981">
        <f>LOOKUP(9E+307,--MID(D981,1,{1,2,3,4,5}))</f>
        <v>5</v>
      </c>
      <c r="B981">
        <f>VLOOKUP(MID(D981,LOOKUP(2,1/ISNUMBER(-MID(D981,1,{1,2,3,4,5})),{1,2,3,4,5})+1,9),'Hue codes'!$A$1:$B$10,2,FALSE)</f>
        <v>50</v>
      </c>
      <c r="C981">
        <f t="shared" si="15"/>
        <v>55</v>
      </c>
      <c r="D981" t="s">
        <v>42</v>
      </c>
      <c r="E981">
        <v>4</v>
      </c>
      <c r="F981">
        <v>14</v>
      </c>
      <c r="G981">
        <v>0.11700000000000001</v>
      </c>
      <c r="H981">
        <v>0.317</v>
      </c>
      <c r="I981">
        <v>12</v>
      </c>
    </row>
    <row r="982" spans="1:9" x14ac:dyDescent="0.3">
      <c r="A982">
        <f>LOOKUP(9E+307,--MID(D982,1,{1,2,3,4,5}))</f>
        <v>5</v>
      </c>
      <c r="B982">
        <f>VLOOKUP(MID(D982,LOOKUP(2,1/ISNUMBER(-MID(D982,1,{1,2,3,4,5})),{1,2,3,4,5})+1,9),'Hue codes'!$A$1:$B$10,2,FALSE)</f>
        <v>50</v>
      </c>
      <c r="C982">
        <f t="shared" si="15"/>
        <v>55</v>
      </c>
      <c r="D982" t="s">
        <v>42</v>
      </c>
      <c r="E982">
        <v>4</v>
      </c>
      <c r="F982">
        <v>16</v>
      </c>
      <c r="G982">
        <v>9.9199999999999997E-2</v>
      </c>
      <c r="H982">
        <v>0.31409999999999999</v>
      </c>
      <c r="I982">
        <v>12</v>
      </c>
    </row>
    <row r="983" spans="1:9" x14ac:dyDescent="0.3">
      <c r="A983">
        <f>LOOKUP(9E+307,--MID(D983,1,{1,2,3,4,5}))</f>
        <v>5</v>
      </c>
      <c r="B983">
        <f>VLOOKUP(MID(D983,LOOKUP(2,1/ISNUMBER(-MID(D983,1,{1,2,3,4,5})),{1,2,3,4,5})+1,9),'Hue codes'!$A$1:$B$10,2,FALSE)</f>
        <v>50</v>
      </c>
      <c r="C983">
        <f t="shared" si="15"/>
        <v>55</v>
      </c>
      <c r="D983" t="s">
        <v>42</v>
      </c>
      <c r="E983">
        <v>4</v>
      </c>
      <c r="F983">
        <v>18</v>
      </c>
      <c r="G983">
        <v>8.2799999999999999E-2</v>
      </c>
      <c r="H983">
        <v>0.31080000000000002</v>
      </c>
      <c r="I983">
        <v>12</v>
      </c>
    </row>
    <row r="984" spans="1:9" x14ac:dyDescent="0.3">
      <c r="A984">
        <f>LOOKUP(9E+307,--MID(D984,1,{1,2,3,4,5}))</f>
        <v>5</v>
      </c>
      <c r="B984">
        <f>VLOOKUP(MID(D984,LOOKUP(2,1/ISNUMBER(-MID(D984,1,{1,2,3,4,5})),{1,2,3,4,5})+1,9),'Hue codes'!$A$1:$B$10,2,FALSE)</f>
        <v>50</v>
      </c>
      <c r="C984">
        <f t="shared" si="15"/>
        <v>55</v>
      </c>
      <c r="D984" t="s">
        <v>42</v>
      </c>
      <c r="E984">
        <v>4</v>
      </c>
      <c r="F984">
        <v>20</v>
      </c>
      <c r="G984">
        <v>6.7500000000000004E-2</v>
      </c>
      <c r="H984">
        <v>0.3075</v>
      </c>
      <c r="I984">
        <v>12</v>
      </c>
    </row>
    <row r="985" spans="1:9" x14ac:dyDescent="0.3">
      <c r="A985">
        <f>LOOKUP(9E+307,--MID(D985,1,{1,2,3,4,5}))</f>
        <v>7.5</v>
      </c>
      <c r="B985">
        <f>VLOOKUP(MID(D985,LOOKUP(2,1/ISNUMBER(-MID(D985,1,{1,2,3,4,5})),{1,2,3,4,5})+1,9),'Hue codes'!$A$1:$B$10,2,FALSE)</f>
        <v>50</v>
      </c>
      <c r="C985">
        <f t="shared" si="15"/>
        <v>57.5</v>
      </c>
      <c r="D985" t="s">
        <v>43</v>
      </c>
      <c r="E985">
        <v>4</v>
      </c>
      <c r="F985">
        <v>2</v>
      </c>
      <c r="G985">
        <v>0.27639999999999998</v>
      </c>
      <c r="H985">
        <v>0.31480000000000002</v>
      </c>
      <c r="I985">
        <v>12</v>
      </c>
    </row>
    <row r="986" spans="1:9" x14ac:dyDescent="0.3">
      <c r="A986">
        <f>LOOKUP(9E+307,--MID(D986,1,{1,2,3,4,5}))</f>
        <v>7.5</v>
      </c>
      <c r="B986">
        <f>VLOOKUP(MID(D986,LOOKUP(2,1/ISNUMBER(-MID(D986,1,{1,2,3,4,5})),{1,2,3,4,5})+1,9),'Hue codes'!$A$1:$B$10,2,FALSE)</f>
        <v>50</v>
      </c>
      <c r="C986">
        <f t="shared" si="15"/>
        <v>57.5</v>
      </c>
      <c r="D986" t="s">
        <v>43</v>
      </c>
      <c r="E986">
        <v>4</v>
      </c>
      <c r="F986">
        <v>4</v>
      </c>
      <c r="G986">
        <v>0.2429</v>
      </c>
      <c r="H986">
        <v>0.31080000000000002</v>
      </c>
      <c r="I986">
        <v>12</v>
      </c>
    </row>
    <row r="987" spans="1:9" x14ac:dyDescent="0.3">
      <c r="A987">
        <f>LOOKUP(9E+307,--MID(D987,1,{1,2,3,4,5}))</f>
        <v>7.5</v>
      </c>
      <c r="B987">
        <f>VLOOKUP(MID(D987,LOOKUP(2,1/ISNUMBER(-MID(D987,1,{1,2,3,4,5})),{1,2,3,4,5})+1,9),'Hue codes'!$A$1:$B$10,2,FALSE)</f>
        <v>50</v>
      </c>
      <c r="C987">
        <f t="shared" si="15"/>
        <v>57.5</v>
      </c>
      <c r="D987" t="s">
        <v>43</v>
      </c>
      <c r="E987">
        <v>4</v>
      </c>
      <c r="F987">
        <v>6</v>
      </c>
      <c r="G987">
        <v>0.21129999999999999</v>
      </c>
      <c r="H987">
        <v>0.30520000000000003</v>
      </c>
      <c r="I987">
        <v>12</v>
      </c>
    </row>
    <row r="988" spans="1:9" x14ac:dyDescent="0.3">
      <c r="A988">
        <f>LOOKUP(9E+307,--MID(D988,1,{1,2,3,4,5}))</f>
        <v>7.5</v>
      </c>
      <c r="B988">
        <f>VLOOKUP(MID(D988,LOOKUP(2,1/ISNUMBER(-MID(D988,1,{1,2,3,4,5})),{1,2,3,4,5})+1,9),'Hue codes'!$A$1:$B$10,2,FALSE)</f>
        <v>50</v>
      </c>
      <c r="C988">
        <f t="shared" si="15"/>
        <v>57.5</v>
      </c>
      <c r="D988" t="s">
        <v>43</v>
      </c>
      <c r="E988">
        <v>4</v>
      </c>
      <c r="F988">
        <v>8</v>
      </c>
      <c r="G988">
        <v>0.18149999999999999</v>
      </c>
      <c r="H988">
        <v>0.29849999999999999</v>
      </c>
      <c r="I988">
        <v>12</v>
      </c>
    </row>
    <row r="989" spans="1:9" x14ac:dyDescent="0.3">
      <c r="A989">
        <f>LOOKUP(9E+307,--MID(D989,1,{1,2,3,4,5}))</f>
        <v>7.5</v>
      </c>
      <c r="B989">
        <f>VLOOKUP(MID(D989,LOOKUP(2,1/ISNUMBER(-MID(D989,1,{1,2,3,4,5})),{1,2,3,4,5})+1,9),'Hue codes'!$A$1:$B$10,2,FALSE)</f>
        <v>50</v>
      </c>
      <c r="C989">
        <f t="shared" si="15"/>
        <v>57.5</v>
      </c>
      <c r="D989" t="s">
        <v>43</v>
      </c>
      <c r="E989">
        <v>4</v>
      </c>
      <c r="F989">
        <v>10</v>
      </c>
      <c r="G989">
        <v>0.154</v>
      </c>
      <c r="H989">
        <v>0.29099999999999998</v>
      </c>
      <c r="I989">
        <v>12</v>
      </c>
    </row>
    <row r="990" spans="1:9" x14ac:dyDescent="0.3">
      <c r="A990">
        <f>LOOKUP(9E+307,--MID(D990,1,{1,2,3,4,5}))</f>
        <v>7.5</v>
      </c>
      <c r="B990">
        <f>VLOOKUP(MID(D990,LOOKUP(2,1/ISNUMBER(-MID(D990,1,{1,2,3,4,5})),{1,2,3,4,5})+1,9),'Hue codes'!$A$1:$B$10,2,FALSE)</f>
        <v>50</v>
      </c>
      <c r="C990">
        <f t="shared" si="15"/>
        <v>57.5</v>
      </c>
      <c r="D990" t="s">
        <v>43</v>
      </c>
      <c r="E990">
        <v>4</v>
      </c>
      <c r="F990">
        <v>12</v>
      </c>
      <c r="G990">
        <v>0.1298</v>
      </c>
      <c r="H990">
        <v>0.28399999999999997</v>
      </c>
      <c r="I990">
        <v>12</v>
      </c>
    </row>
    <row r="991" spans="1:9" x14ac:dyDescent="0.3">
      <c r="A991">
        <f>LOOKUP(9E+307,--MID(D991,1,{1,2,3,4,5}))</f>
        <v>7.5</v>
      </c>
      <c r="B991">
        <f>VLOOKUP(MID(D991,LOOKUP(2,1/ISNUMBER(-MID(D991,1,{1,2,3,4,5})),{1,2,3,4,5})+1,9),'Hue codes'!$A$1:$B$10,2,FALSE)</f>
        <v>50</v>
      </c>
      <c r="C991">
        <f t="shared" si="15"/>
        <v>57.5</v>
      </c>
      <c r="D991" t="s">
        <v>43</v>
      </c>
      <c r="E991">
        <v>4</v>
      </c>
      <c r="F991">
        <v>14</v>
      </c>
      <c r="G991">
        <v>0.10920000000000001</v>
      </c>
      <c r="H991">
        <v>0.27739999999999998</v>
      </c>
      <c r="I991">
        <v>12</v>
      </c>
    </row>
    <row r="992" spans="1:9" x14ac:dyDescent="0.3">
      <c r="A992">
        <f>LOOKUP(9E+307,--MID(D992,1,{1,2,3,4,5}))</f>
        <v>7.5</v>
      </c>
      <c r="B992">
        <f>VLOOKUP(MID(D992,LOOKUP(2,1/ISNUMBER(-MID(D992,1,{1,2,3,4,5})),{1,2,3,4,5})+1,9),'Hue codes'!$A$1:$B$10,2,FALSE)</f>
        <v>50</v>
      </c>
      <c r="C992">
        <f t="shared" si="15"/>
        <v>57.5</v>
      </c>
      <c r="D992" t="s">
        <v>43</v>
      </c>
      <c r="E992">
        <v>4</v>
      </c>
      <c r="F992">
        <v>16</v>
      </c>
      <c r="G992">
        <v>9.2200000000000004E-2</v>
      </c>
      <c r="H992">
        <v>0.27179999999999999</v>
      </c>
      <c r="I992">
        <v>12</v>
      </c>
    </row>
    <row r="993" spans="1:9" x14ac:dyDescent="0.3">
      <c r="A993">
        <f>LOOKUP(9E+307,--MID(D993,1,{1,2,3,4,5}))</f>
        <v>7.5</v>
      </c>
      <c r="B993">
        <f>VLOOKUP(MID(D993,LOOKUP(2,1/ISNUMBER(-MID(D993,1,{1,2,3,4,5})),{1,2,3,4,5})+1,9),'Hue codes'!$A$1:$B$10,2,FALSE)</f>
        <v>50</v>
      </c>
      <c r="C993">
        <f t="shared" si="15"/>
        <v>57.5</v>
      </c>
      <c r="D993" t="s">
        <v>43</v>
      </c>
      <c r="E993">
        <v>4</v>
      </c>
      <c r="F993">
        <v>18</v>
      </c>
      <c r="G993">
        <v>7.6799999999999993E-2</v>
      </c>
      <c r="H993">
        <v>0.26669999999999999</v>
      </c>
      <c r="I993">
        <v>12</v>
      </c>
    </row>
    <row r="994" spans="1:9" x14ac:dyDescent="0.3">
      <c r="A994">
        <f>LOOKUP(9E+307,--MID(D994,1,{1,2,3,4,5}))</f>
        <v>10</v>
      </c>
      <c r="B994">
        <f>VLOOKUP(MID(D994,LOOKUP(2,1/ISNUMBER(-MID(D994,1,{1,2,3,4,5})),{1,2,3,4,5})+1,9),'Hue codes'!$A$1:$B$10,2,FALSE)</f>
        <v>50</v>
      </c>
      <c r="C994">
        <f t="shared" si="15"/>
        <v>60</v>
      </c>
      <c r="D994" t="s">
        <v>44</v>
      </c>
      <c r="E994">
        <v>4</v>
      </c>
      <c r="F994">
        <v>2</v>
      </c>
      <c r="G994">
        <v>0.27400000000000002</v>
      </c>
      <c r="H994">
        <v>0.30909999999999999</v>
      </c>
      <c r="I994">
        <v>12</v>
      </c>
    </row>
    <row r="995" spans="1:9" x14ac:dyDescent="0.3">
      <c r="A995">
        <f>LOOKUP(9E+307,--MID(D995,1,{1,2,3,4,5}))</f>
        <v>10</v>
      </c>
      <c r="B995">
        <f>VLOOKUP(MID(D995,LOOKUP(2,1/ISNUMBER(-MID(D995,1,{1,2,3,4,5})),{1,2,3,4,5})+1,9),'Hue codes'!$A$1:$B$10,2,FALSE)</f>
        <v>50</v>
      </c>
      <c r="C995">
        <f t="shared" si="15"/>
        <v>60</v>
      </c>
      <c r="D995" t="s">
        <v>44</v>
      </c>
      <c r="E995">
        <v>4</v>
      </c>
      <c r="F995">
        <v>4</v>
      </c>
      <c r="G995">
        <v>0.2384</v>
      </c>
      <c r="H995">
        <v>0.2984</v>
      </c>
      <c r="I995">
        <v>12</v>
      </c>
    </row>
    <row r="996" spans="1:9" x14ac:dyDescent="0.3">
      <c r="A996">
        <f>LOOKUP(9E+307,--MID(D996,1,{1,2,3,4,5}))</f>
        <v>10</v>
      </c>
      <c r="B996">
        <f>VLOOKUP(MID(D996,LOOKUP(2,1/ISNUMBER(-MID(D996,1,{1,2,3,4,5})),{1,2,3,4,5})+1,9),'Hue codes'!$A$1:$B$10,2,FALSE)</f>
        <v>50</v>
      </c>
      <c r="C996">
        <f t="shared" si="15"/>
        <v>60</v>
      </c>
      <c r="D996" t="s">
        <v>44</v>
      </c>
      <c r="E996">
        <v>4</v>
      </c>
      <c r="F996">
        <v>6</v>
      </c>
      <c r="G996">
        <v>0.20649999999999999</v>
      </c>
      <c r="H996">
        <v>0.2863</v>
      </c>
      <c r="I996">
        <v>12</v>
      </c>
    </row>
    <row r="997" spans="1:9" x14ac:dyDescent="0.3">
      <c r="A997">
        <f>LOOKUP(9E+307,--MID(D997,1,{1,2,3,4,5}))</f>
        <v>10</v>
      </c>
      <c r="B997">
        <f>VLOOKUP(MID(D997,LOOKUP(2,1/ISNUMBER(-MID(D997,1,{1,2,3,4,5})),{1,2,3,4,5})+1,9),'Hue codes'!$A$1:$B$10,2,FALSE)</f>
        <v>50</v>
      </c>
      <c r="C997">
        <f t="shared" si="15"/>
        <v>60</v>
      </c>
      <c r="D997" t="s">
        <v>44</v>
      </c>
      <c r="E997">
        <v>4</v>
      </c>
      <c r="F997">
        <v>8</v>
      </c>
      <c r="G997">
        <v>0.17599999999999999</v>
      </c>
      <c r="H997">
        <v>0.27300000000000002</v>
      </c>
      <c r="I997">
        <v>12</v>
      </c>
    </row>
    <row r="998" spans="1:9" x14ac:dyDescent="0.3">
      <c r="A998">
        <f>LOOKUP(9E+307,--MID(D998,1,{1,2,3,4,5}))</f>
        <v>10</v>
      </c>
      <c r="B998">
        <f>VLOOKUP(MID(D998,LOOKUP(2,1/ISNUMBER(-MID(D998,1,{1,2,3,4,5})),{1,2,3,4,5})+1,9),'Hue codes'!$A$1:$B$10,2,FALSE)</f>
        <v>50</v>
      </c>
      <c r="C998">
        <f t="shared" si="15"/>
        <v>60</v>
      </c>
      <c r="D998" t="s">
        <v>44</v>
      </c>
      <c r="E998">
        <v>4</v>
      </c>
      <c r="F998">
        <v>10</v>
      </c>
      <c r="G998">
        <v>0.14799999999999999</v>
      </c>
      <c r="H998">
        <v>0.26</v>
      </c>
      <c r="I998">
        <v>12</v>
      </c>
    </row>
    <row r="999" spans="1:9" x14ac:dyDescent="0.3">
      <c r="A999">
        <f>LOOKUP(9E+307,--MID(D999,1,{1,2,3,4,5}))</f>
        <v>10</v>
      </c>
      <c r="B999">
        <f>VLOOKUP(MID(D999,LOOKUP(2,1/ISNUMBER(-MID(D999,1,{1,2,3,4,5})),{1,2,3,4,5})+1,9),'Hue codes'!$A$1:$B$10,2,FALSE)</f>
        <v>50</v>
      </c>
      <c r="C999">
        <f t="shared" si="15"/>
        <v>60</v>
      </c>
      <c r="D999" t="s">
        <v>44</v>
      </c>
      <c r="E999">
        <v>4</v>
      </c>
      <c r="F999">
        <v>12</v>
      </c>
      <c r="G999">
        <v>0.12479999999999999</v>
      </c>
      <c r="H999">
        <v>0.24840000000000001</v>
      </c>
      <c r="I999">
        <v>12</v>
      </c>
    </row>
    <row r="1000" spans="1:9" x14ac:dyDescent="0.3">
      <c r="A1000">
        <f>LOOKUP(9E+307,--MID(D1000,1,{1,2,3,4,5}))</f>
        <v>10</v>
      </c>
      <c r="B1000">
        <f>VLOOKUP(MID(D1000,LOOKUP(2,1/ISNUMBER(-MID(D1000,1,{1,2,3,4,5})),{1,2,3,4,5})+1,9),'Hue codes'!$A$1:$B$10,2,FALSE)</f>
        <v>50</v>
      </c>
      <c r="C1000">
        <f t="shared" si="15"/>
        <v>60</v>
      </c>
      <c r="D1000" t="s">
        <v>44</v>
      </c>
      <c r="E1000">
        <v>4</v>
      </c>
      <c r="F1000">
        <v>14</v>
      </c>
      <c r="G1000">
        <v>0.1033</v>
      </c>
      <c r="H1000">
        <v>0.23760000000000001</v>
      </c>
      <c r="I1000">
        <v>12</v>
      </c>
    </row>
    <row r="1001" spans="1:9" x14ac:dyDescent="0.3">
      <c r="A1001">
        <f>LOOKUP(9E+307,--MID(D1001,1,{1,2,3,4,5}))</f>
        <v>10</v>
      </c>
      <c r="B1001">
        <f>VLOOKUP(MID(D1001,LOOKUP(2,1/ISNUMBER(-MID(D1001,1,{1,2,3,4,5})),{1,2,3,4,5})+1,9),'Hue codes'!$A$1:$B$10,2,FALSE)</f>
        <v>50</v>
      </c>
      <c r="C1001">
        <f t="shared" si="15"/>
        <v>60</v>
      </c>
      <c r="D1001" t="s">
        <v>44</v>
      </c>
      <c r="E1001">
        <v>4</v>
      </c>
      <c r="F1001">
        <v>16</v>
      </c>
      <c r="G1001">
        <v>8.8800000000000004E-2</v>
      </c>
      <c r="H1001">
        <v>0.2298</v>
      </c>
      <c r="I1001">
        <v>12</v>
      </c>
    </row>
    <row r="1002" spans="1:9" x14ac:dyDescent="0.3">
      <c r="A1002">
        <f>LOOKUP(9E+307,--MID(D1002,1,{1,2,3,4,5}))</f>
        <v>2.5</v>
      </c>
      <c r="B1002">
        <f>VLOOKUP(MID(D1002,LOOKUP(2,1/ISNUMBER(-MID(D1002,1,{1,2,3,4,5})),{1,2,3,4,5})+1,9),'Hue codes'!$A$1:$B$10,2,FALSE)</f>
        <v>60</v>
      </c>
      <c r="C1002">
        <f t="shared" si="15"/>
        <v>62.5</v>
      </c>
      <c r="D1002" t="s">
        <v>45</v>
      </c>
      <c r="E1002">
        <v>4</v>
      </c>
      <c r="F1002">
        <v>2</v>
      </c>
      <c r="G1002">
        <v>0.2727</v>
      </c>
      <c r="H1002">
        <v>0.30380000000000001</v>
      </c>
      <c r="I1002">
        <v>12</v>
      </c>
    </row>
    <row r="1003" spans="1:9" x14ac:dyDescent="0.3">
      <c r="A1003">
        <f>LOOKUP(9E+307,--MID(D1003,1,{1,2,3,4,5}))</f>
        <v>2.5</v>
      </c>
      <c r="B1003">
        <f>VLOOKUP(MID(D1003,LOOKUP(2,1/ISNUMBER(-MID(D1003,1,{1,2,3,4,5})),{1,2,3,4,5})+1,9),'Hue codes'!$A$1:$B$10,2,FALSE)</f>
        <v>60</v>
      </c>
      <c r="C1003">
        <f t="shared" si="15"/>
        <v>62.5</v>
      </c>
      <c r="D1003" t="s">
        <v>45</v>
      </c>
      <c r="E1003">
        <v>4</v>
      </c>
      <c r="F1003">
        <v>4</v>
      </c>
      <c r="G1003">
        <v>0.23599999999999999</v>
      </c>
      <c r="H1003">
        <v>0.28720000000000001</v>
      </c>
      <c r="I1003">
        <v>12</v>
      </c>
    </row>
    <row r="1004" spans="1:9" x14ac:dyDescent="0.3">
      <c r="A1004">
        <f>LOOKUP(9E+307,--MID(D1004,1,{1,2,3,4,5}))</f>
        <v>2.5</v>
      </c>
      <c r="B1004">
        <f>VLOOKUP(MID(D1004,LOOKUP(2,1/ISNUMBER(-MID(D1004,1,{1,2,3,4,5})),{1,2,3,4,5})+1,9),'Hue codes'!$A$1:$B$10,2,FALSE)</f>
        <v>60</v>
      </c>
      <c r="C1004">
        <f t="shared" si="15"/>
        <v>62.5</v>
      </c>
      <c r="D1004" t="s">
        <v>45</v>
      </c>
      <c r="E1004">
        <v>4</v>
      </c>
      <c r="F1004">
        <v>6</v>
      </c>
      <c r="G1004">
        <v>0.20480000000000001</v>
      </c>
      <c r="H1004">
        <v>0.27079999999999999</v>
      </c>
      <c r="I1004">
        <v>12</v>
      </c>
    </row>
    <row r="1005" spans="1:9" x14ac:dyDescent="0.3">
      <c r="A1005">
        <f>LOOKUP(9E+307,--MID(D1005,1,{1,2,3,4,5}))</f>
        <v>2.5</v>
      </c>
      <c r="B1005">
        <f>VLOOKUP(MID(D1005,LOOKUP(2,1/ISNUMBER(-MID(D1005,1,{1,2,3,4,5})),{1,2,3,4,5})+1,9),'Hue codes'!$A$1:$B$10,2,FALSE)</f>
        <v>60</v>
      </c>
      <c r="C1005">
        <f t="shared" si="15"/>
        <v>62.5</v>
      </c>
      <c r="D1005" t="s">
        <v>45</v>
      </c>
      <c r="E1005">
        <v>4</v>
      </c>
      <c r="F1005">
        <v>8</v>
      </c>
      <c r="G1005">
        <v>0.17369999999999999</v>
      </c>
      <c r="H1005">
        <v>0.25240000000000001</v>
      </c>
      <c r="I1005">
        <v>12</v>
      </c>
    </row>
    <row r="1006" spans="1:9" x14ac:dyDescent="0.3">
      <c r="A1006">
        <f>LOOKUP(9E+307,--MID(D1006,1,{1,2,3,4,5}))</f>
        <v>2.5</v>
      </c>
      <c r="B1006">
        <f>VLOOKUP(MID(D1006,LOOKUP(2,1/ISNUMBER(-MID(D1006,1,{1,2,3,4,5})),{1,2,3,4,5})+1,9),'Hue codes'!$A$1:$B$10,2,FALSE)</f>
        <v>60</v>
      </c>
      <c r="C1006">
        <f t="shared" si="15"/>
        <v>62.5</v>
      </c>
      <c r="D1006" t="s">
        <v>45</v>
      </c>
      <c r="E1006">
        <v>4</v>
      </c>
      <c r="F1006">
        <v>10</v>
      </c>
      <c r="G1006">
        <v>0.14630000000000001</v>
      </c>
      <c r="H1006">
        <v>0.2354</v>
      </c>
      <c r="I1006">
        <v>12</v>
      </c>
    </row>
    <row r="1007" spans="1:9" x14ac:dyDescent="0.3">
      <c r="A1007">
        <f>LOOKUP(9E+307,--MID(D1007,1,{1,2,3,4,5}))</f>
        <v>2.5</v>
      </c>
      <c r="B1007">
        <f>VLOOKUP(MID(D1007,LOOKUP(2,1/ISNUMBER(-MID(D1007,1,{1,2,3,4,5})),{1,2,3,4,5})+1,9),'Hue codes'!$A$1:$B$10,2,FALSE)</f>
        <v>60</v>
      </c>
      <c r="C1007">
        <f t="shared" si="15"/>
        <v>62.5</v>
      </c>
      <c r="D1007" t="s">
        <v>45</v>
      </c>
      <c r="E1007">
        <v>4</v>
      </c>
      <c r="F1007">
        <v>12</v>
      </c>
      <c r="G1007">
        <v>0.12470000000000001</v>
      </c>
      <c r="H1007">
        <v>0.22090000000000001</v>
      </c>
      <c r="I1007">
        <v>12</v>
      </c>
    </row>
    <row r="1008" spans="1:9" x14ac:dyDescent="0.3">
      <c r="A1008">
        <f>LOOKUP(9E+307,--MID(D1008,1,{1,2,3,4,5}))</f>
        <v>2.5</v>
      </c>
      <c r="B1008">
        <f>VLOOKUP(MID(D1008,LOOKUP(2,1/ISNUMBER(-MID(D1008,1,{1,2,3,4,5})),{1,2,3,4,5})+1,9),'Hue codes'!$A$1:$B$10,2,FALSE)</f>
        <v>60</v>
      </c>
      <c r="C1008">
        <f t="shared" si="15"/>
        <v>62.5</v>
      </c>
      <c r="D1008" t="s">
        <v>45</v>
      </c>
      <c r="E1008">
        <v>4</v>
      </c>
      <c r="F1008">
        <v>14</v>
      </c>
      <c r="G1008">
        <v>0.1027</v>
      </c>
      <c r="H1008">
        <v>0.20569999999999999</v>
      </c>
      <c r="I1008">
        <v>12</v>
      </c>
    </row>
    <row r="1009" spans="1:9" x14ac:dyDescent="0.3">
      <c r="A1009">
        <f>LOOKUP(9E+307,--MID(D1009,1,{1,2,3,4,5}))</f>
        <v>2.5</v>
      </c>
      <c r="B1009">
        <f>VLOOKUP(MID(D1009,LOOKUP(2,1/ISNUMBER(-MID(D1009,1,{1,2,3,4,5})),{1,2,3,4,5})+1,9),'Hue codes'!$A$1:$B$10,2,FALSE)</f>
        <v>60</v>
      </c>
      <c r="C1009">
        <f t="shared" si="15"/>
        <v>62.5</v>
      </c>
      <c r="D1009" t="s">
        <v>45</v>
      </c>
      <c r="E1009">
        <v>4</v>
      </c>
      <c r="F1009">
        <v>16</v>
      </c>
      <c r="G1009">
        <v>0.09</v>
      </c>
      <c r="H1009">
        <v>0.1973</v>
      </c>
      <c r="I1009">
        <v>12</v>
      </c>
    </row>
    <row r="1010" spans="1:9" x14ac:dyDescent="0.3">
      <c r="A1010">
        <f>LOOKUP(9E+307,--MID(D1010,1,{1,2,3,4,5}))</f>
        <v>5</v>
      </c>
      <c r="B1010">
        <f>VLOOKUP(MID(D1010,LOOKUP(2,1/ISNUMBER(-MID(D1010,1,{1,2,3,4,5})),{1,2,3,4,5})+1,9),'Hue codes'!$A$1:$B$10,2,FALSE)</f>
        <v>60</v>
      </c>
      <c r="C1010">
        <f t="shared" si="15"/>
        <v>65</v>
      </c>
      <c r="D1010" t="s">
        <v>46</v>
      </c>
      <c r="E1010">
        <v>4</v>
      </c>
      <c r="F1010">
        <v>2</v>
      </c>
      <c r="G1010">
        <v>0.27229999999999999</v>
      </c>
      <c r="H1010">
        <v>0.29920000000000002</v>
      </c>
      <c r="I1010">
        <v>12</v>
      </c>
    </row>
    <row r="1011" spans="1:9" x14ac:dyDescent="0.3">
      <c r="A1011">
        <f>LOOKUP(9E+307,--MID(D1011,1,{1,2,3,4,5}))</f>
        <v>5</v>
      </c>
      <c r="B1011">
        <f>VLOOKUP(MID(D1011,LOOKUP(2,1/ISNUMBER(-MID(D1011,1,{1,2,3,4,5})),{1,2,3,4,5})+1,9),'Hue codes'!$A$1:$B$10,2,FALSE)</f>
        <v>60</v>
      </c>
      <c r="C1011">
        <f t="shared" si="15"/>
        <v>65</v>
      </c>
      <c r="D1011" t="s">
        <v>46</v>
      </c>
      <c r="E1011">
        <v>4</v>
      </c>
      <c r="F1011">
        <v>4</v>
      </c>
      <c r="G1011">
        <v>0.23630000000000001</v>
      </c>
      <c r="H1011">
        <v>0.2782</v>
      </c>
      <c r="I1011">
        <v>12</v>
      </c>
    </row>
    <row r="1012" spans="1:9" x14ac:dyDescent="0.3">
      <c r="A1012">
        <f>LOOKUP(9E+307,--MID(D1012,1,{1,2,3,4,5}))</f>
        <v>5</v>
      </c>
      <c r="B1012">
        <f>VLOOKUP(MID(D1012,LOOKUP(2,1/ISNUMBER(-MID(D1012,1,{1,2,3,4,5})),{1,2,3,4,5})+1,9),'Hue codes'!$A$1:$B$10,2,FALSE)</f>
        <v>60</v>
      </c>
      <c r="C1012">
        <f t="shared" si="15"/>
        <v>65</v>
      </c>
      <c r="D1012" t="s">
        <v>46</v>
      </c>
      <c r="E1012">
        <v>4</v>
      </c>
      <c r="F1012">
        <v>6</v>
      </c>
      <c r="G1012">
        <v>0.20599999999999999</v>
      </c>
      <c r="H1012">
        <v>0.25719999999999998</v>
      </c>
      <c r="I1012">
        <v>12</v>
      </c>
    </row>
    <row r="1013" spans="1:9" x14ac:dyDescent="0.3">
      <c r="A1013">
        <f>LOOKUP(9E+307,--MID(D1013,1,{1,2,3,4,5}))</f>
        <v>5</v>
      </c>
      <c r="B1013">
        <f>VLOOKUP(MID(D1013,LOOKUP(2,1/ISNUMBER(-MID(D1013,1,{1,2,3,4,5})),{1,2,3,4,5})+1,9),'Hue codes'!$A$1:$B$10,2,FALSE)</f>
        <v>60</v>
      </c>
      <c r="C1013">
        <f t="shared" si="15"/>
        <v>65</v>
      </c>
      <c r="D1013" t="s">
        <v>46</v>
      </c>
      <c r="E1013">
        <v>4</v>
      </c>
      <c r="F1013">
        <v>8</v>
      </c>
      <c r="G1013">
        <v>0.1759</v>
      </c>
      <c r="H1013">
        <v>0.23449999999999999</v>
      </c>
      <c r="I1013">
        <v>12</v>
      </c>
    </row>
    <row r="1014" spans="1:9" x14ac:dyDescent="0.3">
      <c r="A1014">
        <f>LOOKUP(9E+307,--MID(D1014,1,{1,2,3,4,5}))</f>
        <v>5</v>
      </c>
      <c r="B1014">
        <f>VLOOKUP(MID(D1014,LOOKUP(2,1/ISNUMBER(-MID(D1014,1,{1,2,3,4,5})),{1,2,3,4,5})+1,9),'Hue codes'!$A$1:$B$10,2,FALSE)</f>
        <v>60</v>
      </c>
      <c r="C1014">
        <f t="shared" si="15"/>
        <v>65</v>
      </c>
      <c r="D1014" t="s">
        <v>46</v>
      </c>
      <c r="E1014">
        <v>4</v>
      </c>
      <c r="F1014">
        <v>10</v>
      </c>
      <c r="G1014">
        <v>0.1512</v>
      </c>
      <c r="H1014">
        <v>0.21479999999999999</v>
      </c>
      <c r="I1014">
        <v>12</v>
      </c>
    </row>
    <row r="1015" spans="1:9" x14ac:dyDescent="0.3">
      <c r="A1015">
        <f>LOOKUP(9E+307,--MID(D1015,1,{1,2,3,4,5}))</f>
        <v>5</v>
      </c>
      <c r="B1015">
        <f>VLOOKUP(MID(D1015,LOOKUP(2,1/ISNUMBER(-MID(D1015,1,{1,2,3,4,5})),{1,2,3,4,5})+1,9),'Hue codes'!$A$1:$B$10,2,FALSE)</f>
        <v>60</v>
      </c>
      <c r="C1015">
        <f t="shared" si="15"/>
        <v>65</v>
      </c>
      <c r="D1015" t="s">
        <v>46</v>
      </c>
      <c r="E1015">
        <v>4</v>
      </c>
      <c r="F1015">
        <v>12</v>
      </c>
      <c r="G1015">
        <v>0.12989999999999999</v>
      </c>
      <c r="H1015">
        <v>0.1963</v>
      </c>
      <c r="I1015">
        <v>12</v>
      </c>
    </row>
    <row r="1016" spans="1:9" x14ac:dyDescent="0.3">
      <c r="A1016">
        <f>LOOKUP(9E+307,--MID(D1016,1,{1,2,3,4,5}))</f>
        <v>5</v>
      </c>
      <c r="B1016">
        <f>VLOOKUP(MID(D1016,LOOKUP(2,1/ISNUMBER(-MID(D1016,1,{1,2,3,4,5})),{1,2,3,4,5})+1,9),'Hue codes'!$A$1:$B$10,2,FALSE)</f>
        <v>60</v>
      </c>
      <c r="C1016">
        <f t="shared" si="15"/>
        <v>65</v>
      </c>
      <c r="D1016" t="s">
        <v>46</v>
      </c>
      <c r="E1016">
        <v>4</v>
      </c>
      <c r="F1016">
        <v>14</v>
      </c>
      <c r="G1016">
        <v>0.10979999999999999</v>
      </c>
      <c r="H1016">
        <v>0.17849999999999999</v>
      </c>
      <c r="I1016">
        <v>12</v>
      </c>
    </row>
    <row r="1017" spans="1:9" x14ac:dyDescent="0.3">
      <c r="A1017">
        <f>LOOKUP(9E+307,--MID(D1017,1,{1,2,3,4,5}))</f>
        <v>7.5</v>
      </c>
      <c r="B1017">
        <f>VLOOKUP(MID(D1017,LOOKUP(2,1/ISNUMBER(-MID(D1017,1,{1,2,3,4,5})),{1,2,3,4,5})+1,9),'Hue codes'!$A$1:$B$10,2,FALSE)</f>
        <v>60</v>
      </c>
      <c r="C1017">
        <f t="shared" si="15"/>
        <v>67.5</v>
      </c>
      <c r="D1017" t="s">
        <v>47</v>
      </c>
      <c r="E1017">
        <v>4</v>
      </c>
      <c r="F1017">
        <v>2</v>
      </c>
      <c r="G1017">
        <v>0.27329999999999999</v>
      </c>
      <c r="H1017">
        <v>0.29470000000000002</v>
      </c>
      <c r="I1017">
        <v>12</v>
      </c>
    </row>
    <row r="1018" spans="1:9" x14ac:dyDescent="0.3">
      <c r="A1018">
        <f>LOOKUP(9E+307,--MID(D1018,1,{1,2,3,4,5}))</f>
        <v>7.5</v>
      </c>
      <c r="B1018">
        <f>VLOOKUP(MID(D1018,LOOKUP(2,1/ISNUMBER(-MID(D1018,1,{1,2,3,4,5})),{1,2,3,4,5})+1,9),'Hue codes'!$A$1:$B$10,2,FALSE)</f>
        <v>60</v>
      </c>
      <c r="C1018">
        <f t="shared" si="15"/>
        <v>67.5</v>
      </c>
      <c r="D1018" t="s">
        <v>47</v>
      </c>
      <c r="E1018">
        <v>4</v>
      </c>
      <c r="F1018">
        <v>4</v>
      </c>
      <c r="G1018">
        <v>0.23880000000000001</v>
      </c>
      <c r="H1018">
        <v>0.27039999999999997</v>
      </c>
      <c r="I1018">
        <v>12</v>
      </c>
    </row>
    <row r="1019" spans="1:9" x14ac:dyDescent="0.3">
      <c r="A1019">
        <f>LOOKUP(9E+307,--MID(D1019,1,{1,2,3,4,5}))</f>
        <v>7.5</v>
      </c>
      <c r="B1019">
        <f>VLOOKUP(MID(D1019,LOOKUP(2,1/ISNUMBER(-MID(D1019,1,{1,2,3,4,5})),{1,2,3,4,5})+1,9),'Hue codes'!$A$1:$B$10,2,FALSE)</f>
        <v>60</v>
      </c>
      <c r="C1019">
        <f t="shared" si="15"/>
        <v>67.5</v>
      </c>
      <c r="D1019" t="s">
        <v>47</v>
      </c>
      <c r="E1019">
        <v>4</v>
      </c>
      <c r="F1019">
        <v>6</v>
      </c>
      <c r="G1019">
        <v>0.2102</v>
      </c>
      <c r="H1019">
        <v>0.247</v>
      </c>
      <c r="I1019">
        <v>12</v>
      </c>
    </row>
    <row r="1020" spans="1:9" x14ac:dyDescent="0.3">
      <c r="A1020">
        <f>LOOKUP(9E+307,--MID(D1020,1,{1,2,3,4,5}))</f>
        <v>7.5</v>
      </c>
      <c r="B1020">
        <f>VLOOKUP(MID(D1020,LOOKUP(2,1/ISNUMBER(-MID(D1020,1,{1,2,3,4,5})),{1,2,3,4,5})+1,9),'Hue codes'!$A$1:$B$10,2,FALSE)</f>
        <v>60</v>
      </c>
      <c r="C1020">
        <f t="shared" si="15"/>
        <v>67.5</v>
      </c>
      <c r="D1020" t="s">
        <v>47</v>
      </c>
      <c r="E1020">
        <v>4</v>
      </c>
      <c r="F1020">
        <v>8</v>
      </c>
      <c r="G1020">
        <v>0.18210000000000001</v>
      </c>
      <c r="H1020">
        <v>0.22320000000000001</v>
      </c>
      <c r="I1020">
        <v>12</v>
      </c>
    </row>
    <row r="1021" spans="1:9" x14ac:dyDescent="0.3">
      <c r="A1021">
        <f>LOOKUP(9E+307,--MID(D1021,1,{1,2,3,4,5}))</f>
        <v>7.5</v>
      </c>
      <c r="B1021">
        <f>VLOOKUP(MID(D1021,LOOKUP(2,1/ISNUMBER(-MID(D1021,1,{1,2,3,4,5})),{1,2,3,4,5})+1,9),'Hue codes'!$A$1:$B$10,2,FALSE)</f>
        <v>60</v>
      </c>
      <c r="C1021">
        <f t="shared" si="15"/>
        <v>67.5</v>
      </c>
      <c r="D1021" t="s">
        <v>47</v>
      </c>
      <c r="E1021">
        <v>4</v>
      </c>
      <c r="F1021">
        <v>10</v>
      </c>
      <c r="G1021">
        <v>0.16009999999999999</v>
      </c>
      <c r="H1021">
        <v>0.20280000000000001</v>
      </c>
      <c r="I1021">
        <v>12</v>
      </c>
    </row>
    <row r="1022" spans="1:9" x14ac:dyDescent="0.3">
      <c r="A1022">
        <f>LOOKUP(9E+307,--MID(D1022,1,{1,2,3,4,5}))</f>
        <v>7.5</v>
      </c>
      <c r="B1022">
        <f>VLOOKUP(MID(D1022,LOOKUP(2,1/ISNUMBER(-MID(D1022,1,{1,2,3,4,5})),{1,2,3,4,5})+1,9),'Hue codes'!$A$1:$B$10,2,FALSE)</f>
        <v>60</v>
      </c>
      <c r="C1022">
        <f t="shared" si="15"/>
        <v>67.5</v>
      </c>
      <c r="D1022" t="s">
        <v>47</v>
      </c>
      <c r="E1022">
        <v>4</v>
      </c>
      <c r="F1022">
        <v>12</v>
      </c>
      <c r="G1022">
        <v>0.13930000000000001</v>
      </c>
      <c r="H1022">
        <v>0.1837</v>
      </c>
      <c r="I1022">
        <v>12</v>
      </c>
    </row>
    <row r="1023" spans="1:9" x14ac:dyDescent="0.3">
      <c r="A1023">
        <f>LOOKUP(9E+307,--MID(D1023,1,{1,2,3,4,5}))</f>
        <v>7.5</v>
      </c>
      <c r="B1023">
        <f>VLOOKUP(MID(D1023,LOOKUP(2,1/ISNUMBER(-MID(D1023,1,{1,2,3,4,5})),{1,2,3,4,5})+1,9),'Hue codes'!$A$1:$B$10,2,FALSE)</f>
        <v>60</v>
      </c>
      <c r="C1023">
        <f t="shared" si="15"/>
        <v>67.5</v>
      </c>
      <c r="D1023" t="s">
        <v>47</v>
      </c>
      <c r="E1023">
        <v>4</v>
      </c>
      <c r="F1023">
        <v>14</v>
      </c>
      <c r="G1023">
        <v>0.12039999999999999</v>
      </c>
      <c r="H1023">
        <v>0.16550000000000001</v>
      </c>
      <c r="I1023">
        <v>12</v>
      </c>
    </row>
    <row r="1024" spans="1:9" x14ac:dyDescent="0.3">
      <c r="A1024">
        <f>LOOKUP(9E+307,--MID(D1024,1,{1,2,3,4,5}))</f>
        <v>10</v>
      </c>
      <c r="B1024">
        <f>VLOOKUP(MID(D1024,LOOKUP(2,1/ISNUMBER(-MID(D1024,1,{1,2,3,4,5})),{1,2,3,4,5})+1,9),'Hue codes'!$A$1:$B$10,2,FALSE)</f>
        <v>60</v>
      </c>
      <c r="C1024">
        <f t="shared" si="15"/>
        <v>70</v>
      </c>
      <c r="D1024" t="s">
        <v>48</v>
      </c>
      <c r="E1024">
        <v>4</v>
      </c>
      <c r="F1024">
        <v>2</v>
      </c>
      <c r="G1024">
        <v>0.27529999999999999</v>
      </c>
      <c r="H1024">
        <v>0.29099999999999998</v>
      </c>
      <c r="I1024">
        <v>12</v>
      </c>
    </row>
    <row r="1025" spans="1:9" x14ac:dyDescent="0.3">
      <c r="A1025">
        <f>LOOKUP(9E+307,--MID(D1025,1,{1,2,3,4,5}))</f>
        <v>10</v>
      </c>
      <c r="B1025">
        <f>VLOOKUP(MID(D1025,LOOKUP(2,1/ISNUMBER(-MID(D1025,1,{1,2,3,4,5})),{1,2,3,4,5})+1,9),'Hue codes'!$A$1:$B$10,2,FALSE)</f>
        <v>60</v>
      </c>
      <c r="C1025">
        <f t="shared" si="15"/>
        <v>70</v>
      </c>
      <c r="D1025" t="s">
        <v>48</v>
      </c>
      <c r="E1025">
        <v>4</v>
      </c>
      <c r="F1025">
        <v>4</v>
      </c>
      <c r="G1025">
        <v>0.2429</v>
      </c>
      <c r="H1025">
        <v>0.26479999999999998</v>
      </c>
      <c r="I1025">
        <v>12</v>
      </c>
    </row>
    <row r="1026" spans="1:9" x14ac:dyDescent="0.3">
      <c r="A1026">
        <f>LOOKUP(9E+307,--MID(D1026,1,{1,2,3,4,5}))</f>
        <v>10</v>
      </c>
      <c r="B1026">
        <f>VLOOKUP(MID(D1026,LOOKUP(2,1/ISNUMBER(-MID(D1026,1,{1,2,3,4,5})),{1,2,3,4,5})+1,9),'Hue codes'!$A$1:$B$10,2,FALSE)</f>
        <v>60</v>
      </c>
      <c r="C1026">
        <f t="shared" si="15"/>
        <v>70</v>
      </c>
      <c r="D1026" t="s">
        <v>48</v>
      </c>
      <c r="E1026">
        <v>4</v>
      </c>
      <c r="F1026">
        <v>6</v>
      </c>
      <c r="G1026">
        <v>0.2157</v>
      </c>
      <c r="H1026">
        <v>0.2407</v>
      </c>
      <c r="I1026">
        <v>12</v>
      </c>
    </row>
    <row r="1027" spans="1:9" x14ac:dyDescent="0.3">
      <c r="A1027">
        <f>LOOKUP(9E+307,--MID(D1027,1,{1,2,3,4,5}))</f>
        <v>10</v>
      </c>
      <c r="B1027">
        <f>VLOOKUP(MID(D1027,LOOKUP(2,1/ISNUMBER(-MID(D1027,1,{1,2,3,4,5})),{1,2,3,4,5})+1,9),'Hue codes'!$A$1:$B$10,2,FALSE)</f>
        <v>60</v>
      </c>
      <c r="C1027">
        <f t="shared" ref="C1027:C1090" si="16">IF(A1027+B1027=100,0,A1027+B1027)</f>
        <v>70</v>
      </c>
      <c r="D1027" t="s">
        <v>48</v>
      </c>
      <c r="E1027">
        <v>4</v>
      </c>
      <c r="F1027">
        <v>8</v>
      </c>
      <c r="G1027">
        <v>0.1893</v>
      </c>
      <c r="H1027">
        <v>0.216</v>
      </c>
      <c r="I1027">
        <v>12</v>
      </c>
    </row>
    <row r="1028" spans="1:9" x14ac:dyDescent="0.3">
      <c r="A1028">
        <f>LOOKUP(9E+307,--MID(D1028,1,{1,2,3,4,5}))</f>
        <v>10</v>
      </c>
      <c r="B1028">
        <f>VLOOKUP(MID(D1028,LOOKUP(2,1/ISNUMBER(-MID(D1028,1,{1,2,3,4,5})),{1,2,3,4,5})+1,9),'Hue codes'!$A$1:$B$10,2,FALSE)</f>
        <v>60</v>
      </c>
      <c r="C1028">
        <f t="shared" si="16"/>
        <v>70</v>
      </c>
      <c r="D1028" t="s">
        <v>48</v>
      </c>
      <c r="E1028">
        <v>4</v>
      </c>
      <c r="F1028">
        <v>10</v>
      </c>
      <c r="G1028">
        <v>0.1681</v>
      </c>
      <c r="H1028">
        <v>0.19539999999999999</v>
      </c>
      <c r="I1028">
        <v>12</v>
      </c>
    </row>
    <row r="1029" spans="1:9" x14ac:dyDescent="0.3">
      <c r="A1029">
        <f>LOOKUP(9E+307,--MID(D1029,1,{1,2,3,4,5}))</f>
        <v>10</v>
      </c>
      <c r="B1029">
        <f>VLOOKUP(MID(D1029,LOOKUP(2,1/ISNUMBER(-MID(D1029,1,{1,2,3,4,5})),{1,2,3,4,5})+1,9),'Hue codes'!$A$1:$B$10,2,FALSE)</f>
        <v>60</v>
      </c>
      <c r="C1029">
        <f t="shared" si="16"/>
        <v>70</v>
      </c>
      <c r="D1029" t="s">
        <v>48</v>
      </c>
      <c r="E1029">
        <v>4</v>
      </c>
      <c r="F1029">
        <v>12</v>
      </c>
      <c r="G1029">
        <v>0.1487</v>
      </c>
      <c r="H1029">
        <v>0.17599999999999999</v>
      </c>
      <c r="I1029">
        <v>12</v>
      </c>
    </row>
    <row r="1030" spans="1:9" x14ac:dyDescent="0.3">
      <c r="A1030">
        <f>LOOKUP(9E+307,--MID(D1030,1,{1,2,3,4,5}))</f>
        <v>10</v>
      </c>
      <c r="B1030">
        <f>VLOOKUP(MID(D1030,LOOKUP(2,1/ISNUMBER(-MID(D1030,1,{1,2,3,4,5})),{1,2,3,4,5})+1,9),'Hue codes'!$A$1:$B$10,2,FALSE)</f>
        <v>60</v>
      </c>
      <c r="C1030">
        <f t="shared" si="16"/>
        <v>70</v>
      </c>
      <c r="D1030" t="s">
        <v>48</v>
      </c>
      <c r="E1030">
        <v>4</v>
      </c>
      <c r="F1030">
        <v>14</v>
      </c>
      <c r="G1030">
        <v>0.13100000000000001</v>
      </c>
      <c r="H1030">
        <v>0.158</v>
      </c>
      <c r="I1030">
        <v>12</v>
      </c>
    </row>
    <row r="1031" spans="1:9" x14ac:dyDescent="0.3">
      <c r="A1031">
        <f>LOOKUP(9E+307,--MID(D1031,1,{1,2,3,4,5}))</f>
        <v>10</v>
      </c>
      <c r="B1031">
        <f>VLOOKUP(MID(D1031,LOOKUP(2,1/ISNUMBER(-MID(D1031,1,{1,2,3,4,5})),{1,2,3,4,5})+1,9),'Hue codes'!$A$1:$B$10,2,FALSE)</f>
        <v>60</v>
      </c>
      <c r="C1031">
        <f t="shared" si="16"/>
        <v>70</v>
      </c>
      <c r="D1031" t="s">
        <v>48</v>
      </c>
      <c r="E1031">
        <v>4</v>
      </c>
      <c r="F1031">
        <v>16</v>
      </c>
      <c r="G1031">
        <v>0.11550000000000001</v>
      </c>
      <c r="H1031">
        <v>0.1416</v>
      </c>
      <c r="I1031">
        <v>12</v>
      </c>
    </row>
    <row r="1032" spans="1:9" x14ac:dyDescent="0.3">
      <c r="A1032">
        <f>LOOKUP(9E+307,--MID(D1032,1,{1,2,3,4,5}))</f>
        <v>2.5</v>
      </c>
      <c r="B1032">
        <f>VLOOKUP(MID(D1032,LOOKUP(2,1/ISNUMBER(-MID(D1032,1,{1,2,3,4,5})),{1,2,3,4,5})+1,9),'Hue codes'!$A$1:$B$10,2,FALSE)</f>
        <v>70</v>
      </c>
      <c r="C1032">
        <f t="shared" si="16"/>
        <v>72.5</v>
      </c>
      <c r="D1032" t="s">
        <v>49</v>
      </c>
      <c r="E1032">
        <v>4</v>
      </c>
      <c r="F1032">
        <v>2</v>
      </c>
      <c r="G1032">
        <v>0.2782</v>
      </c>
      <c r="H1032">
        <v>0.28760000000000002</v>
      </c>
      <c r="I1032">
        <v>12</v>
      </c>
    </row>
    <row r="1033" spans="1:9" x14ac:dyDescent="0.3">
      <c r="A1033">
        <f>LOOKUP(9E+307,--MID(D1033,1,{1,2,3,4,5}))</f>
        <v>2.5</v>
      </c>
      <c r="B1033">
        <f>VLOOKUP(MID(D1033,LOOKUP(2,1/ISNUMBER(-MID(D1033,1,{1,2,3,4,5})),{1,2,3,4,5})+1,9),'Hue codes'!$A$1:$B$10,2,FALSE)</f>
        <v>70</v>
      </c>
      <c r="C1033">
        <f t="shared" si="16"/>
        <v>72.5</v>
      </c>
      <c r="D1033" t="s">
        <v>49</v>
      </c>
      <c r="E1033">
        <v>4</v>
      </c>
      <c r="F1033">
        <v>4</v>
      </c>
      <c r="G1033">
        <v>0.2487</v>
      </c>
      <c r="H1033">
        <v>0.25969999999999999</v>
      </c>
      <c r="I1033">
        <v>12</v>
      </c>
    </row>
    <row r="1034" spans="1:9" x14ac:dyDescent="0.3">
      <c r="A1034">
        <f>LOOKUP(9E+307,--MID(D1034,1,{1,2,3,4,5}))</f>
        <v>2.5</v>
      </c>
      <c r="B1034">
        <f>VLOOKUP(MID(D1034,LOOKUP(2,1/ISNUMBER(-MID(D1034,1,{1,2,3,4,5})),{1,2,3,4,5})+1,9),'Hue codes'!$A$1:$B$10,2,FALSE)</f>
        <v>70</v>
      </c>
      <c r="C1034">
        <f t="shared" si="16"/>
        <v>72.5</v>
      </c>
      <c r="D1034" t="s">
        <v>49</v>
      </c>
      <c r="E1034">
        <v>4</v>
      </c>
      <c r="F1034">
        <v>6</v>
      </c>
      <c r="G1034">
        <v>0.2235</v>
      </c>
      <c r="H1034">
        <v>0.23430000000000001</v>
      </c>
      <c r="I1034">
        <v>12</v>
      </c>
    </row>
    <row r="1035" spans="1:9" x14ac:dyDescent="0.3">
      <c r="A1035">
        <f>LOOKUP(9E+307,--MID(D1035,1,{1,2,3,4,5}))</f>
        <v>2.5</v>
      </c>
      <c r="B1035">
        <f>VLOOKUP(MID(D1035,LOOKUP(2,1/ISNUMBER(-MID(D1035,1,{1,2,3,4,5})),{1,2,3,4,5})+1,9),'Hue codes'!$A$1:$B$10,2,FALSE)</f>
        <v>70</v>
      </c>
      <c r="C1035">
        <f t="shared" si="16"/>
        <v>72.5</v>
      </c>
      <c r="D1035" t="s">
        <v>49</v>
      </c>
      <c r="E1035">
        <v>4</v>
      </c>
      <c r="F1035">
        <v>8</v>
      </c>
      <c r="G1035">
        <v>0.19950000000000001</v>
      </c>
      <c r="H1035">
        <v>0.2094</v>
      </c>
      <c r="I1035">
        <v>12</v>
      </c>
    </row>
    <row r="1036" spans="1:9" x14ac:dyDescent="0.3">
      <c r="A1036">
        <f>LOOKUP(9E+307,--MID(D1036,1,{1,2,3,4,5}))</f>
        <v>2.5</v>
      </c>
      <c r="B1036">
        <f>VLOOKUP(MID(D1036,LOOKUP(2,1/ISNUMBER(-MID(D1036,1,{1,2,3,4,5})),{1,2,3,4,5})+1,9),'Hue codes'!$A$1:$B$10,2,FALSE)</f>
        <v>70</v>
      </c>
      <c r="C1036">
        <f t="shared" si="16"/>
        <v>72.5</v>
      </c>
      <c r="D1036" t="s">
        <v>49</v>
      </c>
      <c r="E1036">
        <v>4</v>
      </c>
      <c r="F1036">
        <v>10</v>
      </c>
      <c r="G1036">
        <v>0.18049999999999999</v>
      </c>
      <c r="H1036">
        <v>0.1888</v>
      </c>
      <c r="I1036">
        <v>12</v>
      </c>
    </row>
    <row r="1037" spans="1:9" x14ac:dyDescent="0.3">
      <c r="A1037">
        <f>LOOKUP(9E+307,--MID(D1037,1,{1,2,3,4,5}))</f>
        <v>2.5</v>
      </c>
      <c r="B1037">
        <f>VLOOKUP(MID(D1037,LOOKUP(2,1/ISNUMBER(-MID(D1037,1,{1,2,3,4,5})),{1,2,3,4,5})+1,9),'Hue codes'!$A$1:$B$10,2,FALSE)</f>
        <v>70</v>
      </c>
      <c r="C1037">
        <f t="shared" si="16"/>
        <v>72.5</v>
      </c>
      <c r="D1037" t="s">
        <v>49</v>
      </c>
      <c r="E1037">
        <v>4</v>
      </c>
      <c r="F1037">
        <v>12</v>
      </c>
      <c r="G1037">
        <v>0.16339999999999999</v>
      </c>
      <c r="H1037">
        <v>0.16980000000000001</v>
      </c>
      <c r="I1037">
        <v>12</v>
      </c>
    </row>
    <row r="1038" spans="1:9" x14ac:dyDescent="0.3">
      <c r="A1038">
        <f>LOOKUP(9E+307,--MID(D1038,1,{1,2,3,4,5}))</f>
        <v>2.5</v>
      </c>
      <c r="B1038">
        <f>VLOOKUP(MID(D1038,LOOKUP(2,1/ISNUMBER(-MID(D1038,1,{1,2,3,4,5})),{1,2,3,4,5})+1,9),'Hue codes'!$A$1:$B$10,2,FALSE)</f>
        <v>70</v>
      </c>
      <c r="C1038">
        <f t="shared" si="16"/>
        <v>72.5</v>
      </c>
      <c r="D1038" t="s">
        <v>49</v>
      </c>
      <c r="E1038">
        <v>4</v>
      </c>
      <c r="F1038">
        <v>14</v>
      </c>
      <c r="G1038">
        <v>0.14729999999999999</v>
      </c>
      <c r="H1038">
        <v>0.15129999999999999</v>
      </c>
      <c r="I1038">
        <v>12</v>
      </c>
    </row>
    <row r="1039" spans="1:9" x14ac:dyDescent="0.3">
      <c r="A1039">
        <f>LOOKUP(9E+307,--MID(D1039,1,{1,2,3,4,5}))</f>
        <v>2.5</v>
      </c>
      <c r="B1039">
        <f>VLOOKUP(MID(D1039,LOOKUP(2,1/ISNUMBER(-MID(D1039,1,{1,2,3,4,5})),{1,2,3,4,5})+1,9),'Hue codes'!$A$1:$B$10,2,FALSE)</f>
        <v>70</v>
      </c>
      <c r="C1039">
        <f t="shared" si="16"/>
        <v>72.5</v>
      </c>
      <c r="D1039" t="s">
        <v>49</v>
      </c>
      <c r="E1039">
        <v>4</v>
      </c>
      <c r="F1039">
        <v>16</v>
      </c>
      <c r="G1039">
        <v>0.1336</v>
      </c>
      <c r="H1039">
        <v>0.13489999999999999</v>
      </c>
      <c r="I1039">
        <v>12</v>
      </c>
    </row>
    <row r="1040" spans="1:9" x14ac:dyDescent="0.3">
      <c r="A1040">
        <f>LOOKUP(9E+307,--MID(D1040,1,{1,2,3,4,5}))</f>
        <v>2.5</v>
      </c>
      <c r="B1040">
        <f>VLOOKUP(MID(D1040,LOOKUP(2,1/ISNUMBER(-MID(D1040,1,{1,2,3,4,5})),{1,2,3,4,5})+1,9),'Hue codes'!$A$1:$B$10,2,FALSE)</f>
        <v>70</v>
      </c>
      <c r="C1040">
        <f t="shared" si="16"/>
        <v>72.5</v>
      </c>
      <c r="D1040" t="s">
        <v>49</v>
      </c>
      <c r="E1040">
        <v>4</v>
      </c>
      <c r="F1040">
        <v>18</v>
      </c>
      <c r="G1040">
        <v>0.12180000000000001</v>
      </c>
      <c r="H1040">
        <v>0.1208</v>
      </c>
      <c r="I1040">
        <v>12</v>
      </c>
    </row>
    <row r="1041" spans="1:9" x14ac:dyDescent="0.3">
      <c r="A1041">
        <f>LOOKUP(9E+307,--MID(D1041,1,{1,2,3,4,5}))</f>
        <v>5</v>
      </c>
      <c r="B1041">
        <f>VLOOKUP(MID(D1041,LOOKUP(2,1/ISNUMBER(-MID(D1041,1,{1,2,3,4,5})),{1,2,3,4,5})+1,9),'Hue codes'!$A$1:$B$10,2,FALSE)</f>
        <v>70</v>
      </c>
      <c r="C1041">
        <f t="shared" si="16"/>
        <v>75</v>
      </c>
      <c r="D1041" t="s">
        <v>50</v>
      </c>
      <c r="E1041">
        <v>4</v>
      </c>
      <c r="F1041">
        <v>2</v>
      </c>
      <c r="G1041">
        <v>0.28160000000000002</v>
      </c>
      <c r="H1041">
        <v>0.28420000000000001</v>
      </c>
      <c r="I1041">
        <v>12</v>
      </c>
    </row>
    <row r="1042" spans="1:9" x14ac:dyDescent="0.3">
      <c r="A1042">
        <f>LOOKUP(9E+307,--MID(D1042,1,{1,2,3,4,5}))</f>
        <v>5</v>
      </c>
      <c r="B1042">
        <f>VLOOKUP(MID(D1042,LOOKUP(2,1/ISNUMBER(-MID(D1042,1,{1,2,3,4,5})),{1,2,3,4,5})+1,9),'Hue codes'!$A$1:$B$10,2,FALSE)</f>
        <v>70</v>
      </c>
      <c r="C1042">
        <f t="shared" si="16"/>
        <v>75</v>
      </c>
      <c r="D1042" t="s">
        <v>50</v>
      </c>
      <c r="E1042">
        <v>4</v>
      </c>
      <c r="F1042">
        <v>4</v>
      </c>
      <c r="G1042">
        <v>0.25619999999999998</v>
      </c>
      <c r="H1042">
        <v>0.25600000000000001</v>
      </c>
      <c r="I1042">
        <v>12</v>
      </c>
    </row>
    <row r="1043" spans="1:9" x14ac:dyDescent="0.3">
      <c r="A1043">
        <f>LOOKUP(9E+307,--MID(D1043,1,{1,2,3,4,5}))</f>
        <v>5</v>
      </c>
      <c r="B1043">
        <f>VLOOKUP(MID(D1043,LOOKUP(2,1/ISNUMBER(-MID(D1043,1,{1,2,3,4,5})),{1,2,3,4,5})+1,9),'Hue codes'!$A$1:$B$10,2,FALSE)</f>
        <v>70</v>
      </c>
      <c r="C1043">
        <f t="shared" si="16"/>
        <v>75</v>
      </c>
      <c r="D1043" t="s">
        <v>50</v>
      </c>
      <c r="E1043">
        <v>4</v>
      </c>
      <c r="F1043">
        <v>6</v>
      </c>
      <c r="G1043">
        <v>0.23250000000000001</v>
      </c>
      <c r="H1043">
        <v>0.23</v>
      </c>
      <c r="I1043">
        <v>12</v>
      </c>
    </row>
    <row r="1044" spans="1:9" x14ac:dyDescent="0.3">
      <c r="A1044">
        <f>LOOKUP(9E+307,--MID(D1044,1,{1,2,3,4,5}))</f>
        <v>5</v>
      </c>
      <c r="B1044">
        <f>VLOOKUP(MID(D1044,LOOKUP(2,1/ISNUMBER(-MID(D1044,1,{1,2,3,4,5})),{1,2,3,4,5})+1,9),'Hue codes'!$A$1:$B$10,2,FALSE)</f>
        <v>70</v>
      </c>
      <c r="C1044">
        <f t="shared" si="16"/>
        <v>75</v>
      </c>
      <c r="D1044" t="s">
        <v>50</v>
      </c>
      <c r="E1044">
        <v>4</v>
      </c>
      <c r="F1044">
        <v>8</v>
      </c>
      <c r="G1044">
        <v>0.21029999999999999</v>
      </c>
      <c r="H1044">
        <v>0.20499999999999999</v>
      </c>
      <c r="I1044">
        <v>12</v>
      </c>
    </row>
    <row r="1045" spans="1:9" x14ac:dyDescent="0.3">
      <c r="A1045">
        <f>LOOKUP(9E+307,--MID(D1045,1,{1,2,3,4,5}))</f>
        <v>5</v>
      </c>
      <c r="B1045">
        <f>VLOOKUP(MID(D1045,LOOKUP(2,1/ISNUMBER(-MID(D1045,1,{1,2,3,4,5})),{1,2,3,4,5})+1,9),'Hue codes'!$A$1:$B$10,2,FALSE)</f>
        <v>70</v>
      </c>
      <c r="C1045">
        <f t="shared" si="16"/>
        <v>75</v>
      </c>
      <c r="D1045" t="s">
        <v>50</v>
      </c>
      <c r="E1045">
        <v>4</v>
      </c>
      <c r="F1045">
        <v>10</v>
      </c>
      <c r="G1045">
        <v>0.1925</v>
      </c>
      <c r="H1045">
        <v>0.18429999999999999</v>
      </c>
      <c r="I1045">
        <v>12</v>
      </c>
    </row>
    <row r="1046" spans="1:9" x14ac:dyDescent="0.3">
      <c r="A1046">
        <f>LOOKUP(9E+307,--MID(D1046,1,{1,2,3,4,5}))</f>
        <v>5</v>
      </c>
      <c r="B1046">
        <f>VLOOKUP(MID(D1046,LOOKUP(2,1/ISNUMBER(-MID(D1046,1,{1,2,3,4,5})),{1,2,3,4,5})+1,9),'Hue codes'!$A$1:$B$10,2,FALSE)</f>
        <v>70</v>
      </c>
      <c r="C1046">
        <f t="shared" si="16"/>
        <v>75</v>
      </c>
      <c r="D1046" t="s">
        <v>50</v>
      </c>
      <c r="E1046">
        <v>4</v>
      </c>
      <c r="F1046">
        <v>12</v>
      </c>
      <c r="G1046">
        <v>0.17730000000000001</v>
      </c>
      <c r="H1046">
        <v>0.16589999999999999</v>
      </c>
      <c r="I1046">
        <v>12</v>
      </c>
    </row>
    <row r="1047" spans="1:9" x14ac:dyDescent="0.3">
      <c r="A1047">
        <f>LOOKUP(9E+307,--MID(D1047,1,{1,2,3,4,5}))</f>
        <v>5</v>
      </c>
      <c r="B1047">
        <f>VLOOKUP(MID(D1047,LOOKUP(2,1/ISNUMBER(-MID(D1047,1,{1,2,3,4,5})),{1,2,3,4,5})+1,9),'Hue codes'!$A$1:$B$10,2,FALSE)</f>
        <v>70</v>
      </c>
      <c r="C1047">
        <f t="shared" si="16"/>
        <v>75</v>
      </c>
      <c r="D1047" t="s">
        <v>50</v>
      </c>
      <c r="E1047">
        <v>4</v>
      </c>
      <c r="F1047">
        <v>14</v>
      </c>
      <c r="G1047">
        <v>0.16270000000000001</v>
      </c>
      <c r="H1047">
        <v>0.1479</v>
      </c>
      <c r="I1047">
        <v>12</v>
      </c>
    </row>
    <row r="1048" spans="1:9" x14ac:dyDescent="0.3">
      <c r="A1048">
        <f>LOOKUP(9E+307,--MID(D1048,1,{1,2,3,4,5}))</f>
        <v>5</v>
      </c>
      <c r="B1048">
        <f>VLOOKUP(MID(D1048,LOOKUP(2,1/ISNUMBER(-MID(D1048,1,{1,2,3,4,5})),{1,2,3,4,5})+1,9),'Hue codes'!$A$1:$B$10,2,FALSE)</f>
        <v>70</v>
      </c>
      <c r="C1048">
        <f t="shared" si="16"/>
        <v>75</v>
      </c>
      <c r="D1048" t="s">
        <v>50</v>
      </c>
      <c r="E1048">
        <v>4</v>
      </c>
      <c r="F1048">
        <v>16</v>
      </c>
      <c r="G1048">
        <v>0.15040000000000001</v>
      </c>
      <c r="H1048">
        <v>0.13170000000000001</v>
      </c>
      <c r="I1048">
        <v>12</v>
      </c>
    </row>
    <row r="1049" spans="1:9" x14ac:dyDescent="0.3">
      <c r="A1049">
        <f>LOOKUP(9E+307,--MID(D1049,1,{1,2,3,4,5}))</f>
        <v>5</v>
      </c>
      <c r="B1049">
        <f>VLOOKUP(MID(D1049,LOOKUP(2,1/ISNUMBER(-MID(D1049,1,{1,2,3,4,5})),{1,2,3,4,5})+1,9),'Hue codes'!$A$1:$B$10,2,FALSE)</f>
        <v>70</v>
      </c>
      <c r="C1049">
        <f t="shared" si="16"/>
        <v>75</v>
      </c>
      <c r="D1049" t="s">
        <v>50</v>
      </c>
      <c r="E1049">
        <v>4</v>
      </c>
      <c r="F1049">
        <v>18</v>
      </c>
      <c r="G1049">
        <v>0.13919999999999999</v>
      </c>
      <c r="H1049">
        <v>0.1167</v>
      </c>
      <c r="I1049">
        <v>12</v>
      </c>
    </row>
    <row r="1050" spans="1:9" x14ac:dyDescent="0.3">
      <c r="A1050">
        <f>LOOKUP(9E+307,--MID(D1050,1,{1,2,3,4,5}))</f>
        <v>5</v>
      </c>
      <c r="B1050">
        <f>VLOOKUP(MID(D1050,LOOKUP(2,1/ISNUMBER(-MID(D1050,1,{1,2,3,4,5})),{1,2,3,4,5})+1,9),'Hue codes'!$A$1:$B$10,2,FALSE)</f>
        <v>70</v>
      </c>
      <c r="C1050">
        <f t="shared" si="16"/>
        <v>75</v>
      </c>
      <c r="D1050" t="s">
        <v>50</v>
      </c>
      <c r="E1050">
        <v>4</v>
      </c>
      <c r="F1050">
        <v>20</v>
      </c>
      <c r="G1050">
        <v>0.1288</v>
      </c>
      <c r="H1050">
        <v>0.1027</v>
      </c>
      <c r="I1050">
        <v>12</v>
      </c>
    </row>
    <row r="1051" spans="1:9" x14ac:dyDescent="0.3">
      <c r="A1051">
        <f>LOOKUP(9E+307,--MID(D1051,1,{1,2,3,4,5}))</f>
        <v>7.5</v>
      </c>
      <c r="B1051">
        <f>VLOOKUP(MID(D1051,LOOKUP(2,1/ISNUMBER(-MID(D1051,1,{1,2,3,4,5})),{1,2,3,4,5})+1,9),'Hue codes'!$A$1:$B$10,2,FALSE)</f>
        <v>70</v>
      </c>
      <c r="C1051">
        <f t="shared" si="16"/>
        <v>77.5</v>
      </c>
      <c r="D1051" t="s">
        <v>51</v>
      </c>
      <c r="E1051">
        <v>4</v>
      </c>
      <c r="F1051">
        <v>2</v>
      </c>
      <c r="G1051">
        <v>0.28610000000000002</v>
      </c>
      <c r="H1051">
        <v>0.28189999999999998</v>
      </c>
      <c r="I1051">
        <v>12</v>
      </c>
    </row>
    <row r="1052" spans="1:9" x14ac:dyDescent="0.3">
      <c r="A1052">
        <f>LOOKUP(9E+307,--MID(D1052,1,{1,2,3,4,5}))</f>
        <v>7.5</v>
      </c>
      <c r="B1052">
        <f>VLOOKUP(MID(D1052,LOOKUP(2,1/ISNUMBER(-MID(D1052,1,{1,2,3,4,5})),{1,2,3,4,5})+1,9),'Hue codes'!$A$1:$B$10,2,FALSE)</f>
        <v>70</v>
      </c>
      <c r="C1052">
        <f t="shared" si="16"/>
        <v>77.5</v>
      </c>
      <c r="D1052" t="s">
        <v>51</v>
      </c>
      <c r="E1052">
        <v>4</v>
      </c>
      <c r="F1052">
        <v>4</v>
      </c>
      <c r="G1052">
        <v>0.26569999999999999</v>
      </c>
      <c r="H1052">
        <v>0.25280000000000002</v>
      </c>
      <c r="I1052">
        <v>12</v>
      </c>
    </row>
    <row r="1053" spans="1:9" x14ac:dyDescent="0.3">
      <c r="A1053">
        <f>LOOKUP(9E+307,--MID(D1053,1,{1,2,3,4,5}))</f>
        <v>7.5</v>
      </c>
      <c r="B1053">
        <f>VLOOKUP(MID(D1053,LOOKUP(2,1/ISNUMBER(-MID(D1053,1,{1,2,3,4,5})),{1,2,3,4,5})+1,9),'Hue codes'!$A$1:$B$10,2,FALSE)</f>
        <v>70</v>
      </c>
      <c r="C1053">
        <f t="shared" si="16"/>
        <v>77.5</v>
      </c>
      <c r="D1053" t="s">
        <v>51</v>
      </c>
      <c r="E1053">
        <v>4</v>
      </c>
      <c r="F1053">
        <v>6</v>
      </c>
      <c r="G1053">
        <v>0.24709999999999999</v>
      </c>
      <c r="H1053">
        <v>0.2266</v>
      </c>
      <c r="I1053">
        <v>12</v>
      </c>
    </row>
    <row r="1054" spans="1:9" x14ac:dyDescent="0.3">
      <c r="A1054">
        <f>LOOKUP(9E+307,--MID(D1054,1,{1,2,3,4,5}))</f>
        <v>7.5</v>
      </c>
      <c r="B1054">
        <f>VLOOKUP(MID(D1054,LOOKUP(2,1/ISNUMBER(-MID(D1054,1,{1,2,3,4,5})),{1,2,3,4,5})+1,9),'Hue codes'!$A$1:$B$10,2,FALSE)</f>
        <v>70</v>
      </c>
      <c r="C1054">
        <f t="shared" si="16"/>
        <v>77.5</v>
      </c>
      <c r="D1054" t="s">
        <v>51</v>
      </c>
      <c r="E1054">
        <v>4</v>
      </c>
      <c r="F1054">
        <v>8</v>
      </c>
      <c r="G1054">
        <v>0.23039999999999999</v>
      </c>
      <c r="H1054">
        <v>0.20230000000000001</v>
      </c>
      <c r="I1054">
        <v>12</v>
      </c>
    </row>
    <row r="1055" spans="1:9" x14ac:dyDescent="0.3">
      <c r="A1055">
        <f>LOOKUP(9E+307,--MID(D1055,1,{1,2,3,4,5}))</f>
        <v>7.5</v>
      </c>
      <c r="B1055">
        <f>VLOOKUP(MID(D1055,LOOKUP(2,1/ISNUMBER(-MID(D1055,1,{1,2,3,4,5})),{1,2,3,4,5})+1,9),'Hue codes'!$A$1:$B$10,2,FALSE)</f>
        <v>70</v>
      </c>
      <c r="C1055">
        <f t="shared" si="16"/>
        <v>77.5</v>
      </c>
      <c r="D1055" t="s">
        <v>51</v>
      </c>
      <c r="E1055">
        <v>4</v>
      </c>
      <c r="F1055">
        <v>10</v>
      </c>
      <c r="G1055">
        <v>0.21579999999999999</v>
      </c>
      <c r="H1055">
        <v>0.18110000000000001</v>
      </c>
      <c r="I1055">
        <v>12</v>
      </c>
    </row>
    <row r="1056" spans="1:9" x14ac:dyDescent="0.3">
      <c r="A1056">
        <f>LOOKUP(9E+307,--MID(D1056,1,{1,2,3,4,5}))</f>
        <v>7.5</v>
      </c>
      <c r="B1056">
        <f>VLOOKUP(MID(D1056,LOOKUP(2,1/ISNUMBER(-MID(D1056,1,{1,2,3,4,5})),{1,2,3,4,5})+1,9),'Hue codes'!$A$1:$B$10,2,FALSE)</f>
        <v>70</v>
      </c>
      <c r="C1056">
        <f t="shared" si="16"/>
        <v>77.5</v>
      </c>
      <c r="D1056" t="s">
        <v>51</v>
      </c>
      <c r="E1056">
        <v>4</v>
      </c>
      <c r="F1056">
        <v>12</v>
      </c>
      <c r="G1056">
        <v>0.20369999999999999</v>
      </c>
      <c r="H1056">
        <v>0.16289999999999999</v>
      </c>
      <c r="I1056">
        <v>12</v>
      </c>
    </row>
    <row r="1057" spans="1:9" x14ac:dyDescent="0.3">
      <c r="A1057">
        <f>LOOKUP(9E+307,--MID(D1057,1,{1,2,3,4,5}))</f>
        <v>7.5</v>
      </c>
      <c r="B1057">
        <f>VLOOKUP(MID(D1057,LOOKUP(2,1/ISNUMBER(-MID(D1057,1,{1,2,3,4,5})),{1,2,3,4,5})+1,9),'Hue codes'!$A$1:$B$10,2,FALSE)</f>
        <v>70</v>
      </c>
      <c r="C1057">
        <f t="shared" si="16"/>
        <v>77.5</v>
      </c>
      <c r="D1057" t="s">
        <v>51</v>
      </c>
      <c r="E1057">
        <v>4</v>
      </c>
      <c r="F1057">
        <v>14</v>
      </c>
      <c r="G1057">
        <v>0.19409999999999999</v>
      </c>
      <c r="H1057">
        <v>0.14680000000000001</v>
      </c>
      <c r="I1057">
        <v>12</v>
      </c>
    </row>
    <row r="1058" spans="1:9" x14ac:dyDescent="0.3">
      <c r="A1058">
        <f>LOOKUP(9E+307,--MID(D1058,1,{1,2,3,4,5}))</f>
        <v>7.5</v>
      </c>
      <c r="B1058">
        <f>VLOOKUP(MID(D1058,LOOKUP(2,1/ISNUMBER(-MID(D1058,1,{1,2,3,4,5})),{1,2,3,4,5})+1,9),'Hue codes'!$A$1:$B$10,2,FALSE)</f>
        <v>70</v>
      </c>
      <c r="C1058">
        <f t="shared" si="16"/>
        <v>77.5</v>
      </c>
      <c r="D1058" t="s">
        <v>51</v>
      </c>
      <c r="E1058">
        <v>4</v>
      </c>
      <c r="F1058">
        <v>16</v>
      </c>
      <c r="G1058">
        <v>0.18609999999999999</v>
      </c>
      <c r="H1058">
        <v>0.13159999999999999</v>
      </c>
      <c r="I1058">
        <v>12</v>
      </c>
    </row>
    <row r="1059" spans="1:9" x14ac:dyDescent="0.3">
      <c r="A1059">
        <f>LOOKUP(9E+307,--MID(D1059,1,{1,2,3,4,5}))</f>
        <v>7.5</v>
      </c>
      <c r="B1059">
        <f>VLOOKUP(MID(D1059,LOOKUP(2,1/ISNUMBER(-MID(D1059,1,{1,2,3,4,5})),{1,2,3,4,5})+1,9),'Hue codes'!$A$1:$B$10,2,FALSE)</f>
        <v>70</v>
      </c>
      <c r="C1059">
        <f t="shared" si="16"/>
        <v>77.5</v>
      </c>
      <c r="D1059" t="s">
        <v>51</v>
      </c>
      <c r="E1059">
        <v>4</v>
      </c>
      <c r="F1059">
        <v>18</v>
      </c>
      <c r="G1059">
        <v>0.17979999999999999</v>
      </c>
      <c r="H1059">
        <v>0.11849999999999999</v>
      </c>
      <c r="I1059">
        <v>12</v>
      </c>
    </row>
    <row r="1060" spans="1:9" x14ac:dyDescent="0.3">
      <c r="A1060">
        <f>LOOKUP(9E+307,--MID(D1060,1,{1,2,3,4,5}))</f>
        <v>7.5</v>
      </c>
      <c r="B1060">
        <f>VLOOKUP(MID(D1060,LOOKUP(2,1/ISNUMBER(-MID(D1060,1,{1,2,3,4,5})),{1,2,3,4,5})+1,9),'Hue codes'!$A$1:$B$10,2,FALSE)</f>
        <v>70</v>
      </c>
      <c r="C1060">
        <f t="shared" si="16"/>
        <v>77.5</v>
      </c>
      <c r="D1060" t="s">
        <v>51</v>
      </c>
      <c r="E1060">
        <v>4</v>
      </c>
      <c r="F1060">
        <v>20</v>
      </c>
      <c r="G1060">
        <v>0.17419999999999999</v>
      </c>
      <c r="H1060">
        <v>0.10580000000000001</v>
      </c>
      <c r="I1060">
        <v>12</v>
      </c>
    </row>
    <row r="1061" spans="1:9" x14ac:dyDescent="0.3">
      <c r="A1061">
        <f>LOOKUP(9E+307,--MID(D1061,1,{1,2,3,4,5}))</f>
        <v>7.5</v>
      </c>
      <c r="B1061">
        <f>VLOOKUP(MID(D1061,LOOKUP(2,1/ISNUMBER(-MID(D1061,1,{1,2,3,4,5})),{1,2,3,4,5})+1,9),'Hue codes'!$A$1:$B$10,2,FALSE)</f>
        <v>70</v>
      </c>
      <c r="C1061">
        <f t="shared" si="16"/>
        <v>77.5</v>
      </c>
      <c r="D1061" t="s">
        <v>51</v>
      </c>
      <c r="E1061">
        <v>4</v>
      </c>
      <c r="F1061">
        <v>22</v>
      </c>
      <c r="G1061">
        <v>0.17130000000000001</v>
      </c>
      <c r="H1061">
        <v>9.8000000000000004E-2</v>
      </c>
      <c r="I1061">
        <v>12</v>
      </c>
    </row>
    <row r="1062" spans="1:9" x14ac:dyDescent="0.3">
      <c r="A1062">
        <f>LOOKUP(9E+307,--MID(D1062,1,{1,2,3,4,5}))</f>
        <v>7.5</v>
      </c>
      <c r="B1062">
        <f>VLOOKUP(MID(D1062,LOOKUP(2,1/ISNUMBER(-MID(D1062,1,{1,2,3,4,5})),{1,2,3,4,5})+1,9),'Hue codes'!$A$1:$B$10,2,FALSE)</f>
        <v>70</v>
      </c>
      <c r="C1062">
        <f t="shared" si="16"/>
        <v>77.5</v>
      </c>
      <c r="D1062" t="s">
        <v>51</v>
      </c>
      <c r="E1062">
        <v>4</v>
      </c>
      <c r="F1062">
        <v>24</v>
      </c>
      <c r="G1062">
        <v>0.16839999999999999</v>
      </c>
      <c r="H1062">
        <v>8.9899999999999994E-2</v>
      </c>
      <c r="I1062">
        <v>12</v>
      </c>
    </row>
    <row r="1063" spans="1:9" x14ac:dyDescent="0.3">
      <c r="A1063">
        <f>LOOKUP(9E+307,--MID(D1063,1,{1,2,3,4,5}))</f>
        <v>7.5</v>
      </c>
      <c r="B1063">
        <f>VLOOKUP(MID(D1063,LOOKUP(2,1/ISNUMBER(-MID(D1063,1,{1,2,3,4,5})),{1,2,3,4,5})+1,9),'Hue codes'!$A$1:$B$10,2,FALSE)</f>
        <v>70</v>
      </c>
      <c r="C1063">
        <f t="shared" si="16"/>
        <v>77.5</v>
      </c>
      <c r="D1063" t="s">
        <v>51</v>
      </c>
      <c r="E1063">
        <v>4</v>
      </c>
      <c r="F1063">
        <v>26</v>
      </c>
      <c r="G1063">
        <v>0.16589999999999999</v>
      </c>
      <c r="H1063">
        <v>8.2500000000000004E-2</v>
      </c>
      <c r="I1063">
        <v>12</v>
      </c>
    </row>
    <row r="1064" spans="1:9" x14ac:dyDescent="0.3">
      <c r="A1064">
        <f>LOOKUP(9E+307,--MID(D1064,1,{1,2,3,4,5}))</f>
        <v>10</v>
      </c>
      <c r="B1064">
        <f>VLOOKUP(MID(D1064,LOOKUP(2,1/ISNUMBER(-MID(D1064,1,{1,2,3,4,5})),{1,2,3,4,5})+1,9),'Hue codes'!$A$1:$B$10,2,FALSE)</f>
        <v>70</v>
      </c>
      <c r="C1064">
        <f t="shared" si="16"/>
        <v>80</v>
      </c>
      <c r="D1064" t="s">
        <v>52</v>
      </c>
      <c r="E1064">
        <v>4</v>
      </c>
      <c r="F1064">
        <v>2</v>
      </c>
      <c r="G1064">
        <v>0.29110000000000003</v>
      </c>
      <c r="H1064">
        <v>0.28039999999999998</v>
      </c>
      <c r="I1064">
        <v>12</v>
      </c>
    </row>
    <row r="1065" spans="1:9" x14ac:dyDescent="0.3">
      <c r="A1065">
        <f>LOOKUP(9E+307,--MID(D1065,1,{1,2,3,4,5}))</f>
        <v>10</v>
      </c>
      <c r="B1065">
        <f>VLOOKUP(MID(D1065,LOOKUP(2,1/ISNUMBER(-MID(D1065,1,{1,2,3,4,5})),{1,2,3,4,5})+1,9),'Hue codes'!$A$1:$B$10,2,FALSE)</f>
        <v>70</v>
      </c>
      <c r="C1065">
        <f t="shared" si="16"/>
        <v>80</v>
      </c>
      <c r="D1065" t="s">
        <v>52</v>
      </c>
      <c r="E1065">
        <v>4</v>
      </c>
      <c r="F1065">
        <v>4</v>
      </c>
      <c r="G1065">
        <v>0.27589999999999998</v>
      </c>
      <c r="H1065">
        <v>0.25219999999999998</v>
      </c>
      <c r="I1065">
        <v>12</v>
      </c>
    </row>
    <row r="1066" spans="1:9" x14ac:dyDescent="0.3">
      <c r="A1066">
        <f>LOOKUP(9E+307,--MID(D1066,1,{1,2,3,4,5}))</f>
        <v>10</v>
      </c>
      <c r="B1066">
        <f>VLOOKUP(MID(D1066,LOOKUP(2,1/ISNUMBER(-MID(D1066,1,{1,2,3,4,5})),{1,2,3,4,5})+1,9),'Hue codes'!$A$1:$B$10,2,FALSE)</f>
        <v>70</v>
      </c>
      <c r="C1066">
        <f t="shared" si="16"/>
        <v>80</v>
      </c>
      <c r="D1066" t="s">
        <v>52</v>
      </c>
      <c r="E1066">
        <v>4</v>
      </c>
      <c r="F1066">
        <v>6</v>
      </c>
      <c r="G1066">
        <v>0.26179999999999998</v>
      </c>
      <c r="H1066">
        <v>0.2263</v>
      </c>
      <c r="I1066">
        <v>12</v>
      </c>
    </row>
    <row r="1067" spans="1:9" x14ac:dyDescent="0.3">
      <c r="A1067">
        <f>LOOKUP(9E+307,--MID(D1067,1,{1,2,3,4,5}))</f>
        <v>10</v>
      </c>
      <c r="B1067">
        <f>VLOOKUP(MID(D1067,LOOKUP(2,1/ISNUMBER(-MID(D1067,1,{1,2,3,4,5})),{1,2,3,4,5})+1,9),'Hue codes'!$A$1:$B$10,2,FALSE)</f>
        <v>70</v>
      </c>
      <c r="C1067">
        <f t="shared" si="16"/>
        <v>80</v>
      </c>
      <c r="D1067" t="s">
        <v>52</v>
      </c>
      <c r="E1067">
        <v>4</v>
      </c>
      <c r="F1067">
        <v>8</v>
      </c>
      <c r="G1067">
        <v>0.24970000000000001</v>
      </c>
      <c r="H1067">
        <v>0.20380000000000001</v>
      </c>
      <c r="I1067">
        <v>12</v>
      </c>
    </row>
    <row r="1068" spans="1:9" x14ac:dyDescent="0.3">
      <c r="A1068">
        <f>LOOKUP(9E+307,--MID(D1068,1,{1,2,3,4,5}))</f>
        <v>10</v>
      </c>
      <c r="B1068">
        <f>VLOOKUP(MID(D1068,LOOKUP(2,1/ISNUMBER(-MID(D1068,1,{1,2,3,4,5})),{1,2,3,4,5})+1,9),'Hue codes'!$A$1:$B$10,2,FALSE)</f>
        <v>70</v>
      </c>
      <c r="C1068">
        <f t="shared" si="16"/>
        <v>80</v>
      </c>
      <c r="D1068" t="s">
        <v>52</v>
      </c>
      <c r="E1068">
        <v>4</v>
      </c>
      <c r="F1068">
        <v>10</v>
      </c>
      <c r="G1068">
        <v>0.23880000000000001</v>
      </c>
      <c r="H1068">
        <v>0.1837</v>
      </c>
      <c r="I1068">
        <v>12</v>
      </c>
    </row>
    <row r="1069" spans="1:9" x14ac:dyDescent="0.3">
      <c r="A1069">
        <f>LOOKUP(9E+307,--MID(D1069,1,{1,2,3,4,5}))</f>
        <v>10</v>
      </c>
      <c r="B1069">
        <f>VLOOKUP(MID(D1069,LOOKUP(2,1/ISNUMBER(-MID(D1069,1,{1,2,3,4,5})),{1,2,3,4,5})+1,9),'Hue codes'!$A$1:$B$10,2,FALSE)</f>
        <v>70</v>
      </c>
      <c r="C1069">
        <f t="shared" si="16"/>
        <v>80</v>
      </c>
      <c r="D1069" t="s">
        <v>52</v>
      </c>
      <c r="E1069">
        <v>4</v>
      </c>
      <c r="F1069">
        <v>12</v>
      </c>
      <c r="G1069">
        <v>0.2298</v>
      </c>
      <c r="H1069">
        <v>0.16589999999999999</v>
      </c>
      <c r="I1069">
        <v>12</v>
      </c>
    </row>
    <row r="1070" spans="1:9" x14ac:dyDescent="0.3">
      <c r="A1070">
        <f>LOOKUP(9E+307,--MID(D1070,1,{1,2,3,4,5}))</f>
        <v>10</v>
      </c>
      <c r="B1070">
        <f>VLOOKUP(MID(D1070,LOOKUP(2,1/ISNUMBER(-MID(D1070,1,{1,2,3,4,5})),{1,2,3,4,5})+1,9),'Hue codes'!$A$1:$B$10,2,FALSE)</f>
        <v>70</v>
      </c>
      <c r="C1070">
        <f t="shared" si="16"/>
        <v>80</v>
      </c>
      <c r="D1070" t="s">
        <v>52</v>
      </c>
      <c r="E1070">
        <v>4</v>
      </c>
      <c r="F1070">
        <v>14</v>
      </c>
      <c r="G1070">
        <v>0.222</v>
      </c>
      <c r="H1070">
        <v>0.15029999999999999</v>
      </c>
      <c r="I1070">
        <v>12</v>
      </c>
    </row>
    <row r="1071" spans="1:9" x14ac:dyDescent="0.3">
      <c r="A1071">
        <f>LOOKUP(9E+307,--MID(D1071,1,{1,2,3,4,5}))</f>
        <v>10</v>
      </c>
      <c r="B1071">
        <f>VLOOKUP(MID(D1071,LOOKUP(2,1/ISNUMBER(-MID(D1071,1,{1,2,3,4,5})),{1,2,3,4,5})+1,9),'Hue codes'!$A$1:$B$10,2,FALSE)</f>
        <v>70</v>
      </c>
      <c r="C1071">
        <f t="shared" si="16"/>
        <v>80</v>
      </c>
      <c r="D1071" t="s">
        <v>52</v>
      </c>
      <c r="E1071">
        <v>4</v>
      </c>
      <c r="F1071">
        <v>16</v>
      </c>
      <c r="G1071">
        <v>0.217</v>
      </c>
      <c r="H1071">
        <v>0.13730000000000001</v>
      </c>
      <c r="I1071">
        <v>12</v>
      </c>
    </row>
    <row r="1072" spans="1:9" x14ac:dyDescent="0.3">
      <c r="A1072">
        <f>LOOKUP(9E+307,--MID(D1072,1,{1,2,3,4,5}))</f>
        <v>10</v>
      </c>
      <c r="B1072">
        <f>VLOOKUP(MID(D1072,LOOKUP(2,1/ISNUMBER(-MID(D1072,1,{1,2,3,4,5})),{1,2,3,4,5})+1,9),'Hue codes'!$A$1:$B$10,2,FALSE)</f>
        <v>70</v>
      </c>
      <c r="C1072">
        <f t="shared" si="16"/>
        <v>80</v>
      </c>
      <c r="D1072" t="s">
        <v>52</v>
      </c>
      <c r="E1072">
        <v>4</v>
      </c>
      <c r="F1072">
        <v>18</v>
      </c>
      <c r="G1072">
        <v>0.21199999999999999</v>
      </c>
      <c r="H1072">
        <v>0.12559999999999999</v>
      </c>
      <c r="I1072">
        <v>12</v>
      </c>
    </row>
    <row r="1073" spans="1:9" x14ac:dyDescent="0.3">
      <c r="A1073">
        <f>LOOKUP(9E+307,--MID(D1073,1,{1,2,3,4,5}))</f>
        <v>10</v>
      </c>
      <c r="B1073">
        <f>VLOOKUP(MID(D1073,LOOKUP(2,1/ISNUMBER(-MID(D1073,1,{1,2,3,4,5})),{1,2,3,4,5})+1,9),'Hue codes'!$A$1:$B$10,2,FALSE)</f>
        <v>70</v>
      </c>
      <c r="C1073">
        <f t="shared" si="16"/>
        <v>80</v>
      </c>
      <c r="D1073" t="s">
        <v>52</v>
      </c>
      <c r="E1073">
        <v>4</v>
      </c>
      <c r="F1073">
        <v>20</v>
      </c>
      <c r="G1073">
        <v>0.20749999999999999</v>
      </c>
      <c r="H1073">
        <v>0.114</v>
      </c>
      <c r="I1073">
        <v>12</v>
      </c>
    </row>
    <row r="1074" spans="1:9" x14ac:dyDescent="0.3">
      <c r="A1074">
        <f>LOOKUP(9E+307,--MID(D1074,1,{1,2,3,4,5}))</f>
        <v>10</v>
      </c>
      <c r="B1074">
        <f>VLOOKUP(MID(D1074,LOOKUP(2,1/ISNUMBER(-MID(D1074,1,{1,2,3,4,5})),{1,2,3,4,5})+1,9),'Hue codes'!$A$1:$B$10,2,FALSE)</f>
        <v>70</v>
      </c>
      <c r="C1074">
        <f t="shared" si="16"/>
        <v>80</v>
      </c>
      <c r="D1074" t="s">
        <v>52</v>
      </c>
      <c r="E1074">
        <v>4</v>
      </c>
      <c r="F1074">
        <v>22</v>
      </c>
      <c r="G1074">
        <v>0.20480000000000001</v>
      </c>
      <c r="H1074">
        <v>0.10639999999999999</v>
      </c>
      <c r="I1074">
        <v>12</v>
      </c>
    </row>
    <row r="1075" spans="1:9" x14ac:dyDescent="0.3">
      <c r="A1075">
        <f>LOOKUP(9E+307,--MID(D1075,1,{1,2,3,4,5}))</f>
        <v>10</v>
      </c>
      <c r="B1075">
        <f>VLOOKUP(MID(D1075,LOOKUP(2,1/ISNUMBER(-MID(D1075,1,{1,2,3,4,5})),{1,2,3,4,5})+1,9),'Hue codes'!$A$1:$B$10,2,FALSE)</f>
        <v>70</v>
      </c>
      <c r="C1075">
        <f t="shared" si="16"/>
        <v>80</v>
      </c>
      <c r="D1075" t="s">
        <v>52</v>
      </c>
      <c r="E1075">
        <v>4</v>
      </c>
      <c r="F1075">
        <v>24</v>
      </c>
      <c r="G1075">
        <v>0.20200000000000001</v>
      </c>
      <c r="H1075">
        <v>9.8500000000000004E-2</v>
      </c>
      <c r="I1075">
        <v>12</v>
      </c>
    </row>
    <row r="1076" spans="1:9" x14ac:dyDescent="0.3">
      <c r="A1076">
        <f>LOOKUP(9E+307,--MID(D1076,1,{1,2,3,4,5}))</f>
        <v>10</v>
      </c>
      <c r="B1076">
        <f>VLOOKUP(MID(D1076,LOOKUP(2,1/ISNUMBER(-MID(D1076,1,{1,2,3,4,5})),{1,2,3,4,5})+1,9),'Hue codes'!$A$1:$B$10,2,FALSE)</f>
        <v>70</v>
      </c>
      <c r="C1076">
        <f t="shared" si="16"/>
        <v>80</v>
      </c>
      <c r="D1076" t="s">
        <v>52</v>
      </c>
      <c r="E1076">
        <v>4</v>
      </c>
      <c r="F1076">
        <v>26</v>
      </c>
      <c r="G1076">
        <v>0.19939999999999999</v>
      </c>
      <c r="H1076">
        <v>9.0399999999999994E-2</v>
      </c>
      <c r="I1076">
        <v>12</v>
      </c>
    </row>
    <row r="1077" spans="1:9" x14ac:dyDescent="0.3">
      <c r="A1077">
        <f>LOOKUP(9E+307,--MID(D1077,1,{1,2,3,4,5}))</f>
        <v>10</v>
      </c>
      <c r="B1077">
        <f>VLOOKUP(MID(D1077,LOOKUP(2,1/ISNUMBER(-MID(D1077,1,{1,2,3,4,5})),{1,2,3,4,5})+1,9),'Hue codes'!$A$1:$B$10,2,FALSE)</f>
        <v>70</v>
      </c>
      <c r="C1077">
        <f t="shared" si="16"/>
        <v>80</v>
      </c>
      <c r="D1077" t="s">
        <v>52</v>
      </c>
      <c r="E1077">
        <v>4</v>
      </c>
      <c r="F1077">
        <v>28</v>
      </c>
      <c r="G1077">
        <v>0.1971</v>
      </c>
      <c r="H1077">
        <v>8.4000000000000005E-2</v>
      </c>
      <c r="I1077">
        <v>12</v>
      </c>
    </row>
    <row r="1078" spans="1:9" x14ac:dyDescent="0.3">
      <c r="A1078">
        <f>LOOKUP(9E+307,--MID(D1078,1,{1,2,3,4,5}))</f>
        <v>10</v>
      </c>
      <c r="B1078">
        <f>VLOOKUP(MID(D1078,LOOKUP(2,1/ISNUMBER(-MID(D1078,1,{1,2,3,4,5})),{1,2,3,4,5})+1,9),'Hue codes'!$A$1:$B$10,2,FALSE)</f>
        <v>70</v>
      </c>
      <c r="C1078">
        <f t="shared" si="16"/>
        <v>80</v>
      </c>
      <c r="D1078" t="s">
        <v>52</v>
      </c>
      <c r="E1078">
        <v>4</v>
      </c>
      <c r="F1078">
        <v>30</v>
      </c>
      <c r="G1078">
        <v>0.19520000000000001</v>
      </c>
      <c r="H1078">
        <v>7.7799999999999994E-2</v>
      </c>
      <c r="I1078">
        <v>12</v>
      </c>
    </row>
    <row r="1079" spans="1:9" x14ac:dyDescent="0.3">
      <c r="A1079">
        <f>LOOKUP(9E+307,--MID(D1079,1,{1,2,3,4,5}))</f>
        <v>2.5</v>
      </c>
      <c r="B1079">
        <f>VLOOKUP(MID(D1079,LOOKUP(2,1/ISNUMBER(-MID(D1079,1,{1,2,3,4,5})),{1,2,3,4,5})+1,9),'Hue codes'!$A$1:$B$10,2,FALSE)</f>
        <v>80</v>
      </c>
      <c r="C1079">
        <f t="shared" si="16"/>
        <v>82.5</v>
      </c>
      <c r="D1079" t="s">
        <v>53</v>
      </c>
      <c r="E1079">
        <v>4</v>
      </c>
      <c r="F1079">
        <v>2</v>
      </c>
      <c r="G1079">
        <v>0.29620000000000002</v>
      </c>
      <c r="H1079">
        <v>0.28070000000000001</v>
      </c>
      <c r="I1079">
        <v>12</v>
      </c>
    </row>
    <row r="1080" spans="1:9" x14ac:dyDescent="0.3">
      <c r="A1080">
        <f>LOOKUP(9E+307,--MID(D1080,1,{1,2,3,4,5}))</f>
        <v>2.5</v>
      </c>
      <c r="B1080">
        <f>VLOOKUP(MID(D1080,LOOKUP(2,1/ISNUMBER(-MID(D1080,1,{1,2,3,4,5})),{1,2,3,4,5})+1,9),'Hue codes'!$A$1:$B$10,2,FALSE)</f>
        <v>80</v>
      </c>
      <c r="C1080">
        <f t="shared" si="16"/>
        <v>82.5</v>
      </c>
      <c r="D1080" t="s">
        <v>53</v>
      </c>
      <c r="E1080">
        <v>4</v>
      </c>
      <c r="F1080">
        <v>4</v>
      </c>
      <c r="G1080">
        <v>0.28549999999999998</v>
      </c>
      <c r="H1080">
        <v>0.25309999999999999</v>
      </c>
      <c r="I1080">
        <v>12</v>
      </c>
    </row>
    <row r="1081" spans="1:9" x14ac:dyDescent="0.3">
      <c r="A1081">
        <f>LOOKUP(9E+307,--MID(D1081,1,{1,2,3,4,5}))</f>
        <v>2.5</v>
      </c>
      <c r="B1081">
        <f>VLOOKUP(MID(D1081,LOOKUP(2,1/ISNUMBER(-MID(D1081,1,{1,2,3,4,5})),{1,2,3,4,5})+1,9),'Hue codes'!$A$1:$B$10,2,FALSE)</f>
        <v>80</v>
      </c>
      <c r="C1081">
        <f t="shared" si="16"/>
        <v>82.5</v>
      </c>
      <c r="D1081" t="s">
        <v>53</v>
      </c>
      <c r="E1081">
        <v>4</v>
      </c>
      <c r="F1081">
        <v>6</v>
      </c>
      <c r="G1081">
        <v>0.27629999999999999</v>
      </c>
      <c r="H1081">
        <v>0.23</v>
      </c>
      <c r="I1081">
        <v>12</v>
      </c>
    </row>
    <row r="1082" spans="1:9" x14ac:dyDescent="0.3">
      <c r="A1082">
        <f>LOOKUP(9E+307,--MID(D1082,1,{1,2,3,4,5}))</f>
        <v>2.5</v>
      </c>
      <c r="B1082">
        <f>VLOOKUP(MID(D1082,LOOKUP(2,1/ISNUMBER(-MID(D1082,1,{1,2,3,4,5})),{1,2,3,4,5})+1,9),'Hue codes'!$A$1:$B$10,2,FALSE)</f>
        <v>80</v>
      </c>
      <c r="C1082">
        <f t="shared" si="16"/>
        <v>82.5</v>
      </c>
      <c r="D1082" t="s">
        <v>53</v>
      </c>
      <c r="E1082">
        <v>4</v>
      </c>
      <c r="F1082">
        <v>8</v>
      </c>
      <c r="G1082">
        <v>0.26850000000000002</v>
      </c>
      <c r="H1082">
        <v>0.2089</v>
      </c>
      <c r="I1082">
        <v>12</v>
      </c>
    </row>
    <row r="1083" spans="1:9" x14ac:dyDescent="0.3">
      <c r="A1083">
        <f>LOOKUP(9E+307,--MID(D1083,1,{1,2,3,4,5}))</f>
        <v>2.5</v>
      </c>
      <c r="B1083">
        <f>VLOOKUP(MID(D1083,LOOKUP(2,1/ISNUMBER(-MID(D1083,1,{1,2,3,4,5})),{1,2,3,4,5})+1,9),'Hue codes'!$A$1:$B$10,2,FALSE)</f>
        <v>80</v>
      </c>
      <c r="C1083">
        <f t="shared" si="16"/>
        <v>82.5</v>
      </c>
      <c r="D1083" t="s">
        <v>53</v>
      </c>
      <c r="E1083">
        <v>4</v>
      </c>
      <c r="F1083">
        <v>10</v>
      </c>
      <c r="G1083">
        <v>0.26190000000000002</v>
      </c>
      <c r="H1083">
        <v>0.1903</v>
      </c>
      <c r="I1083">
        <v>12</v>
      </c>
    </row>
    <row r="1084" spans="1:9" x14ac:dyDescent="0.3">
      <c r="A1084">
        <f>LOOKUP(9E+307,--MID(D1084,1,{1,2,3,4,5}))</f>
        <v>2.5</v>
      </c>
      <c r="B1084">
        <f>VLOOKUP(MID(D1084,LOOKUP(2,1/ISNUMBER(-MID(D1084,1,{1,2,3,4,5})),{1,2,3,4,5})+1,9),'Hue codes'!$A$1:$B$10,2,FALSE)</f>
        <v>80</v>
      </c>
      <c r="C1084">
        <f t="shared" si="16"/>
        <v>82.5</v>
      </c>
      <c r="D1084" t="s">
        <v>53</v>
      </c>
      <c r="E1084">
        <v>4</v>
      </c>
      <c r="F1084">
        <v>12</v>
      </c>
      <c r="G1084">
        <v>0.25590000000000002</v>
      </c>
      <c r="H1084">
        <v>0.17299999999999999</v>
      </c>
      <c r="I1084">
        <v>12</v>
      </c>
    </row>
    <row r="1085" spans="1:9" x14ac:dyDescent="0.3">
      <c r="A1085">
        <f>LOOKUP(9E+307,--MID(D1085,1,{1,2,3,4,5}))</f>
        <v>2.5</v>
      </c>
      <c r="B1085">
        <f>VLOOKUP(MID(D1085,LOOKUP(2,1/ISNUMBER(-MID(D1085,1,{1,2,3,4,5})),{1,2,3,4,5})+1,9),'Hue codes'!$A$1:$B$10,2,FALSE)</f>
        <v>80</v>
      </c>
      <c r="C1085">
        <f t="shared" si="16"/>
        <v>82.5</v>
      </c>
      <c r="D1085" t="s">
        <v>53</v>
      </c>
      <c r="E1085">
        <v>4</v>
      </c>
      <c r="F1085">
        <v>14</v>
      </c>
      <c r="G1085">
        <v>0.25090000000000001</v>
      </c>
      <c r="H1085">
        <v>0.1585</v>
      </c>
      <c r="I1085">
        <v>12</v>
      </c>
    </row>
    <row r="1086" spans="1:9" x14ac:dyDescent="0.3">
      <c r="A1086">
        <f>LOOKUP(9E+307,--MID(D1086,1,{1,2,3,4,5}))</f>
        <v>2.5</v>
      </c>
      <c r="B1086">
        <f>VLOOKUP(MID(D1086,LOOKUP(2,1/ISNUMBER(-MID(D1086,1,{1,2,3,4,5})),{1,2,3,4,5})+1,9),'Hue codes'!$A$1:$B$10,2,FALSE)</f>
        <v>80</v>
      </c>
      <c r="C1086">
        <f t="shared" si="16"/>
        <v>82.5</v>
      </c>
      <c r="D1086" t="s">
        <v>53</v>
      </c>
      <c r="E1086">
        <v>4</v>
      </c>
      <c r="F1086">
        <v>16</v>
      </c>
      <c r="G1086">
        <v>0.2467</v>
      </c>
      <c r="H1086">
        <v>0.1452</v>
      </c>
      <c r="I1086">
        <v>12</v>
      </c>
    </row>
    <row r="1087" spans="1:9" x14ac:dyDescent="0.3">
      <c r="A1087">
        <f>LOOKUP(9E+307,--MID(D1087,1,{1,2,3,4,5}))</f>
        <v>2.5</v>
      </c>
      <c r="B1087">
        <f>VLOOKUP(MID(D1087,LOOKUP(2,1/ISNUMBER(-MID(D1087,1,{1,2,3,4,5})),{1,2,3,4,5})+1,9),'Hue codes'!$A$1:$B$10,2,FALSE)</f>
        <v>80</v>
      </c>
      <c r="C1087">
        <f t="shared" si="16"/>
        <v>82.5</v>
      </c>
      <c r="D1087" t="s">
        <v>53</v>
      </c>
      <c r="E1087">
        <v>4</v>
      </c>
      <c r="F1087">
        <v>18</v>
      </c>
      <c r="G1087">
        <v>0.24299999999999999</v>
      </c>
      <c r="H1087">
        <v>0.13320000000000001</v>
      </c>
      <c r="I1087">
        <v>12</v>
      </c>
    </row>
    <row r="1088" spans="1:9" x14ac:dyDescent="0.3">
      <c r="A1088">
        <f>LOOKUP(9E+307,--MID(D1088,1,{1,2,3,4,5}))</f>
        <v>2.5</v>
      </c>
      <c r="B1088">
        <f>VLOOKUP(MID(D1088,LOOKUP(2,1/ISNUMBER(-MID(D1088,1,{1,2,3,4,5})),{1,2,3,4,5})+1,9),'Hue codes'!$A$1:$B$10,2,FALSE)</f>
        <v>80</v>
      </c>
      <c r="C1088">
        <f t="shared" si="16"/>
        <v>82.5</v>
      </c>
      <c r="D1088" t="s">
        <v>53</v>
      </c>
      <c r="E1088">
        <v>4</v>
      </c>
      <c r="F1088">
        <v>20</v>
      </c>
      <c r="G1088">
        <v>0.2394</v>
      </c>
      <c r="H1088">
        <v>0.1221</v>
      </c>
      <c r="I1088">
        <v>12</v>
      </c>
    </row>
    <row r="1089" spans="1:9" x14ac:dyDescent="0.3">
      <c r="A1089">
        <f>LOOKUP(9E+307,--MID(D1089,1,{1,2,3,4,5}))</f>
        <v>2.5</v>
      </c>
      <c r="B1089">
        <f>VLOOKUP(MID(D1089,LOOKUP(2,1/ISNUMBER(-MID(D1089,1,{1,2,3,4,5})),{1,2,3,4,5})+1,9),'Hue codes'!$A$1:$B$10,2,FALSE)</f>
        <v>80</v>
      </c>
      <c r="C1089">
        <f t="shared" si="16"/>
        <v>82.5</v>
      </c>
      <c r="D1089" t="s">
        <v>53</v>
      </c>
      <c r="E1089">
        <v>4</v>
      </c>
      <c r="F1089">
        <v>22</v>
      </c>
      <c r="G1089">
        <v>0.23710000000000001</v>
      </c>
      <c r="H1089">
        <v>0.1143</v>
      </c>
      <c r="I1089">
        <v>12</v>
      </c>
    </row>
    <row r="1090" spans="1:9" x14ac:dyDescent="0.3">
      <c r="A1090">
        <f>LOOKUP(9E+307,--MID(D1090,1,{1,2,3,4,5}))</f>
        <v>2.5</v>
      </c>
      <c r="B1090">
        <f>VLOOKUP(MID(D1090,LOOKUP(2,1/ISNUMBER(-MID(D1090,1,{1,2,3,4,5})),{1,2,3,4,5})+1,9),'Hue codes'!$A$1:$B$10,2,FALSE)</f>
        <v>80</v>
      </c>
      <c r="C1090">
        <f t="shared" si="16"/>
        <v>82.5</v>
      </c>
      <c r="D1090" t="s">
        <v>53</v>
      </c>
      <c r="E1090">
        <v>4</v>
      </c>
      <c r="F1090">
        <v>24</v>
      </c>
      <c r="G1090">
        <v>0.23480000000000001</v>
      </c>
      <c r="H1090">
        <v>0.1062</v>
      </c>
      <c r="I1090">
        <v>12</v>
      </c>
    </row>
    <row r="1091" spans="1:9" x14ac:dyDescent="0.3">
      <c r="A1091">
        <f>LOOKUP(9E+307,--MID(D1091,1,{1,2,3,4,5}))</f>
        <v>2.5</v>
      </c>
      <c r="B1091">
        <f>VLOOKUP(MID(D1091,LOOKUP(2,1/ISNUMBER(-MID(D1091,1,{1,2,3,4,5})),{1,2,3,4,5})+1,9),'Hue codes'!$A$1:$B$10,2,FALSE)</f>
        <v>80</v>
      </c>
      <c r="C1091">
        <f t="shared" ref="C1091:C1154" si="17">IF(A1091+B1091=100,0,A1091+B1091)</f>
        <v>82.5</v>
      </c>
      <c r="D1091" t="s">
        <v>53</v>
      </c>
      <c r="E1091">
        <v>4</v>
      </c>
      <c r="F1091">
        <v>26</v>
      </c>
      <c r="G1091">
        <v>0.23219999999999999</v>
      </c>
      <c r="H1091">
        <v>9.7799999999999998E-2</v>
      </c>
      <c r="I1091">
        <v>12</v>
      </c>
    </row>
    <row r="1092" spans="1:9" x14ac:dyDescent="0.3">
      <c r="A1092">
        <f>LOOKUP(9E+307,--MID(D1092,1,{1,2,3,4,5}))</f>
        <v>2.5</v>
      </c>
      <c r="B1092">
        <f>VLOOKUP(MID(D1092,LOOKUP(2,1/ISNUMBER(-MID(D1092,1,{1,2,3,4,5})),{1,2,3,4,5})+1,9),'Hue codes'!$A$1:$B$10,2,FALSE)</f>
        <v>80</v>
      </c>
      <c r="C1092">
        <f t="shared" si="17"/>
        <v>82.5</v>
      </c>
      <c r="D1092" t="s">
        <v>53</v>
      </c>
      <c r="E1092">
        <v>4</v>
      </c>
      <c r="F1092">
        <v>28</v>
      </c>
      <c r="G1092">
        <v>0.23019999999999999</v>
      </c>
      <c r="H1092">
        <v>9.0899999999999995E-2</v>
      </c>
      <c r="I1092">
        <v>12</v>
      </c>
    </row>
    <row r="1093" spans="1:9" x14ac:dyDescent="0.3">
      <c r="A1093">
        <f>LOOKUP(9E+307,--MID(D1093,1,{1,2,3,4,5}))</f>
        <v>2.5</v>
      </c>
      <c r="B1093">
        <f>VLOOKUP(MID(D1093,LOOKUP(2,1/ISNUMBER(-MID(D1093,1,{1,2,3,4,5})),{1,2,3,4,5})+1,9),'Hue codes'!$A$1:$B$10,2,FALSE)</f>
        <v>80</v>
      </c>
      <c r="C1093">
        <f t="shared" si="17"/>
        <v>82.5</v>
      </c>
      <c r="D1093" t="s">
        <v>53</v>
      </c>
      <c r="E1093">
        <v>4</v>
      </c>
      <c r="F1093">
        <v>30</v>
      </c>
      <c r="G1093">
        <v>0.22850000000000001</v>
      </c>
      <c r="H1093">
        <v>8.4699999999999998E-2</v>
      </c>
      <c r="I1093">
        <v>12</v>
      </c>
    </row>
    <row r="1094" spans="1:9" x14ac:dyDescent="0.3">
      <c r="A1094">
        <f>LOOKUP(9E+307,--MID(D1094,1,{1,2,3,4,5}))</f>
        <v>2.5</v>
      </c>
      <c r="B1094">
        <f>VLOOKUP(MID(D1094,LOOKUP(2,1/ISNUMBER(-MID(D1094,1,{1,2,3,4,5})),{1,2,3,4,5})+1,9),'Hue codes'!$A$1:$B$10,2,FALSE)</f>
        <v>80</v>
      </c>
      <c r="C1094">
        <f t="shared" si="17"/>
        <v>82.5</v>
      </c>
      <c r="D1094" t="s">
        <v>53</v>
      </c>
      <c r="E1094">
        <v>4</v>
      </c>
      <c r="F1094">
        <v>32</v>
      </c>
      <c r="G1094">
        <v>0.22650000000000001</v>
      </c>
      <c r="H1094">
        <v>7.7399999999999997E-2</v>
      </c>
      <c r="I1094">
        <v>12</v>
      </c>
    </row>
    <row r="1095" spans="1:9" x14ac:dyDescent="0.3">
      <c r="A1095">
        <f>LOOKUP(9E+307,--MID(D1095,1,{1,2,3,4,5}))</f>
        <v>5</v>
      </c>
      <c r="B1095">
        <f>VLOOKUP(MID(D1095,LOOKUP(2,1/ISNUMBER(-MID(D1095,1,{1,2,3,4,5})),{1,2,3,4,5})+1,9),'Hue codes'!$A$1:$B$10,2,FALSE)</f>
        <v>80</v>
      </c>
      <c r="C1095">
        <f t="shared" si="17"/>
        <v>85</v>
      </c>
      <c r="D1095" t="s">
        <v>54</v>
      </c>
      <c r="E1095">
        <v>4</v>
      </c>
      <c r="F1095">
        <v>2</v>
      </c>
      <c r="G1095">
        <v>0.30220000000000002</v>
      </c>
      <c r="H1095">
        <v>0.28249999999999997</v>
      </c>
      <c r="I1095">
        <v>12</v>
      </c>
    </row>
    <row r="1096" spans="1:9" x14ac:dyDescent="0.3">
      <c r="A1096">
        <f>LOOKUP(9E+307,--MID(D1096,1,{1,2,3,4,5}))</f>
        <v>5</v>
      </c>
      <c r="B1096">
        <f>VLOOKUP(MID(D1096,LOOKUP(2,1/ISNUMBER(-MID(D1096,1,{1,2,3,4,5})),{1,2,3,4,5})+1,9),'Hue codes'!$A$1:$B$10,2,FALSE)</f>
        <v>80</v>
      </c>
      <c r="C1096">
        <f t="shared" si="17"/>
        <v>85</v>
      </c>
      <c r="D1096" t="s">
        <v>54</v>
      </c>
      <c r="E1096">
        <v>4</v>
      </c>
      <c r="F1096">
        <v>4</v>
      </c>
      <c r="G1096">
        <v>0.29580000000000001</v>
      </c>
      <c r="H1096">
        <v>0.25650000000000001</v>
      </c>
      <c r="I1096">
        <v>12</v>
      </c>
    </row>
    <row r="1097" spans="1:9" x14ac:dyDescent="0.3">
      <c r="A1097">
        <f>LOOKUP(9E+307,--MID(D1097,1,{1,2,3,4,5}))</f>
        <v>5</v>
      </c>
      <c r="B1097">
        <f>VLOOKUP(MID(D1097,LOOKUP(2,1/ISNUMBER(-MID(D1097,1,{1,2,3,4,5})),{1,2,3,4,5})+1,9),'Hue codes'!$A$1:$B$10,2,FALSE)</f>
        <v>80</v>
      </c>
      <c r="C1097">
        <f t="shared" si="17"/>
        <v>85</v>
      </c>
      <c r="D1097" t="s">
        <v>54</v>
      </c>
      <c r="E1097">
        <v>4</v>
      </c>
      <c r="F1097">
        <v>6</v>
      </c>
      <c r="G1097">
        <v>0.2903</v>
      </c>
      <c r="H1097">
        <v>0.23469999999999999</v>
      </c>
      <c r="I1097">
        <v>12</v>
      </c>
    </row>
    <row r="1098" spans="1:9" x14ac:dyDescent="0.3">
      <c r="A1098">
        <f>LOOKUP(9E+307,--MID(D1098,1,{1,2,3,4,5}))</f>
        <v>5</v>
      </c>
      <c r="B1098">
        <f>VLOOKUP(MID(D1098,LOOKUP(2,1/ISNUMBER(-MID(D1098,1,{1,2,3,4,5})),{1,2,3,4,5})+1,9),'Hue codes'!$A$1:$B$10,2,FALSE)</f>
        <v>80</v>
      </c>
      <c r="C1098">
        <f t="shared" si="17"/>
        <v>85</v>
      </c>
      <c r="D1098" t="s">
        <v>54</v>
      </c>
      <c r="E1098">
        <v>4</v>
      </c>
      <c r="F1098">
        <v>8</v>
      </c>
      <c r="G1098">
        <v>0.28549999999999998</v>
      </c>
      <c r="H1098">
        <v>0.215</v>
      </c>
      <c r="I1098">
        <v>12</v>
      </c>
    </row>
    <row r="1099" spans="1:9" x14ac:dyDescent="0.3">
      <c r="A1099">
        <f>LOOKUP(9E+307,--MID(D1099,1,{1,2,3,4,5}))</f>
        <v>5</v>
      </c>
      <c r="B1099">
        <f>VLOOKUP(MID(D1099,LOOKUP(2,1/ISNUMBER(-MID(D1099,1,{1,2,3,4,5})),{1,2,3,4,5})+1,9),'Hue codes'!$A$1:$B$10,2,FALSE)</f>
        <v>80</v>
      </c>
      <c r="C1099">
        <f t="shared" si="17"/>
        <v>85</v>
      </c>
      <c r="D1099" t="s">
        <v>54</v>
      </c>
      <c r="E1099">
        <v>4</v>
      </c>
      <c r="F1099">
        <v>10</v>
      </c>
      <c r="G1099">
        <v>0.28139999999999998</v>
      </c>
      <c r="H1099">
        <v>0.19670000000000001</v>
      </c>
      <c r="I1099">
        <v>12</v>
      </c>
    </row>
    <row r="1100" spans="1:9" x14ac:dyDescent="0.3">
      <c r="A1100">
        <f>LOOKUP(9E+307,--MID(D1100,1,{1,2,3,4,5}))</f>
        <v>5</v>
      </c>
      <c r="B1100">
        <f>VLOOKUP(MID(D1100,LOOKUP(2,1/ISNUMBER(-MID(D1100,1,{1,2,3,4,5})),{1,2,3,4,5})+1,9),'Hue codes'!$A$1:$B$10,2,FALSE)</f>
        <v>80</v>
      </c>
      <c r="C1100">
        <f t="shared" si="17"/>
        <v>85</v>
      </c>
      <c r="D1100" t="s">
        <v>54</v>
      </c>
      <c r="E1100">
        <v>4</v>
      </c>
      <c r="F1100">
        <v>12</v>
      </c>
      <c r="G1100">
        <v>0.27779999999999999</v>
      </c>
      <c r="H1100">
        <v>0.18079999999999999</v>
      </c>
      <c r="I1100">
        <v>12</v>
      </c>
    </row>
    <row r="1101" spans="1:9" x14ac:dyDescent="0.3">
      <c r="A1101">
        <f>LOOKUP(9E+307,--MID(D1101,1,{1,2,3,4,5}))</f>
        <v>5</v>
      </c>
      <c r="B1101">
        <f>VLOOKUP(MID(D1101,LOOKUP(2,1/ISNUMBER(-MID(D1101,1,{1,2,3,4,5})),{1,2,3,4,5})+1,9),'Hue codes'!$A$1:$B$10,2,FALSE)</f>
        <v>80</v>
      </c>
      <c r="C1101">
        <f t="shared" si="17"/>
        <v>85</v>
      </c>
      <c r="D1101" t="s">
        <v>54</v>
      </c>
      <c r="E1101">
        <v>4</v>
      </c>
      <c r="F1101">
        <v>14</v>
      </c>
      <c r="G1101">
        <v>0.2747</v>
      </c>
      <c r="H1101">
        <v>0.16600000000000001</v>
      </c>
      <c r="I1101">
        <v>12</v>
      </c>
    </row>
    <row r="1102" spans="1:9" x14ac:dyDescent="0.3">
      <c r="A1102">
        <f>LOOKUP(9E+307,--MID(D1102,1,{1,2,3,4,5}))</f>
        <v>5</v>
      </c>
      <c r="B1102">
        <f>VLOOKUP(MID(D1102,LOOKUP(2,1/ISNUMBER(-MID(D1102,1,{1,2,3,4,5})),{1,2,3,4,5})+1,9),'Hue codes'!$A$1:$B$10,2,FALSE)</f>
        <v>80</v>
      </c>
      <c r="C1102">
        <f t="shared" si="17"/>
        <v>85</v>
      </c>
      <c r="D1102" t="s">
        <v>54</v>
      </c>
      <c r="E1102">
        <v>4</v>
      </c>
      <c r="F1102">
        <v>16</v>
      </c>
      <c r="G1102">
        <v>0.27179999999999999</v>
      </c>
      <c r="H1102">
        <v>0.152</v>
      </c>
      <c r="I1102">
        <v>12</v>
      </c>
    </row>
    <row r="1103" spans="1:9" x14ac:dyDescent="0.3">
      <c r="A1103">
        <f>LOOKUP(9E+307,--MID(D1103,1,{1,2,3,4,5}))</f>
        <v>5</v>
      </c>
      <c r="B1103">
        <f>VLOOKUP(MID(D1103,LOOKUP(2,1/ISNUMBER(-MID(D1103,1,{1,2,3,4,5})),{1,2,3,4,5})+1,9),'Hue codes'!$A$1:$B$10,2,FALSE)</f>
        <v>80</v>
      </c>
      <c r="C1103">
        <f t="shared" si="17"/>
        <v>85</v>
      </c>
      <c r="D1103" t="s">
        <v>54</v>
      </c>
      <c r="E1103">
        <v>4</v>
      </c>
      <c r="F1103">
        <v>18</v>
      </c>
      <c r="G1103">
        <v>0.26929999999999998</v>
      </c>
      <c r="H1103">
        <v>0.14080000000000001</v>
      </c>
      <c r="I1103">
        <v>12</v>
      </c>
    </row>
    <row r="1104" spans="1:9" x14ac:dyDescent="0.3">
      <c r="A1104">
        <f>LOOKUP(9E+307,--MID(D1104,1,{1,2,3,4,5}))</f>
        <v>5</v>
      </c>
      <c r="B1104">
        <f>VLOOKUP(MID(D1104,LOOKUP(2,1/ISNUMBER(-MID(D1104,1,{1,2,3,4,5})),{1,2,3,4,5})+1,9),'Hue codes'!$A$1:$B$10,2,FALSE)</f>
        <v>80</v>
      </c>
      <c r="C1104">
        <f t="shared" si="17"/>
        <v>85</v>
      </c>
      <c r="D1104" t="s">
        <v>54</v>
      </c>
      <c r="E1104">
        <v>4</v>
      </c>
      <c r="F1104">
        <v>20</v>
      </c>
      <c r="G1104">
        <v>0.26700000000000002</v>
      </c>
      <c r="H1104">
        <v>0.13</v>
      </c>
      <c r="I1104">
        <v>12</v>
      </c>
    </row>
    <row r="1105" spans="1:9" x14ac:dyDescent="0.3">
      <c r="A1105">
        <f>LOOKUP(9E+307,--MID(D1105,1,{1,2,3,4,5}))</f>
        <v>5</v>
      </c>
      <c r="B1105">
        <f>VLOOKUP(MID(D1105,LOOKUP(2,1/ISNUMBER(-MID(D1105,1,{1,2,3,4,5})),{1,2,3,4,5})+1,9),'Hue codes'!$A$1:$B$10,2,FALSE)</f>
        <v>80</v>
      </c>
      <c r="C1105">
        <f t="shared" si="17"/>
        <v>85</v>
      </c>
      <c r="D1105" t="s">
        <v>54</v>
      </c>
      <c r="E1105">
        <v>4</v>
      </c>
      <c r="F1105">
        <v>22</v>
      </c>
      <c r="G1105">
        <v>0.26519999999999999</v>
      </c>
      <c r="H1105">
        <v>0.12180000000000001</v>
      </c>
      <c r="I1105">
        <v>12</v>
      </c>
    </row>
    <row r="1106" spans="1:9" x14ac:dyDescent="0.3">
      <c r="A1106">
        <f>LOOKUP(9E+307,--MID(D1106,1,{1,2,3,4,5}))</f>
        <v>5</v>
      </c>
      <c r="B1106">
        <f>VLOOKUP(MID(D1106,LOOKUP(2,1/ISNUMBER(-MID(D1106,1,{1,2,3,4,5})),{1,2,3,4,5})+1,9),'Hue codes'!$A$1:$B$10,2,FALSE)</f>
        <v>80</v>
      </c>
      <c r="C1106">
        <f t="shared" si="17"/>
        <v>85</v>
      </c>
      <c r="D1106" t="s">
        <v>54</v>
      </c>
      <c r="E1106">
        <v>4</v>
      </c>
      <c r="F1106">
        <v>24</v>
      </c>
      <c r="G1106">
        <v>0.26350000000000001</v>
      </c>
      <c r="H1106">
        <v>0.1132</v>
      </c>
      <c r="I1106">
        <v>12</v>
      </c>
    </row>
    <row r="1107" spans="1:9" x14ac:dyDescent="0.3">
      <c r="A1107">
        <f>LOOKUP(9E+307,--MID(D1107,1,{1,2,3,4,5}))</f>
        <v>5</v>
      </c>
      <c r="B1107">
        <f>VLOOKUP(MID(D1107,LOOKUP(2,1/ISNUMBER(-MID(D1107,1,{1,2,3,4,5})),{1,2,3,4,5})+1,9),'Hue codes'!$A$1:$B$10,2,FALSE)</f>
        <v>80</v>
      </c>
      <c r="C1107">
        <f t="shared" si="17"/>
        <v>85</v>
      </c>
      <c r="D1107" t="s">
        <v>54</v>
      </c>
      <c r="E1107">
        <v>4</v>
      </c>
      <c r="F1107">
        <v>26</v>
      </c>
      <c r="G1107">
        <v>0.26179999999999998</v>
      </c>
      <c r="H1107">
        <v>0.1052</v>
      </c>
      <c r="I1107">
        <v>12</v>
      </c>
    </row>
    <row r="1108" spans="1:9" x14ac:dyDescent="0.3">
      <c r="A1108">
        <f>LOOKUP(9E+307,--MID(D1108,1,{1,2,3,4,5}))</f>
        <v>5</v>
      </c>
      <c r="B1108">
        <f>VLOOKUP(MID(D1108,LOOKUP(2,1/ISNUMBER(-MID(D1108,1,{1,2,3,4,5})),{1,2,3,4,5})+1,9),'Hue codes'!$A$1:$B$10,2,FALSE)</f>
        <v>80</v>
      </c>
      <c r="C1108">
        <f t="shared" si="17"/>
        <v>85</v>
      </c>
      <c r="D1108" t="s">
        <v>54</v>
      </c>
      <c r="E1108">
        <v>4</v>
      </c>
      <c r="F1108">
        <v>28</v>
      </c>
      <c r="G1108">
        <v>0.26</v>
      </c>
      <c r="H1108">
        <v>9.7100000000000006E-2</v>
      </c>
      <c r="I1108">
        <v>12</v>
      </c>
    </row>
    <row r="1109" spans="1:9" x14ac:dyDescent="0.3">
      <c r="A1109">
        <f>LOOKUP(9E+307,--MID(D1109,1,{1,2,3,4,5}))</f>
        <v>5</v>
      </c>
      <c r="B1109">
        <f>VLOOKUP(MID(D1109,LOOKUP(2,1/ISNUMBER(-MID(D1109,1,{1,2,3,4,5})),{1,2,3,4,5})+1,9),'Hue codes'!$A$1:$B$10,2,FALSE)</f>
        <v>80</v>
      </c>
      <c r="C1109">
        <f t="shared" si="17"/>
        <v>85</v>
      </c>
      <c r="D1109" t="s">
        <v>54</v>
      </c>
      <c r="E1109">
        <v>4</v>
      </c>
      <c r="F1109">
        <v>30</v>
      </c>
      <c r="G1109">
        <v>0.25879999999999997</v>
      </c>
      <c r="H1109">
        <v>9.0700000000000003E-2</v>
      </c>
      <c r="I1109">
        <v>12</v>
      </c>
    </row>
    <row r="1110" spans="1:9" x14ac:dyDescent="0.3">
      <c r="A1110">
        <f>LOOKUP(9E+307,--MID(D1110,1,{1,2,3,4,5}))</f>
        <v>5</v>
      </c>
      <c r="B1110">
        <f>VLOOKUP(MID(D1110,LOOKUP(2,1/ISNUMBER(-MID(D1110,1,{1,2,3,4,5})),{1,2,3,4,5})+1,9),'Hue codes'!$A$1:$B$10,2,FALSE)</f>
        <v>80</v>
      </c>
      <c r="C1110">
        <f t="shared" si="17"/>
        <v>85</v>
      </c>
      <c r="D1110" t="s">
        <v>54</v>
      </c>
      <c r="E1110">
        <v>4</v>
      </c>
      <c r="F1110">
        <v>32</v>
      </c>
      <c r="G1110">
        <v>0.25740000000000002</v>
      </c>
      <c r="H1110">
        <v>8.3299999999999999E-2</v>
      </c>
      <c r="I1110">
        <v>12</v>
      </c>
    </row>
    <row r="1111" spans="1:9" x14ac:dyDescent="0.3">
      <c r="A1111">
        <f>LOOKUP(9E+307,--MID(D1111,1,{1,2,3,4,5}))</f>
        <v>7.5</v>
      </c>
      <c r="B1111">
        <f>VLOOKUP(MID(D1111,LOOKUP(2,1/ISNUMBER(-MID(D1111,1,{1,2,3,4,5})),{1,2,3,4,5})+1,9),'Hue codes'!$A$1:$B$10,2,FALSE)</f>
        <v>80</v>
      </c>
      <c r="C1111">
        <f t="shared" si="17"/>
        <v>87.5</v>
      </c>
      <c r="D1111" t="s">
        <v>55</v>
      </c>
      <c r="E1111">
        <v>4</v>
      </c>
      <c r="F1111">
        <v>2</v>
      </c>
      <c r="G1111">
        <v>0.30930000000000002</v>
      </c>
      <c r="H1111">
        <v>0.28589999999999999</v>
      </c>
      <c r="I1111">
        <v>12</v>
      </c>
    </row>
    <row r="1112" spans="1:9" x14ac:dyDescent="0.3">
      <c r="A1112">
        <f>LOOKUP(9E+307,--MID(D1112,1,{1,2,3,4,5}))</f>
        <v>7.5</v>
      </c>
      <c r="B1112">
        <f>VLOOKUP(MID(D1112,LOOKUP(2,1/ISNUMBER(-MID(D1112,1,{1,2,3,4,5})),{1,2,3,4,5})+1,9),'Hue codes'!$A$1:$B$10,2,FALSE)</f>
        <v>80</v>
      </c>
      <c r="C1112">
        <f t="shared" si="17"/>
        <v>87.5</v>
      </c>
      <c r="D1112" t="s">
        <v>55</v>
      </c>
      <c r="E1112">
        <v>4</v>
      </c>
      <c r="F1112">
        <v>4</v>
      </c>
      <c r="G1112">
        <v>0.30840000000000001</v>
      </c>
      <c r="H1112">
        <v>0.26219999999999999</v>
      </c>
      <c r="I1112">
        <v>12</v>
      </c>
    </row>
    <row r="1113" spans="1:9" x14ac:dyDescent="0.3">
      <c r="A1113">
        <f>LOOKUP(9E+307,--MID(D1113,1,{1,2,3,4,5}))</f>
        <v>7.5</v>
      </c>
      <c r="B1113">
        <f>VLOOKUP(MID(D1113,LOOKUP(2,1/ISNUMBER(-MID(D1113,1,{1,2,3,4,5})),{1,2,3,4,5})+1,9),'Hue codes'!$A$1:$B$10,2,FALSE)</f>
        <v>80</v>
      </c>
      <c r="C1113">
        <f t="shared" si="17"/>
        <v>87.5</v>
      </c>
      <c r="D1113" t="s">
        <v>55</v>
      </c>
      <c r="E1113">
        <v>4</v>
      </c>
      <c r="F1113">
        <v>6</v>
      </c>
      <c r="G1113">
        <v>0.30759999999999998</v>
      </c>
      <c r="H1113">
        <v>0.24160000000000001</v>
      </c>
      <c r="I1113">
        <v>12</v>
      </c>
    </row>
    <row r="1114" spans="1:9" x14ac:dyDescent="0.3">
      <c r="A1114">
        <f>LOOKUP(9E+307,--MID(D1114,1,{1,2,3,4,5}))</f>
        <v>7.5</v>
      </c>
      <c r="B1114">
        <f>VLOOKUP(MID(D1114,LOOKUP(2,1/ISNUMBER(-MID(D1114,1,{1,2,3,4,5})),{1,2,3,4,5})+1,9),'Hue codes'!$A$1:$B$10,2,FALSE)</f>
        <v>80</v>
      </c>
      <c r="C1114">
        <f t="shared" si="17"/>
        <v>87.5</v>
      </c>
      <c r="D1114" t="s">
        <v>55</v>
      </c>
      <c r="E1114">
        <v>4</v>
      </c>
      <c r="F1114">
        <v>8</v>
      </c>
      <c r="G1114">
        <v>0.30659999999999998</v>
      </c>
      <c r="H1114">
        <v>0.2228</v>
      </c>
      <c r="I1114">
        <v>12</v>
      </c>
    </row>
    <row r="1115" spans="1:9" x14ac:dyDescent="0.3">
      <c r="A1115">
        <f>LOOKUP(9E+307,--MID(D1115,1,{1,2,3,4,5}))</f>
        <v>7.5</v>
      </c>
      <c r="B1115">
        <f>VLOOKUP(MID(D1115,LOOKUP(2,1/ISNUMBER(-MID(D1115,1,{1,2,3,4,5})),{1,2,3,4,5})+1,9),'Hue codes'!$A$1:$B$10,2,FALSE)</f>
        <v>80</v>
      </c>
      <c r="C1115">
        <f t="shared" si="17"/>
        <v>87.5</v>
      </c>
      <c r="D1115" t="s">
        <v>55</v>
      </c>
      <c r="E1115">
        <v>4</v>
      </c>
      <c r="F1115">
        <v>10</v>
      </c>
      <c r="G1115">
        <v>0.30559999999999998</v>
      </c>
      <c r="H1115">
        <v>0.20599999999999999</v>
      </c>
      <c r="I1115">
        <v>12</v>
      </c>
    </row>
    <row r="1116" spans="1:9" x14ac:dyDescent="0.3">
      <c r="A1116">
        <f>LOOKUP(9E+307,--MID(D1116,1,{1,2,3,4,5}))</f>
        <v>7.5</v>
      </c>
      <c r="B1116">
        <f>VLOOKUP(MID(D1116,LOOKUP(2,1/ISNUMBER(-MID(D1116,1,{1,2,3,4,5})),{1,2,3,4,5})+1,9),'Hue codes'!$A$1:$B$10,2,FALSE)</f>
        <v>80</v>
      </c>
      <c r="C1116">
        <f t="shared" si="17"/>
        <v>87.5</v>
      </c>
      <c r="D1116" t="s">
        <v>55</v>
      </c>
      <c r="E1116">
        <v>4</v>
      </c>
      <c r="F1116">
        <v>12</v>
      </c>
      <c r="G1116">
        <v>0.30449999999999999</v>
      </c>
      <c r="H1116">
        <v>0.1905</v>
      </c>
      <c r="I1116">
        <v>12</v>
      </c>
    </row>
    <row r="1117" spans="1:9" x14ac:dyDescent="0.3">
      <c r="A1117">
        <f>LOOKUP(9E+307,--MID(D1117,1,{1,2,3,4,5}))</f>
        <v>7.5</v>
      </c>
      <c r="B1117">
        <f>VLOOKUP(MID(D1117,LOOKUP(2,1/ISNUMBER(-MID(D1117,1,{1,2,3,4,5})),{1,2,3,4,5})+1,9),'Hue codes'!$A$1:$B$10,2,FALSE)</f>
        <v>80</v>
      </c>
      <c r="C1117">
        <f t="shared" si="17"/>
        <v>87.5</v>
      </c>
      <c r="D1117" t="s">
        <v>55</v>
      </c>
      <c r="E1117">
        <v>4</v>
      </c>
      <c r="F1117">
        <v>14</v>
      </c>
      <c r="G1117">
        <v>0.30349999999999999</v>
      </c>
      <c r="H1117">
        <v>0.17549999999999999</v>
      </c>
      <c r="I1117">
        <v>12</v>
      </c>
    </row>
    <row r="1118" spans="1:9" x14ac:dyDescent="0.3">
      <c r="A1118">
        <f>LOOKUP(9E+307,--MID(D1118,1,{1,2,3,4,5}))</f>
        <v>7.5</v>
      </c>
      <c r="B1118">
        <f>VLOOKUP(MID(D1118,LOOKUP(2,1/ISNUMBER(-MID(D1118,1,{1,2,3,4,5})),{1,2,3,4,5})+1,9),'Hue codes'!$A$1:$B$10,2,FALSE)</f>
        <v>80</v>
      </c>
      <c r="C1118">
        <f t="shared" si="17"/>
        <v>87.5</v>
      </c>
      <c r="D1118" t="s">
        <v>55</v>
      </c>
      <c r="E1118">
        <v>4</v>
      </c>
      <c r="F1118">
        <v>16</v>
      </c>
      <c r="G1118">
        <v>0.30280000000000001</v>
      </c>
      <c r="H1118">
        <v>0.16209999999999999</v>
      </c>
      <c r="I1118">
        <v>12</v>
      </c>
    </row>
    <row r="1119" spans="1:9" x14ac:dyDescent="0.3">
      <c r="A1119">
        <f>LOOKUP(9E+307,--MID(D1119,1,{1,2,3,4,5}))</f>
        <v>7.5</v>
      </c>
      <c r="B1119">
        <f>VLOOKUP(MID(D1119,LOOKUP(2,1/ISNUMBER(-MID(D1119,1,{1,2,3,4,5})),{1,2,3,4,5})+1,9),'Hue codes'!$A$1:$B$10,2,FALSE)</f>
        <v>80</v>
      </c>
      <c r="C1119">
        <f t="shared" si="17"/>
        <v>87.5</v>
      </c>
      <c r="D1119" t="s">
        <v>55</v>
      </c>
      <c r="E1119">
        <v>4</v>
      </c>
      <c r="F1119">
        <v>18</v>
      </c>
      <c r="G1119">
        <v>0.30159999999999998</v>
      </c>
      <c r="H1119">
        <v>0.15</v>
      </c>
      <c r="I1119">
        <v>12</v>
      </c>
    </row>
    <row r="1120" spans="1:9" x14ac:dyDescent="0.3">
      <c r="A1120">
        <f>LOOKUP(9E+307,--MID(D1120,1,{1,2,3,4,5}))</f>
        <v>7.5</v>
      </c>
      <c r="B1120">
        <f>VLOOKUP(MID(D1120,LOOKUP(2,1/ISNUMBER(-MID(D1120,1,{1,2,3,4,5})),{1,2,3,4,5})+1,9),'Hue codes'!$A$1:$B$10,2,FALSE)</f>
        <v>80</v>
      </c>
      <c r="C1120">
        <f t="shared" si="17"/>
        <v>87.5</v>
      </c>
      <c r="D1120" t="s">
        <v>55</v>
      </c>
      <c r="E1120">
        <v>4</v>
      </c>
      <c r="F1120">
        <v>20</v>
      </c>
      <c r="G1120">
        <v>0.30099999999999999</v>
      </c>
      <c r="H1120">
        <v>0.1396</v>
      </c>
      <c r="I1120">
        <v>12</v>
      </c>
    </row>
    <row r="1121" spans="1:9" x14ac:dyDescent="0.3">
      <c r="A1121">
        <f>LOOKUP(9E+307,--MID(D1121,1,{1,2,3,4,5}))</f>
        <v>7.5</v>
      </c>
      <c r="B1121">
        <f>VLOOKUP(MID(D1121,LOOKUP(2,1/ISNUMBER(-MID(D1121,1,{1,2,3,4,5})),{1,2,3,4,5})+1,9),'Hue codes'!$A$1:$B$10,2,FALSE)</f>
        <v>80</v>
      </c>
      <c r="C1121">
        <f t="shared" si="17"/>
        <v>87.5</v>
      </c>
      <c r="D1121" t="s">
        <v>55</v>
      </c>
      <c r="E1121">
        <v>4</v>
      </c>
      <c r="F1121">
        <v>22</v>
      </c>
      <c r="G1121">
        <v>0.30009999999999998</v>
      </c>
      <c r="H1121">
        <v>0.13059999999999999</v>
      </c>
      <c r="I1121">
        <v>12</v>
      </c>
    </row>
    <row r="1122" spans="1:9" x14ac:dyDescent="0.3">
      <c r="A1122">
        <f>LOOKUP(9E+307,--MID(D1122,1,{1,2,3,4,5}))</f>
        <v>7.5</v>
      </c>
      <c r="B1122">
        <f>VLOOKUP(MID(D1122,LOOKUP(2,1/ISNUMBER(-MID(D1122,1,{1,2,3,4,5})),{1,2,3,4,5})+1,9),'Hue codes'!$A$1:$B$10,2,FALSE)</f>
        <v>80</v>
      </c>
      <c r="C1122">
        <f t="shared" si="17"/>
        <v>87.5</v>
      </c>
      <c r="D1122" t="s">
        <v>55</v>
      </c>
      <c r="E1122">
        <v>4</v>
      </c>
      <c r="F1122">
        <v>24</v>
      </c>
      <c r="G1122">
        <v>0.29930000000000001</v>
      </c>
      <c r="H1122">
        <v>0.1225</v>
      </c>
      <c r="I1122">
        <v>12</v>
      </c>
    </row>
    <row r="1123" spans="1:9" x14ac:dyDescent="0.3">
      <c r="A1123">
        <f>LOOKUP(9E+307,--MID(D1123,1,{1,2,3,4,5}))</f>
        <v>7.5</v>
      </c>
      <c r="B1123">
        <f>VLOOKUP(MID(D1123,LOOKUP(2,1/ISNUMBER(-MID(D1123,1,{1,2,3,4,5})),{1,2,3,4,5})+1,9),'Hue codes'!$A$1:$B$10,2,FALSE)</f>
        <v>80</v>
      </c>
      <c r="C1123">
        <f t="shared" si="17"/>
        <v>87.5</v>
      </c>
      <c r="D1123" t="s">
        <v>55</v>
      </c>
      <c r="E1123">
        <v>4</v>
      </c>
      <c r="F1123">
        <v>26</v>
      </c>
      <c r="G1123">
        <v>0.29859999999999998</v>
      </c>
      <c r="H1123">
        <v>0.1135</v>
      </c>
      <c r="I1123">
        <v>12</v>
      </c>
    </row>
    <row r="1124" spans="1:9" x14ac:dyDescent="0.3">
      <c r="A1124">
        <f>LOOKUP(9E+307,--MID(D1124,1,{1,2,3,4,5}))</f>
        <v>7.5</v>
      </c>
      <c r="B1124">
        <f>VLOOKUP(MID(D1124,LOOKUP(2,1/ISNUMBER(-MID(D1124,1,{1,2,3,4,5})),{1,2,3,4,5})+1,9),'Hue codes'!$A$1:$B$10,2,FALSE)</f>
        <v>80</v>
      </c>
      <c r="C1124">
        <f t="shared" si="17"/>
        <v>87.5</v>
      </c>
      <c r="D1124" t="s">
        <v>55</v>
      </c>
      <c r="E1124">
        <v>4</v>
      </c>
      <c r="F1124">
        <v>28</v>
      </c>
      <c r="G1124">
        <v>0.2979</v>
      </c>
      <c r="H1124">
        <v>0.1062</v>
      </c>
      <c r="I1124">
        <v>12</v>
      </c>
    </row>
    <row r="1125" spans="1:9" x14ac:dyDescent="0.3">
      <c r="A1125">
        <f>LOOKUP(9E+307,--MID(D1125,1,{1,2,3,4,5}))</f>
        <v>7.5</v>
      </c>
      <c r="B1125">
        <f>VLOOKUP(MID(D1125,LOOKUP(2,1/ISNUMBER(-MID(D1125,1,{1,2,3,4,5})),{1,2,3,4,5})+1,9),'Hue codes'!$A$1:$B$10,2,FALSE)</f>
        <v>80</v>
      </c>
      <c r="C1125">
        <f t="shared" si="17"/>
        <v>87.5</v>
      </c>
      <c r="D1125" t="s">
        <v>55</v>
      </c>
      <c r="E1125">
        <v>4</v>
      </c>
      <c r="F1125">
        <v>30</v>
      </c>
      <c r="G1125">
        <v>0.2969</v>
      </c>
      <c r="H1125">
        <v>9.7900000000000001E-2</v>
      </c>
      <c r="I1125">
        <v>12</v>
      </c>
    </row>
    <row r="1126" spans="1:9" x14ac:dyDescent="0.3">
      <c r="A1126">
        <f>LOOKUP(9E+307,--MID(D1126,1,{1,2,3,4,5}))</f>
        <v>7.5</v>
      </c>
      <c r="B1126">
        <f>VLOOKUP(MID(D1126,LOOKUP(2,1/ISNUMBER(-MID(D1126,1,{1,2,3,4,5})),{1,2,3,4,5})+1,9),'Hue codes'!$A$1:$B$10,2,FALSE)</f>
        <v>80</v>
      </c>
      <c r="C1126">
        <f t="shared" si="17"/>
        <v>87.5</v>
      </c>
      <c r="D1126" t="s">
        <v>55</v>
      </c>
      <c r="E1126">
        <v>4</v>
      </c>
      <c r="F1126">
        <v>32</v>
      </c>
      <c r="G1126">
        <v>0.29620000000000002</v>
      </c>
      <c r="H1126">
        <v>9.06E-2</v>
      </c>
      <c r="I1126">
        <v>12</v>
      </c>
    </row>
    <row r="1127" spans="1:9" x14ac:dyDescent="0.3">
      <c r="A1127">
        <f>LOOKUP(9E+307,--MID(D1127,1,{1,2,3,4,5}))</f>
        <v>10</v>
      </c>
      <c r="B1127">
        <f>VLOOKUP(MID(D1127,LOOKUP(2,1/ISNUMBER(-MID(D1127,1,{1,2,3,4,5})),{1,2,3,4,5})+1,9),'Hue codes'!$A$1:$B$10,2,FALSE)</f>
        <v>80</v>
      </c>
      <c r="C1127">
        <f t="shared" si="17"/>
        <v>90</v>
      </c>
      <c r="D1127" t="s">
        <v>56</v>
      </c>
      <c r="E1127">
        <v>4</v>
      </c>
      <c r="F1127">
        <v>2</v>
      </c>
      <c r="G1127">
        <v>0.31619999999999998</v>
      </c>
      <c r="H1127">
        <v>0.29020000000000001</v>
      </c>
      <c r="I1127">
        <v>12</v>
      </c>
    </row>
    <row r="1128" spans="1:9" x14ac:dyDescent="0.3">
      <c r="A1128">
        <f>LOOKUP(9E+307,--MID(D1128,1,{1,2,3,4,5}))</f>
        <v>10</v>
      </c>
      <c r="B1128">
        <f>VLOOKUP(MID(D1128,LOOKUP(2,1/ISNUMBER(-MID(D1128,1,{1,2,3,4,5})),{1,2,3,4,5})+1,9),'Hue codes'!$A$1:$B$10,2,FALSE)</f>
        <v>80</v>
      </c>
      <c r="C1128">
        <f t="shared" si="17"/>
        <v>90</v>
      </c>
      <c r="D1128" t="s">
        <v>56</v>
      </c>
      <c r="E1128">
        <v>4</v>
      </c>
      <c r="F1128">
        <v>4</v>
      </c>
      <c r="G1128">
        <v>0.32100000000000001</v>
      </c>
      <c r="H1128">
        <v>0.26860000000000001</v>
      </c>
      <c r="I1128">
        <v>12</v>
      </c>
    </row>
    <row r="1129" spans="1:9" x14ac:dyDescent="0.3">
      <c r="A1129">
        <f>LOOKUP(9E+307,--MID(D1129,1,{1,2,3,4,5}))</f>
        <v>10</v>
      </c>
      <c r="B1129">
        <f>VLOOKUP(MID(D1129,LOOKUP(2,1/ISNUMBER(-MID(D1129,1,{1,2,3,4,5})),{1,2,3,4,5})+1,9),'Hue codes'!$A$1:$B$10,2,FALSE)</f>
        <v>80</v>
      </c>
      <c r="C1129">
        <f t="shared" si="17"/>
        <v>90</v>
      </c>
      <c r="D1129" t="s">
        <v>56</v>
      </c>
      <c r="E1129">
        <v>4</v>
      </c>
      <c r="F1129">
        <v>6</v>
      </c>
      <c r="G1129">
        <v>0.32479999999999998</v>
      </c>
      <c r="H1129">
        <v>0.24929999999999999</v>
      </c>
      <c r="I1129">
        <v>12</v>
      </c>
    </row>
    <row r="1130" spans="1:9" x14ac:dyDescent="0.3">
      <c r="A1130">
        <f>LOOKUP(9E+307,--MID(D1130,1,{1,2,3,4,5}))</f>
        <v>10</v>
      </c>
      <c r="B1130">
        <f>VLOOKUP(MID(D1130,LOOKUP(2,1/ISNUMBER(-MID(D1130,1,{1,2,3,4,5})),{1,2,3,4,5})+1,9),'Hue codes'!$A$1:$B$10,2,FALSE)</f>
        <v>80</v>
      </c>
      <c r="C1130">
        <f t="shared" si="17"/>
        <v>90</v>
      </c>
      <c r="D1130" t="s">
        <v>56</v>
      </c>
      <c r="E1130">
        <v>4</v>
      </c>
      <c r="F1130">
        <v>8</v>
      </c>
      <c r="G1130">
        <v>0.32800000000000001</v>
      </c>
      <c r="H1130">
        <v>0.23180000000000001</v>
      </c>
      <c r="I1130">
        <v>12</v>
      </c>
    </row>
    <row r="1131" spans="1:9" x14ac:dyDescent="0.3">
      <c r="A1131">
        <f>LOOKUP(9E+307,--MID(D1131,1,{1,2,3,4,5}))</f>
        <v>10</v>
      </c>
      <c r="B1131">
        <f>VLOOKUP(MID(D1131,LOOKUP(2,1/ISNUMBER(-MID(D1131,1,{1,2,3,4,5})),{1,2,3,4,5})+1,9),'Hue codes'!$A$1:$B$10,2,FALSE)</f>
        <v>80</v>
      </c>
      <c r="C1131">
        <f t="shared" si="17"/>
        <v>90</v>
      </c>
      <c r="D1131" t="s">
        <v>56</v>
      </c>
      <c r="E1131">
        <v>4</v>
      </c>
      <c r="F1131">
        <v>10</v>
      </c>
      <c r="G1131">
        <v>0.3306</v>
      </c>
      <c r="H1131">
        <v>0.2162</v>
      </c>
      <c r="I1131">
        <v>12</v>
      </c>
    </row>
    <row r="1132" spans="1:9" x14ac:dyDescent="0.3">
      <c r="A1132">
        <f>LOOKUP(9E+307,--MID(D1132,1,{1,2,3,4,5}))</f>
        <v>10</v>
      </c>
      <c r="B1132">
        <f>VLOOKUP(MID(D1132,LOOKUP(2,1/ISNUMBER(-MID(D1132,1,{1,2,3,4,5})),{1,2,3,4,5})+1,9),'Hue codes'!$A$1:$B$10,2,FALSE)</f>
        <v>80</v>
      </c>
      <c r="C1132">
        <f t="shared" si="17"/>
        <v>90</v>
      </c>
      <c r="D1132" t="s">
        <v>56</v>
      </c>
      <c r="E1132">
        <v>4</v>
      </c>
      <c r="F1132">
        <v>12</v>
      </c>
      <c r="G1132">
        <v>0.33310000000000001</v>
      </c>
      <c r="H1132">
        <v>0.2014</v>
      </c>
      <c r="I1132">
        <v>12</v>
      </c>
    </row>
    <row r="1133" spans="1:9" x14ac:dyDescent="0.3">
      <c r="A1133">
        <f>LOOKUP(9E+307,--MID(D1133,1,{1,2,3,4,5}))</f>
        <v>10</v>
      </c>
      <c r="B1133">
        <f>VLOOKUP(MID(D1133,LOOKUP(2,1/ISNUMBER(-MID(D1133,1,{1,2,3,4,5})),{1,2,3,4,5})+1,9),'Hue codes'!$A$1:$B$10,2,FALSE)</f>
        <v>80</v>
      </c>
      <c r="C1133">
        <f t="shared" si="17"/>
        <v>90</v>
      </c>
      <c r="D1133" t="s">
        <v>56</v>
      </c>
      <c r="E1133">
        <v>4</v>
      </c>
      <c r="F1133">
        <v>14</v>
      </c>
      <c r="G1133">
        <v>0.33510000000000001</v>
      </c>
      <c r="H1133">
        <v>0.1875</v>
      </c>
      <c r="I1133">
        <v>12</v>
      </c>
    </row>
    <row r="1134" spans="1:9" x14ac:dyDescent="0.3">
      <c r="A1134">
        <f>LOOKUP(9E+307,--MID(D1134,1,{1,2,3,4,5}))</f>
        <v>10</v>
      </c>
      <c r="B1134">
        <f>VLOOKUP(MID(D1134,LOOKUP(2,1/ISNUMBER(-MID(D1134,1,{1,2,3,4,5})),{1,2,3,4,5})+1,9),'Hue codes'!$A$1:$B$10,2,FALSE)</f>
        <v>80</v>
      </c>
      <c r="C1134">
        <f t="shared" si="17"/>
        <v>90</v>
      </c>
      <c r="D1134" t="s">
        <v>56</v>
      </c>
      <c r="E1134">
        <v>4</v>
      </c>
      <c r="F1134">
        <v>16</v>
      </c>
      <c r="G1134">
        <v>0.33700000000000002</v>
      </c>
      <c r="H1134">
        <v>0.17560000000000001</v>
      </c>
      <c r="I1134">
        <v>12</v>
      </c>
    </row>
    <row r="1135" spans="1:9" x14ac:dyDescent="0.3">
      <c r="A1135">
        <f>LOOKUP(9E+307,--MID(D1135,1,{1,2,3,4,5}))</f>
        <v>10</v>
      </c>
      <c r="B1135">
        <f>VLOOKUP(MID(D1135,LOOKUP(2,1/ISNUMBER(-MID(D1135,1,{1,2,3,4,5})),{1,2,3,4,5})+1,9),'Hue codes'!$A$1:$B$10,2,FALSE)</f>
        <v>80</v>
      </c>
      <c r="C1135">
        <f t="shared" si="17"/>
        <v>90</v>
      </c>
      <c r="D1135" t="s">
        <v>56</v>
      </c>
      <c r="E1135">
        <v>4</v>
      </c>
      <c r="F1135">
        <v>18</v>
      </c>
      <c r="G1135">
        <v>0.33860000000000001</v>
      </c>
      <c r="H1135">
        <v>0.16259999999999999</v>
      </c>
      <c r="I1135">
        <v>12</v>
      </c>
    </row>
    <row r="1136" spans="1:9" x14ac:dyDescent="0.3">
      <c r="A1136">
        <f>LOOKUP(9E+307,--MID(D1136,1,{1,2,3,4,5}))</f>
        <v>10</v>
      </c>
      <c r="B1136">
        <f>VLOOKUP(MID(D1136,LOOKUP(2,1/ISNUMBER(-MID(D1136,1,{1,2,3,4,5})),{1,2,3,4,5})+1,9),'Hue codes'!$A$1:$B$10,2,FALSE)</f>
        <v>80</v>
      </c>
      <c r="C1136">
        <f t="shared" si="17"/>
        <v>90</v>
      </c>
      <c r="D1136" t="s">
        <v>56</v>
      </c>
      <c r="E1136">
        <v>4</v>
      </c>
      <c r="F1136">
        <v>20</v>
      </c>
      <c r="G1136">
        <v>0.34</v>
      </c>
      <c r="H1136">
        <v>0.15</v>
      </c>
      <c r="I1136">
        <v>12</v>
      </c>
    </row>
    <row r="1137" spans="1:9" x14ac:dyDescent="0.3">
      <c r="A1137">
        <f>LOOKUP(9E+307,--MID(D1137,1,{1,2,3,4,5}))</f>
        <v>10</v>
      </c>
      <c r="B1137">
        <f>VLOOKUP(MID(D1137,LOOKUP(2,1/ISNUMBER(-MID(D1137,1,{1,2,3,4,5})),{1,2,3,4,5})+1,9),'Hue codes'!$A$1:$B$10,2,FALSE)</f>
        <v>80</v>
      </c>
      <c r="C1137">
        <f t="shared" si="17"/>
        <v>90</v>
      </c>
      <c r="D1137" t="s">
        <v>56</v>
      </c>
      <c r="E1137">
        <v>4</v>
      </c>
      <c r="F1137">
        <v>22</v>
      </c>
      <c r="G1137">
        <v>0.34110000000000001</v>
      </c>
      <c r="H1137">
        <v>0.1424</v>
      </c>
      <c r="I1137">
        <v>12</v>
      </c>
    </row>
    <row r="1138" spans="1:9" x14ac:dyDescent="0.3">
      <c r="A1138">
        <f>LOOKUP(9E+307,--MID(D1138,1,{1,2,3,4,5}))</f>
        <v>10</v>
      </c>
      <c r="B1138">
        <f>VLOOKUP(MID(D1138,LOOKUP(2,1/ISNUMBER(-MID(D1138,1,{1,2,3,4,5})),{1,2,3,4,5})+1,9),'Hue codes'!$A$1:$B$10,2,FALSE)</f>
        <v>80</v>
      </c>
      <c r="C1138">
        <f t="shared" si="17"/>
        <v>90</v>
      </c>
      <c r="D1138" t="s">
        <v>56</v>
      </c>
      <c r="E1138">
        <v>4</v>
      </c>
      <c r="F1138">
        <v>24</v>
      </c>
      <c r="G1138">
        <v>0.34210000000000002</v>
      </c>
      <c r="H1138">
        <v>0.13370000000000001</v>
      </c>
      <c r="I1138">
        <v>12</v>
      </c>
    </row>
    <row r="1139" spans="1:9" x14ac:dyDescent="0.3">
      <c r="A1139">
        <f>LOOKUP(9E+307,--MID(D1139,1,{1,2,3,4,5}))</f>
        <v>10</v>
      </c>
      <c r="B1139">
        <f>VLOOKUP(MID(D1139,LOOKUP(2,1/ISNUMBER(-MID(D1139,1,{1,2,3,4,5})),{1,2,3,4,5})+1,9),'Hue codes'!$A$1:$B$10,2,FALSE)</f>
        <v>80</v>
      </c>
      <c r="C1139">
        <f t="shared" si="17"/>
        <v>90</v>
      </c>
      <c r="D1139" t="s">
        <v>56</v>
      </c>
      <c r="E1139">
        <v>4</v>
      </c>
      <c r="F1139">
        <v>26</v>
      </c>
      <c r="G1139">
        <v>0.34279999999999999</v>
      </c>
      <c r="H1139">
        <v>0.12479999999999999</v>
      </c>
      <c r="I1139">
        <v>12</v>
      </c>
    </row>
    <row r="1140" spans="1:9" x14ac:dyDescent="0.3">
      <c r="A1140">
        <f>LOOKUP(9E+307,--MID(D1140,1,{1,2,3,4,5}))</f>
        <v>10</v>
      </c>
      <c r="B1140">
        <f>VLOOKUP(MID(D1140,LOOKUP(2,1/ISNUMBER(-MID(D1140,1,{1,2,3,4,5})),{1,2,3,4,5})+1,9),'Hue codes'!$A$1:$B$10,2,FALSE)</f>
        <v>80</v>
      </c>
      <c r="C1140">
        <f t="shared" si="17"/>
        <v>90</v>
      </c>
      <c r="D1140" t="s">
        <v>56</v>
      </c>
      <c r="E1140">
        <v>4</v>
      </c>
      <c r="F1140">
        <v>28</v>
      </c>
      <c r="G1140">
        <v>0.34320000000000001</v>
      </c>
      <c r="H1140">
        <v>0.1172</v>
      </c>
      <c r="I1140">
        <v>12</v>
      </c>
    </row>
    <row r="1141" spans="1:9" x14ac:dyDescent="0.3">
      <c r="A1141">
        <f>LOOKUP(9E+307,--MID(D1141,1,{1,2,3,4,5}))</f>
        <v>10</v>
      </c>
      <c r="B1141">
        <f>VLOOKUP(MID(D1141,LOOKUP(2,1/ISNUMBER(-MID(D1141,1,{1,2,3,4,5})),{1,2,3,4,5})+1,9),'Hue codes'!$A$1:$B$10,2,FALSE)</f>
        <v>80</v>
      </c>
      <c r="C1141">
        <f t="shared" si="17"/>
        <v>90</v>
      </c>
      <c r="D1141" t="s">
        <v>56</v>
      </c>
      <c r="E1141">
        <v>4</v>
      </c>
      <c r="F1141">
        <v>30</v>
      </c>
      <c r="G1141">
        <v>0.34399999999999997</v>
      </c>
      <c r="H1141">
        <v>0.108</v>
      </c>
      <c r="I1141">
        <v>12</v>
      </c>
    </row>
    <row r="1142" spans="1:9" x14ac:dyDescent="0.3">
      <c r="A1142">
        <f>LOOKUP(9E+307,--MID(D1142,1,{1,2,3,4,5}))</f>
        <v>2.5</v>
      </c>
      <c r="B1142">
        <f>VLOOKUP(MID(D1142,LOOKUP(2,1/ISNUMBER(-MID(D1142,1,{1,2,3,4,5})),{1,2,3,4,5})+1,9),'Hue codes'!$A$1:$B$10,2,FALSE)</f>
        <v>90</v>
      </c>
      <c r="C1142">
        <f t="shared" si="17"/>
        <v>92.5</v>
      </c>
      <c r="D1142" t="s">
        <v>57</v>
      </c>
      <c r="E1142">
        <v>4</v>
      </c>
      <c r="F1142">
        <v>2</v>
      </c>
      <c r="G1142">
        <v>0.3231</v>
      </c>
      <c r="H1142">
        <v>0.29509999999999997</v>
      </c>
      <c r="I1142">
        <v>12</v>
      </c>
    </row>
    <row r="1143" spans="1:9" x14ac:dyDescent="0.3">
      <c r="A1143">
        <f>LOOKUP(9E+307,--MID(D1143,1,{1,2,3,4,5}))</f>
        <v>2.5</v>
      </c>
      <c r="B1143">
        <f>VLOOKUP(MID(D1143,LOOKUP(2,1/ISNUMBER(-MID(D1143,1,{1,2,3,4,5})),{1,2,3,4,5})+1,9),'Hue codes'!$A$1:$B$10,2,FALSE)</f>
        <v>90</v>
      </c>
      <c r="C1143">
        <f t="shared" si="17"/>
        <v>92.5</v>
      </c>
      <c r="D1143" t="s">
        <v>57</v>
      </c>
      <c r="E1143">
        <v>4</v>
      </c>
      <c r="F1143">
        <v>4</v>
      </c>
      <c r="G1143">
        <v>0.33400000000000002</v>
      </c>
      <c r="H1143">
        <v>0.27700000000000002</v>
      </c>
      <c r="I1143">
        <v>12</v>
      </c>
    </row>
    <row r="1144" spans="1:9" x14ac:dyDescent="0.3">
      <c r="A1144">
        <f>LOOKUP(9E+307,--MID(D1144,1,{1,2,3,4,5}))</f>
        <v>2.5</v>
      </c>
      <c r="B1144">
        <f>VLOOKUP(MID(D1144,LOOKUP(2,1/ISNUMBER(-MID(D1144,1,{1,2,3,4,5})),{1,2,3,4,5})+1,9),'Hue codes'!$A$1:$B$10,2,FALSE)</f>
        <v>90</v>
      </c>
      <c r="C1144">
        <f t="shared" si="17"/>
        <v>92.5</v>
      </c>
      <c r="D1144" t="s">
        <v>57</v>
      </c>
      <c r="E1144">
        <v>4</v>
      </c>
      <c r="F1144">
        <v>6</v>
      </c>
      <c r="G1144">
        <v>0.34420000000000001</v>
      </c>
      <c r="H1144">
        <v>0.25950000000000001</v>
      </c>
      <c r="I1144">
        <v>12</v>
      </c>
    </row>
    <row r="1145" spans="1:9" x14ac:dyDescent="0.3">
      <c r="A1145">
        <f>LOOKUP(9E+307,--MID(D1145,1,{1,2,3,4,5}))</f>
        <v>2.5</v>
      </c>
      <c r="B1145">
        <f>VLOOKUP(MID(D1145,LOOKUP(2,1/ISNUMBER(-MID(D1145,1,{1,2,3,4,5})),{1,2,3,4,5})+1,9),'Hue codes'!$A$1:$B$10,2,FALSE)</f>
        <v>90</v>
      </c>
      <c r="C1145">
        <f t="shared" si="17"/>
        <v>92.5</v>
      </c>
      <c r="D1145" t="s">
        <v>57</v>
      </c>
      <c r="E1145">
        <v>4</v>
      </c>
      <c r="F1145">
        <v>8</v>
      </c>
      <c r="G1145">
        <v>0.3533</v>
      </c>
      <c r="H1145">
        <v>0.24379999999999999</v>
      </c>
      <c r="I1145">
        <v>12</v>
      </c>
    </row>
    <row r="1146" spans="1:9" x14ac:dyDescent="0.3">
      <c r="A1146">
        <f>LOOKUP(9E+307,--MID(D1146,1,{1,2,3,4,5}))</f>
        <v>2.5</v>
      </c>
      <c r="B1146">
        <f>VLOOKUP(MID(D1146,LOOKUP(2,1/ISNUMBER(-MID(D1146,1,{1,2,3,4,5})),{1,2,3,4,5})+1,9),'Hue codes'!$A$1:$B$10,2,FALSE)</f>
        <v>90</v>
      </c>
      <c r="C1146">
        <f t="shared" si="17"/>
        <v>92.5</v>
      </c>
      <c r="D1146" t="s">
        <v>57</v>
      </c>
      <c r="E1146">
        <v>4</v>
      </c>
      <c r="F1146">
        <v>10</v>
      </c>
      <c r="G1146">
        <v>0.36080000000000001</v>
      </c>
      <c r="H1146">
        <v>0.2301</v>
      </c>
      <c r="I1146">
        <v>12</v>
      </c>
    </row>
    <row r="1147" spans="1:9" x14ac:dyDescent="0.3">
      <c r="A1147">
        <f>LOOKUP(9E+307,--MID(D1147,1,{1,2,3,4,5}))</f>
        <v>2.5</v>
      </c>
      <c r="B1147">
        <f>VLOOKUP(MID(D1147,LOOKUP(2,1/ISNUMBER(-MID(D1147,1,{1,2,3,4,5})),{1,2,3,4,5})+1,9),'Hue codes'!$A$1:$B$10,2,FALSE)</f>
        <v>90</v>
      </c>
      <c r="C1147">
        <f t="shared" si="17"/>
        <v>92.5</v>
      </c>
      <c r="D1147" t="s">
        <v>57</v>
      </c>
      <c r="E1147">
        <v>4</v>
      </c>
      <c r="F1147">
        <v>12</v>
      </c>
      <c r="G1147">
        <v>0.36830000000000002</v>
      </c>
      <c r="H1147">
        <v>0.2162</v>
      </c>
      <c r="I1147">
        <v>12</v>
      </c>
    </row>
    <row r="1148" spans="1:9" x14ac:dyDescent="0.3">
      <c r="A1148">
        <f>LOOKUP(9E+307,--MID(D1148,1,{1,2,3,4,5}))</f>
        <v>2.5</v>
      </c>
      <c r="B1148">
        <f>VLOOKUP(MID(D1148,LOOKUP(2,1/ISNUMBER(-MID(D1148,1,{1,2,3,4,5})),{1,2,3,4,5})+1,9),'Hue codes'!$A$1:$B$10,2,FALSE)</f>
        <v>90</v>
      </c>
      <c r="C1148">
        <f t="shared" si="17"/>
        <v>92.5</v>
      </c>
      <c r="D1148" t="s">
        <v>57</v>
      </c>
      <c r="E1148">
        <v>4</v>
      </c>
      <c r="F1148">
        <v>14</v>
      </c>
      <c r="G1148">
        <v>0.37480000000000002</v>
      </c>
      <c r="H1148">
        <v>0.2039</v>
      </c>
      <c r="I1148">
        <v>12</v>
      </c>
    </row>
    <row r="1149" spans="1:9" x14ac:dyDescent="0.3">
      <c r="A1149">
        <f>LOOKUP(9E+307,--MID(D1149,1,{1,2,3,4,5}))</f>
        <v>2.5</v>
      </c>
      <c r="B1149">
        <f>VLOOKUP(MID(D1149,LOOKUP(2,1/ISNUMBER(-MID(D1149,1,{1,2,3,4,5})),{1,2,3,4,5})+1,9),'Hue codes'!$A$1:$B$10,2,FALSE)</f>
        <v>90</v>
      </c>
      <c r="C1149">
        <f t="shared" si="17"/>
        <v>92.5</v>
      </c>
      <c r="D1149" t="s">
        <v>57</v>
      </c>
      <c r="E1149">
        <v>4</v>
      </c>
      <c r="F1149">
        <v>16</v>
      </c>
      <c r="G1149">
        <v>0.38069999999999998</v>
      </c>
      <c r="H1149">
        <v>0.1923</v>
      </c>
      <c r="I1149">
        <v>12</v>
      </c>
    </row>
    <row r="1150" spans="1:9" x14ac:dyDescent="0.3">
      <c r="A1150">
        <f>LOOKUP(9E+307,--MID(D1150,1,{1,2,3,4,5}))</f>
        <v>2.5</v>
      </c>
      <c r="B1150">
        <f>VLOOKUP(MID(D1150,LOOKUP(2,1/ISNUMBER(-MID(D1150,1,{1,2,3,4,5})),{1,2,3,4,5})+1,9),'Hue codes'!$A$1:$B$10,2,FALSE)</f>
        <v>90</v>
      </c>
      <c r="C1150">
        <f t="shared" si="17"/>
        <v>92.5</v>
      </c>
      <c r="D1150" t="s">
        <v>57</v>
      </c>
      <c r="E1150">
        <v>4</v>
      </c>
      <c r="F1150">
        <v>18</v>
      </c>
      <c r="G1150">
        <v>0.38650000000000001</v>
      </c>
      <c r="H1150">
        <v>0.1802</v>
      </c>
      <c r="I1150">
        <v>12</v>
      </c>
    </row>
    <row r="1151" spans="1:9" x14ac:dyDescent="0.3">
      <c r="A1151">
        <f>LOOKUP(9E+307,--MID(D1151,1,{1,2,3,4,5}))</f>
        <v>2.5</v>
      </c>
      <c r="B1151">
        <f>VLOOKUP(MID(D1151,LOOKUP(2,1/ISNUMBER(-MID(D1151,1,{1,2,3,4,5})),{1,2,3,4,5})+1,9),'Hue codes'!$A$1:$B$10,2,FALSE)</f>
        <v>90</v>
      </c>
      <c r="C1151">
        <f t="shared" si="17"/>
        <v>92.5</v>
      </c>
      <c r="D1151" t="s">
        <v>57</v>
      </c>
      <c r="E1151">
        <v>4</v>
      </c>
      <c r="F1151">
        <v>20</v>
      </c>
      <c r="G1151">
        <v>0.3926</v>
      </c>
      <c r="H1151">
        <v>0.16789999999999999</v>
      </c>
      <c r="I1151">
        <v>12</v>
      </c>
    </row>
    <row r="1152" spans="1:9" x14ac:dyDescent="0.3">
      <c r="A1152">
        <f>LOOKUP(9E+307,--MID(D1152,1,{1,2,3,4,5}))</f>
        <v>2.5</v>
      </c>
      <c r="B1152">
        <f>VLOOKUP(MID(D1152,LOOKUP(2,1/ISNUMBER(-MID(D1152,1,{1,2,3,4,5})),{1,2,3,4,5})+1,9),'Hue codes'!$A$1:$B$10,2,FALSE)</f>
        <v>90</v>
      </c>
      <c r="C1152">
        <f t="shared" si="17"/>
        <v>92.5</v>
      </c>
      <c r="D1152" t="s">
        <v>57</v>
      </c>
      <c r="E1152">
        <v>4</v>
      </c>
      <c r="F1152">
        <v>22</v>
      </c>
      <c r="G1152">
        <v>0.3967</v>
      </c>
      <c r="H1152">
        <v>0.1593</v>
      </c>
      <c r="I1152">
        <v>12</v>
      </c>
    </row>
    <row r="1153" spans="1:9" x14ac:dyDescent="0.3">
      <c r="A1153">
        <f>LOOKUP(9E+307,--MID(D1153,1,{1,2,3,4,5}))</f>
        <v>2.5</v>
      </c>
      <c r="B1153">
        <f>VLOOKUP(MID(D1153,LOOKUP(2,1/ISNUMBER(-MID(D1153,1,{1,2,3,4,5})),{1,2,3,4,5})+1,9),'Hue codes'!$A$1:$B$10,2,FALSE)</f>
        <v>90</v>
      </c>
      <c r="C1153">
        <f t="shared" si="17"/>
        <v>92.5</v>
      </c>
      <c r="D1153" t="s">
        <v>57</v>
      </c>
      <c r="E1153">
        <v>4</v>
      </c>
      <c r="F1153">
        <v>24</v>
      </c>
      <c r="G1153">
        <v>0.40110000000000001</v>
      </c>
      <c r="H1153">
        <v>0.15040000000000001</v>
      </c>
      <c r="I1153">
        <v>12</v>
      </c>
    </row>
    <row r="1154" spans="1:9" x14ac:dyDescent="0.3">
      <c r="A1154">
        <f>LOOKUP(9E+307,--MID(D1154,1,{1,2,3,4,5}))</f>
        <v>2.5</v>
      </c>
      <c r="B1154">
        <f>VLOOKUP(MID(D1154,LOOKUP(2,1/ISNUMBER(-MID(D1154,1,{1,2,3,4,5})),{1,2,3,4,5})+1,9),'Hue codes'!$A$1:$B$10,2,FALSE)</f>
        <v>90</v>
      </c>
      <c r="C1154">
        <f t="shared" si="17"/>
        <v>92.5</v>
      </c>
      <c r="D1154" t="s">
        <v>57</v>
      </c>
      <c r="E1154">
        <v>4</v>
      </c>
      <c r="F1154">
        <v>26</v>
      </c>
      <c r="G1154">
        <v>0.40479999999999999</v>
      </c>
      <c r="H1154">
        <v>0.14280000000000001</v>
      </c>
      <c r="I1154">
        <v>12</v>
      </c>
    </row>
    <row r="1155" spans="1:9" x14ac:dyDescent="0.3">
      <c r="A1155">
        <f>LOOKUP(9E+307,--MID(D1155,1,{1,2,3,4,5}))</f>
        <v>5</v>
      </c>
      <c r="B1155">
        <f>VLOOKUP(MID(D1155,LOOKUP(2,1/ISNUMBER(-MID(D1155,1,{1,2,3,4,5})),{1,2,3,4,5})+1,9),'Hue codes'!$A$1:$B$10,2,FALSE)</f>
        <v>90</v>
      </c>
      <c r="C1155">
        <f t="shared" ref="C1155:C1218" si="18">IF(A1155+B1155=100,0,A1155+B1155)</f>
        <v>95</v>
      </c>
      <c r="D1155" t="s">
        <v>58</v>
      </c>
      <c r="E1155">
        <v>4</v>
      </c>
      <c r="F1155">
        <v>2</v>
      </c>
      <c r="G1155">
        <v>0.33100000000000002</v>
      </c>
      <c r="H1155">
        <v>0.30099999999999999</v>
      </c>
      <c r="I1155">
        <v>12</v>
      </c>
    </row>
    <row r="1156" spans="1:9" x14ac:dyDescent="0.3">
      <c r="A1156">
        <f>LOOKUP(9E+307,--MID(D1156,1,{1,2,3,4,5}))</f>
        <v>5</v>
      </c>
      <c r="B1156">
        <f>VLOOKUP(MID(D1156,LOOKUP(2,1/ISNUMBER(-MID(D1156,1,{1,2,3,4,5})),{1,2,3,4,5})+1,9),'Hue codes'!$A$1:$B$10,2,FALSE)</f>
        <v>90</v>
      </c>
      <c r="C1156">
        <f t="shared" si="18"/>
        <v>95</v>
      </c>
      <c r="D1156" t="s">
        <v>58</v>
      </c>
      <c r="E1156">
        <v>4</v>
      </c>
      <c r="F1156">
        <v>4</v>
      </c>
      <c r="G1156">
        <v>0.34910000000000002</v>
      </c>
      <c r="H1156">
        <v>0.28720000000000001</v>
      </c>
      <c r="I1156">
        <v>12</v>
      </c>
    </row>
    <row r="1157" spans="1:9" x14ac:dyDescent="0.3">
      <c r="A1157">
        <f>LOOKUP(9E+307,--MID(D1157,1,{1,2,3,4,5}))</f>
        <v>5</v>
      </c>
      <c r="B1157">
        <f>VLOOKUP(MID(D1157,LOOKUP(2,1/ISNUMBER(-MID(D1157,1,{1,2,3,4,5})),{1,2,3,4,5})+1,9),'Hue codes'!$A$1:$B$10,2,FALSE)</f>
        <v>90</v>
      </c>
      <c r="C1157">
        <f t="shared" si="18"/>
        <v>95</v>
      </c>
      <c r="D1157" t="s">
        <v>58</v>
      </c>
      <c r="E1157">
        <v>4</v>
      </c>
      <c r="F1157">
        <v>6</v>
      </c>
      <c r="G1157">
        <v>0.36709999999999998</v>
      </c>
      <c r="H1157">
        <v>0.27329999999999999</v>
      </c>
      <c r="I1157">
        <v>12</v>
      </c>
    </row>
    <row r="1158" spans="1:9" x14ac:dyDescent="0.3">
      <c r="A1158">
        <f>LOOKUP(9E+307,--MID(D1158,1,{1,2,3,4,5}))</f>
        <v>5</v>
      </c>
      <c r="B1158">
        <f>VLOOKUP(MID(D1158,LOOKUP(2,1/ISNUMBER(-MID(D1158,1,{1,2,3,4,5})),{1,2,3,4,5})+1,9),'Hue codes'!$A$1:$B$10,2,FALSE)</f>
        <v>90</v>
      </c>
      <c r="C1158">
        <f t="shared" si="18"/>
        <v>95</v>
      </c>
      <c r="D1158" t="s">
        <v>58</v>
      </c>
      <c r="E1158">
        <v>4</v>
      </c>
      <c r="F1158">
        <v>8</v>
      </c>
      <c r="G1158">
        <v>0.38329999999999997</v>
      </c>
      <c r="H1158">
        <v>0.26</v>
      </c>
      <c r="I1158">
        <v>12</v>
      </c>
    </row>
    <row r="1159" spans="1:9" x14ac:dyDescent="0.3">
      <c r="A1159">
        <f>LOOKUP(9E+307,--MID(D1159,1,{1,2,3,4,5}))</f>
        <v>5</v>
      </c>
      <c r="B1159">
        <f>VLOOKUP(MID(D1159,LOOKUP(2,1/ISNUMBER(-MID(D1159,1,{1,2,3,4,5})),{1,2,3,4,5})+1,9),'Hue codes'!$A$1:$B$10,2,FALSE)</f>
        <v>90</v>
      </c>
      <c r="C1159">
        <f t="shared" si="18"/>
        <v>95</v>
      </c>
      <c r="D1159" t="s">
        <v>58</v>
      </c>
      <c r="E1159">
        <v>4</v>
      </c>
      <c r="F1159">
        <v>10</v>
      </c>
      <c r="G1159">
        <v>0.39600000000000002</v>
      </c>
      <c r="H1159">
        <v>0.24890000000000001</v>
      </c>
      <c r="I1159">
        <v>12</v>
      </c>
    </row>
    <row r="1160" spans="1:9" x14ac:dyDescent="0.3">
      <c r="A1160">
        <f>LOOKUP(9E+307,--MID(D1160,1,{1,2,3,4,5}))</f>
        <v>5</v>
      </c>
      <c r="B1160">
        <f>VLOOKUP(MID(D1160,LOOKUP(2,1/ISNUMBER(-MID(D1160,1,{1,2,3,4,5})),{1,2,3,4,5})+1,9),'Hue codes'!$A$1:$B$10,2,FALSE)</f>
        <v>90</v>
      </c>
      <c r="C1160">
        <f t="shared" si="18"/>
        <v>95</v>
      </c>
      <c r="D1160" t="s">
        <v>58</v>
      </c>
      <c r="E1160">
        <v>4</v>
      </c>
      <c r="F1160">
        <v>12</v>
      </c>
      <c r="G1160">
        <v>0.41039999999999999</v>
      </c>
      <c r="H1160">
        <v>0.2361</v>
      </c>
      <c r="I1160">
        <v>12</v>
      </c>
    </row>
    <row r="1161" spans="1:9" x14ac:dyDescent="0.3">
      <c r="A1161">
        <f>LOOKUP(9E+307,--MID(D1161,1,{1,2,3,4,5}))</f>
        <v>5</v>
      </c>
      <c r="B1161">
        <f>VLOOKUP(MID(D1161,LOOKUP(2,1/ISNUMBER(-MID(D1161,1,{1,2,3,4,5})),{1,2,3,4,5})+1,9),'Hue codes'!$A$1:$B$10,2,FALSE)</f>
        <v>90</v>
      </c>
      <c r="C1161">
        <f t="shared" si="18"/>
        <v>95</v>
      </c>
      <c r="D1161" t="s">
        <v>58</v>
      </c>
      <c r="E1161">
        <v>4</v>
      </c>
      <c r="F1161">
        <v>14</v>
      </c>
      <c r="G1161">
        <v>0.42249999999999999</v>
      </c>
      <c r="H1161">
        <v>0.22489999999999999</v>
      </c>
      <c r="I1161">
        <v>12</v>
      </c>
    </row>
    <row r="1162" spans="1:9" x14ac:dyDescent="0.3">
      <c r="A1162">
        <f>LOOKUP(9E+307,--MID(D1162,1,{1,2,3,4,5}))</f>
        <v>5</v>
      </c>
      <c r="B1162">
        <f>VLOOKUP(MID(D1162,LOOKUP(2,1/ISNUMBER(-MID(D1162,1,{1,2,3,4,5})),{1,2,3,4,5})+1,9),'Hue codes'!$A$1:$B$10,2,FALSE)</f>
        <v>90</v>
      </c>
      <c r="C1162">
        <f t="shared" si="18"/>
        <v>95</v>
      </c>
      <c r="D1162" t="s">
        <v>58</v>
      </c>
      <c r="E1162">
        <v>4</v>
      </c>
      <c r="F1162">
        <v>16</v>
      </c>
      <c r="G1162">
        <v>0.43390000000000001</v>
      </c>
      <c r="H1162">
        <v>0.21390000000000001</v>
      </c>
      <c r="I1162">
        <v>12</v>
      </c>
    </row>
    <row r="1163" spans="1:9" x14ac:dyDescent="0.3">
      <c r="A1163">
        <f>LOOKUP(9E+307,--MID(D1163,1,{1,2,3,4,5}))</f>
        <v>5</v>
      </c>
      <c r="B1163">
        <f>VLOOKUP(MID(D1163,LOOKUP(2,1/ISNUMBER(-MID(D1163,1,{1,2,3,4,5})),{1,2,3,4,5})+1,9),'Hue codes'!$A$1:$B$10,2,FALSE)</f>
        <v>90</v>
      </c>
      <c r="C1163">
        <f t="shared" si="18"/>
        <v>95</v>
      </c>
      <c r="D1163" t="s">
        <v>58</v>
      </c>
      <c r="E1163">
        <v>4</v>
      </c>
      <c r="F1163">
        <v>18</v>
      </c>
      <c r="G1163">
        <v>0.44550000000000001</v>
      </c>
      <c r="H1163">
        <v>0.20230000000000001</v>
      </c>
      <c r="I1163">
        <v>12</v>
      </c>
    </row>
    <row r="1164" spans="1:9" x14ac:dyDescent="0.3">
      <c r="A1164">
        <f>LOOKUP(9E+307,--MID(D1164,1,{1,2,3,4,5}))</f>
        <v>5</v>
      </c>
      <c r="B1164">
        <f>VLOOKUP(MID(D1164,LOOKUP(2,1/ISNUMBER(-MID(D1164,1,{1,2,3,4,5})),{1,2,3,4,5})+1,9),'Hue codes'!$A$1:$B$10,2,FALSE)</f>
        <v>90</v>
      </c>
      <c r="C1164">
        <f t="shared" si="18"/>
        <v>95</v>
      </c>
      <c r="D1164" t="s">
        <v>58</v>
      </c>
      <c r="E1164">
        <v>4</v>
      </c>
      <c r="F1164">
        <v>20</v>
      </c>
      <c r="G1164">
        <v>0.45710000000000001</v>
      </c>
      <c r="H1164">
        <v>0.19059999999999999</v>
      </c>
      <c r="I1164">
        <v>12</v>
      </c>
    </row>
    <row r="1165" spans="1:9" x14ac:dyDescent="0.3">
      <c r="A1165">
        <f>LOOKUP(9E+307,--MID(D1165,1,{1,2,3,4,5}))</f>
        <v>5</v>
      </c>
      <c r="B1165">
        <f>VLOOKUP(MID(D1165,LOOKUP(2,1/ISNUMBER(-MID(D1165,1,{1,2,3,4,5})),{1,2,3,4,5})+1,9),'Hue codes'!$A$1:$B$10,2,FALSE)</f>
        <v>90</v>
      </c>
      <c r="C1165">
        <f t="shared" si="18"/>
        <v>95</v>
      </c>
      <c r="D1165" t="s">
        <v>58</v>
      </c>
      <c r="E1165">
        <v>4</v>
      </c>
      <c r="F1165">
        <v>22</v>
      </c>
      <c r="G1165">
        <v>0.46560000000000001</v>
      </c>
      <c r="H1165">
        <v>0.18210000000000001</v>
      </c>
      <c r="I1165">
        <v>12</v>
      </c>
    </row>
    <row r="1166" spans="1:9" x14ac:dyDescent="0.3">
      <c r="A1166">
        <f>LOOKUP(9E+307,--MID(D1166,1,{1,2,3,4,5}))</f>
        <v>7.5</v>
      </c>
      <c r="B1166">
        <f>VLOOKUP(MID(D1166,LOOKUP(2,1/ISNUMBER(-MID(D1166,1,{1,2,3,4,5})),{1,2,3,4,5})+1,9),'Hue codes'!$A$1:$B$10,2,FALSE)</f>
        <v>90</v>
      </c>
      <c r="C1166">
        <f t="shared" si="18"/>
        <v>97.5</v>
      </c>
      <c r="D1166" t="s">
        <v>59</v>
      </c>
      <c r="E1166">
        <v>4</v>
      </c>
      <c r="F1166">
        <v>2</v>
      </c>
      <c r="G1166">
        <v>0.33710000000000001</v>
      </c>
      <c r="H1166">
        <v>0.30609999999999998</v>
      </c>
      <c r="I1166">
        <v>12</v>
      </c>
    </row>
    <row r="1167" spans="1:9" x14ac:dyDescent="0.3">
      <c r="A1167">
        <f>LOOKUP(9E+307,--MID(D1167,1,{1,2,3,4,5}))</f>
        <v>7.5</v>
      </c>
      <c r="B1167">
        <f>VLOOKUP(MID(D1167,LOOKUP(2,1/ISNUMBER(-MID(D1167,1,{1,2,3,4,5})),{1,2,3,4,5})+1,9),'Hue codes'!$A$1:$B$10,2,FALSE)</f>
        <v>90</v>
      </c>
      <c r="C1167">
        <f t="shared" si="18"/>
        <v>97.5</v>
      </c>
      <c r="D1167" t="s">
        <v>59</v>
      </c>
      <c r="E1167">
        <v>4</v>
      </c>
      <c r="F1167">
        <v>4</v>
      </c>
      <c r="G1167">
        <v>0.36120000000000002</v>
      </c>
      <c r="H1167">
        <v>0.29630000000000001</v>
      </c>
      <c r="I1167">
        <v>12</v>
      </c>
    </row>
    <row r="1168" spans="1:9" x14ac:dyDescent="0.3">
      <c r="A1168">
        <f>LOOKUP(9E+307,--MID(D1168,1,{1,2,3,4,5}))</f>
        <v>7.5</v>
      </c>
      <c r="B1168">
        <f>VLOOKUP(MID(D1168,LOOKUP(2,1/ISNUMBER(-MID(D1168,1,{1,2,3,4,5})),{1,2,3,4,5})+1,9),'Hue codes'!$A$1:$B$10,2,FALSE)</f>
        <v>90</v>
      </c>
      <c r="C1168">
        <f t="shared" si="18"/>
        <v>97.5</v>
      </c>
      <c r="D1168" t="s">
        <v>59</v>
      </c>
      <c r="E1168">
        <v>4</v>
      </c>
      <c r="F1168">
        <v>6</v>
      </c>
      <c r="G1168">
        <v>0.38500000000000001</v>
      </c>
      <c r="H1168">
        <v>0.28589999999999999</v>
      </c>
      <c r="I1168">
        <v>12</v>
      </c>
    </row>
    <row r="1169" spans="1:9" x14ac:dyDescent="0.3">
      <c r="A1169">
        <f>LOOKUP(9E+307,--MID(D1169,1,{1,2,3,4,5}))</f>
        <v>7.5</v>
      </c>
      <c r="B1169">
        <f>VLOOKUP(MID(D1169,LOOKUP(2,1/ISNUMBER(-MID(D1169,1,{1,2,3,4,5})),{1,2,3,4,5})+1,9),'Hue codes'!$A$1:$B$10,2,FALSE)</f>
        <v>90</v>
      </c>
      <c r="C1169">
        <f t="shared" si="18"/>
        <v>97.5</v>
      </c>
      <c r="D1169" t="s">
        <v>59</v>
      </c>
      <c r="E1169">
        <v>4</v>
      </c>
      <c r="F1169">
        <v>8</v>
      </c>
      <c r="G1169">
        <v>0.40720000000000001</v>
      </c>
      <c r="H1169">
        <v>0.27500000000000002</v>
      </c>
      <c r="I1169">
        <v>12</v>
      </c>
    </row>
    <row r="1170" spans="1:9" x14ac:dyDescent="0.3">
      <c r="A1170">
        <f>LOOKUP(9E+307,--MID(D1170,1,{1,2,3,4,5}))</f>
        <v>7.5</v>
      </c>
      <c r="B1170">
        <f>VLOOKUP(MID(D1170,LOOKUP(2,1/ISNUMBER(-MID(D1170,1,{1,2,3,4,5})),{1,2,3,4,5})+1,9),'Hue codes'!$A$1:$B$10,2,FALSE)</f>
        <v>90</v>
      </c>
      <c r="C1170">
        <f t="shared" si="18"/>
        <v>97.5</v>
      </c>
      <c r="D1170" t="s">
        <v>59</v>
      </c>
      <c r="E1170">
        <v>4</v>
      </c>
      <c r="F1170">
        <v>10</v>
      </c>
      <c r="G1170">
        <v>0.4259</v>
      </c>
      <c r="H1170">
        <v>0.2651</v>
      </c>
      <c r="I1170">
        <v>12</v>
      </c>
    </row>
    <row r="1171" spans="1:9" x14ac:dyDescent="0.3">
      <c r="A1171">
        <f>LOOKUP(9E+307,--MID(D1171,1,{1,2,3,4,5}))</f>
        <v>7.5</v>
      </c>
      <c r="B1171">
        <f>VLOOKUP(MID(D1171,LOOKUP(2,1/ISNUMBER(-MID(D1171,1,{1,2,3,4,5})),{1,2,3,4,5})+1,9),'Hue codes'!$A$1:$B$10,2,FALSE)</f>
        <v>90</v>
      </c>
      <c r="C1171">
        <f t="shared" si="18"/>
        <v>97.5</v>
      </c>
      <c r="D1171" t="s">
        <v>59</v>
      </c>
      <c r="E1171">
        <v>4</v>
      </c>
      <c r="F1171">
        <v>12</v>
      </c>
      <c r="G1171">
        <v>0.44500000000000001</v>
      </c>
      <c r="H1171">
        <v>0.25409999999999999</v>
      </c>
      <c r="I1171">
        <v>12</v>
      </c>
    </row>
    <row r="1172" spans="1:9" x14ac:dyDescent="0.3">
      <c r="A1172">
        <f>LOOKUP(9E+307,--MID(D1172,1,{1,2,3,4,5}))</f>
        <v>7.5</v>
      </c>
      <c r="B1172">
        <f>VLOOKUP(MID(D1172,LOOKUP(2,1/ISNUMBER(-MID(D1172,1,{1,2,3,4,5})),{1,2,3,4,5})+1,9),'Hue codes'!$A$1:$B$10,2,FALSE)</f>
        <v>90</v>
      </c>
      <c r="C1172">
        <f t="shared" si="18"/>
        <v>97.5</v>
      </c>
      <c r="D1172" t="s">
        <v>59</v>
      </c>
      <c r="E1172">
        <v>4</v>
      </c>
      <c r="F1172">
        <v>14</v>
      </c>
      <c r="G1172">
        <v>0.46289999999999998</v>
      </c>
      <c r="H1172">
        <v>0.2437</v>
      </c>
      <c r="I1172">
        <v>12</v>
      </c>
    </row>
    <row r="1173" spans="1:9" x14ac:dyDescent="0.3">
      <c r="A1173">
        <f>LOOKUP(9E+307,--MID(D1173,1,{1,2,3,4,5}))</f>
        <v>7.5</v>
      </c>
      <c r="B1173">
        <f>VLOOKUP(MID(D1173,LOOKUP(2,1/ISNUMBER(-MID(D1173,1,{1,2,3,4,5})),{1,2,3,4,5})+1,9),'Hue codes'!$A$1:$B$10,2,FALSE)</f>
        <v>90</v>
      </c>
      <c r="C1173">
        <f t="shared" si="18"/>
        <v>97.5</v>
      </c>
      <c r="D1173" t="s">
        <v>59</v>
      </c>
      <c r="E1173">
        <v>4</v>
      </c>
      <c r="F1173">
        <v>16</v>
      </c>
      <c r="G1173">
        <v>0.47989999999999999</v>
      </c>
      <c r="H1173">
        <v>0.2329</v>
      </c>
      <c r="I1173">
        <v>12</v>
      </c>
    </row>
    <row r="1174" spans="1:9" x14ac:dyDescent="0.3">
      <c r="A1174">
        <f>LOOKUP(9E+307,--MID(D1174,1,{1,2,3,4,5}))</f>
        <v>7.5</v>
      </c>
      <c r="B1174">
        <f>VLOOKUP(MID(D1174,LOOKUP(2,1/ISNUMBER(-MID(D1174,1,{1,2,3,4,5})),{1,2,3,4,5})+1,9),'Hue codes'!$A$1:$B$10,2,FALSE)</f>
        <v>90</v>
      </c>
      <c r="C1174">
        <f t="shared" si="18"/>
        <v>97.5</v>
      </c>
      <c r="D1174" t="s">
        <v>59</v>
      </c>
      <c r="E1174">
        <v>4</v>
      </c>
      <c r="F1174">
        <v>18</v>
      </c>
      <c r="G1174">
        <v>0.4965</v>
      </c>
      <c r="H1174">
        <v>0.22170000000000001</v>
      </c>
      <c r="I1174">
        <v>12</v>
      </c>
    </row>
    <row r="1175" spans="1:9" x14ac:dyDescent="0.3">
      <c r="A1175">
        <f>LOOKUP(9E+307,--MID(D1175,1,{1,2,3,4,5}))</f>
        <v>7.5</v>
      </c>
      <c r="B1175">
        <f>VLOOKUP(MID(D1175,LOOKUP(2,1/ISNUMBER(-MID(D1175,1,{1,2,3,4,5})),{1,2,3,4,5})+1,9),'Hue codes'!$A$1:$B$10,2,FALSE)</f>
        <v>90</v>
      </c>
      <c r="C1175">
        <f t="shared" si="18"/>
        <v>97.5</v>
      </c>
      <c r="D1175" t="s">
        <v>59</v>
      </c>
      <c r="E1175">
        <v>4</v>
      </c>
      <c r="F1175">
        <v>20</v>
      </c>
      <c r="G1175">
        <v>0.51300000000000001</v>
      </c>
      <c r="H1175">
        <v>0.21010000000000001</v>
      </c>
      <c r="I1175">
        <v>12</v>
      </c>
    </row>
    <row r="1176" spans="1:9" x14ac:dyDescent="0.3">
      <c r="A1176">
        <f>LOOKUP(9E+307,--MID(D1176,1,{1,2,3,4,5}))</f>
        <v>10</v>
      </c>
      <c r="B1176">
        <f>VLOOKUP(MID(D1176,LOOKUP(2,1/ISNUMBER(-MID(D1176,1,{1,2,3,4,5})),{1,2,3,4,5})+1,9),'Hue codes'!$A$1:$B$10,2,FALSE)</f>
        <v>90</v>
      </c>
      <c r="C1176">
        <f t="shared" si="18"/>
        <v>0</v>
      </c>
      <c r="D1176" t="s">
        <v>20</v>
      </c>
      <c r="E1176">
        <v>5</v>
      </c>
      <c r="F1176">
        <v>2</v>
      </c>
      <c r="G1176">
        <v>0.3332</v>
      </c>
      <c r="H1176">
        <v>0.31309999999999999</v>
      </c>
      <c r="I1176">
        <v>19.77</v>
      </c>
    </row>
    <row r="1177" spans="1:9" x14ac:dyDescent="0.3">
      <c r="A1177">
        <f>LOOKUP(9E+307,--MID(D1177,1,{1,2,3,4,5}))</f>
        <v>10</v>
      </c>
      <c r="B1177">
        <f>VLOOKUP(MID(D1177,LOOKUP(2,1/ISNUMBER(-MID(D1177,1,{1,2,3,4,5})),{1,2,3,4,5})+1,9),'Hue codes'!$A$1:$B$10,2,FALSE)</f>
        <v>90</v>
      </c>
      <c r="C1177">
        <f t="shared" si="18"/>
        <v>0</v>
      </c>
      <c r="D1177" t="s">
        <v>20</v>
      </c>
      <c r="E1177">
        <v>5</v>
      </c>
      <c r="F1177">
        <v>4</v>
      </c>
      <c r="G1177">
        <v>0.3594</v>
      </c>
      <c r="H1177">
        <v>0.309</v>
      </c>
      <c r="I1177">
        <v>19.77</v>
      </c>
    </row>
    <row r="1178" spans="1:9" x14ac:dyDescent="0.3">
      <c r="A1178">
        <f>LOOKUP(9E+307,--MID(D1178,1,{1,2,3,4,5}))</f>
        <v>10</v>
      </c>
      <c r="B1178">
        <f>VLOOKUP(MID(D1178,LOOKUP(2,1/ISNUMBER(-MID(D1178,1,{1,2,3,4,5})),{1,2,3,4,5})+1,9),'Hue codes'!$A$1:$B$10,2,FALSE)</f>
        <v>90</v>
      </c>
      <c r="C1178">
        <f t="shared" si="18"/>
        <v>0</v>
      </c>
      <c r="D1178" t="s">
        <v>20</v>
      </c>
      <c r="E1178">
        <v>5</v>
      </c>
      <c r="F1178">
        <v>6</v>
      </c>
      <c r="G1178">
        <v>0.3851</v>
      </c>
      <c r="H1178">
        <v>0.3039</v>
      </c>
      <c r="I1178">
        <v>19.77</v>
      </c>
    </row>
    <row r="1179" spans="1:9" x14ac:dyDescent="0.3">
      <c r="A1179">
        <f>LOOKUP(9E+307,--MID(D1179,1,{1,2,3,4,5}))</f>
        <v>10</v>
      </c>
      <c r="B1179">
        <f>VLOOKUP(MID(D1179,LOOKUP(2,1/ISNUMBER(-MID(D1179,1,{1,2,3,4,5})),{1,2,3,4,5})+1,9),'Hue codes'!$A$1:$B$10,2,FALSE)</f>
        <v>90</v>
      </c>
      <c r="C1179">
        <f t="shared" si="18"/>
        <v>0</v>
      </c>
      <c r="D1179" t="s">
        <v>20</v>
      </c>
      <c r="E1179">
        <v>5</v>
      </c>
      <c r="F1179">
        <v>8</v>
      </c>
      <c r="G1179">
        <v>0.41049999999999998</v>
      </c>
      <c r="H1179">
        <v>0.29799999999999999</v>
      </c>
      <c r="I1179">
        <v>19.77</v>
      </c>
    </row>
    <row r="1180" spans="1:9" x14ac:dyDescent="0.3">
      <c r="A1180">
        <f>LOOKUP(9E+307,--MID(D1180,1,{1,2,3,4,5}))</f>
        <v>10</v>
      </c>
      <c r="B1180">
        <f>VLOOKUP(MID(D1180,LOOKUP(2,1/ISNUMBER(-MID(D1180,1,{1,2,3,4,5})),{1,2,3,4,5})+1,9),'Hue codes'!$A$1:$B$10,2,FALSE)</f>
        <v>90</v>
      </c>
      <c r="C1180">
        <f t="shared" si="18"/>
        <v>0</v>
      </c>
      <c r="D1180" t="s">
        <v>20</v>
      </c>
      <c r="E1180">
        <v>5</v>
      </c>
      <c r="F1180">
        <v>10</v>
      </c>
      <c r="G1180">
        <v>0.43319999999999997</v>
      </c>
      <c r="H1180">
        <v>0.2918</v>
      </c>
      <c r="I1180">
        <v>19.77</v>
      </c>
    </row>
    <row r="1181" spans="1:9" x14ac:dyDescent="0.3">
      <c r="A1181">
        <f>LOOKUP(9E+307,--MID(D1181,1,{1,2,3,4,5}))</f>
        <v>10</v>
      </c>
      <c r="B1181">
        <f>VLOOKUP(MID(D1181,LOOKUP(2,1/ISNUMBER(-MID(D1181,1,{1,2,3,4,5})),{1,2,3,4,5})+1,9),'Hue codes'!$A$1:$B$10,2,FALSE)</f>
        <v>90</v>
      </c>
      <c r="C1181">
        <f t="shared" si="18"/>
        <v>0</v>
      </c>
      <c r="D1181" t="s">
        <v>20</v>
      </c>
      <c r="E1181">
        <v>5</v>
      </c>
      <c r="F1181">
        <v>12</v>
      </c>
      <c r="G1181">
        <v>0.45789999999999997</v>
      </c>
      <c r="H1181">
        <v>0.28410000000000002</v>
      </c>
      <c r="I1181">
        <v>19.77</v>
      </c>
    </row>
    <row r="1182" spans="1:9" x14ac:dyDescent="0.3">
      <c r="A1182">
        <f>LOOKUP(9E+307,--MID(D1182,1,{1,2,3,4,5}))</f>
        <v>10</v>
      </c>
      <c r="B1182">
        <f>VLOOKUP(MID(D1182,LOOKUP(2,1/ISNUMBER(-MID(D1182,1,{1,2,3,4,5})),{1,2,3,4,5})+1,9),'Hue codes'!$A$1:$B$10,2,FALSE)</f>
        <v>90</v>
      </c>
      <c r="C1182">
        <f t="shared" si="18"/>
        <v>0</v>
      </c>
      <c r="D1182" t="s">
        <v>20</v>
      </c>
      <c r="E1182">
        <v>5</v>
      </c>
      <c r="F1182">
        <v>14</v>
      </c>
      <c r="G1182">
        <v>0.47670000000000001</v>
      </c>
      <c r="H1182">
        <v>0.27760000000000001</v>
      </c>
      <c r="I1182">
        <v>19.77</v>
      </c>
    </row>
    <row r="1183" spans="1:9" x14ac:dyDescent="0.3">
      <c r="A1183">
        <f>LOOKUP(9E+307,--MID(D1183,1,{1,2,3,4,5}))</f>
        <v>10</v>
      </c>
      <c r="B1183">
        <f>VLOOKUP(MID(D1183,LOOKUP(2,1/ISNUMBER(-MID(D1183,1,{1,2,3,4,5})),{1,2,3,4,5})+1,9),'Hue codes'!$A$1:$B$10,2,FALSE)</f>
        <v>90</v>
      </c>
      <c r="C1183">
        <f t="shared" si="18"/>
        <v>0</v>
      </c>
      <c r="D1183" t="s">
        <v>20</v>
      </c>
      <c r="E1183">
        <v>5</v>
      </c>
      <c r="F1183">
        <v>16</v>
      </c>
      <c r="G1183">
        <v>0.49859999999999999</v>
      </c>
      <c r="H1183">
        <v>0.26950000000000002</v>
      </c>
      <c r="I1183">
        <v>19.77</v>
      </c>
    </row>
    <row r="1184" spans="1:9" x14ac:dyDescent="0.3">
      <c r="A1184">
        <f>LOOKUP(9E+307,--MID(D1184,1,{1,2,3,4,5}))</f>
        <v>10</v>
      </c>
      <c r="B1184">
        <f>VLOOKUP(MID(D1184,LOOKUP(2,1/ISNUMBER(-MID(D1184,1,{1,2,3,4,5})),{1,2,3,4,5})+1,9),'Hue codes'!$A$1:$B$10,2,FALSE)</f>
        <v>90</v>
      </c>
      <c r="C1184">
        <f t="shared" si="18"/>
        <v>0</v>
      </c>
      <c r="D1184" t="s">
        <v>20</v>
      </c>
      <c r="E1184">
        <v>5</v>
      </c>
      <c r="F1184">
        <v>18</v>
      </c>
      <c r="G1184">
        <v>0.51849999999999996</v>
      </c>
      <c r="H1184">
        <v>0.26200000000000001</v>
      </c>
      <c r="I1184">
        <v>19.77</v>
      </c>
    </row>
    <row r="1185" spans="1:9" x14ac:dyDescent="0.3">
      <c r="A1185">
        <f>LOOKUP(9E+307,--MID(D1185,1,{1,2,3,4,5}))</f>
        <v>10</v>
      </c>
      <c r="B1185">
        <f>VLOOKUP(MID(D1185,LOOKUP(2,1/ISNUMBER(-MID(D1185,1,{1,2,3,4,5})),{1,2,3,4,5})+1,9),'Hue codes'!$A$1:$B$10,2,FALSE)</f>
        <v>90</v>
      </c>
      <c r="C1185">
        <f t="shared" si="18"/>
        <v>0</v>
      </c>
      <c r="D1185" t="s">
        <v>20</v>
      </c>
      <c r="E1185">
        <v>5</v>
      </c>
      <c r="F1185">
        <v>20</v>
      </c>
      <c r="G1185">
        <v>0.53959999999999997</v>
      </c>
      <c r="H1185">
        <v>0.2535</v>
      </c>
      <c r="I1185">
        <v>19.77</v>
      </c>
    </row>
    <row r="1186" spans="1:9" x14ac:dyDescent="0.3">
      <c r="A1186">
        <f>LOOKUP(9E+307,--MID(D1186,1,{1,2,3,4,5}))</f>
        <v>2.5</v>
      </c>
      <c r="B1186">
        <f>VLOOKUP(MID(D1186,LOOKUP(2,1/ISNUMBER(-MID(D1186,1,{1,2,3,4,5})),{1,2,3,4,5})+1,9),'Hue codes'!$A$1:$B$10,2,FALSE)</f>
        <v>0</v>
      </c>
      <c r="C1186">
        <f t="shared" si="18"/>
        <v>2.5</v>
      </c>
      <c r="D1186" t="s">
        <v>21</v>
      </c>
      <c r="E1186">
        <v>5</v>
      </c>
      <c r="F1186">
        <v>2</v>
      </c>
      <c r="G1186">
        <v>0.33600000000000002</v>
      </c>
      <c r="H1186">
        <v>0.31580000000000003</v>
      </c>
      <c r="I1186">
        <v>19.77</v>
      </c>
    </row>
    <row r="1187" spans="1:9" x14ac:dyDescent="0.3">
      <c r="A1187">
        <f>LOOKUP(9E+307,--MID(D1187,1,{1,2,3,4,5}))</f>
        <v>2.5</v>
      </c>
      <c r="B1187">
        <f>VLOOKUP(MID(D1187,LOOKUP(2,1/ISNUMBER(-MID(D1187,1,{1,2,3,4,5})),{1,2,3,4,5})+1,9),'Hue codes'!$A$1:$B$10,2,FALSE)</f>
        <v>0</v>
      </c>
      <c r="C1187">
        <f t="shared" si="18"/>
        <v>2.5</v>
      </c>
      <c r="D1187" t="s">
        <v>21</v>
      </c>
      <c r="E1187">
        <v>5</v>
      </c>
      <c r="F1187">
        <v>4</v>
      </c>
      <c r="G1187">
        <v>0.36599999999999999</v>
      </c>
      <c r="H1187">
        <v>0.31480000000000002</v>
      </c>
      <c r="I1187">
        <v>19.77</v>
      </c>
    </row>
    <row r="1188" spans="1:9" x14ac:dyDescent="0.3">
      <c r="A1188">
        <f>LOOKUP(9E+307,--MID(D1188,1,{1,2,3,4,5}))</f>
        <v>2.5</v>
      </c>
      <c r="B1188">
        <f>VLOOKUP(MID(D1188,LOOKUP(2,1/ISNUMBER(-MID(D1188,1,{1,2,3,4,5})),{1,2,3,4,5})+1,9),'Hue codes'!$A$1:$B$10,2,FALSE)</f>
        <v>0</v>
      </c>
      <c r="C1188">
        <f t="shared" si="18"/>
        <v>2.5</v>
      </c>
      <c r="D1188" t="s">
        <v>21</v>
      </c>
      <c r="E1188">
        <v>5</v>
      </c>
      <c r="F1188">
        <v>6</v>
      </c>
      <c r="G1188">
        <v>0.39600000000000002</v>
      </c>
      <c r="H1188">
        <v>0.313</v>
      </c>
      <c r="I1188">
        <v>19.77</v>
      </c>
    </row>
    <row r="1189" spans="1:9" x14ac:dyDescent="0.3">
      <c r="A1189">
        <f>LOOKUP(9E+307,--MID(D1189,1,{1,2,3,4,5}))</f>
        <v>2.5</v>
      </c>
      <c r="B1189">
        <f>VLOOKUP(MID(D1189,LOOKUP(2,1/ISNUMBER(-MID(D1189,1,{1,2,3,4,5})),{1,2,3,4,5})+1,9),'Hue codes'!$A$1:$B$10,2,FALSE)</f>
        <v>0</v>
      </c>
      <c r="C1189">
        <f t="shared" si="18"/>
        <v>2.5</v>
      </c>
      <c r="D1189" t="s">
        <v>21</v>
      </c>
      <c r="E1189">
        <v>5</v>
      </c>
      <c r="F1189">
        <v>8</v>
      </c>
      <c r="G1189">
        <v>0.42520000000000002</v>
      </c>
      <c r="H1189">
        <v>0.31009999999999999</v>
      </c>
      <c r="I1189">
        <v>19.77</v>
      </c>
    </row>
    <row r="1190" spans="1:9" x14ac:dyDescent="0.3">
      <c r="A1190">
        <f>LOOKUP(9E+307,--MID(D1190,1,{1,2,3,4,5}))</f>
        <v>2.5</v>
      </c>
      <c r="B1190">
        <f>VLOOKUP(MID(D1190,LOOKUP(2,1/ISNUMBER(-MID(D1190,1,{1,2,3,4,5})),{1,2,3,4,5})+1,9),'Hue codes'!$A$1:$B$10,2,FALSE)</f>
        <v>0</v>
      </c>
      <c r="C1190">
        <f t="shared" si="18"/>
        <v>2.5</v>
      </c>
      <c r="D1190" t="s">
        <v>21</v>
      </c>
      <c r="E1190">
        <v>5</v>
      </c>
      <c r="F1190">
        <v>10</v>
      </c>
      <c r="G1190">
        <v>0.45329999999999998</v>
      </c>
      <c r="H1190">
        <v>0.30580000000000002</v>
      </c>
      <c r="I1190">
        <v>19.77</v>
      </c>
    </row>
    <row r="1191" spans="1:9" x14ac:dyDescent="0.3">
      <c r="A1191">
        <f>LOOKUP(9E+307,--MID(D1191,1,{1,2,3,4,5}))</f>
        <v>2.5</v>
      </c>
      <c r="B1191">
        <f>VLOOKUP(MID(D1191,LOOKUP(2,1/ISNUMBER(-MID(D1191,1,{1,2,3,4,5})),{1,2,3,4,5})+1,9),'Hue codes'!$A$1:$B$10,2,FALSE)</f>
        <v>0</v>
      </c>
      <c r="C1191">
        <f t="shared" si="18"/>
        <v>2.5</v>
      </c>
      <c r="D1191" t="s">
        <v>21</v>
      </c>
      <c r="E1191">
        <v>5</v>
      </c>
      <c r="F1191">
        <v>12</v>
      </c>
      <c r="G1191">
        <v>0.48199999999999998</v>
      </c>
      <c r="H1191">
        <v>0.30020000000000002</v>
      </c>
      <c r="I1191">
        <v>19.77</v>
      </c>
    </row>
    <row r="1192" spans="1:9" x14ac:dyDescent="0.3">
      <c r="A1192">
        <f>LOOKUP(9E+307,--MID(D1192,1,{1,2,3,4,5}))</f>
        <v>2.5</v>
      </c>
      <c r="B1192">
        <f>VLOOKUP(MID(D1192,LOOKUP(2,1/ISNUMBER(-MID(D1192,1,{1,2,3,4,5})),{1,2,3,4,5})+1,9),'Hue codes'!$A$1:$B$10,2,FALSE)</f>
        <v>0</v>
      </c>
      <c r="C1192">
        <f t="shared" si="18"/>
        <v>2.5</v>
      </c>
      <c r="D1192" t="s">
        <v>21</v>
      </c>
      <c r="E1192">
        <v>5</v>
      </c>
      <c r="F1192">
        <v>14</v>
      </c>
      <c r="G1192">
        <v>0.50470000000000004</v>
      </c>
      <c r="H1192">
        <v>0.29499999999999998</v>
      </c>
      <c r="I1192">
        <v>19.77</v>
      </c>
    </row>
    <row r="1193" spans="1:9" x14ac:dyDescent="0.3">
      <c r="A1193">
        <f>LOOKUP(9E+307,--MID(D1193,1,{1,2,3,4,5}))</f>
        <v>2.5</v>
      </c>
      <c r="B1193">
        <f>VLOOKUP(MID(D1193,LOOKUP(2,1/ISNUMBER(-MID(D1193,1,{1,2,3,4,5})),{1,2,3,4,5})+1,9),'Hue codes'!$A$1:$B$10,2,FALSE)</f>
        <v>0</v>
      </c>
      <c r="C1193">
        <f t="shared" si="18"/>
        <v>2.5</v>
      </c>
      <c r="D1193" t="s">
        <v>21</v>
      </c>
      <c r="E1193">
        <v>5</v>
      </c>
      <c r="F1193">
        <v>16</v>
      </c>
      <c r="G1193">
        <v>0.53</v>
      </c>
      <c r="H1193">
        <v>0.28799999999999998</v>
      </c>
      <c r="I1193">
        <v>19.77</v>
      </c>
    </row>
    <row r="1194" spans="1:9" x14ac:dyDescent="0.3">
      <c r="A1194">
        <f>LOOKUP(9E+307,--MID(D1194,1,{1,2,3,4,5}))</f>
        <v>2.5</v>
      </c>
      <c r="B1194">
        <f>VLOOKUP(MID(D1194,LOOKUP(2,1/ISNUMBER(-MID(D1194,1,{1,2,3,4,5})),{1,2,3,4,5})+1,9),'Hue codes'!$A$1:$B$10,2,FALSE)</f>
        <v>0</v>
      </c>
      <c r="C1194">
        <f t="shared" si="18"/>
        <v>2.5</v>
      </c>
      <c r="D1194" t="s">
        <v>21</v>
      </c>
      <c r="E1194">
        <v>5</v>
      </c>
      <c r="F1194">
        <v>18</v>
      </c>
      <c r="G1194">
        <v>0.55400000000000005</v>
      </c>
      <c r="H1194">
        <v>0.28039999999999998</v>
      </c>
      <c r="I1194">
        <v>19.77</v>
      </c>
    </row>
    <row r="1195" spans="1:9" x14ac:dyDescent="0.3">
      <c r="A1195">
        <f>LOOKUP(9E+307,--MID(D1195,1,{1,2,3,4,5}))</f>
        <v>2.5</v>
      </c>
      <c r="B1195">
        <f>VLOOKUP(MID(D1195,LOOKUP(2,1/ISNUMBER(-MID(D1195,1,{1,2,3,4,5})),{1,2,3,4,5})+1,9),'Hue codes'!$A$1:$B$10,2,FALSE)</f>
        <v>0</v>
      </c>
      <c r="C1195">
        <f t="shared" si="18"/>
        <v>2.5</v>
      </c>
      <c r="D1195" t="s">
        <v>21</v>
      </c>
      <c r="E1195">
        <v>5</v>
      </c>
      <c r="F1195">
        <v>20</v>
      </c>
      <c r="G1195">
        <v>0.57840000000000003</v>
      </c>
      <c r="H1195">
        <v>0.27189999999999998</v>
      </c>
      <c r="I1195">
        <v>19.77</v>
      </c>
    </row>
    <row r="1196" spans="1:9" x14ac:dyDescent="0.3">
      <c r="A1196">
        <f>LOOKUP(9E+307,--MID(D1196,1,{1,2,3,4,5}))</f>
        <v>5</v>
      </c>
      <c r="B1196">
        <f>VLOOKUP(MID(D1196,LOOKUP(2,1/ISNUMBER(-MID(D1196,1,{1,2,3,4,5})),{1,2,3,4,5})+1,9),'Hue codes'!$A$1:$B$10,2,FALSE)</f>
        <v>0</v>
      </c>
      <c r="C1196">
        <f t="shared" si="18"/>
        <v>5</v>
      </c>
      <c r="D1196" t="s">
        <v>22</v>
      </c>
      <c r="E1196">
        <v>5</v>
      </c>
      <c r="F1196">
        <v>2</v>
      </c>
      <c r="G1196">
        <v>0.3392</v>
      </c>
      <c r="H1196">
        <v>0.31919999999999998</v>
      </c>
      <c r="I1196">
        <v>19.77</v>
      </c>
    </row>
    <row r="1197" spans="1:9" x14ac:dyDescent="0.3">
      <c r="A1197">
        <f>LOOKUP(9E+307,--MID(D1197,1,{1,2,3,4,5}))</f>
        <v>5</v>
      </c>
      <c r="B1197">
        <f>VLOOKUP(MID(D1197,LOOKUP(2,1/ISNUMBER(-MID(D1197,1,{1,2,3,4,5})),{1,2,3,4,5})+1,9),'Hue codes'!$A$1:$B$10,2,FALSE)</f>
        <v>0</v>
      </c>
      <c r="C1197">
        <f t="shared" si="18"/>
        <v>5</v>
      </c>
      <c r="D1197" t="s">
        <v>22</v>
      </c>
      <c r="E1197">
        <v>5</v>
      </c>
      <c r="F1197">
        <v>4</v>
      </c>
      <c r="G1197">
        <v>0.374</v>
      </c>
      <c r="H1197">
        <v>0.32200000000000001</v>
      </c>
      <c r="I1197">
        <v>19.77</v>
      </c>
    </row>
    <row r="1198" spans="1:9" x14ac:dyDescent="0.3">
      <c r="A1198">
        <f>LOOKUP(9E+307,--MID(D1198,1,{1,2,3,4,5}))</f>
        <v>5</v>
      </c>
      <c r="B1198">
        <f>VLOOKUP(MID(D1198,LOOKUP(2,1/ISNUMBER(-MID(D1198,1,{1,2,3,4,5})),{1,2,3,4,5})+1,9),'Hue codes'!$A$1:$B$10,2,FALSE)</f>
        <v>0</v>
      </c>
      <c r="C1198">
        <f t="shared" si="18"/>
        <v>5</v>
      </c>
      <c r="D1198" t="s">
        <v>22</v>
      </c>
      <c r="E1198">
        <v>5</v>
      </c>
      <c r="F1198">
        <v>6</v>
      </c>
      <c r="G1198">
        <v>0.4078</v>
      </c>
      <c r="H1198">
        <v>0.32379999999999998</v>
      </c>
      <c r="I1198">
        <v>19.77</v>
      </c>
    </row>
    <row r="1199" spans="1:9" x14ac:dyDescent="0.3">
      <c r="A1199">
        <f>LOOKUP(9E+307,--MID(D1199,1,{1,2,3,4,5}))</f>
        <v>5</v>
      </c>
      <c r="B1199">
        <f>VLOOKUP(MID(D1199,LOOKUP(2,1/ISNUMBER(-MID(D1199,1,{1,2,3,4,5})),{1,2,3,4,5})+1,9),'Hue codes'!$A$1:$B$10,2,FALSE)</f>
        <v>0</v>
      </c>
      <c r="C1199">
        <f t="shared" si="18"/>
        <v>5</v>
      </c>
      <c r="D1199" t="s">
        <v>22</v>
      </c>
      <c r="E1199">
        <v>5</v>
      </c>
      <c r="F1199">
        <v>8</v>
      </c>
      <c r="G1199">
        <v>0.44130000000000003</v>
      </c>
      <c r="H1199">
        <v>0.32400000000000001</v>
      </c>
      <c r="I1199">
        <v>19.77</v>
      </c>
    </row>
    <row r="1200" spans="1:9" x14ac:dyDescent="0.3">
      <c r="A1200">
        <f>LOOKUP(9E+307,--MID(D1200,1,{1,2,3,4,5}))</f>
        <v>5</v>
      </c>
      <c r="B1200">
        <f>VLOOKUP(MID(D1200,LOOKUP(2,1/ISNUMBER(-MID(D1200,1,{1,2,3,4,5})),{1,2,3,4,5})+1,9),'Hue codes'!$A$1:$B$10,2,FALSE)</f>
        <v>0</v>
      </c>
      <c r="C1200">
        <f t="shared" si="18"/>
        <v>5</v>
      </c>
      <c r="D1200" t="s">
        <v>22</v>
      </c>
      <c r="E1200">
        <v>5</v>
      </c>
      <c r="F1200">
        <v>10</v>
      </c>
      <c r="G1200">
        <v>0.47470000000000001</v>
      </c>
      <c r="H1200">
        <v>0.32269999999999999</v>
      </c>
      <c r="I1200">
        <v>19.77</v>
      </c>
    </row>
    <row r="1201" spans="1:9" x14ac:dyDescent="0.3">
      <c r="A1201">
        <f>LOOKUP(9E+307,--MID(D1201,1,{1,2,3,4,5}))</f>
        <v>5</v>
      </c>
      <c r="B1201">
        <f>VLOOKUP(MID(D1201,LOOKUP(2,1/ISNUMBER(-MID(D1201,1,{1,2,3,4,5})),{1,2,3,4,5})+1,9),'Hue codes'!$A$1:$B$10,2,FALSE)</f>
        <v>0</v>
      </c>
      <c r="C1201">
        <f t="shared" si="18"/>
        <v>5</v>
      </c>
      <c r="D1201" t="s">
        <v>22</v>
      </c>
      <c r="E1201">
        <v>5</v>
      </c>
      <c r="F1201">
        <v>12</v>
      </c>
      <c r="G1201">
        <v>0.5071</v>
      </c>
      <c r="H1201">
        <v>0.31940000000000002</v>
      </c>
      <c r="I1201">
        <v>19.77</v>
      </c>
    </row>
    <row r="1202" spans="1:9" x14ac:dyDescent="0.3">
      <c r="A1202">
        <f>LOOKUP(9E+307,--MID(D1202,1,{1,2,3,4,5}))</f>
        <v>5</v>
      </c>
      <c r="B1202">
        <f>VLOOKUP(MID(D1202,LOOKUP(2,1/ISNUMBER(-MID(D1202,1,{1,2,3,4,5})),{1,2,3,4,5})+1,9),'Hue codes'!$A$1:$B$10,2,FALSE)</f>
        <v>0</v>
      </c>
      <c r="C1202">
        <f t="shared" si="18"/>
        <v>5</v>
      </c>
      <c r="D1202" t="s">
        <v>22</v>
      </c>
      <c r="E1202">
        <v>5</v>
      </c>
      <c r="F1202">
        <v>14</v>
      </c>
      <c r="G1202">
        <v>0.53410000000000002</v>
      </c>
      <c r="H1202">
        <v>0.31580000000000003</v>
      </c>
      <c r="I1202">
        <v>19.77</v>
      </c>
    </row>
    <row r="1203" spans="1:9" x14ac:dyDescent="0.3">
      <c r="A1203">
        <f>LOOKUP(9E+307,--MID(D1203,1,{1,2,3,4,5}))</f>
        <v>5</v>
      </c>
      <c r="B1203">
        <f>VLOOKUP(MID(D1203,LOOKUP(2,1/ISNUMBER(-MID(D1203,1,{1,2,3,4,5})),{1,2,3,4,5})+1,9),'Hue codes'!$A$1:$B$10,2,FALSE)</f>
        <v>0</v>
      </c>
      <c r="C1203">
        <f t="shared" si="18"/>
        <v>5</v>
      </c>
      <c r="D1203" t="s">
        <v>22</v>
      </c>
      <c r="E1203">
        <v>5</v>
      </c>
      <c r="F1203">
        <v>16</v>
      </c>
      <c r="G1203">
        <v>0.56369999999999998</v>
      </c>
      <c r="H1203">
        <v>0.31019999999999998</v>
      </c>
      <c r="I1203">
        <v>19.77</v>
      </c>
    </row>
    <row r="1204" spans="1:9" x14ac:dyDescent="0.3">
      <c r="A1204">
        <f>LOOKUP(9E+307,--MID(D1204,1,{1,2,3,4,5}))</f>
        <v>5</v>
      </c>
      <c r="B1204">
        <f>VLOOKUP(MID(D1204,LOOKUP(2,1/ISNUMBER(-MID(D1204,1,{1,2,3,4,5})),{1,2,3,4,5})+1,9),'Hue codes'!$A$1:$B$10,2,FALSE)</f>
        <v>0</v>
      </c>
      <c r="C1204">
        <f t="shared" si="18"/>
        <v>5</v>
      </c>
      <c r="D1204" t="s">
        <v>22</v>
      </c>
      <c r="E1204">
        <v>5</v>
      </c>
      <c r="F1204">
        <v>18</v>
      </c>
      <c r="G1204">
        <v>0.59179999999999999</v>
      </c>
      <c r="H1204">
        <v>0.30380000000000001</v>
      </c>
      <c r="I1204">
        <v>19.77</v>
      </c>
    </row>
    <row r="1205" spans="1:9" x14ac:dyDescent="0.3">
      <c r="A1205">
        <f>LOOKUP(9E+307,--MID(D1205,1,{1,2,3,4,5}))</f>
        <v>5</v>
      </c>
      <c r="B1205">
        <f>VLOOKUP(MID(D1205,LOOKUP(2,1/ISNUMBER(-MID(D1205,1,{1,2,3,4,5})),{1,2,3,4,5})+1,9),'Hue codes'!$A$1:$B$10,2,FALSE)</f>
        <v>0</v>
      </c>
      <c r="C1205">
        <f t="shared" si="18"/>
        <v>5</v>
      </c>
      <c r="D1205" t="s">
        <v>22</v>
      </c>
      <c r="E1205">
        <v>5</v>
      </c>
      <c r="F1205">
        <v>20</v>
      </c>
      <c r="G1205">
        <v>0.61419999999999997</v>
      </c>
      <c r="H1205">
        <v>0.29699999999999999</v>
      </c>
      <c r="I1205">
        <v>19.77</v>
      </c>
    </row>
    <row r="1206" spans="1:9" x14ac:dyDescent="0.3">
      <c r="A1206">
        <f>LOOKUP(9E+307,--MID(D1206,1,{1,2,3,4,5}))</f>
        <v>7.5</v>
      </c>
      <c r="B1206">
        <f>VLOOKUP(MID(D1206,LOOKUP(2,1/ISNUMBER(-MID(D1206,1,{1,2,3,4,5})),{1,2,3,4,5})+1,9),'Hue codes'!$A$1:$B$10,2,FALSE)</f>
        <v>0</v>
      </c>
      <c r="C1206">
        <f t="shared" si="18"/>
        <v>7.5</v>
      </c>
      <c r="D1206" t="s">
        <v>23</v>
      </c>
      <c r="E1206">
        <v>5</v>
      </c>
      <c r="F1206">
        <v>2</v>
      </c>
      <c r="G1206">
        <v>0.34250000000000003</v>
      </c>
      <c r="H1206">
        <v>0.32290000000000002</v>
      </c>
      <c r="I1206">
        <v>19.77</v>
      </c>
    </row>
    <row r="1207" spans="1:9" x14ac:dyDescent="0.3">
      <c r="A1207">
        <f>LOOKUP(9E+307,--MID(D1207,1,{1,2,3,4,5}))</f>
        <v>7.5</v>
      </c>
      <c r="B1207">
        <f>VLOOKUP(MID(D1207,LOOKUP(2,1/ISNUMBER(-MID(D1207,1,{1,2,3,4,5})),{1,2,3,4,5})+1,9),'Hue codes'!$A$1:$B$10,2,FALSE)</f>
        <v>0</v>
      </c>
      <c r="C1207">
        <f t="shared" si="18"/>
        <v>7.5</v>
      </c>
      <c r="D1207" t="s">
        <v>23</v>
      </c>
      <c r="E1207">
        <v>5</v>
      </c>
      <c r="F1207">
        <v>4</v>
      </c>
      <c r="G1207">
        <v>0.38059999999999999</v>
      </c>
      <c r="H1207">
        <v>0.32940000000000003</v>
      </c>
      <c r="I1207">
        <v>19.77</v>
      </c>
    </row>
    <row r="1208" spans="1:9" x14ac:dyDescent="0.3">
      <c r="A1208">
        <f>LOOKUP(9E+307,--MID(D1208,1,{1,2,3,4,5}))</f>
        <v>7.5</v>
      </c>
      <c r="B1208">
        <f>VLOOKUP(MID(D1208,LOOKUP(2,1/ISNUMBER(-MID(D1208,1,{1,2,3,4,5})),{1,2,3,4,5})+1,9),'Hue codes'!$A$1:$B$10,2,FALSE)</f>
        <v>0</v>
      </c>
      <c r="C1208">
        <f t="shared" si="18"/>
        <v>7.5</v>
      </c>
      <c r="D1208" t="s">
        <v>23</v>
      </c>
      <c r="E1208">
        <v>5</v>
      </c>
      <c r="F1208">
        <v>6</v>
      </c>
      <c r="G1208">
        <v>0.41799999999999998</v>
      </c>
      <c r="H1208">
        <v>0.33479999999999999</v>
      </c>
      <c r="I1208">
        <v>19.77</v>
      </c>
    </row>
    <row r="1209" spans="1:9" x14ac:dyDescent="0.3">
      <c r="A1209">
        <f>LOOKUP(9E+307,--MID(D1209,1,{1,2,3,4,5}))</f>
        <v>7.5</v>
      </c>
      <c r="B1209">
        <f>VLOOKUP(MID(D1209,LOOKUP(2,1/ISNUMBER(-MID(D1209,1,{1,2,3,4,5})),{1,2,3,4,5})+1,9),'Hue codes'!$A$1:$B$10,2,FALSE)</f>
        <v>0</v>
      </c>
      <c r="C1209">
        <f t="shared" si="18"/>
        <v>7.5</v>
      </c>
      <c r="D1209" t="s">
        <v>23</v>
      </c>
      <c r="E1209">
        <v>5</v>
      </c>
      <c r="F1209">
        <v>8</v>
      </c>
      <c r="G1209">
        <v>0.45629999999999998</v>
      </c>
      <c r="H1209">
        <v>0.3387</v>
      </c>
      <c r="I1209">
        <v>19.77</v>
      </c>
    </row>
    <row r="1210" spans="1:9" x14ac:dyDescent="0.3">
      <c r="A1210">
        <f>LOOKUP(9E+307,--MID(D1210,1,{1,2,3,4,5}))</f>
        <v>7.5</v>
      </c>
      <c r="B1210">
        <f>VLOOKUP(MID(D1210,LOOKUP(2,1/ISNUMBER(-MID(D1210,1,{1,2,3,4,5})),{1,2,3,4,5})+1,9),'Hue codes'!$A$1:$B$10,2,FALSE)</f>
        <v>0</v>
      </c>
      <c r="C1210">
        <f t="shared" si="18"/>
        <v>7.5</v>
      </c>
      <c r="D1210" t="s">
        <v>23</v>
      </c>
      <c r="E1210">
        <v>5</v>
      </c>
      <c r="F1210">
        <v>10</v>
      </c>
      <c r="G1210">
        <v>0.49270000000000003</v>
      </c>
      <c r="H1210">
        <v>0.33989999999999998</v>
      </c>
      <c r="I1210">
        <v>19.77</v>
      </c>
    </row>
    <row r="1211" spans="1:9" x14ac:dyDescent="0.3">
      <c r="A1211">
        <f>LOOKUP(9E+307,--MID(D1211,1,{1,2,3,4,5}))</f>
        <v>7.5</v>
      </c>
      <c r="B1211">
        <f>VLOOKUP(MID(D1211,LOOKUP(2,1/ISNUMBER(-MID(D1211,1,{1,2,3,4,5})),{1,2,3,4,5})+1,9),'Hue codes'!$A$1:$B$10,2,FALSE)</f>
        <v>0</v>
      </c>
      <c r="C1211">
        <f t="shared" si="18"/>
        <v>7.5</v>
      </c>
      <c r="D1211" t="s">
        <v>23</v>
      </c>
      <c r="E1211">
        <v>5</v>
      </c>
      <c r="F1211">
        <v>12</v>
      </c>
      <c r="G1211">
        <v>0.52800000000000002</v>
      </c>
      <c r="H1211">
        <v>0.33889999999999998</v>
      </c>
      <c r="I1211">
        <v>19.77</v>
      </c>
    </row>
    <row r="1212" spans="1:9" x14ac:dyDescent="0.3">
      <c r="A1212">
        <f>LOOKUP(9E+307,--MID(D1212,1,{1,2,3,4,5}))</f>
        <v>7.5</v>
      </c>
      <c r="B1212">
        <f>VLOOKUP(MID(D1212,LOOKUP(2,1/ISNUMBER(-MID(D1212,1,{1,2,3,4,5})),{1,2,3,4,5})+1,9),'Hue codes'!$A$1:$B$10,2,FALSE)</f>
        <v>0</v>
      </c>
      <c r="C1212">
        <f t="shared" si="18"/>
        <v>7.5</v>
      </c>
      <c r="D1212" t="s">
        <v>23</v>
      </c>
      <c r="E1212">
        <v>5</v>
      </c>
      <c r="F1212">
        <v>14</v>
      </c>
      <c r="G1212">
        <v>0.55900000000000005</v>
      </c>
      <c r="H1212">
        <v>0.33700000000000002</v>
      </c>
      <c r="I1212">
        <v>19.77</v>
      </c>
    </row>
    <row r="1213" spans="1:9" x14ac:dyDescent="0.3">
      <c r="A1213">
        <f>LOOKUP(9E+307,--MID(D1213,1,{1,2,3,4,5}))</f>
        <v>7.5</v>
      </c>
      <c r="B1213">
        <f>VLOOKUP(MID(D1213,LOOKUP(2,1/ISNUMBER(-MID(D1213,1,{1,2,3,4,5})),{1,2,3,4,5})+1,9),'Hue codes'!$A$1:$B$10,2,FALSE)</f>
        <v>0</v>
      </c>
      <c r="C1213">
        <f t="shared" si="18"/>
        <v>7.5</v>
      </c>
      <c r="D1213" t="s">
        <v>23</v>
      </c>
      <c r="E1213">
        <v>5</v>
      </c>
      <c r="F1213">
        <v>16</v>
      </c>
      <c r="G1213">
        <v>0.59009999999999996</v>
      </c>
      <c r="H1213">
        <v>0.33310000000000001</v>
      </c>
      <c r="I1213">
        <v>19.77</v>
      </c>
    </row>
    <row r="1214" spans="1:9" x14ac:dyDescent="0.3">
      <c r="A1214">
        <f>LOOKUP(9E+307,--MID(D1214,1,{1,2,3,4,5}))</f>
        <v>7.5</v>
      </c>
      <c r="B1214">
        <f>VLOOKUP(MID(D1214,LOOKUP(2,1/ISNUMBER(-MID(D1214,1,{1,2,3,4,5})),{1,2,3,4,5})+1,9),'Hue codes'!$A$1:$B$10,2,FALSE)</f>
        <v>0</v>
      </c>
      <c r="C1214">
        <f t="shared" si="18"/>
        <v>7.5</v>
      </c>
      <c r="D1214" t="s">
        <v>23</v>
      </c>
      <c r="E1214">
        <v>5</v>
      </c>
      <c r="F1214">
        <v>18</v>
      </c>
      <c r="G1214">
        <v>0.61609999999999998</v>
      </c>
      <c r="H1214">
        <v>0.32769999999999999</v>
      </c>
      <c r="I1214">
        <v>19.77</v>
      </c>
    </row>
    <row r="1215" spans="1:9" x14ac:dyDescent="0.3">
      <c r="A1215">
        <f>LOOKUP(9E+307,--MID(D1215,1,{1,2,3,4,5}))</f>
        <v>7.5</v>
      </c>
      <c r="B1215">
        <f>VLOOKUP(MID(D1215,LOOKUP(2,1/ISNUMBER(-MID(D1215,1,{1,2,3,4,5})),{1,2,3,4,5})+1,9),'Hue codes'!$A$1:$B$10,2,FALSE)</f>
        <v>0</v>
      </c>
      <c r="C1215">
        <f t="shared" si="18"/>
        <v>7.5</v>
      </c>
      <c r="D1215" t="s">
        <v>23</v>
      </c>
      <c r="E1215">
        <v>5</v>
      </c>
      <c r="F1215">
        <v>20</v>
      </c>
      <c r="G1215">
        <v>0.63880000000000003</v>
      </c>
      <c r="H1215">
        <v>0.3216</v>
      </c>
      <c r="I1215">
        <v>19.77</v>
      </c>
    </row>
    <row r="1216" spans="1:9" x14ac:dyDescent="0.3">
      <c r="A1216">
        <f>LOOKUP(9E+307,--MID(D1216,1,{1,2,3,4,5}))</f>
        <v>10</v>
      </c>
      <c r="B1216">
        <f>VLOOKUP(MID(D1216,LOOKUP(2,1/ISNUMBER(-MID(D1216,1,{1,2,3,4,5})),{1,2,3,4,5})+1,9),'Hue codes'!$A$1:$B$10,2,FALSE)</f>
        <v>0</v>
      </c>
      <c r="C1216">
        <f t="shared" si="18"/>
        <v>10</v>
      </c>
      <c r="D1216" t="s">
        <v>24</v>
      </c>
      <c r="E1216">
        <v>5</v>
      </c>
      <c r="F1216">
        <v>2</v>
      </c>
      <c r="G1216">
        <v>0.34649999999999997</v>
      </c>
      <c r="H1216">
        <v>0.32779999999999998</v>
      </c>
      <c r="I1216">
        <v>19.77</v>
      </c>
    </row>
    <row r="1217" spans="1:9" x14ac:dyDescent="0.3">
      <c r="A1217">
        <f>LOOKUP(9E+307,--MID(D1217,1,{1,2,3,4,5}))</f>
        <v>10</v>
      </c>
      <c r="B1217">
        <f>VLOOKUP(MID(D1217,LOOKUP(2,1/ISNUMBER(-MID(D1217,1,{1,2,3,4,5})),{1,2,3,4,5})+1,9),'Hue codes'!$A$1:$B$10,2,FALSE)</f>
        <v>0</v>
      </c>
      <c r="C1217">
        <f t="shared" si="18"/>
        <v>10</v>
      </c>
      <c r="D1217" t="s">
        <v>24</v>
      </c>
      <c r="E1217">
        <v>5</v>
      </c>
      <c r="F1217">
        <v>4</v>
      </c>
      <c r="G1217">
        <v>0.38790000000000002</v>
      </c>
      <c r="H1217">
        <v>0.33979999999999999</v>
      </c>
      <c r="I1217">
        <v>19.77</v>
      </c>
    </row>
    <row r="1218" spans="1:9" x14ac:dyDescent="0.3">
      <c r="A1218">
        <f>LOOKUP(9E+307,--MID(D1218,1,{1,2,3,4,5}))</f>
        <v>10</v>
      </c>
      <c r="B1218">
        <f>VLOOKUP(MID(D1218,LOOKUP(2,1/ISNUMBER(-MID(D1218,1,{1,2,3,4,5})),{1,2,3,4,5})+1,9),'Hue codes'!$A$1:$B$10,2,FALSE)</f>
        <v>0</v>
      </c>
      <c r="C1218">
        <f t="shared" si="18"/>
        <v>10</v>
      </c>
      <c r="D1218" t="s">
        <v>24</v>
      </c>
      <c r="E1218">
        <v>5</v>
      </c>
      <c r="F1218">
        <v>6</v>
      </c>
      <c r="G1218">
        <v>0.4299</v>
      </c>
      <c r="H1218">
        <v>0.34989999999999999</v>
      </c>
      <c r="I1218">
        <v>19.77</v>
      </c>
    </row>
    <row r="1219" spans="1:9" x14ac:dyDescent="0.3">
      <c r="A1219">
        <f>LOOKUP(9E+307,--MID(D1219,1,{1,2,3,4,5}))</f>
        <v>10</v>
      </c>
      <c r="B1219">
        <f>VLOOKUP(MID(D1219,LOOKUP(2,1/ISNUMBER(-MID(D1219,1,{1,2,3,4,5})),{1,2,3,4,5})+1,9),'Hue codes'!$A$1:$B$10,2,FALSE)</f>
        <v>0</v>
      </c>
      <c r="C1219">
        <f t="shared" ref="C1219:C1282" si="19">IF(A1219+B1219=100,0,A1219+B1219)</f>
        <v>10</v>
      </c>
      <c r="D1219" t="s">
        <v>24</v>
      </c>
      <c r="E1219">
        <v>5</v>
      </c>
      <c r="F1219">
        <v>8</v>
      </c>
      <c r="G1219">
        <v>0.4713</v>
      </c>
      <c r="H1219">
        <v>0.35749999999999998</v>
      </c>
      <c r="I1219">
        <v>19.77</v>
      </c>
    </row>
    <row r="1220" spans="1:9" x14ac:dyDescent="0.3">
      <c r="A1220">
        <f>LOOKUP(9E+307,--MID(D1220,1,{1,2,3,4,5}))</f>
        <v>10</v>
      </c>
      <c r="B1220">
        <f>VLOOKUP(MID(D1220,LOOKUP(2,1/ISNUMBER(-MID(D1220,1,{1,2,3,4,5})),{1,2,3,4,5})+1,9),'Hue codes'!$A$1:$B$10,2,FALSE)</f>
        <v>0</v>
      </c>
      <c r="C1220">
        <f t="shared" si="19"/>
        <v>10</v>
      </c>
      <c r="D1220" t="s">
        <v>24</v>
      </c>
      <c r="E1220">
        <v>5</v>
      </c>
      <c r="F1220">
        <v>10</v>
      </c>
      <c r="G1220">
        <v>0.51129999999999998</v>
      </c>
      <c r="H1220">
        <v>0.36299999999999999</v>
      </c>
      <c r="I1220">
        <v>19.77</v>
      </c>
    </row>
    <row r="1221" spans="1:9" x14ac:dyDescent="0.3">
      <c r="A1221">
        <f>LOOKUP(9E+307,--MID(D1221,1,{1,2,3,4,5}))</f>
        <v>10</v>
      </c>
      <c r="B1221">
        <f>VLOOKUP(MID(D1221,LOOKUP(2,1/ISNUMBER(-MID(D1221,1,{1,2,3,4,5})),{1,2,3,4,5})+1,9),'Hue codes'!$A$1:$B$10,2,FALSE)</f>
        <v>0</v>
      </c>
      <c r="C1221">
        <f t="shared" si="19"/>
        <v>10</v>
      </c>
      <c r="D1221" t="s">
        <v>24</v>
      </c>
      <c r="E1221">
        <v>5</v>
      </c>
      <c r="F1221">
        <v>12</v>
      </c>
      <c r="G1221">
        <v>0.54810000000000003</v>
      </c>
      <c r="H1221">
        <v>0.36599999999999999</v>
      </c>
      <c r="I1221">
        <v>19.77</v>
      </c>
    </row>
    <row r="1222" spans="1:9" x14ac:dyDescent="0.3">
      <c r="A1222">
        <f>LOOKUP(9E+307,--MID(D1222,1,{1,2,3,4,5}))</f>
        <v>10</v>
      </c>
      <c r="B1222">
        <f>VLOOKUP(MID(D1222,LOOKUP(2,1/ISNUMBER(-MID(D1222,1,{1,2,3,4,5})),{1,2,3,4,5})+1,9),'Hue codes'!$A$1:$B$10,2,FALSE)</f>
        <v>0</v>
      </c>
      <c r="C1222">
        <f t="shared" si="19"/>
        <v>10</v>
      </c>
      <c r="D1222" t="s">
        <v>24</v>
      </c>
      <c r="E1222">
        <v>5</v>
      </c>
      <c r="F1222">
        <v>14</v>
      </c>
      <c r="G1222">
        <v>0.57709999999999995</v>
      </c>
      <c r="H1222">
        <v>0.3664</v>
      </c>
      <c r="I1222">
        <v>19.77</v>
      </c>
    </row>
    <row r="1223" spans="1:9" x14ac:dyDescent="0.3">
      <c r="A1223">
        <f>LOOKUP(9E+307,--MID(D1223,1,{1,2,3,4,5}))</f>
        <v>10</v>
      </c>
      <c r="B1223">
        <f>VLOOKUP(MID(D1223,LOOKUP(2,1/ISNUMBER(-MID(D1223,1,{1,2,3,4,5})),{1,2,3,4,5})+1,9),'Hue codes'!$A$1:$B$10,2,FALSE)</f>
        <v>0</v>
      </c>
      <c r="C1223">
        <f t="shared" si="19"/>
        <v>10</v>
      </c>
      <c r="D1223" t="s">
        <v>24</v>
      </c>
      <c r="E1223">
        <v>5</v>
      </c>
      <c r="F1223">
        <v>16</v>
      </c>
      <c r="G1223">
        <v>0.60370000000000001</v>
      </c>
      <c r="H1223">
        <v>0.36570000000000003</v>
      </c>
      <c r="I1223">
        <v>19.77</v>
      </c>
    </row>
    <row r="1224" spans="1:9" x14ac:dyDescent="0.3">
      <c r="A1224">
        <f>LOOKUP(9E+307,--MID(D1224,1,{1,2,3,4,5}))</f>
        <v>10</v>
      </c>
      <c r="B1224">
        <f>VLOOKUP(MID(D1224,LOOKUP(2,1/ISNUMBER(-MID(D1224,1,{1,2,3,4,5})),{1,2,3,4,5})+1,9),'Hue codes'!$A$1:$B$10,2,FALSE)</f>
        <v>0</v>
      </c>
      <c r="C1224">
        <f t="shared" si="19"/>
        <v>10</v>
      </c>
      <c r="D1224" t="s">
        <v>24</v>
      </c>
      <c r="E1224">
        <v>5</v>
      </c>
      <c r="F1224">
        <v>18</v>
      </c>
      <c r="G1224">
        <v>0.62970000000000004</v>
      </c>
      <c r="H1224">
        <v>0.36420000000000002</v>
      </c>
      <c r="I1224">
        <v>19.77</v>
      </c>
    </row>
    <row r="1225" spans="1:9" x14ac:dyDescent="0.3">
      <c r="A1225">
        <f>LOOKUP(9E+307,--MID(D1225,1,{1,2,3,4,5}))</f>
        <v>2.5</v>
      </c>
      <c r="B1225">
        <f>VLOOKUP(MID(D1225,LOOKUP(2,1/ISNUMBER(-MID(D1225,1,{1,2,3,4,5})),{1,2,3,4,5})+1,9),'Hue codes'!$A$1:$B$10,2,FALSE)</f>
        <v>10</v>
      </c>
      <c r="C1225">
        <f t="shared" si="19"/>
        <v>12.5</v>
      </c>
      <c r="D1225" t="s">
        <v>25</v>
      </c>
      <c r="E1225">
        <v>5</v>
      </c>
      <c r="F1225">
        <v>2</v>
      </c>
      <c r="G1225">
        <v>0.35060000000000002</v>
      </c>
      <c r="H1225">
        <v>0.3337</v>
      </c>
      <c r="I1225">
        <v>19.77</v>
      </c>
    </row>
    <row r="1226" spans="1:9" x14ac:dyDescent="0.3">
      <c r="A1226">
        <f>LOOKUP(9E+307,--MID(D1226,1,{1,2,3,4,5}))</f>
        <v>2.5</v>
      </c>
      <c r="B1226">
        <f>VLOOKUP(MID(D1226,LOOKUP(2,1/ISNUMBER(-MID(D1226,1,{1,2,3,4,5})),{1,2,3,4,5})+1,9),'Hue codes'!$A$1:$B$10,2,FALSE)</f>
        <v>10</v>
      </c>
      <c r="C1226">
        <f t="shared" si="19"/>
        <v>12.5</v>
      </c>
      <c r="D1226" t="s">
        <v>25</v>
      </c>
      <c r="E1226">
        <v>5</v>
      </c>
      <c r="F1226">
        <v>4</v>
      </c>
      <c r="G1226">
        <v>0.39250000000000002</v>
      </c>
      <c r="H1226">
        <v>0.34939999999999999</v>
      </c>
      <c r="I1226">
        <v>19.77</v>
      </c>
    </row>
    <row r="1227" spans="1:9" x14ac:dyDescent="0.3">
      <c r="A1227">
        <f>LOOKUP(9E+307,--MID(D1227,1,{1,2,3,4,5}))</f>
        <v>2.5</v>
      </c>
      <c r="B1227">
        <f>VLOOKUP(MID(D1227,LOOKUP(2,1/ISNUMBER(-MID(D1227,1,{1,2,3,4,5})),{1,2,3,4,5})+1,9),'Hue codes'!$A$1:$B$10,2,FALSE)</f>
        <v>10</v>
      </c>
      <c r="C1227">
        <f t="shared" si="19"/>
        <v>12.5</v>
      </c>
      <c r="D1227" t="s">
        <v>25</v>
      </c>
      <c r="E1227">
        <v>5</v>
      </c>
      <c r="F1227">
        <v>6</v>
      </c>
      <c r="G1227">
        <v>0.4365</v>
      </c>
      <c r="H1227">
        <v>0.36399999999999999</v>
      </c>
      <c r="I1227">
        <v>19.77</v>
      </c>
    </row>
    <row r="1228" spans="1:9" x14ac:dyDescent="0.3">
      <c r="A1228">
        <f>LOOKUP(9E+307,--MID(D1228,1,{1,2,3,4,5}))</f>
        <v>2.5</v>
      </c>
      <c r="B1228">
        <f>VLOOKUP(MID(D1228,LOOKUP(2,1/ISNUMBER(-MID(D1228,1,{1,2,3,4,5})),{1,2,3,4,5})+1,9),'Hue codes'!$A$1:$B$10,2,FALSE)</f>
        <v>10</v>
      </c>
      <c r="C1228">
        <f t="shared" si="19"/>
        <v>12.5</v>
      </c>
      <c r="D1228" t="s">
        <v>25</v>
      </c>
      <c r="E1228">
        <v>5</v>
      </c>
      <c r="F1228">
        <v>8</v>
      </c>
      <c r="G1228">
        <v>0.47949999999999998</v>
      </c>
      <c r="H1228">
        <v>0.37580000000000002</v>
      </c>
      <c r="I1228">
        <v>19.77</v>
      </c>
    </row>
    <row r="1229" spans="1:9" x14ac:dyDescent="0.3">
      <c r="A1229">
        <f>LOOKUP(9E+307,--MID(D1229,1,{1,2,3,4,5}))</f>
        <v>2.5</v>
      </c>
      <c r="B1229">
        <f>VLOOKUP(MID(D1229,LOOKUP(2,1/ISNUMBER(-MID(D1229,1,{1,2,3,4,5})),{1,2,3,4,5})+1,9),'Hue codes'!$A$1:$B$10,2,FALSE)</f>
        <v>10</v>
      </c>
      <c r="C1229">
        <f t="shared" si="19"/>
        <v>12.5</v>
      </c>
      <c r="D1229" t="s">
        <v>25</v>
      </c>
      <c r="E1229">
        <v>5</v>
      </c>
      <c r="F1229">
        <v>10</v>
      </c>
      <c r="G1229">
        <v>0.51749999999999996</v>
      </c>
      <c r="H1229">
        <v>0.38440000000000002</v>
      </c>
      <c r="I1229">
        <v>19.77</v>
      </c>
    </row>
    <row r="1230" spans="1:9" x14ac:dyDescent="0.3">
      <c r="A1230">
        <f>LOOKUP(9E+307,--MID(D1230,1,{1,2,3,4,5}))</f>
        <v>2.5</v>
      </c>
      <c r="B1230">
        <f>VLOOKUP(MID(D1230,LOOKUP(2,1/ISNUMBER(-MID(D1230,1,{1,2,3,4,5})),{1,2,3,4,5})+1,9),'Hue codes'!$A$1:$B$10,2,FALSE)</f>
        <v>10</v>
      </c>
      <c r="C1230">
        <f t="shared" si="19"/>
        <v>12.5</v>
      </c>
      <c r="D1230" t="s">
        <v>25</v>
      </c>
      <c r="E1230">
        <v>5</v>
      </c>
      <c r="F1230">
        <v>12</v>
      </c>
      <c r="G1230">
        <v>0.54820000000000002</v>
      </c>
      <c r="H1230">
        <v>0.39090000000000003</v>
      </c>
      <c r="I1230">
        <v>19.77</v>
      </c>
    </row>
    <row r="1231" spans="1:9" x14ac:dyDescent="0.3">
      <c r="A1231">
        <f>LOOKUP(9E+307,--MID(D1231,1,{1,2,3,4,5}))</f>
        <v>2.5</v>
      </c>
      <c r="B1231">
        <f>VLOOKUP(MID(D1231,LOOKUP(2,1/ISNUMBER(-MID(D1231,1,{1,2,3,4,5})),{1,2,3,4,5})+1,9),'Hue codes'!$A$1:$B$10,2,FALSE)</f>
        <v>10</v>
      </c>
      <c r="C1231">
        <f t="shared" si="19"/>
        <v>12.5</v>
      </c>
      <c r="D1231" t="s">
        <v>25</v>
      </c>
      <c r="E1231">
        <v>5</v>
      </c>
      <c r="F1231">
        <v>14</v>
      </c>
      <c r="G1231">
        <v>0.57310000000000005</v>
      </c>
      <c r="H1231">
        <v>0.39529999999999998</v>
      </c>
      <c r="I1231">
        <v>19.77</v>
      </c>
    </row>
    <row r="1232" spans="1:9" x14ac:dyDescent="0.3">
      <c r="A1232">
        <f>LOOKUP(9E+307,--MID(D1232,1,{1,2,3,4,5}))</f>
        <v>2.5</v>
      </c>
      <c r="B1232">
        <f>VLOOKUP(MID(D1232,LOOKUP(2,1/ISNUMBER(-MID(D1232,1,{1,2,3,4,5})),{1,2,3,4,5})+1,9),'Hue codes'!$A$1:$B$10,2,FALSE)</f>
        <v>10</v>
      </c>
      <c r="C1232">
        <f t="shared" si="19"/>
        <v>12.5</v>
      </c>
      <c r="D1232" t="s">
        <v>25</v>
      </c>
      <c r="E1232">
        <v>5</v>
      </c>
      <c r="F1232">
        <v>16</v>
      </c>
      <c r="G1232">
        <v>0.59330000000000005</v>
      </c>
      <c r="H1232">
        <v>0.39889999999999998</v>
      </c>
      <c r="I1232">
        <v>19.77</v>
      </c>
    </row>
    <row r="1233" spans="1:9" x14ac:dyDescent="0.3">
      <c r="A1233">
        <f>LOOKUP(9E+307,--MID(D1233,1,{1,2,3,4,5}))</f>
        <v>5</v>
      </c>
      <c r="B1233">
        <f>VLOOKUP(MID(D1233,LOOKUP(2,1/ISNUMBER(-MID(D1233,1,{1,2,3,4,5})),{1,2,3,4,5})+1,9),'Hue codes'!$A$1:$B$10,2,FALSE)</f>
        <v>10</v>
      </c>
      <c r="C1233">
        <f t="shared" si="19"/>
        <v>15</v>
      </c>
      <c r="D1233" t="s">
        <v>26</v>
      </c>
      <c r="E1233">
        <v>5</v>
      </c>
      <c r="F1233">
        <v>2</v>
      </c>
      <c r="G1233">
        <v>0.35299999999999998</v>
      </c>
      <c r="H1233">
        <v>0.33950000000000002</v>
      </c>
      <c r="I1233">
        <v>19.77</v>
      </c>
    </row>
    <row r="1234" spans="1:9" x14ac:dyDescent="0.3">
      <c r="A1234">
        <f>LOOKUP(9E+307,--MID(D1234,1,{1,2,3,4,5}))</f>
        <v>5</v>
      </c>
      <c r="B1234">
        <f>VLOOKUP(MID(D1234,LOOKUP(2,1/ISNUMBER(-MID(D1234,1,{1,2,3,4,5})),{1,2,3,4,5})+1,9),'Hue codes'!$A$1:$B$10,2,FALSE)</f>
        <v>10</v>
      </c>
      <c r="C1234">
        <f t="shared" si="19"/>
        <v>15</v>
      </c>
      <c r="D1234" t="s">
        <v>26</v>
      </c>
      <c r="E1234">
        <v>5</v>
      </c>
      <c r="F1234">
        <v>4</v>
      </c>
      <c r="G1234">
        <v>0.39679999999999999</v>
      </c>
      <c r="H1234">
        <v>0.3614</v>
      </c>
      <c r="I1234">
        <v>19.77</v>
      </c>
    </row>
    <row r="1235" spans="1:9" x14ac:dyDescent="0.3">
      <c r="A1235">
        <f>LOOKUP(9E+307,--MID(D1235,1,{1,2,3,4,5}))</f>
        <v>5</v>
      </c>
      <c r="B1235">
        <f>VLOOKUP(MID(D1235,LOOKUP(2,1/ISNUMBER(-MID(D1235,1,{1,2,3,4,5})),{1,2,3,4,5})+1,9),'Hue codes'!$A$1:$B$10,2,FALSE)</f>
        <v>10</v>
      </c>
      <c r="C1235">
        <f t="shared" si="19"/>
        <v>15</v>
      </c>
      <c r="D1235" t="s">
        <v>26</v>
      </c>
      <c r="E1235">
        <v>5</v>
      </c>
      <c r="F1235">
        <v>6</v>
      </c>
      <c r="G1235">
        <v>0.442</v>
      </c>
      <c r="H1235">
        <v>0.38080000000000003</v>
      </c>
      <c r="I1235">
        <v>19.77</v>
      </c>
    </row>
    <row r="1236" spans="1:9" x14ac:dyDescent="0.3">
      <c r="A1236">
        <f>LOOKUP(9E+307,--MID(D1236,1,{1,2,3,4,5}))</f>
        <v>5</v>
      </c>
      <c r="B1236">
        <f>VLOOKUP(MID(D1236,LOOKUP(2,1/ISNUMBER(-MID(D1236,1,{1,2,3,4,5})),{1,2,3,4,5})+1,9),'Hue codes'!$A$1:$B$10,2,FALSE)</f>
        <v>10</v>
      </c>
      <c r="C1236">
        <f t="shared" si="19"/>
        <v>15</v>
      </c>
      <c r="D1236" t="s">
        <v>26</v>
      </c>
      <c r="E1236">
        <v>5</v>
      </c>
      <c r="F1236">
        <v>8</v>
      </c>
      <c r="G1236">
        <v>0.48299999999999998</v>
      </c>
      <c r="H1236">
        <v>0.39600000000000002</v>
      </c>
      <c r="I1236">
        <v>19.77</v>
      </c>
    </row>
    <row r="1237" spans="1:9" x14ac:dyDescent="0.3">
      <c r="A1237">
        <f>LOOKUP(9E+307,--MID(D1237,1,{1,2,3,4,5}))</f>
        <v>5</v>
      </c>
      <c r="B1237">
        <f>VLOOKUP(MID(D1237,LOOKUP(2,1/ISNUMBER(-MID(D1237,1,{1,2,3,4,5})),{1,2,3,4,5})+1,9),'Hue codes'!$A$1:$B$10,2,FALSE)</f>
        <v>10</v>
      </c>
      <c r="C1237">
        <f t="shared" si="19"/>
        <v>15</v>
      </c>
      <c r="D1237" t="s">
        <v>26</v>
      </c>
      <c r="E1237">
        <v>5</v>
      </c>
      <c r="F1237">
        <v>10</v>
      </c>
      <c r="G1237">
        <v>0.5161</v>
      </c>
      <c r="H1237">
        <v>0.40639999999999998</v>
      </c>
      <c r="I1237">
        <v>19.77</v>
      </c>
    </row>
    <row r="1238" spans="1:9" x14ac:dyDescent="0.3">
      <c r="A1238">
        <f>LOOKUP(9E+307,--MID(D1238,1,{1,2,3,4,5}))</f>
        <v>5</v>
      </c>
      <c r="B1238">
        <f>VLOOKUP(MID(D1238,LOOKUP(2,1/ISNUMBER(-MID(D1238,1,{1,2,3,4,5})),{1,2,3,4,5})+1,9),'Hue codes'!$A$1:$B$10,2,FALSE)</f>
        <v>10</v>
      </c>
      <c r="C1238">
        <f t="shared" si="19"/>
        <v>15</v>
      </c>
      <c r="D1238" t="s">
        <v>26</v>
      </c>
      <c r="E1238">
        <v>5</v>
      </c>
      <c r="F1238">
        <v>12</v>
      </c>
      <c r="G1238">
        <v>0.54220000000000002</v>
      </c>
      <c r="H1238">
        <v>0.41410000000000002</v>
      </c>
      <c r="I1238">
        <v>19.77</v>
      </c>
    </row>
    <row r="1239" spans="1:9" x14ac:dyDescent="0.3">
      <c r="A1239">
        <f>LOOKUP(9E+307,--MID(D1239,1,{1,2,3,4,5}))</f>
        <v>5</v>
      </c>
      <c r="B1239">
        <f>VLOOKUP(MID(D1239,LOOKUP(2,1/ISNUMBER(-MID(D1239,1,{1,2,3,4,5})),{1,2,3,4,5})+1,9),'Hue codes'!$A$1:$B$10,2,FALSE)</f>
        <v>10</v>
      </c>
      <c r="C1239">
        <f t="shared" si="19"/>
        <v>15</v>
      </c>
      <c r="D1239" t="s">
        <v>26</v>
      </c>
      <c r="E1239">
        <v>5</v>
      </c>
      <c r="F1239">
        <v>14</v>
      </c>
      <c r="G1239">
        <v>0.56420000000000003</v>
      </c>
      <c r="H1239">
        <v>0.42009999999999997</v>
      </c>
      <c r="I1239">
        <v>19.77</v>
      </c>
    </row>
    <row r="1240" spans="1:9" x14ac:dyDescent="0.3">
      <c r="A1240">
        <f>LOOKUP(9E+307,--MID(D1240,1,{1,2,3,4,5}))</f>
        <v>7.5</v>
      </c>
      <c r="B1240">
        <f>VLOOKUP(MID(D1240,LOOKUP(2,1/ISNUMBER(-MID(D1240,1,{1,2,3,4,5})),{1,2,3,4,5})+1,9),'Hue codes'!$A$1:$B$10,2,FALSE)</f>
        <v>10</v>
      </c>
      <c r="C1240">
        <f t="shared" si="19"/>
        <v>17.5</v>
      </c>
      <c r="D1240" t="s">
        <v>27</v>
      </c>
      <c r="E1240">
        <v>5</v>
      </c>
      <c r="F1240">
        <v>2</v>
      </c>
      <c r="G1240">
        <v>0.35399999999999998</v>
      </c>
      <c r="H1240">
        <v>0.34449999999999997</v>
      </c>
      <c r="I1240">
        <v>19.77</v>
      </c>
    </row>
    <row r="1241" spans="1:9" x14ac:dyDescent="0.3">
      <c r="A1241">
        <f>LOOKUP(9E+307,--MID(D1241,1,{1,2,3,4,5}))</f>
        <v>7.5</v>
      </c>
      <c r="B1241">
        <f>VLOOKUP(MID(D1241,LOOKUP(2,1/ISNUMBER(-MID(D1241,1,{1,2,3,4,5})),{1,2,3,4,5})+1,9),'Hue codes'!$A$1:$B$10,2,FALSE)</f>
        <v>10</v>
      </c>
      <c r="C1241">
        <f t="shared" si="19"/>
        <v>17.5</v>
      </c>
      <c r="D1241" t="s">
        <v>27</v>
      </c>
      <c r="E1241">
        <v>5</v>
      </c>
      <c r="F1241">
        <v>4</v>
      </c>
      <c r="G1241">
        <v>0.39910000000000001</v>
      </c>
      <c r="H1241">
        <v>0.37140000000000001</v>
      </c>
      <c r="I1241">
        <v>19.77</v>
      </c>
    </row>
    <row r="1242" spans="1:9" x14ac:dyDescent="0.3">
      <c r="A1242">
        <f>LOOKUP(9E+307,--MID(D1242,1,{1,2,3,4,5}))</f>
        <v>7.5</v>
      </c>
      <c r="B1242">
        <f>VLOOKUP(MID(D1242,LOOKUP(2,1/ISNUMBER(-MID(D1242,1,{1,2,3,4,5})),{1,2,3,4,5})+1,9),'Hue codes'!$A$1:$B$10,2,FALSE)</f>
        <v>10</v>
      </c>
      <c r="C1242">
        <f t="shared" si="19"/>
        <v>17.5</v>
      </c>
      <c r="D1242" t="s">
        <v>27</v>
      </c>
      <c r="E1242">
        <v>5</v>
      </c>
      <c r="F1242">
        <v>6</v>
      </c>
      <c r="G1242">
        <v>0.44400000000000001</v>
      </c>
      <c r="H1242">
        <v>0.39539999999999997</v>
      </c>
      <c r="I1242">
        <v>19.77</v>
      </c>
    </row>
    <row r="1243" spans="1:9" x14ac:dyDescent="0.3">
      <c r="A1243">
        <f>LOOKUP(9E+307,--MID(D1243,1,{1,2,3,4,5}))</f>
        <v>7.5</v>
      </c>
      <c r="B1243">
        <f>VLOOKUP(MID(D1243,LOOKUP(2,1/ISNUMBER(-MID(D1243,1,{1,2,3,4,5})),{1,2,3,4,5})+1,9),'Hue codes'!$A$1:$B$10,2,FALSE)</f>
        <v>10</v>
      </c>
      <c r="C1243">
        <f t="shared" si="19"/>
        <v>17.5</v>
      </c>
      <c r="D1243" t="s">
        <v>27</v>
      </c>
      <c r="E1243">
        <v>5</v>
      </c>
      <c r="F1243">
        <v>8</v>
      </c>
      <c r="G1243">
        <v>0.48199999999999998</v>
      </c>
      <c r="H1243">
        <v>0.41410000000000002</v>
      </c>
      <c r="I1243">
        <v>19.77</v>
      </c>
    </row>
    <row r="1244" spans="1:9" x14ac:dyDescent="0.3">
      <c r="A1244">
        <f>LOOKUP(9E+307,--MID(D1244,1,{1,2,3,4,5}))</f>
        <v>7.5</v>
      </c>
      <c r="B1244">
        <f>VLOOKUP(MID(D1244,LOOKUP(2,1/ISNUMBER(-MID(D1244,1,{1,2,3,4,5})),{1,2,3,4,5})+1,9),'Hue codes'!$A$1:$B$10,2,FALSE)</f>
        <v>10</v>
      </c>
      <c r="C1244">
        <f t="shared" si="19"/>
        <v>17.5</v>
      </c>
      <c r="D1244" t="s">
        <v>27</v>
      </c>
      <c r="E1244">
        <v>5</v>
      </c>
      <c r="F1244">
        <v>10</v>
      </c>
      <c r="G1244">
        <v>0.51080000000000003</v>
      </c>
      <c r="H1244">
        <v>0.42759999999999998</v>
      </c>
      <c r="I1244">
        <v>19.77</v>
      </c>
    </row>
    <row r="1245" spans="1:9" x14ac:dyDescent="0.3">
      <c r="A1245">
        <f>LOOKUP(9E+307,--MID(D1245,1,{1,2,3,4,5}))</f>
        <v>7.5</v>
      </c>
      <c r="B1245">
        <f>VLOOKUP(MID(D1245,LOOKUP(2,1/ISNUMBER(-MID(D1245,1,{1,2,3,4,5})),{1,2,3,4,5})+1,9),'Hue codes'!$A$1:$B$10,2,FALSE)</f>
        <v>10</v>
      </c>
      <c r="C1245">
        <f t="shared" si="19"/>
        <v>17.5</v>
      </c>
      <c r="D1245" t="s">
        <v>27</v>
      </c>
      <c r="E1245">
        <v>5</v>
      </c>
      <c r="F1245">
        <v>12</v>
      </c>
      <c r="G1245">
        <v>0.53349999999999997</v>
      </c>
      <c r="H1245">
        <v>0.43780000000000002</v>
      </c>
      <c r="I1245">
        <v>19.77</v>
      </c>
    </row>
    <row r="1246" spans="1:9" x14ac:dyDescent="0.3">
      <c r="A1246">
        <f>LOOKUP(9E+307,--MID(D1246,1,{1,2,3,4,5}))</f>
        <v>7.5</v>
      </c>
      <c r="B1246">
        <f>VLOOKUP(MID(D1246,LOOKUP(2,1/ISNUMBER(-MID(D1246,1,{1,2,3,4,5})),{1,2,3,4,5})+1,9),'Hue codes'!$A$1:$B$10,2,FALSE)</f>
        <v>10</v>
      </c>
      <c r="C1246">
        <f t="shared" si="19"/>
        <v>17.5</v>
      </c>
      <c r="D1246" t="s">
        <v>27</v>
      </c>
      <c r="E1246">
        <v>5</v>
      </c>
      <c r="F1246">
        <v>14</v>
      </c>
      <c r="G1246">
        <v>0.55059999999999998</v>
      </c>
      <c r="H1246">
        <v>0.44500000000000001</v>
      </c>
      <c r="I1246">
        <v>19.77</v>
      </c>
    </row>
    <row r="1247" spans="1:9" x14ac:dyDescent="0.3">
      <c r="A1247">
        <f>LOOKUP(9E+307,--MID(D1247,1,{1,2,3,4,5}))</f>
        <v>10</v>
      </c>
      <c r="B1247">
        <f>VLOOKUP(MID(D1247,LOOKUP(2,1/ISNUMBER(-MID(D1247,1,{1,2,3,4,5})),{1,2,3,4,5})+1,9),'Hue codes'!$A$1:$B$10,2,FALSE)</f>
        <v>10</v>
      </c>
      <c r="C1247">
        <f t="shared" si="19"/>
        <v>20</v>
      </c>
      <c r="D1247" t="s">
        <v>28</v>
      </c>
      <c r="E1247">
        <v>5</v>
      </c>
      <c r="F1247">
        <v>2</v>
      </c>
      <c r="G1247">
        <v>0.35460000000000003</v>
      </c>
      <c r="H1247">
        <v>0.35139999999999999</v>
      </c>
      <c r="I1247">
        <v>19.77</v>
      </c>
    </row>
    <row r="1248" spans="1:9" x14ac:dyDescent="0.3">
      <c r="A1248">
        <f>LOOKUP(9E+307,--MID(D1248,1,{1,2,3,4,5}))</f>
        <v>10</v>
      </c>
      <c r="B1248">
        <f>VLOOKUP(MID(D1248,LOOKUP(2,1/ISNUMBER(-MID(D1248,1,{1,2,3,4,5})),{1,2,3,4,5})+1,9),'Hue codes'!$A$1:$B$10,2,FALSE)</f>
        <v>10</v>
      </c>
      <c r="C1248">
        <f t="shared" si="19"/>
        <v>20</v>
      </c>
      <c r="D1248" t="s">
        <v>28</v>
      </c>
      <c r="E1248">
        <v>5</v>
      </c>
      <c r="F1248">
        <v>4</v>
      </c>
      <c r="G1248">
        <v>0.39950000000000002</v>
      </c>
      <c r="H1248">
        <v>0.38400000000000001</v>
      </c>
      <c r="I1248">
        <v>19.77</v>
      </c>
    </row>
    <row r="1249" spans="1:9" x14ac:dyDescent="0.3">
      <c r="A1249">
        <f>LOOKUP(9E+307,--MID(D1249,1,{1,2,3,4,5}))</f>
        <v>10</v>
      </c>
      <c r="B1249">
        <f>VLOOKUP(MID(D1249,LOOKUP(2,1/ISNUMBER(-MID(D1249,1,{1,2,3,4,5})),{1,2,3,4,5})+1,9),'Hue codes'!$A$1:$B$10,2,FALSE)</f>
        <v>10</v>
      </c>
      <c r="C1249">
        <f t="shared" si="19"/>
        <v>20</v>
      </c>
      <c r="D1249" t="s">
        <v>28</v>
      </c>
      <c r="E1249">
        <v>5</v>
      </c>
      <c r="F1249">
        <v>6</v>
      </c>
      <c r="G1249">
        <v>0.44280000000000003</v>
      </c>
      <c r="H1249">
        <v>0.4128</v>
      </c>
      <c r="I1249">
        <v>19.77</v>
      </c>
    </row>
    <row r="1250" spans="1:9" x14ac:dyDescent="0.3">
      <c r="A1250">
        <f>LOOKUP(9E+307,--MID(D1250,1,{1,2,3,4,5}))</f>
        <v>10</v>
      </c>
      <c r="B1250">
        <f>VLOOKUP(MID(D1250,LOOKUP(2,1/ISNUMBER(-MID(D1250,1,{1,2,3,4,5})),{1,2,3,4,5})+1,9),'Hue codes'!$A$1:$B$10,2,FALSE)</f>
        <v>10</v>
      </c>
      <c r="C1250">
        <f t="shared" si="19"/>
        <v>20</v>
      </c>
      <c r="D1250" t="s">
        <v>28</v>
      </c>
      <c r="E1250">
        <v>5</v>
      </c>
      <c r="F1250">
        <v>8</v>
      </c>
      <c r="G1250">
        <v>0.47699999999999998</v>
      </c>
      <c r="H1250">
        <v>0.43380000000000002</v>
      </c>
      <c r="I1250">
        <v>19.77</v>
      </c>
    </row>
    <row r="1251" spans="1:9" x14ac:dyDescent="0.3">
      <c r="A1251">
        <f>LOOKUP(9E+307,--MID(D1251,1,{1,2,3,4,5}))</f>
        <v>10</v>
      </c>
      <c r="B1251">
        <f>VLOOKUP(MID(D1251,LOOKUP(2,1/ISNUMBER(-MID(D1251,1,{1,2,3,4,5})),{1,2,3,4,5})+1,9),'Hue codes'!$A$1:$B$10,2,FALSE)</f>
        <v>10</v>
      </c>
      <c r="C1251">
        <f t="shared" si="19"/>
        <v>20</v>
      </c>
      <c r="D1251" t="s">
        <v>28</v>
      </c>
      <c r="E1251">
        <v>5</v>
      </c>
      <c r="F1251">
        <v>10</v>
      </c>
      <c r="G1251">
        <v>0.50249999999999995</v>
      </c>
      <c r="H1251">
        <v>0.44890000000000002</v>
      </c>
      <c r="I1251">
        <v>19.77</v>
      </c>
    </row>
    <row r="1252" spans="1:9" x14ac:dyDescent="0.3">
      <c r="A1252">
        <f>LOOKUP(9E+307,--MID(D1252,1,{1,2,3,4,5}))</f>
        <v>10</v>
      </c>
      <c r="B1252">
        <f>VLOOKUP(MID(D1252,LOOKUP(2,1/ISNUMBER(-MID(D1252,1,{1,2,3,4,5})),{1,2,3,4,5})+1,9),'Hue codes'!$A$1:$B$10,2,FALSE)</f>
        <v>10</v>
      </c>
      <c r="C1252">
        <f t="shared" si="19"/>
        <v>20</v>
      </c>
      <c r="D1252" t="s">
        <v>28</v>
      </c>
      <c r="E1252">
        <v>5</v>
      </c>
      <c r="F1252">
        <v>12</v>
      </c>
      <c r="G1252">
        <v>0.52110000000000001</v>
      </c>
      <c r="H1252">
        <v>0.46</v>
      </c>
      <c r="I1252">
        <v>19.77</v>
      </c>
    </row>
    <row r="1253" spans="1:9" x14ac:dyDescent="0.3">
      <c r="A1253">
        <f>LOOKUP(9E+307,--MID(D1253,1,{1,2,3,4,5}))</f>
        <v>2.5</v>
      </c>
      <c r="B1253">
        <f>VLOOKUP(MID(D1253,LOOKUP(2,1/ISNUMBER(-MID(D1253,1,{1,2,3,4,5})),{1,2,3,4,5})+1,9),'Hue codes'!$A$1:$B$10,2,FALSE)</f>
        <v>20</v>
      </c>
      <c r="C1253">
        <f t="shared" si="19"/>
        <v>22.5</v>
      </c>
      <c r="D1253" t="s">
        <v>29</v>
      </c>
      <c r="E1253">
        <v>5</v>
      </c>
      <c r="F1253">
        <v>2</v>
      </c>
      <c r="G1253">
        <v>0.35339999999999999</v>
      </c>
      <c r="H1253">
        <v>0.35699999999999998</v>
      </c>
      <c r="I1253">
        <v>19.77</v>
      </c>
    </row>
    <row r="1254" spans="1:9" x14ac:dyDescent="0.3">
      <c r="A1254">
        <f>LOOKUP(9E+307,--MID(D1254,1,{1,2,3,4,5}))</f>
        <v>2.5</v>
      </c>
      <c r="B1254">
        <f>VLOOKUP(MID(D1254,LOOKUP(2,1/ISNUMBER(-MID(D1254,1,{1,2,3,4,5})),{1,2,3,4,5})+1,9),'Hue codes'!$A$1:$B$10,2,FALSE)</f>
        <v>20</v>
      </c>
      <c r="C1254">
        <f t="shared" si="19"/>
        <v>22.5</v>
      </c>
      <c r="D1254" t="s">
        <v>29</v>
      </c>
      <c r="E1254">
        <v>5</v>
      </c>
      <c r="F1254">
        <v>4</v>
      </c>
      <c r="G1254">
        <v>0.39679999999999999</v>
      </c>
      <c r="H1254">
        <v>0.39539999999999997</v>
      </c>
      <c r="I1254">
        <v>19.77</v>
      </c>
    </row>
    <row r="1255" spans="1:9" x14ac:dyDescent="0.3">
      <c r="A1255">
        <f>LOOKUP(9E+307,--MID(D1255,1,{1,2,3,4,5}))</f>
        <v>2.5</v>
      </c>
      <c r="B1255">
        <f>VLOOKUP(MID(D1255,LOOKUP(2,1/ISNUMBER(-MID(D1255,1,{1,2,3,4,5})),{1,2,3,4,5})+1,9),'Hue codes'!$A$1:$B$10,2,FALSE)</f>
        <v>20</v>
      </c>
      <c r="C1255">
        <f t="shared" si="19"/>
        <v>22.5</v>
      </c>
      <c r="D1255" t="s">
        <v>29</v>
      </c>
      <c r="E1255">
        <v>5</v>
      </c>
      <c r="F1255">
        <v>6</v>
      </c>
      <c r="G1255">
        <v>0.438</v>
      </c>
      <c r="H1255">
        <v>0.42920000000000003</v>
      </c>
      <c r="I1255">
        <v>19.77</v>
      </c>
    </row>
    <row r="1256" spans="1:9" x14ac:dyDescent="0.3">
      <c r="A1256">
        <f>LOOKUP(9E+307,--MID(D1256,1,{1,2,3,4,5}))</f>
        <v>2.5</v>
      </c>
      <c r="B1256">
        <f>VLOOKUP(MID(D1256,LOOKUP(2,1/ISNUMBER(-MID(D1256,1,{1,2,3,4,5})),{1,2,3,4,5})+1,9),'Hue codes'!$A$1:$B$10,2,FALSE)</f>
        <v>20</v>
      </c>
      <c r="C1256">
        <f t="shared" si="19"/>
        <v>22.5</v>
      </c>
      <c r="D1256" t="s">
        <v>29</v>
      </c>
      <c r="E1256">
        <v>5</v>
      </c>
      <c r="F1256">
        <v>8</v>
      </c>
      <c r="G1256">
        <v>0.46850000000000003</v>
      </c>
      <c r="H1256">
        <v>0.45240000000000002</v>
      </c>
      <c r="I1256">
        <v>19.77</v>
      </c>
    </row>
    <row r="1257" spans="1:9" x14ac:dyDescent="0.3">
      <c r="A1257">
        <f>LOOKUP(9E+307,--MID(D1257,1,{1,2,3,4,5}))</f>
        <v>2.5</v>
      </c>
      <c r="B1257">
        <f>VLOOKUP(MID(D1257,LOOKUP(2,1/ISNUMBER(-MID(D1257,1,{1,2,3,4,5})),{1,2,3,4,5})+1,9),'Hue codes'!$A$1:$B$10,2,FALSE)</f>
        <v>20</v>
      </c>
      <c r="C1257">
        <f t="shared" si="19"/>
        <v>22.5</v>
      </c>
      <c r="D1257" t="s">
        <v>29</v>
      </c>
      <c r="E1257">
        <v>5</v>
      </c>
      <c r="F1257">
        <v>10</v>
      </c>
      <c r="G1257">
        <v>0.49049999999999999</v>
      </c>
      <c r="H1257">
        <v>0.46829999999999999</v>
      </c>
      <c r="I1257">
        <v>19.77</v>
      </c>
    </row>
    <row r="1258" spans="1:9" x14ac:dyDescent="0.3">
      <c r="A1258">
        <f>LOOKUP(9E+307,--MID(D1258,1,{1,2,3,4,5}))</f>
        <v>2.5</v>
      </c>
      <c r="B1258">
        <f>VLOOKUP(MID(D1258,LOOKUP(2,1/ISNUMBER(-MID(D1258,1,{1,2,3,4,5})),{1,2,3,4,5})+1,9),'Hue codes'!$A$1:$B$10,2,FALSE)</f>
        <v>20</v>
      </c>
      <c r="C1258">
        <f t="shared" si="19"/>
        <v>22.5</v>
      </c>
      <c r="D1258" t="s">
        <v>29</v>
      </c>
      <c r="E1258">
        <v>5</v>
      </c>
      <c r="F1258">
        <v>12</v>
      </c>
      <c r="G1258">
        <v>0.50819999999999999</v>
      </c>
      <c r="H1258">
        <v>0.48120000000000002</v>
      </c>
      <c r="I1258">
        <v>19.77</v>
      </c>
    </row>
    <row r="1259" spans="1:9" x14ac:dyDescent="0.3">
      <c r="A1259">
        <f>LOOKUP(9E+307,--MID(D1259,1,{1,2,3,4,5}))</f>
        <v>5</v>
      </c>
      <c r="B1259">
        <f>VLOOKUP(MID(D1259,LOOKUP(2,1/ISNUMBER(-MID(D1259,1,{1,2,3,4,5})),{1,2,3,4,5})+1,9),'Hue codes'!$A$1:$B$10,2,FALSE)</f>
        <v>20</v>
      </c>
      <c r="C1259">
        <f t="shared" si="19"/>
        <v>25</v>
      </c>
      <c r="D1259" t="s">
        <v>30</v>
      </c>
      <c r="E1259">
        <v>5</v>
      </c>
      <c r="F1259">
        <v>2</v>
      </c>
      <c r="G1259">
        <v>0.35</v>
      </c>
      <c r="H1259">
        <v>0.36199999999999999</v>
      </c>
      <c r="I1259">
        <v>19.77</v>
      </c>
    </row>
    <row r="1260" spans="1:9" x14ac:dyDescent="0.3">
      <c r="A1260">
        <f>LOOKUP(9E+307,--MID(D1260,1,{1,2,3,4,5}))</f>
        <v>5</v>
      </c>
      <c r="B1260">
        <f>VLOOKUP(MID(D1260,LOOKUP(2,1/ISNUMBER(-MID(D1260,1,{1,2,3,4,5})),{1,2,3,4,5})+1,9),'Hue codes'!$A$1:$B$10,2,FALSE)</f>
        <v>20</v>
      </c>
      <c r="C1260">
        <f t="shared" si="19"/>
        <v>25</v>
      </c>
      <c r="D1260" t="s">
        <v>30</v>
      </c>
      <c r="E1260">
        <v>5</v>
      </c>
      <c r="F1260">
        <v>4</v>
      </c>
      <c r="G1260">
        <v>0.39150000000000001</v>
      </c>
      <c r="H1260">
        <v>0.40570000000000001</v>
      </c>
      <c r="I1260">
        <v>19.77</v>
      </c>
    </row>
    <row r="1261" spans="1:9" x14ac:dyDescent="0.3">
      <c r="A1261">
        <f>LOOKUP(9E+307,--MID(D1261,1,{1,2,3,4,5}))</f>
        <v>5</v>
      </c>
      <c r="B1261">
        <f>VLOOKUP(MID(D1261,LOOKUP(2,1/ISNUMBER(-MID(D1261,1,{1,2,3,4,5})),{1,2,3,4,5})+1,9),'Hue codes'!$A$1:$B$10,2,FALSE)</f>
        <v>20</v>
      </c>
      <c r="C1261">
        <f t="shared" si="19"/>
        <v>25</v>
      </c>
      <c r="D1261" t="s">
        <v>30</v>
      </c>
      <c r="E1261">
        <v>5</v>
      </c>
      <c r="F1261">
        <v>6</v>
      </c>
      <c r="G1261">
        <v>0.43020000000000003</v>
      </c>
      <c r="H1261">
        <v>0.44350000000000001</v>
      </c>
      <c r="I1261">
        <v>19.77</v>
      </c>
    </row>
    <row r="1262" spans="1:9" x14ac:dyDescent="0.3">
      <c r="A1262">
        <f>LOOKUP(9E+307,--MID(D1262,1,{1,2,3,4,5}))</f>
        <v>5</v>
      </c>
      <c r="B1262">
        <f>VLOOKUP(MID(D1262,LOOKUP(2,1/ISNUMBER(-MID(D1262,1,{1,2,3,4,5})),{1,2,3,4,5})+1,9),'Hue codes'!$A$1:$B$10,2,FALSE)</f>
        <v>20</v>
      </c>
      <c r="C1262">
        <f t="shared" si="19"/>
        <v>25</v>
      </c>
      <c r="D1262" t="s">
        <v>30</v>
      </c>
      <c r="E1262">
        <v>5</v>
      </c>
      <c r="F1262">
        <v>8</v>
      </c>
      <c r="G1262">
        <v>0.45789999999999997</v>
      </c>
      <c r="H1262">
        <v>0.46920000000000001</v>
      </c>
      <c r="I1262">
        <v>19.77</v>
      </c>
    </row>
    <row r="1263" spans="1:9" x14ac:dyDescent="0.3">
      <c r="A1263">
        <f>LOOKUP(9E+307,--MID(D1263,1,{1,2,3,4,5}))</f>
        <v>5</v>
      </c>
      <c r="B1263">
        <f>VLOOKUP(MID(D1263,LOOKUP(2,1/ISNUMBER(-MID(D1263,1,{1,2,3,4,5})),{1,2,3,4,5})+1,9),'Hue codes'!$A$1:$B$10,2,FALSE)</f>
        <v>20</v>
      </c>
      <c r="C1263">
        <f t="shared" si="19"/>
        <v>25</v>
      </c>
      <c r="D1263" t="s">
        <v>30</v>
      </c>
      <c r="E1263">
        <v>5</v>
      </c>
      <c r="F1263">
        <v>10</v>
      </c>
      <c r="G1263">
        <v>0.47770000000000001</v>
      </c>
      <c r="H1263">
        <v>0.48759999999999998</v>
      </c>
      <c r="I1263">
        <v>19.77</v>
      </c>
    </row>
    <row r="1264" spans="1:9" x14ac:dyDescent="0.3">
      <c r="A1264">
        <f>LOOKUP(9E+307,--MID(D1264,1,{1,2,3,4,5}))</f>
        <v>5</v>
      </c>
      <c r="B1264">
        <f>VLOOKUP(MID(D1264,LOOKUP(2,1/ISNUMBER(-MID(D1264,1,{1,2,3,4,5})),{1,2,3,4,5})+1,9),'Hue codes'!$A$1:$B$10,2,FALSE)</f>
        <v>20</v>
      </c>
      <c r="C1264">
        <f t="shared" si="19"/>
        <v>25</v>
      </c>
      <c r="D1264" t="s">
        <v>30</v>
      </c>
      <c r="E1264">
        <v>5</v>
      </c>
      <c r="F1264">
        <v>12</v>
      </c>
      <c r="G1264">
        <v>0.49320000000000003</v>
      </c>
      <c r="H1264">
        <v>0.50190000000000001</v>
      </c>
      <c r="I1264">
        <v>19.77</v>
      </c>
    </row>
    <row r="1265" spans="1:9" x14ac:dyDescent="0.3">
      <c r="A1265">
        <f>LOOKUP(9E+307,--MID(D1265,1,{1,2,3,4,5}))</f>
        <v>7.5</v>
      </c>
      <c r="B1265">
        <f>VLOOKUP(MID(D1265,LOOKUP(2,1/ISNUMBER(-MID(D1265,1,{1,2,3,4,5})),{1,2,3,4,5})+1,9),'Hue codes'!$A$1:$B$10,2,FALSE)</f>
        <v>20</v>
      </c>
      <c r="C1265">
        <f t="shared" si="19"/>
        <v>27.5</v>
      </c>
      <c r="D1265" t="s">
        <v>31</v>
      </c>
      <c r="E1265">
        <v>5</v>
      </c>
      <c r="F1265">
        <v>2</v>
      </c>
      <c r="G1265">
        <v>0.34699999999999998</v>
      </c>
      <c r="H1265">
        <v>0.36399999999999999</v>
      </c>
      <c r="I1265">
        <v>19.77</v>
      </c>
    </row>
    <row r="1266" spans="1:9" x14ac:dyDescent="0.3">
      <c r="A1266">
        <f>LOOKUP(9E+307,--MID(D1266,1,{1,2,3,4,5}))</f>
        <v>7.5</v>
      </c>
      <c r="B1266">
        <f>VLOOKUP(MID(D1266,LOOKUP(2,1/ISNUMBER(-MID(D1266,1,{1,2,3,4,5})),{1,2,3,4,5})+1,9),'Hue codes'!$A$1:$B$10,2,FALSE)</f>
        <v>20</v>
      </c>
      <c r="C1266">
        <f t="shared" si="19"/>
        <v>27.5</v>
      </c>
      <c r="D1266" t="s">
        <v>31</v>
      </c>
      <c r="E1266">
        <v>5</v>
      </c>
      <c r="F1266">
        <v>4</v>
      </c>
      <c r="G1266">
        <v>0.38500000000000001</v>
      </c>
      <c r="H1266">
        <v>0.41199999999999998</v>
      </c>
      <c r="I1266">
        <v>19.77</v>
      </c>
    </row>
    <row r="1267" spans="1:9" x14ac:dyDescent="0.3">
      <c r="A1267">
        <f>LOOKUP(9E+307,--MID(D1267,1,{1,2,3,4,5}))</f>
        <v>7.5</v>
      </c>
      <c r="B1267">
        <f>VLOOKUP(MID(D1267,LOOKUP(2,1/ISNUMBER(-MID(D1267,1,{1,2,3,4,5})),{1,2,3,4,5})+1,9),'Hue codes'!$A$1:$B$10,2,FALSE)</f>
        <v>20</v>
      </c>
      <c r="C1267">
        <f t="shared" si="19"/>
        <v>27.5</v>
      </c>
      <c r="D1267" t="s">
        <v>31</v>
      </c>
      <c r="E1267">
        <v>5</v>
      </c>
      <c r="F1267">
        <v>6</v>
      </c>
      <c r="G1267">
        <v>0.4199</v>
      </c>
      <c r="H1267">
        <v>0.4551</v>
      </c>
      <c r="I1267">
        <v>19.77</v>
      </c>
    </row>
    <row r="1268" spans="1:9" x14ac:dyDescent="0.3">
      <c r="A1268">
        <f>LOOKUP(9E+307,--MID(D1268,1,{1,2,3,4,5}))</f>
        <v>7.5</v>
      </c>
      <c r="B1268">
        <f>VLOOKUP(MID(D1268,LOOKUP(2,1/ISNUMBER(-MID(D1268,1,{1,2,3,4,5})),{1,2,3,4,5})+1,9),'Hue codes'!$A$1:$B$10,2,FALSE)</f>
        <v>20</v>
      </c>
      <c r="C1268">
        <f t="shared" si="19"/>
        <v>27.5</v>
      </c>
      <c r="D1268" t="s">
        <v>31</v>
      </c>
      <c r="E1268">
        <v>5</v>
      </c>
      <c r="F1268">
        <v>8</v>
      </c>
      <c r="G1268">
        <v>0.44500000000000001</v>
      </c>
      <c r="H1268">
        <v>0.48499999999999999</v>
      </c>
      <c r="I1268">
        <v>19.77</v>
      </c>
    </row>
    <row r="1269" spans="1:9" x14ac:dyDescent="0.3">
      <c r="A1269">
        <f>LOOKUP(9E+307,--MID(D1269,1,{1,2,3,4,5}))</f>
        <v>7.5</v>
      </c>
      <c r="B1269">
        <f>VLOOKUP(MID(D1269,LOOKUP(2,1/ISNUMBER(-MID(D1269,1,{1,2,3,4,5})),{1,2,3,4,5})+1,9),'Hue codes'!$A$1:$B$10,2,FALSE)</f>
        <v>20</v>
      </c>
      <c r="C1269">
        <f t="shared" si="19"/>
        <v>27.5</v>
      </c>
      <c r="D1269" t="s">
        <v>31</v>
      </c>
      <c r="E1269">
        <v>5</v>
      </c>
      <c r="F1269">
        <v>10</v>
      </c>
      <c r="G1269">
        <v>0.4632</v>
      </c>
      <c r="H1269">
        <v>0.50570000000000004</v>
      </c>
      <c r="I1269">
        <v>19.77</v>
      </c>
    </row>
    <row r="1270" spans="1:9" x14ac:dyDescent="0.3">
      <c r="A1270">
        <f>LOOKUP(9E+307,--MID(D1270,1,{1,2,3,4,5}))</f>
        <v>7.5</v>
      </c>
      <c r="B1270">
        <f>VLOOKUP(MID(D1270,LOOKUP(2,1/ISNUMBER(-MID(D1270,1,{1,2,3,4,5})),{1,2,3,4,5})+1,9),'Hue codes'!$A$1:$B$10,2,FALSE)</f>
        <v>20</v>
      </c>
      <c r="C1270">
        <f t="shared" si="19"/>
        <v>27.5</v>
      </c>
      <c r="D1270" t="s">
        <v>31</v>
      </c>
      <c r="E1270">
        <v>5</v>
      </c>
      <c r="F1270">
        <v>12</v>
      </c>
      <c r="G1270">
        <v>0.47670000000000001</v>
      </c>
      <c r="H1270">
        <v>0.52080000000000004</v>
      </c>
      <c r="I1270">
        <v>19.77</v>
      </c>
    </row>
    <row r="1271" spans="1:9" x14ac:dyDescent="0.3">
      <c r="A1271">
        <f>LOOKUP(9E+307,--MID(D1271,1,{1,2,3,4,5}))</f>
        <v>10</v>
      </c>
      <c r="B1271">
        <f>VLOOKUP(MID(D1271,LOOKUP(2,1/ISNUMBER(-MID(D1271,1,{1,2,3,4,5})),{1,2,3,4,5})+1,9),'Hue codes'!$A$1:$B$10,2,FALSE)</f>
        <v>20</v>
      </c>
      <c r="C1271">
        <f t="shared" si="19"/>
        <v>30</v>
      </c>
      <c r="D1271" t="s">
        <v>32</v>
      </c>
      <c r="E1271">
        <v>5</v>
      </c>
      <c r="F1271">
        <v>2</v>
      </c>
      <c r="G1271">
        <v>0.3422</v>
      </c>
      <c r="H1271">
        <v>0.36480000000000001</v>
      </c>
      <c r="I1271">
        <v>19.77</v>
      </c>
    </row>
    <row r="1272" spans="1:9" x14ac:dyDescent="0.3">
      <c r="A1272">
        <f>LOOKUP(9E+307,--MID(D1272,1,{1,2,3,4,5}))</f>
        <v>10</v>
      </c>
      <c r="B1272">
        <f>VLOOKUP(MID(D1272,LOOKUP(2,1/ISNUMBER(-MID(D1272,1,{1,2,3,4,5})),{1,2,3,4,5})+1,9),'Hue codes'!$A$1:$B$10,2,FALSE)</f>
        <v>20</v>
      </c>
      <c r="C1272">
        <f t="shared" si="19"/>
        <v>30</v>
      </c>
      <c r="D1272" t="s">
        <v>32</v>
      </c>
      <c r="E1272">
        <v>5</v>
      </c>
      <c r="F1272">
        <v>4</v>
      </c>
      <c r="G1272">
        <v>0.37619999999999998</v>
      </c>
      <c r="H1272">
        <v>0.4158</v>
      </c>
      <c r="I1272">
        <v>19.77</v>
      </c>
    </row>
    <row r="1273" spans="1:9" x14ac:dyDescent="0.3">
      <c r="A1273">
        <f>LOOKUP(9E+307,--MID(D1273,1,{1,2,3,4,5}))</f>
        <v>10</v>
      </c>
      <c r="B1273">
        <f>VLOOKUP(MID(D1273,LOOKUP(2,1/ISNUMBER(-MID(D1273,1,{1,2,3,4,5})),{1,2,3,4,5})+1,9),'Hue codes'!$A$1:$B$10,2,FALSE)</f>
        <v>20</v>
      </c>
      <c r="C1273">
        <f t="shared" si="19"/>
        <v>30</v>
      </c>
      <c r="D1273" t="s">
        <v>32</v>
      </c>
      <c r="E1273">
        <v>5</v>
      </c>
      <c r="F1273">
        <v>6</v>
      </c>
      <c r="G1273">
        <v>0.40720000000000001</v>
      </c>
      <c r="H1273">
        <v>0.46210000000000001</v>
      </c>
      <c r="I1273">
        <v>19.77</v>
      </c>
    </row>
    <row r="1274" spans="1:9" x14ac:dyDescent="0.3">
      <c r="A1274">
        <f>LOOKUP(9E+307,--MID(D1274,1,{1,2,3,4,5}))</f>
        <v>10</v>
      </c>
      <c r="B1274">
        <f>VLOOKUP(MID(D1274,LOOKUP(2,1/ISNUMBER(-MID(D1274,1,{1,2,3,4,5})),{1,2,3,4,5})+1,9),'Hue codes'!$A$1:$B$10,2,FALSE)</f>
        <v>20</v>
      </c>
      <c r="C1274">
        <f t="shared" si="19"/>
        <v>30</v>
      </c>
      <c r="D1274" t="s">
        <v>32</v>
      </c>
      <c r="E1274">
        <v>5</v>
      </c>
      <c r="F1274">
        <v>8</v>
      </c>
      <c r="G1274">
        <v>0.43070000000000003</v>
      </c>
      <c r="H1274">
        <v>0.49669999999999997</v>
      </c>
      <c r="I1274">
        <v>19.77</v>
      </c>
    </row>
    <row r="1275" spans="1:9" x14ac:dyDescent="0.3">
      <c r="A1275">
        <f>LOOKUP(9E+307,--MID(D1275,1,{1,2,3,4,5}))</f>
        <v>10</v>
      </c>
      <c r="B1275">
        <f>VLOOKUP(MID(D1275,LOOKUP(2,1/ISNUMBER(-MID(D1275,1,{1,2,3,4,5})),{1,2,3,4,5})+1,9),'Hue codes'!$A$1:$B$10,2,FALSE)</f>
        <v>20</v>
      </c>
      <c r="C1275">
        <f t="shared" si="19"/>
        <v>30</v>
      </c>
      <c r="D1275" t="s">
        <v>32</v>
      </c>
      <c r="E1275">
        <v>5</v>
      </c>
      <c r="F1275">
        <v>10</v>
      </c>
      <c r="G1275">
        <v>0.44679999999999997</v>
      </c>
      <c r="H1275">
        <v>0.52090000000000003</v>
      </c>
      <c r="I1275">
        <v>19.77</v>
      </c>
    </row>
    <row r="1276" spans="1:9" x14ac:dyDescent="0.3">
      <c r="A1276">
        <f>LOOKUP(9E+307,--MID(D1276,1,{1,2,3,4,5}))</f>
        <v>10</v>
      </c>
      <c r="B1276">
        <f>VLOOKUP(MID(D1276,LOOKUP(2,1/ISNUMBER(-MID(D1276,1,{1,2,3,4,5})),{1,2,3,4,5})+1,9),'Hue codes'!$A$1:$B$10,2,FALSE)</f>
        <v>20</v>
      </c>
      <c r="C1276">
        <f t="shared" si="19"/>
        <v>30</v>
      </c>
      <c r="D1276" t="s">
        <v>32</v>
      </c>
      <c r="E1276">
        <v>5</v>
      </c>
      <c r="F1276">
        <v>12</v>
      </c>
      <c r="G1276">
        <v>0.45900000000000002</v>
      </c>
      <c r="H1276">
        <v>0.53900000000000003</v>
      </c>
      <c r="I1276">
        <v>19.77</v>
      </c>
    </row>
    <row r="1277" spans="1:9" x14ac:dyDescent="0.3">
      <c r="A1277">
        <f>LOOKUP(9E+307,--MID(D1277,1,{1,2,3,4,5}))</f>
        <v>2.5</v>
      </c>
      <c r="B1277">
        <f>VLOOKUP(MID(D1277,LOOKUP(2,1/ISNUMBER(-MID(D1277,1,{1,2,3,4,5})),{1,2,3,4,5})+1,9),'Hue codes'!$A$1:$B$10,2,FALSE)</f>
        <v>30</v>
      </c>
      <c r="C1277">
        <f t="shared" si="19"/>
        <v>32.5</v>
      </c>
      <c r="D1277" t="s">
        <v>33</v>
      </c>
      <c r="E1277">
        <v>5</v>
      </c>
      <c r="F1277">
        <v>2</v>
      </c>
      <c r="G1277">
        <v>0.3352</v>
      </c>
      <c r="H1277">
        <v>0.36359999999999998</v>
      </c>
      <c r="I1277">
        <v>19.77</v>
      </c>
    </row>
    <row r="1278" spans="1:9" x14ac:dyDescent="0.3">
      <c r="A1278">
        <f>LOOKUP(9E+307,--MID(D1278,1,{1,2,3,4,5}))</f>
        <v>2.5</v>
      </c>
      <c r="B1278">
        <f>VLOOKUP(MID(D1278,LOOKUP(2,1/ISNUMBER(-MID(D1278,1,{1,2,3,4,5})),{1,2,3,4,5})+1,9),'Hue codes'!$A$1:$B$10,2,FALSE)</f>
        <v>30</v>
      </c>
      <c r="C1278">
        <f t="shared" si="19"/>
        <v>32.5</v>
      </c>
      <c r="D1278" t="s">
        <v>33</v>
      </c>
      <c r="E1278">
        <v>5</v>
      </c>
      <c r="F1278">
        <v>4</v>
      </c>
      <c r="G1278">
        <v>0.36209999999999998</v>
      </c>
      <c r="H1278">
        <v>0.4143</v>
      </c>
      <c r="I1278">
        <v>19.77</v>
      </c>
    </row>
    <row r="1279" spans="1:9" x14ac:dyDescent="0.3">
      <c r="A1279">
        <f>LOOKUP(9E+307,--MID(D1279,1,{1,2,3,4,5}))</f>
        <v>2.5</v>
      </c>
      <c r="B1279">
        <f>VLOOKUP(MID(D1279,LOOKUP(2,1/ISNUMBER(-MID(D1279,1,{1,2,3,4,5})),{1,2,3,4,5})+1,9),'Hue codes'!$A$1:$B$10,2,FALSE)</f>
        <v>30</v>
      </c>
      <c r="C1279">
        <f t="shared" si="19"/>
        <v>32.5</v>
      </c>
      <c r="D1279" t="s">
        <v>33</v>
      </c>
      <c r="E1279">
        <v>5</v>
      </c>
      <c r="F1279">
        <v>6</v>
      </c>
      <c r="G1279">
        <v>0.38790000000000002</v>
      </c>
      <c r="H1279">
        <v>0.46460000000000001</v>
      </c>
      <c r="I1279">
        <v>19.77</v>
      </c>
    </row>
    <row r="1280" spans="1:9" x14ac:dyDescent="0.3">
      <c r="A1280">
        <f>LOOKUP(9E+307,--MID(D1280,1,{1,2,3,4,5}))</f>
        <v>2.5</v>
      </c>
      <c r="B1280">
        <f>VLOOKUP(MID(D1280,LOOKUP(2,1/ISNUMBER(-MID(D1280,1,{1,2,3,4,5})),{1,2,3,4,5})+1,9),'Hue codes'!$A$1:$B$10,2,FALSE)</f>
        <v>30</v>
      </c>
      <c r="C1280">
        <f t="shared" si="19"/>
        <v>32.5</v>
      </c>
      <c r="D1280" t="s">
        <v>33</v>
      </c>
      <c r="E1280">
        <v>5</v>
      </c>
      <c r="F1280">
        <v>8</v>
      </c>
      <c r="G1280">
        <v>0.4088</v>
      </c>
      <c r="H1280">
        <v>0.50680000000000003</v>
      </c>
      <c r="I1280">
        <v>19.77</v>
      </c>
    </row>
    <row r="1281" spans="1:9" x14ac:dyDescent="0.3">
      <c r="A1281">
        <f>LOOKUP(9E+307,--MID(D1281,1,{1,2,3,4,5}))</f>
        <v>2.5</v>
      </c>
      <c r="B1281">
        <f>VLOOKUP(MID(D1281,LOOKUP(2,1/ISNUMBER(-MID(D1281,1,{1,2,3,4,5})),{1,2,3,4,5})+1,9),'Hue codes'!$A$1:$B$10,2,FALSE)</f>
        <v>30</v>
      </c>
      <c r="C1281">
        <f t="shared" si="19"/>
        <v>32.5</v>
      </c>
      <c r="D1281" t="s">
        <v>33</v>
      </c>
      <c r="E1281">
        <v>5</v>
      </c>
      <c r="F1281">
        <v>10</v>
      </c>
      <c r="G1281">
        <v>0.4224</v>
      </c>
      <c r="H1281">
        <v>0.53690000000000004</v>
      </c>
      <c r="I1281">
        <v>19.77</v>
      </c>
    </row>
    <row r="1282" spans="1:9" x14ac:dyDescent="0.3">
      <c r="A1282">
        <f>LOOKUP(9E+307,--MID(D1282,1,{1,2,3,4,5}))</f>
        <v>2.5</v>
      </c>
      <c r="B1282">
        <f>VLOOKUP(MID(D1282,LOOKUP(2,1/ISNUMBER(-MID(D1282,1,{1,2,3,4,5})),{1,2,3,4,5})+1,9),'Hue codes'!$A$1:$B$10,2,FALSE)</f>
        <v>30</v>
      </c>
      <c r="C1282">
        <f t="shared" si="19"/>
        <v>32.5</v>
      </c>
      <c r="D1282" t="s">
        <v>33</v>
      </c>
      <c r="E1282">
        <v>5</v>
      </c>
      <c r="F1282">
        <v>12</v>
      </c>
      <c r="G1282">
        <v>0.43330000000000002</v>
      </c>
      <c r="H1282">
        <v>0.56020000000000003</v>
      </c>
      <c r="I1282">
        <v>19.77</v>
      </c>
    </row>
    <row r="1283" spans="1:9" x14ac:dyDescent="0.3">
      <c r="A1283">
        <f>LOOKUP(9E+307,--MID(D1283,1,{1,2,3,4,5}))</f>
        <v>5</v>
      </c>
      <c r="B1283">
        <f>VLOOKUP(MID(D1283,LOOKUP(2,1/ISNUMBER(-MID(D1283,1,{1,2,3,4,5})),{1,2,3,4,5})+1,9),'Hue codes'!$A$1:$B$10,2,FALSE)</f>
        <v>30</v>
      </c>
      <c r="C1283">
        <f t="shared" ref="C1283:C1346" si="20">IF(A1283+B1283=100,0,A1283+B1283)</f>
        <v>35</v>
      </c>
      <c r="D1283" t="s">
        <v>34</v>
      </c>
      <c r="E1283">
        <v>5</v>
      </c>
      <c r="F1283">
        <v>2</v>
      </c>
      <c r="G1283">
        <v>0.32890000000000003</v>
      </c>
      <c r="H1283">
        <v>0.36120000000000002</v>
      </c>
      <c r="I1283">
        <v>19.77</v>
      </c>
    </row>
    <row r="1284" spans="1:9" x14ac:dyDescent="0.3">
      <c r="A1284">
        <f>LOOKUP(9E+307,--MID(D1284,1,{1,2,3,4,5}))</f>
        <v>5</v>
      </c>
      <c r="B1284">
        <f>VLOOKUP(MID(D1284,LOOKUP(2,1/ISNUMBER(-MID(D1284,1,{1,2,3,4,5})),{1,2,3,4,5})+1,9),'Hue codes'!$A$1:$B$10,2,FALSE)</f>
        <v>30</v>
      </c>
      <c r="C1284">
        <f t="shared" si="20"/>
        <v>35</v>
      </c>
      <c r="D1284" t="s">
        <v>34</v>
      </c>
      <c r="E1284">
        <v>5</v>
      </c>
      <c r="F1284">
        <v>4</v>
      </c>
      <c r="G1284">
        <v>0.34820000000000001</v>
      </c>
      <c r="H1284">
        <v>0.40970000000000001</v>
      </c>
      <c r="I1284">
        <v>19.77</v>
      </c>
    </row>
    <row r="1285" spans="1:9" x14ac:dyDescent="0.3">
      <c r="A1285">
        <f>LOOKUP(9E+307,--MID(D1285,1,{1,2,3,4,5}))</f>
        <v>5</v>
      </c>
      <c r="B1285">
        <f>VLOOKUP(MID(D1285,LOOKUP(2,1/ISNUMBER(-MID(D1285,1,{1,2,3,4,5})),{1,2,3,4,5})+1,9),'Hue codes'!$A$1:$B$10,2,FALSE)</f>
        <v>30</v>
      </c>
      <c r="C1285">
        <f t="shared" si="20"/>
        <v>35</v>
      </c>
      <c r="D1285" t="s">
        <v>34</v>
      </c>
      <c r="E1285">
        <v>5</v>
      </c>
      <c r="F1285">
        <v>6</v>
      </c>
      <c r="G1285">
        <v>0.36630000000000001</v>
      </c>
      <c r="H1285">
        <v>0.46139999999999998</v>
      </c>
      <c r="I1285">
        <v>19.77</v>
      </c>
    </row>
    <row r="1286" spans="1:9" x14ac:dyDescent="0.3">
      <c r="A1286">
        <f>LOOKUP(9E+307,--MID(D1286,1,{1,2,3,4,5}))</f>
        <v>5</v>
      </c>
      <c r="B1286">
        <f>VLOOKUP(MID(D1286,LOOKUP(2,1/ISNUMBER(-MID(D1286,1,{1,2,3,4,5})),{1,2,3,4,5})+1,9),'Hue codes'!$A$1:$B$10,2,FALSE)</f>
        <v>30</v>
      </c>
      <c r="C1286">
        <f t="shared" si="20"/>
        <v>35</v>
      </c>
      <c r="D1286" t="s">
        <v>34</v>
      </c>
      <c r="E1286">
        <v>5</v>
      </c>
      <c r="F1286">
        <v>8</v>
      </c>
      <c r="G1286">
        <v>0.38150000000000001</v>
      </c>
      <c r="H1286">
        <v>0.50929999999999997</v>
      </c>
      <c r="I1286">
        <v>19.77</v>
      </c>
    </row>
    <row r="1287" spans="1:9" x14ac:dyDescent="0.3">
      <c r="A1287">
        <f>LOOKUP(9E+307,--MID(D1287,1,{1,2,3,4,5}))</f>
        <v>5</v>
      </c>
      <c r="B1287">
        <f>VLOOKUP(MID(D1287,LOOKUP(2,1/ISNUMBER(-MID(D1287,1,{1,2,3,4,5})),{1,2,3,4,5})+1,9),'Hue codes'!$A$1:$B$10,2,FALSE)</f>
        <v>30</v>
      </c>
      <c r="C1287">
        <f t="shared" si="20"/>
        <v>35</v>
      </c>
      <c r="D1287" t="s">
        <v>34</v>
      </c>
      <c r="E1287">
        <v>5</v>
      </c>
      <c r="F1287">
        <v>10</v>
      </c>
      <c r="G1287">
        <v>0.39279999999999998</v>
      </c>
      <c r="H1287">
        <v>0.54849999999999999</v>
      </c>
      <c r="I1287">
        <v>19.77</v>
      </c>
    </row>
    <row r="1288" spans="1:9" x14ac:dyDescent="0.3">
      <c r="A1288">
        <f>LOOKUP(9E+307,--MID(D1288,1,{1,2,3,4,5}))</f>
        <v>5</v>
      </c>
      <c r="B1288">
        <f>VLOOKUP(MID(D1288,LOOKUP(2,1/ISNUMBER(-MID(D1288,1,{1,2,3,4,5})),{1,2,3,4,5})+1,9),'Hue codes'!$A$1:$B$10,2,FALSE)</f>
        <v>30</v>
      </c>
      <c r="C1288">
        <f t="shared" si="20"/>
        <v>35</v>
      </c>
      <c r="D1288" t="s">
        <v>34</v>
      </c>
      <c r="E1288">
        <v>5</v>
      </c>
      <c r="F1288">
        <v>12</v>
      </c>
      <c r="G1288">
        <v>0.40110000000000001</v>
      </c>
      <c r="H1288">
        <v>0.58020000000000005</v>
      </c>
      <c r="I1288">
        <v>19.77</v>
      </c>
    </row>
    <row r="1289" spans="1:9" x14ac:dyDescent="0.3">
      <c r="A1289">
        <f>LOOKUP(9E+307,--MID(D1289,1,{1,2,3,4,5}))</f>
        <v>7.5</v>
      </c>
      <c r="B1289">
        <f>VLOOKUP(MID(D1289,LOOKUP(2,1/ISNUMBER(-MID(D1289,1,{1,2,3,4,5})),{1,2,3,4,5})+1,9),'Hue codes'!$A$1:$B$10,2,FALSE)</f>
        <v>30</v>
      </c>
      <c r="C1289">
        <f t="shared" si="20"/>
        <v>37.5</v>
      </c>
      <c r="D1289" t="s">
        <v>35</v>
      </c>
      <c r="E1289">
        <v>5</v>
      </c>
      <c r="F1289">
        <v>2</v>
      </c>
      <c r="G1289">
        <v>0.31879999999999997</v>
      </c>
      <c r="H1289">
        <v>0.35599999999999998</v>
      </c>
      <c r="I1289">
        <v>19.77</v>
      </c>
    </row>
    <row r="1290" spans="1:9" x14ac:dyDescent="0.3">
      <c r="A1290">
        <f>LOOKUP(9E+307,--MID(D1290,1,{1,2,3,4,5}))</f>
        <v>7.5</v>
      </c>
      <c r="B1290">
        <f>VLOOKUP(MID(D1290,LOOKUP(2,1/ISNUMBER(-MID(D1290,1,{1,2,3,4,5})),{1,2,3,4,5})+1,9),'Hue codes'!$A$1:$B$10,2,FALSE)</f>
        <v>30</v>
      </c>
      <c r="C1290">
        <f t="shared" si="20"/>
        <v>37.5</v>
      </c>
      <c r="D1290" t="s">
        <v>35</v>
      </c>
      <c r="E1290">
        <v>5</v>
      </c>
      <c r="F1290">
        <v>4</v>
      </c>
      <c r="G1290">
        <v>0.32740000000000002</v>
      </c>
      <c r="H1290">
        <v>0.39939999999999998</v>
      </c>
      <c r="I1290">
        <v>19.77</v>
      </c>
    </row>
    <row r="1291" spans="1:9" x14ac:dyDescent="0.3">
      <c r="A1291">
        <f>LOOKUP(9E+307,--MID(D1291,1,{1,2,3,4,5}))</f>
        <v>7.5</v>
      </c>
      <c r="B1291">
        <f>VLOOKUP(MID(D1291,LOOKUP(2,1/ISNUMBER(-MID(D1291,1,{1,2,3,4,5})),{1,2,3,4,5})+1,9),'Hue codes'!$A$1:$B$10,2,FALSE)</f>
        <v>30</v>
      </c>
      <c r="C1291">
        <f t="shared" si="20"/>
        <v>37.5</v>
      </c>
      <c r="D1291" t="s">
        <v>35</v>
      </c>
      <c r="E1291">
        <v>5</v>
      </c>
      <c r="F1291">
        <v>6</v>
      </c>
      <c r="G1291">
        <v>0.33539999999999998</v>
      </c>
      <c r="H1291">
        <v>0.44829999999999998</v>
      </c>
      <c r="I1291">
        <v>19.77</v>
      </c>
    </row>
    <row r="1292" spans="1:9" x14ac:dyDescent="0.3">
      <c r="A1292">
        <f>LOOKUP(9E+307,--MID(D1292,1,{1,2,3,4,5}))</f>
        <v>7.5</v>
      </c>
      <c r="B1292">
        <f>VLOOKUP(MID(D1292,LOOKUP(2,1/ISNUMBER(-MID(D1292,1,{1,2,3,4,5})),{1,2,3,4,5})+1,9),'Hue codes'!$A$1:$B$10,2,FALSE)</f>
        <v>30</v>
      </c>
      <c r="C1292">
        <f t="shared" si="20"/>
        <v>37.5</v>
      </c>
      <c r="D1292" t="s">
        <v>35</v>
      </c>
      <c r="E1292">
        <v>5</v>
      </c>
      <c r="F1292">
        <v>8</v>
      </c>
      <c r="G1292">
        <v>0.3412</v>
      </c>
      <c r="H1292">
        <v>0.49759999999999999</v>
      </c>
      <c r="I1292">
        <v>19.77</v>
      </c>
    </row>
    <row r="1293" spans="1:9" x14ac:dyDescent="0.3">
      <c r="A1293">
        <f>LOOKUP(9E+307,--MID(D1293,1,{1,2,3,4,5}))</f>
        <v>7.5</v>
      </c>
      <c r="B1293">
        <f>VLOOKUP(MID(D1293,LOOKUP(2,1/ISNUMBER(-MID(D1293,1,{1,2,3,4,5})),{1,2,3,4,5})+1,9),'Hue codes'!$A$1:$B$10,2,FALSE)</f>
        <v>30</v>
      </c>
      <c r="C1293">
        <f t="shared" si="20"/>
        <v>37.5</v>
      </c>
      <c r="D1293" t="s">
        <v>35</v>
      </c>
      <c r="E1293">
        <v>5</v>
      </c>
      <c r="F1293">
        <v>10</v>
      </c>
      <c r="G1293">
        <v>0.34510000000000002</v>
      </c>
      <c r="H1293">
        <v>0.54900000000000004</v>
      </c>
      <c r="I1293">
        <v>19.77</v>
      </c>
    </row>
    <row r="1294" spans="1:9" x14ac:dyDescent="0.3">
      <c r="A1294">
        <f>LOOKUP(9E+307,--MID(D1294,1,{1,2,3,4,5}))</f>
        <v>7.5</v>
      </c>
      <c r="B1294">
        <f>VLOOKUP(MID(D1294,LOOKUP(2,1/ISNUMBER(-MID(D1294,1,{1,2,3,4,5})),{1,2,3,4,5})+1,9),'Hue codes'!$A$1:$B$10,2,FALSE)</f>
        <v>30</v>
      </c>
      <c r="C1294">
        <f t="shared" si="20"/>
        <v>37.5</v>
      </c>
      <c r="D1294" t="s">
        <v>35</v>
      </c>
      <c r="E1294">
        <v>5</v>
      </c>
      <c r="F1294">
        <v>12</v>
      </c>
      <c r="G1294">
        <v>0.34499999999999997</v>
      </c>
      <c r="H1294">
        <v>0.59489999999999998</v>
      </c>
      <c r="I1294">
        <v>19.77</v>
      </c>
    </row>
    <row r="1295" spans="1:9" x14ac:dyDescent="0.3">
      <c r="A1295">
        <f>LOOKUP(9E+307,--MID(D1295,1,{1,2,3,4,5}))</f>
        <v>7.5</v>
      </c>
      <c r="B1295">
        <f>VLOOKUP(MID(D1295,LOOKUP(2,1/ISNUMBER(-MID(D1295,1,{1,2,3,4,5})),{1,2,3,4,5})+1,9),'Hue codes'!$A$1:$B$10,2,FALSE)</f>
        <v>30</v>
      </c>
      <c r="C1295">
        <f t="shared" si="20"/>
        <v>37.5</v>
      </c>
      <c r="D1295" t="s">
        <v>35</v>
      </c>
      <c r="E1295">
        <v>5</v>
      </c>
      <c r="F1295">
        <v>14</v>
      </c>
      <c r="G1295">
        <v>0.34289999999999998</v>
      </c>
      <c r="H1295">
        <v>0.63349999999999995</v>
      </c>
      <c r="I1295">
        <v>19.77</v>
      </c>
    </row>
    <row r="1296" spans="1:9" x14ac:dyDescent="0.3">
      <c r="A1296">
        <f>LOOKUP(9E+307,--MID(D1296,1,{1,2,3,4,5}))</f>
        <v>10</v>
      </c>
      <c r="B1296">
        <f>VLOOKUP(MID(D1296,LOOKUP(2,1/ISNUMBER(-MID(D1296,1,{1,2,3,4,5})),{1,2,3,4,5})+1,9),'Hue codes'!$A$1:$B$10,2,FALSE)</f>
        <v>30</v>
      </c>
      <c r="C1296">
        <f t="shared" si="20"/>
        <v>40</v>
      </c>
      <c r="D1296" t="s">
        <v>36</v>
      </c>
      <c r="E1296">
        <v>5</v>
      </c>
      <c r="F1296">
        <v>2</v>
      </c>
      <c r="G1296">
        <v>0.311</v>
      </c>
      <c r="H1296">
        <v>0.3508</v>
      </c>
      <c r="I1296">
        <v>19.77</v>
      </c>
    </row>
    <row r="1297" spans="1:9" x14ac:dyDescent="0.3">
      <c r="A1297">
        <f>LOOKUP(9E+307,--MID(D1297,1,{1,2,3,4,5}))</f>
        <v>10</v>
      </c>
      <c r="B1297">
        <f>VLOOKUP(MID(D1297,LOOKUP(2,1/ISNUMBER(-MID(D1297,1,{1,2,3,4,5})),{1,2,3,4,5})+1,9),'Hue codes'!$A$1:$B$10,2,FALSE)</f>
        <v>30</v>
      </c>
      <c r="C1297">
        <f t="shared" si="20"/>
        <v>40</v>
      </c>
      <c r="D1297" t="s">
        <v>36</v>
      </c>
      <c r="E1297">
        <v>5</v>
      </c>
      <c r="F1297">
        <v>4</v>
      </c>
      <c r="G1297">
        <v>0.31109999999999999</v>
      </c>
      <c r="H1297">
        <v>0.3881</v>
      </c>
      <c r="I1297">
        <v>19.77</v>
      </c>
    </row>
    <row r="1298" spans="1:9" x14ac:dyDescent="0.3">
      <c r="A1298">
        <f>LOOKUP(9E+307,--MID(D1298,1,{1,2,3,4,5}))</f>
        <v>10</v>
      </c>
      <c r="B1298">
        <f>VLOOKUP(MID(D1298,LOOKUP(2,1/ISNUMBER(-MID(D1298,1,{1,2,3,4,5})),{1,2,3,4,5})+1,9),'Hue codes'!$A$1:$B$10,2,FALSE)</f>
        <v>30</v>
      </c>
      <c r="C1298">
        <f t="shared" si="20"/>
        <v>40</v>
      </c>
      <c r="D1298" t="s">
        <v>36</v>
      </c>
      <c r="E1298">
        <v>5</v>
      </c>
      <c r="F1298">
        <v>6</v>
      </c>
      <c r="G1298">
        <v>0.31080000000000002</v>
      </c>
      <c r="H1298">
        <v>0.43009999999999998</v>
      </c>
      <c r="I1298">
        <v>19.77</v>
      </c>
    </row>
    <row r="1299" spans="1:9" x14ac:dyDescent="0.3">
      <c r="A1299">
        <f>LOOKUP(9E+307,--MID(D1299,1,{1,2,3,4,5}))</f>
        <v>10</v>
      </c>
      <c r="B1299">
        <f>VLOOKUP(MID(D1299,LOOKUP(2,1/ISNUMBER(-MID(D1299,1,{1,2,3,4,5})),{1,2,3,4,5})+1,9),'Hue codes'!$A$1:$B$10,2,FALSE)</f>
        <v>30</v>
      </c>
      <c r="C1299">
        <f t="shared" si="20"/>
        <v>40</v>
      </c>
      <c r="D1299" t="s">
        <v>36</v>
      </c>
      <c r="E1299">
        <v>5</v>
      </c>
      <c r="F1299">
        <v>8</v>
      </c>
      <c r="G1299">
        <v>0.308</v>
      </c>
      <c r="H1299">
        <v>0.47589999999999999</v>
      </c>
      <c r="I1299">
        <v>19.77</v>
      </c>
    </row>
    <row r="1300" spans="1:9" x14ac:dyDescent="0.3">
      <c r="A1300">
        <f>LOOKUP(9E+307,--MID(D1300,1,{1,2,3,4,5}))</f>
        <v>10</v>
      </c>
      <c r="B1300">
        <f>VLOOKUP(MID(D1300,LOOKUP(2,1/ISNUMBER(-MID(D1300,1,{1,2,3,4,5})),{1,2,3,4,5})+1,9),'Hue codes'!$A$1:$B$10,2,FALSE)</f>
        <v>30</v>
      </c>
      <c r="C1300">
        <f t="shared" si="20"/>
        <v>40</v>
      </c>
      <c r="D1300" t="s">
        <v>36</v>
      </c>
      <c r="E1300">
        <v>5</v>
      </c>
      <c r="F1300">
        <v>10</v>
      </c>
      <c r="G1300">
        <v>0.30280000000000001</v>
      </c>
      <c r="H1300">
        <v>0.52370000000000005</v>
      </c>
      <c r="I1300">
        <v>19.77</v>
      </c>
    </row>
    <row r="1301" spans="1:9" x14ac:dyDescent="0.3">
      <c r="A1301">
        <f>LOOKUP(9E+307,--MID(D1301,1,{1,2,3,4,5}))</f>
        <v>10</v>
      </c>
      <c r="B1301">
        <f>VLOOKUP(MID(D1301,LOOKUP(2,1/ISNUMBER(-MID(D1301,1,{1,2,3,4,5})),{1,2,3,4,5})+1,9),'Hue codes'!$A$1:$B$10,2,FALSE)</f>
        <v>30</v>
      </c>
      <c r="C1301">
        <f t="shared" si="20"/>
        <v>40</v>
      </c>
      <c r="D1301" t="s">
        <v>36</v>
      </c>
      <c r="E1301">
        <v>5</v>
      </c>
      <c r="F1301">
        <v>12</v>
      </c>
      <c r="G1301">
        <v>0.29399999999999998</v>
      </c>
      <c r="H1301">
        <v>0.57509999999999994</v>
      </c>
      <c r="I1301">
        <v>19.77</v>
      </c>
    </row>
    <row r="1302" spans="1:9" x14ac:dyDescent="0.3">
      <c r="A1302">
        <f>LOOKUP(9E+307,--MID(D1302,1,{1,2,3,4,5}))</f>
        <v>10</v>
      </c>
      <c r="B1302">
        <f>VLOOKUP(MID(D1302,LOOKUP(2,1/ISNUMBER(-MID(D1302,1,{1,2,3,4,5})),{1,2,3,4,5})+1,9),'Hue codes'!$A$1:$B$10,2,FALSE)</f>
        <v>30</v>
      </c>
      <c r="C1302">
        <f t="shared" si="20"/>
        <v>40</v>
      </c>
      <c r="D1302" t="s">
        <v>36</v>
      </c>
      <c r="E1302">
        <v>5</v>
      </c>
      <c r="F1302">
        <v>14</v>
      </c>
      <c r="G1302">
        <v>0.2838</v>
      </c>
      <c r="H1302">
        <v>0.62080000000000002</v>
      </c>
      <c r="I1302">
        <v>19.77</v>
      </c>
    </row>
    <row r="1303" spans="1:9" x14ac:dyDescent="0.3">
      <c r="A1303">
        <f>LOOKUP(9E+307,--MID(D1303,1,{1,2,3,4,5}))</f>
        <v>10</v>
      </c>
      <c r="B1303">
        <f>VLOOKUP(MID(D1303,LOOKUP(2,1/ISNUMBER(-MID(D1303,1,{1,2,3,4,5})),{1,2,3,4,5})+1,9),'Hue codes'!$A$1:$B$10,2,FALSE)</f>
        <v>30</v>
      </c>
      <c r="C1303">
        <f t="shared" si="20"/>
        <v>40</v>
      </c>
      <c r="D1303" t="s">
        <v>36</v>
      </c>
      <c r="E1303">
        <v>5</v>
      </c>
      <c r="F1303">
        <v>16</v>
      </c>
      <c r="G1303">
        <v>0.2702</v>
      </c>
      <c r="H1303">
        <v>0.67</v>
      </c>
      <c r="I1303">
        <v>19.77</v>
      </c>
    </row>
    <row r="1304" spans="1:9" x14ac:dyDescent="0.3">
      <c r="A1304">
        <f>LOOKUP(9E+307,--MID(D1304,1,{1,2,3,4,5}))</f>
        <v>10</v>
      </c>
      <c r="B1304">
        <f>VLOOKUP(MID(D1304,LOOKUP(2,1/ISNUMBER(-MID(D1304,1,{1,2,3,4,5})),{1,2,3,4,5})+1,9),'Hue codes'!$A$1:$B$10,2,FALSE)</f>
        <v>30</v>
      </c>
      <c r="C1304">
        <f t="shared" si="20"/>
        <v>40</v>
      </c>
      <c r="D1304" t="s">
        <v>36</v>
      </c>
      <c r="E1304">
        <v>5</v>
      </c>
      <c r="F1304">
        <v>18</v>
      </c>
      <c r="G1304">
        <v>0.25490000000000002</v>
      </c>
      <c r="H1304">
        <v>0.71789999999999998</v>
      </c>
      <c r="I1304">
        <v>19.77</v>
      </c>
    </row>
    <row r="1305" spans="1:9" x14ac:dyDescent="0.3">
      <c r="A1305">
        <f>LOOKUP(9E+307,--MID(D1305,1,{1,2,3,4,5}))</f>
        <v>2.5</v>
      </c>
      <c r="B1305">
        <f>VLOOKUP(MID(D1305,LOOKUP(2,1/ISNUMBER(-MID(D1305,1,{1,2,3,4,5})),{1,2,3,4,5})+1,9),'Hue codes'!$A$1:$B$10,2,FALSE)</f>
        <v>40</v>
      </c>
      <c r="C1305">
        <f t="shared" si="20"/>
        <v>42.5</v>
      </c>
      <c r="D1305" t="s">
        <v>37</v>
      </c>
      <c r="E1305">
        <v>5</v>
      </c>
      <c r="F1305">
        <v>2</v>
      </c>
      <c r="G1305">
        <v>0.30299999999999999</v>
      </c>
      <c r="H1305">
        <v>0.34449999999999997</v>
      </c>
      <c r="I1305">
        <v>19.77</v>
      </c>
    </row>
    <row r="1306" spans="1:9" x14ac:dyDescent="0.3">
      <c r="A1306">
        <f>LOOKUP(9E+307,--MID(D1306,1,{1,2,3,4,5}))</f>
        <v>2.5</v>
      </c>
      <c r="B1306">
        <f>VLOOKUP(MID(D1306,LOOKUP(2,1/ISNUMBER(-MID(D1306,1,{1,2,3,4,5})),{1,2,3,4,5})+1,9),'Hue codes'!$A$1:$B$10,2,FALSE)</f>
        <v>40</v>
      </c>
      <c r="C1306">
        <f t="shared" si="20"/>
        <v>42.5</v>
      </c>
      <c r="D1306" t="s">
        <v>37</v>
      </c>
      <c r="E1306">
        <v>5</v>
      </c>
      <c r="F1306">
        <v>4</v>
      </c>
      <c r="G1306">
        <v>0.29430000000000001</v>
      </c>
      <c r="H1306">
        <v>0.3735</v>
      </c>
      <c r="I1306">
        <v>19.77</v>
      </c>
    </row>
    <row r="1307" spans="1:9" x14ac:dyDescent="0.3">
      <c r="A1307">
        <f>LOOKUP(9E+307,--MID(D1307,1,{1,2,3,4,5}))</f>
        <v>2.5</v>
      </c>
      <c r="B1307">
        <f>VLOOKUP(MID(D1307,LOOKUP(2,1/ISNUMBER(-MID(D1307,1,{1,2,3,4,5})),{1,2,3,4,5})+1,9),'Hue codes'!$A$1:$B$10,2,FALSE)</f>
        <v>40</v>
      </c>
      <c r="C1307">
        <f t="shared" si="20"/>
        <v>42.5</v>
      </c>
      <c r="D1307" t="s">
        <v>37</v>
      </c>
      <c r="E1307">
        <v>5</v>
      </c>
      <c r="F1307">
        <v>6</v>
      </c>
      <c r="G1307">
        <v>0.28410000000000002</v>
      </c>
      <c r="H1307">
        <v>0.40450000000000003</v>
      </c>
      <c r="I1307">
        <v>19.77</v>
      </c>
    </row>
    <row r="1308" spans="1:9" x14ac:dyDescent="0.3">
      <c r="A1308">
        <f>LOOKUP(9E+307,--MID(D1308,1,{1,2,3,4,5}))</f>
        <v>2.5</v>
      </c>
      <c r="B1308">
        <f>VLOOKUP(MID(D1308,LOOKUP(2,1/ISNUMBER(-MID(D1308,1,{1,2,3,4,5})),{1,2,3,4,5})+1,9),'Hue codes'!$A$1:$B$10,2,FALSE)</f>
        <v>40</v>
      </c>
      <c r="C1308">
        <f t="shared" si="20"/>
        <v>42.5</v>
      </c>
      <c r="D1308" t="s">
        <v>37</v>
      </c>
      <c r="E1308">
        <v>5</v>
      </c>
      <c r="F1308">
        <v>8</v>
      </c>
      <c r="G1308">
        <v>0.27100000000000002</v>
      </c>
      <c r="H1308">
        <v>0.438</v>
      </c>
      <c r="I1308">
        <v>19.77</v>
      </c>
    </row>
    <row r="1309" spans="1:9" x14ac:dyDescent="0.3">
      <c r="A1309">
        <f>LOOKUP(9E+307,--MID(D1309,1,{1,2,3,4,5}))</f>
        <v>2.5</v>
      </c>
      <c r="B1309">
        <f>VLOOKUP(MID(D1309,LOOKUP(2,1/ISNUMBER(-MID(D1309,1,{1,2,3,4,5})),{1,2,3,4,5})+1,9),'Hue codes'!$A$1:$B$10,2,FALSE)</f>
        <v>40</v>
      </c>
      <c r="C1309">
        <f t="shared" si="20"/>
        <v>42.5</v>
      </c>
      <c r="D1309" t="s">
        <v>37</v>
      </c>
      <c r="E1309">
        <v>5</v>
      </c>
      <c r="F1309">
        <v>10</v>
      </c>
      <c r="G1309">
        <v>0.25650000000000001</v>
      </c>
      <c r="H1309">
        <v>0.47049999999999997</v>
      </c>
      <c r="I1309">
        <v>19.77</v>
      </c>
    </row>
    <row r="1310" spans="1:9" x14ac:dyDescent="0.3">
      <c r="A1310">
        <f>LOOKUP(9E+307,--MID(D1310,1,{1,2,3,4,5}))</f>
        <v>2.5</v>
      </c>
      <c r="B1310">
        <f>VLOOKUP(MID(D1310,LOOKUP(2,1/ISNUMBER(-MID(D1310,1,{1,2,3,4,5})),{1,2,3,4,5})+1,9),'Hue codes'!$A$1:$B$10,2,FALSE)</f>
        <v>40</v>
      </c>
      <c r="C1310">
        <f t="shared" si="20"/>
        <v>42.5</v>
      </c>
      <c r="D1310" t="s">
        <v>37</v>
      </c>
      <c r="E1310">
        <v>5</v>
      </c>
      <c r="F1310">
        <v>12</v>
      </c>
      <c r="G1310">
        <v>0.23849999999999999</v>
      </c>
      <c r="H1310">
        <v>0.5071</v>
      </c>
      <c r="I1310">
        <v>19.77</v>
      </c>
    </row>
    <row r="1311" spans="1:9" x14ac:dyDescent="0.3">
      <c r="A1311">
        <f>LOOKUP(9E+307,--MID(D1311,1,{1,2,3,4,5}))</f>
        <v>2.5</v>
      </c>
      <c r="B1311">
        <f>VLOOKUP(MID(D1311,LOOKUP(2,1/ISNUMBER(-MID(D1311,1,{1,2,3,4,5})),{1,2,3,4,5})+1,9),'Hue codes'!$A$1:$B$10,2,FALSE)</f>
        <v>40</v>
      </c>
      <c r="C1311">
        <f t="shared" si="20"/>
        <v>42.5</v>
      </c>
      <c r="D1311" t="s">
        <v>37</v>
      </c>
      <c r="E1311">
        <v>5</v>
      </c>
      <c r="F1311">
        <v>14</v>
      </c>
      <c r="G1311">
        <v>0.22109999999999999</v>
      </c>
      <c r="H1311">
        <v>0.54110000000000003</v>
      </c>
      <c r="I1311">
        <v>19.77</v>
      </c>
    </row>
    <row r="1312" spans="1:9" x14ac:dyDescent="0.3">
      <c r="A1312">
        <f>LOOKUP(9E+307,--MID(D1312,1,{1,2,3,4,5}))</f>
        <v>2.5</v>
      </c>
      <c r="B1312">
        <f>VLOOKUP(MID(D1312,LOOKUP(2,1/ISNUMBER(-MID(D1312,1,{1,2,3,4,5})),{1,2,3,4,5})+1,9),'Hue codes'!$A$1:$B$10,2,FALSE)</f>
        <v>40</v>
      </c>
      <c r="C1312">
        <f t="shared" si="20"/>
        <v>42.5</v>
      </c>
      <c r="D1312" t="s">
        <v>37</v>
      </c>
      <c r="E1312">
        <v>5</v>
      </c>
      <c r="F1312">
        <v>16</v>
      </c>
      <c r="G1312">
        <v>0.20050000000000001</v>
      </c>
      <c r="H1312">
        <v>0.57589999999999997</v>
      </c>
      <c r="I1312">
        <v>19.77</v>
      </c>
    </row>
    <row r="1313" spans="1:9" x14ac:dyDescent="0.3">
      <c r="A1313">
        <f>LOOKUP(9E+307,--MID(D1313,1,{1,2,3,4,5}))</f>
        <v>2.5</v>
      </c>
      <c r="B1313">
        <f>VLOOKUP(MID(D1313,LOOKUP(2,1/ISNUMBER(-MID(D1313,1,{1,2,3,4,5})),{1,2,3,4,5})+1,9),'Hue codes'!$A$1:$B$10,2,FALSE)</f>
        <v>40</v>
      </c>
      <c r="C1313">
        <f t="shared" si="20"/>
        <v>42.5</v>
      </c>
      <c r="D1313" t="s">
        <v>37</v>
      </c>
      <c r="E1313">
        <v>5</v>
      </c>
      <c r="F1313">
        <v>18</v>
      </c>
      <c r="G1313">
        <v>0.1782</v>
      </c>
      <c r="H1313">
        <v>0.60950000000000004</v>
      </c>
      <c r="I1313">
        <v>19.77</v>
      </c>
    </row>
    <row r="1314" spans="1:9" x14ac:dyDescent="0.3">
      <c r="A1314">
        <f>LOOKUP(9E+307,--MID(D1314,1,{1,2,3,4,5}))</f>
        <v>2.5</v>
      </c>
      <c r="B1314">
        <f>VLOOKUP(MID(D1314,LOOKUP(2,1/ISNUMBER(-MID(D1314,1,{1,2,3,4,5})),{1,2,3,4,5})+1,9),'Hue codes'!$A$1:$B$10,2,FALSE)</f>
        <v>40</v>
      </c>
      <c r="C1314">
        <f t="shared" si="20"/>
        <v>42.5</v>
      </c>
      <c r="D1314" t="s">
        <v>37</v>
      </c>
      <c r="E1314">
        <v>5</v>
      </c>
      <c r="F1314">
        <v>20</v>
      </c>
      <c r="G1314">
        <v>0.15790000000000001</v>
      </c>
      <c r="H1314">
        <v>0.63919999999999999</v>
      </c>
      <c r="I1314">
        <v>19.77</v>
      </c>
    </row>
    <row r="1315" spans="1:9" x14ac:dyDescent="0.3">
      <c r="A1315">
        <f>LOOKUP(9E+307,--MID(D1315,1,{1,2,3,4,5}))</f>
        <v>2.5</v>
      </c>
      <c r="B1315">
        <f>VLOOKUP(MID(D1315,LOOKUP(2,1/ISNUMBER(-MID(D1315,1,{1,2,3,4,5})),{1,2,3,4,5})+1,9),'Hue codes'!$A$1:$B$10,2,FALSE)</f>
        <v>40</v>
      </c>
      <c r="C1315">
        <f t="shared" si="20"/>
        <v>42.5</v>
      </c>
      <c r="D1315" t="s">
        <v>37</v>
      </c>
      <c r="E1315">
        <v>5</v>
      </c>
      <c r="F1315">
        <v>22</v>
      </c>
      <c r="G1315">
        <v>0.13769999999999999</v>
      </c>
      <c r="H1315">
        <v>0.66739999999999999</v>
      </c>
      <c r="I1315">
        <v>19.77</v>
      </c>
    </row>
    <row r="1316" spans="1:9" x14ac:dyDescent="0.3">
      <c r="A1316">
        <f>LOOKUP(9E+307,--MID(D1316,1,{1,2,3,4,5}))</f>
        <v>2.5</v>
      </c>
      <c r="B1316">
        <f>VLOOKUP(MID(D1316,LOOKUP(2,1/ISNUMBER(-MID(D1316,1,{1,2,3,4,5})),{1,2,3,4,5})+1,9),'Hue codes'!$A$1:$B$10,2,FALSE)</f>
        <v>40</v>
      </c>
      <c r="C1316">
        <f t="shared" si="20"/>
        <v>42.5</v>
      </c>
      <c r="D1316" t="s">
        <v>37</v>
      </c>
      <c r="E1316">
        <v>5</v>
      </c>
      <c r="F1316">
        <v>24</v>
      </c>
      <c r="G1316">
        <v>0.1188</v>
      </c>
      <c r="H1316">
        <v>0.69179999999999997</v>
      </c>
      <c r="I1316">
        <v>19.77</v>
      </c>
    </row>
    <row r="1317" spans="1:9" x14ac:dyDescent="0.3">
      <c r="A1317">
        <f>LOOKUP(9E+307,--MID(D1317,1,{1,2,3,4,5}))</f>
        <v>2.5</v>
      </c>
      <c r="B1317">
        <f>VLOOKUP(MID(D1317,LOOKUP(2,1/ISNUMBER(-MID(D1317,1,{1,2,3,4,5})),{1,2,3,4,5})+1,9),'Hue codes'!$A$1:$B$10,2,FALSE)</f>
        <v>40</v>
      </c>
      <c r="C1317">
        <f t="shared" si="20"/>
        <v>42.5</v>
      </c>
      <c r="D1317" t="s">
        <v>37</v>
      </c>
      <c r="E1317">
        <v>5</v>
      </c>
      <c r="F1317">
        <v>26</v>
      </c>
      <c r="G1317">
        <v>9.9199999999999997E-2</v>
      </c>
      <c r="H1317">
        <v>0.71550000000000002</v>
      </c>
      <c r="I1317">
        <v>19.77</v>
      </c>
    </row>
    <row r="1318" spans="1:9" x14ac:dyDescent="0.3">
      <c r="A1318">
        <f>LOOKUP(9E+307,--MID(D1318,1,{1,2,3,4,5}))</f>
        <v>2.5</v>
      </c>
      <c r="B1318">
        <f>VLOOKUP(MID(D1318,LOOKUP(2,1/ISNUMBER(-MID(D1318,1,{1,2,3,4,5})),{1,2,3,4,5})+1,9),'Hue codes'!$A$1:$B$10,2,FALSE)</f>
        <v>40</v>
      </c>
      <c r="C1318">
        <f t="shared" si="20"/>
        <v>42.5</v>
      </c>
      <c r="D1318" t="s">
        <v>37</v>
      </c>
      <c r="E1318">
        <v>5</v>
      </c>
      <c r="F1318">
        <v>28</v>
      </c>
      <c r="G1318">
        <v>7.9399999999999998E-2</v>
      </c>
      <c r="H1318">
        <v>0.73850000000000005</v>
      </c>
      <c r="I1318">
        <v>19.77</v>
      </c>
    </row>
    <row r="1319" spans="1:9" x14ac:dyDescent="0.3">
      <c r="A1319">
        <f>LOOKUP(9E+307,--MID(D1319,1,{1,2,3,4,5}))</f>
        <v>5</v>
      </c>
      <c r="B1319">
        <f>VLOOKUP(MID(D1319,LOOKUP(2,1/ISNUMBER(-MID(D1319,1,{1,2,3,4,5})),{1,2,3,4,5})+1,9),'Hue codes'!$A$1:$B$10,2,FALSE)</f>
        <v>40</v>
      </c>
      <c r="C1319">
        <f t="shared" si="20"/>
        <v>45</v>
      </c>
      <c r="D1319" t="s">
        <v>38</v>
      </c>
      <c r="E1319">
        <v>5</v>
      </c>
      <c r="F1319">
        <v>2</v>
      </c>
      <c r="G1319">
        <v>0.29780000000000001</v>
      </c>
      <c r="H1319">
        <v>0.3392</v>
      </c>
      <c r="I1319">
        <v>19.77</v>
      </c>
    </row>
    <row r="1320" spans="1:9" x14ac:dyDescent="0.3">
      <c r="A1320">
        <f>LOOKUP(9E+307,--MID(D1320,1,{1,2,3,4,5}))</f>
        <v>5</v>
      </c>
      <c r="B1320">
        <f>VLOOKUP(MID(D1320,LOOKUP(2,1/ISNUMBER(-MID(D1320,1,{1,2,3,4,5})),{1,2,3,4,5})+1,9),'Hue codes'!$A$1:$B$10,2,FALSE)</f>
        <v>40</v>
      </c>
      <c r="C1320">
        <f t="shared" si="20"/>
        <v>45</v>
      </c>
      <c r="D1320" t="s">
        <v>38</v>
      </c>
      <c r="E1320">
        <v>5</v>
      </c>
      <c r="F1320">
        <v>4</v>
      </c>
      <c r="G1320">
        <v>0.28410000000000002</v>
      </c>
      <c r="H1320">
        <v>0.36280000000000001</v>
      </c>
      <c r="I1320">
        <v>19.77</v>
      </c>
    </row>
    <row r="1321" spans="1:9" x14ac:dyDescent="0.3">
      <c r="A1321">
        <f>LOOKUP(9E+307,--MID(D1321,1,{1,2,3,4,5}))</f>
        <v>5</v>
      </c>
      <c r="B1321">
        <f>VLOOKUP(MID(D1321,LOOKUP(2,1/ISNUMBER(-MID(D1321,1,{1,2,3,4,5})),{1,2,3,4,5})+1,9),'Hue codes'!$A$1:$B$10,2,FALSE)</f>
        <v>40</v>
      </c>
      <c r="C1321">
        <f t="shared" si="20"/>
        <v>45</v>
      </c>
      <c r="D1321" t="s">
        <v>38</v>
      </c>
      <c r="E1321">
        <v>5</v>
      </c>
      <c r="F1321">
        <v>6</v>
      </c>
      <c r="G1321">
        <v>0.26900000000000002</v>
      </c>
      <c r="H1321">
        <v>0.38600000000000001</v>
      </c>
      <c r="I1321">
        <v>19.77</v>
      </c>
    </row>
    <row r="1322" spans="1:9" x14ac:dyDescent="0.3">
      <c r="A1322">
        <f>LOOKUP(9E+307,--MID(D1322,1,{1,2,3,4,5}))</f>
        <v>5</v>
      </c>
      <c r="B1322">
        <f>VLOOKUP(MID(D1322,LOOKUP(2,1/ISNUMBER(-MID(D1322,1,{1,2,3,4,5})),{1,2,3,4,5})+1,9),'Hue codes'!$A$1:$B$10,2,FALSE)</f>
        <v>40</v>
      </c>
      <c r="C1322">
        <f t="shared" si="20"/>
        <v>45</v>
      </c>
      <c r="D1322" t="s">
        <v>38</v>
      </c>
      <c r="E1322">
        <v>5</v>
      </c>
      <c r="F1322">
        <v>8</v>
      </c>
      <c r="G1322">
        <v>0.25109999999999999</v>
      </c>
      <c r="H1322">
        <v>0.41070000000000001</v>
      </c>
      <c r="I1322">
        <v>19.77</v>
      </c>
    </row>
    <row r="1323" spans="1:9" x14ac:dyDescent="0.3">
      <c r="A1323">
        <f>LOOKUP(9E+307,--MID(D1323,1,{1,2,3,4,5}))</f>
        <v>5</v>
      </c>
      <c r="B1323">
        <f>VLOOKUP(MID(D1323,LOOKUP(2,1/ISNUMBER(-MID(D1323,1,{1,2,3,4,5})),{1,2,3,4,5})+1,9),'Hue codes'!$A$1:$B$10,2,FALSE)</f>
        <v>40</v>
      </c>
      <c r="C1323">
        <f t="shared" si="20"/>
        <v>45</v>
      </c>
      <c r="D1323" t="s">
        <v>38</v>
      </c>
      <c r="E1323">
        <v>5</v>
      </c>
      <c r="F1323">
        <v>10</v>
      </c>
      <c r="G1323">
        <v>0.2329</v>
      </c>
      <c r="H1323">
        <v>0.43309999999999998</v>
      </c>
      <c r="I1323">
        <v>19.77</v>
      </c>
    </row>
    <row r="1324" spans="1:9" x14ac:dyDescent="0.3">
      <c r="A1324">
        <f>LOOKUP(9E+307,--MID(D1324,1,{1,2,3,4,5}))</f>
        <v>5</v>
      </c>
      <c r="B1324">
        <f>VLOOKUP(MID(D1324,LOOKUP(2,1/ISNUMBER(-MID(D1324,1,{1,2,3,4,5})),{1,2,3,4,5})+1,9),'Hue codes'!$A$1:$B$10,2,FALSE)</f>
        <v>40</v>
      </c>
      <c r="C1324">
        <f t="shared" si="20"/>
        <v>45</v>
      </c>
      <c r="D1324" t="s">
        <v>38</v>
      </c>
      <c r="E1324">
        <v>5</v>
      </c>
      <c r="F1324">
        <v>12</v>
      </c>
      <c r="G1324">
        <v>0.2104</v>
      </c>
      <c r="H1324">
        <v>0.45779999999999998</v>
      </c>
      <c r="I1324">
        <v>19.77</v>
      </c>
    </row>
    <row r="1325" spans="1:9" x14ac:dyDescent="0.3">
      <c r="A1325">
        <f>LOOKUP(9E+307,--MID(D1325,1,{1,2,3,4,5}))</f>
        <v>5</v>
      </c>
      <c r="B1325">
        <f>VLOOKUP(MID(D1325,LOOKUP(2,1/ISNUMBER(-MID(D1325,1,{1,2,3,4,5})),{1,2,3,4,5})+1,9),'Hue codes'!$A$1:$B$10,2,FALSE)</f>
        <v>40</v>
      </c>
      <c r="C1325">
        <f t="shared" si="20"/>
        <v>45</v>
      </c>
      <c r="D1325" t="s">
        <v>38</v>
      </c>
      <c r="E1325">
        <v>5</v>
      </c>
      <c r="F1325">
        <v>14</v>
      </c>
      <c r="G1325">
        <v>0.19120000000000001</v>
      </c>
      <c r="H1325">
        <v>0.4773</v>
      </c>
      <c r="I1325">
        <v>19.77</v>
      </c>
    </row>
    <row r="1326" spans="1:9" x14ac:dyDescent="0.3">
      <c r="A1326">
        <f>LOOKUP(9E+307,--MID(D1326,1,{1,2,3,4,5}))</f>
        <v>5</v>
      </c>
      <c r="B1326">
        <f>VLOOKUP(MID(D1326,LOOKUP(2,1/ISNUMBER(-MID(D1326,1,{1,2,3,4,5})),{1,2,3,4,5})+1,9),'Hue codes'!$A$1:$B$10,2,FALSE)</f>
        <v>40</v>
      </c>
      <c r="C1326">
        <f t="shared" si="20"/>
        <v>45</v>
      </c>
      <c r="D1326" t="s">
        <v>38</v>
      </c>
      <c r="E1326">
        <v>5</v>
      </c>
      <c r="F1326">
        <v>16</v>
      </c>
      <c r="G1326">
        <v>0.16950000000000001</v>
      </c>
      <c r="H1326">
        <v>0.49809999999999999</v>
      </c>
      <c r="I1326">
        <v>19.77</v>
      </c>
    </row>
    <row r="1327" spans="1:9" x14ac:dyDescent="0.3">
      <c r="A1327">
        <f>LOOKUP(9E+307,--MID(D1327,1,{1,2,3,4,5}))</f>
        <v>5</v>
      </c>
      <c r="B1327">
        <f>VLOOKUP(MID(D1327,LOOKUP(2,1/ISNUMBER(-MID(D1327,1,{1,2,3,4,5})),{1,2,3,4,5})+1,9),'Hue codes'!$A$1:$B$10,2,FALSE)</f>
        <v>40</v>
      </c>
      <c r="C1327">
        <f t="shared" si="20"/>
        <v>45</v>
      </c>
      <c r="D1327" t="s">
        <v>38</v>
      </c>
      <c r="E1327">
        <v>5</v>
      </c>
      <c r="F1327">
        <v>18</v>
      </c>
      <c r="G1327">
        <v>0.1489</v>
      </c>
      <c r="H1327">
        <v>0.5171</v>
      </c>
      <c r="I1327">
        <v>19.77</v>
      </c>
    </row>
    <row r="1328" spans="1:9" x14ac:dyDescent="0.3">
      <c r="A1328">
        <f>LOOKUP(9E+307,--MID(D1328,1,{1,2,3,4,5}))</f>
        <v>5</v>
      </c>
      <c r="B1328">
        <f>VLOOKUP(MID(D1328,LOOKUP(2,1/ISNUMBER(-MID(D1328,1,{1,2,3,4,5})),{1,2,3,4,5})+1,9),'Hue codes'!$A$1:$B$10,2,FALSE)</f>
        <v>40</v>
      </c>
      <c r="C1328">
        <f t="shared" si="20"/>
        <v>45</v>
      </c>
      <c r="D1328" t="s">
        <v>38</v>
      </c>
      <c r="E1328">
        <v>5</v>
      </c>
      <c r="F1328">
        <v>20</v>
      </c>
      <c r="G1328">
        <v>0.1318</v>
      </c>
      <c r="H1328">
        <v>0.53210000000000002</v>
      </c>
      <c r="I1328">
        <v>19.77</v>
      </c>
    </row>
    <row r="1329" spans="1:9" x14ac:dyDescent="0.3">
      <c r="A1329">
        <f>LOOKUP(9E+307,--MID(D1329,1,{1,2,3,4,5}))</f>
        <v>5</v>
      </c>
      <c r="B1329">
        <f>VLOOKUP(MID(D1329,LOOKUP(2,1/ISNUMBER(-MID(D1329,1,{1,2,3,4,5})),{1,2,3,4,5})+1,9),'Hue codes'!$A$1:$B$10,2,FALSE)</f>
        <v>40</v>
      </c>
      <c r="C1329">
        <f t="shared" si="20"/>
        <v>45</v>
      </c>
      <c r="D1329" t="s">
        <v>38</v>
      </c>
      <c r="E1329">
        <v>5</v>
      </c>
      <c r="F1329">
        <v>22</v>
      </c>
      <c r="G1329">
        <v>0.1144</v>
      </c>
      <c r="H1329">
        <v>0.54630000000000001</v>
      </c>
      <c r="I1329">
        <v>19.77</v>
      </c>
    </row>
    <row r="1330" spans="1:9" x14ac:dyDescent="0.3">
      <c r="A1330">
        <f>LOOKUP(9E+307,--MID(D1330,1,{1,2,3,4,5}))</f>
        <v>5</v>
      </c>
      <c r="B1330">
        <f>VLOOKUP(MID(D1330,LOOKUP(2,1/ISNUMBER(-MID(D1330,1,{1,2,3,4,5})),{1,2,3,4,5})+1,9),'Hue codes'!$A$1:$B$10,2,FALSE)</f>
        <v>40</v>
      </c>
      <c r="C1330">
        <f t="shared" si="20"/>
        <v>45</v>
      </c>
      <c r="D1330" t="s">
        <v>38</v>
      </c>
      <c r="E1330">
        <v>5</v>
      </c>
      <c r="F1330">
        <v>24</v>
      </c>
      <c r="G1330">
        <v>9.5299999999999996E-2</v>
      </c>
      <c r="H1330">
        <v>0.56279999999999997</v>
      </c>
      <c r="I1330">
        <v>19.77</v>
      </c>
    </row>
    <row r="1331" spans="1:9" x14ac:dyDescent="0.3">
      <c r="A1331">
        <f>LOOKUP(9E+307,--MID(D1331,1,{1,2,3,4,5}))</f>
        <v>5</v>
      </c>
      <c r="B1331">
        <f>VLOOKUP(MID(D1331,LOOKUP(2,1/ISNUMBER(-MID(D1331,1,{1,2,3,4,5})),{1,2,3,4,5})+1,9),'Hue codes'!$A$1:$B$10,2,FALSE)</f>
        <v>40</v>
      </c>
      <c r="C1331">
        <f t="shared" si="20"/>
        <v>45</v>
      </c>
      <c r="D1331" t="s">
        <v>38</v>
      </c>
      <c r="E1331">
        <v>5</v>
      </c>
      <c r="F1331">
        <v>26</v>
      </c>
      <c r="G1331">
        <v>7.8399999999999997E-2</v>
      </c>
      <c r="H1331">
        <v>0.57609999999999995</v>
      </c>
      <c r="I1331">
        <v>19.77</v>
      </c>
    </row>
    <row r="1332" spans="1:9" x14ac:dyDescent="0.3">
      <c r="A1332">
        <f>LOOKUP(9E+307,--MID(D1332,1,{1,2,3,4,5}))</f>
        <v>5</v>
      </c>
      <c r="B1332">
        <f>VLOOKUP(MID(D1332,LOOKUP(2,1/ISNUMBER(-MID(D1332,1,{1,2,3,4,5})),{1,2,3,4,5})+1,9),'Hue codes'!$A$1:$B$10,2,FALSE)</f>
        <v>40</v>
      </c>
      <c r="C1332">
        <f t="shared" si="20"/>
        <v>45</v>
      </c>
      <c r="D1332" t="s">
        <v>38</v>
      </c>
      <c r="E1332">
        <v>5</v>
      </c>
      <c r="F1332">
        <v>28</v>
      </c>
      <c r="G1332">
        <v>6.0900000000000003E-2</v>
      </c>
      <c r="H1332">
        <v>0.58979999999999999</v>
      </c>
      <c r="I1332">
        <v>19.77</v>
      </c>
    </row>
    <row r="1333" spans="1:9" x14ac:dyDescent="0.3">
      <c r="A1333">
        <f>LOOKUP(9E+307,--MID(D1333,1,{1,2,3,4,5}))</f>
        <v>7.5</v>
      </c>
      <c r="B1333">
        <f>VLOOKUP(MID(D1333,LOOKUP(2,1/ISNUMBER(-MID(D1333,1,{1,2,3,4,5})),{1,2,3,4,5})+1,9),'Hue codes'!$A$1:$B$10,2,FALSE)</f>
        <v>40</v>
      </c>
      <c r="C1333">
        <f t="shared" si="20"/>
        <v>47.5</v>
      </c>
      <c r="D1333" t="s">
        <v>39</v>
      </c>
      <c r="E1333">
        <v>5</v>
      </c>
      <c r="F1333">
        <v>2</v>
      </c>
      <c r="G1333">
        <v>0.29449999999999998</v>
      </c>
      <c r="H1333">
        <v>0.33550000000000002</v>
      </c>
      <c r="I1333">
        <v>19.77</v>
      </c>
    </row>
    <row r="1334" spans="1:9" x14ac:dyDescent="0.3">
      <c r="A1334">
        <f>LOOKUP(9E+307,--MID(D1334,1,{1,2,3,4,5}))</f>
        <v>7.5</v>
      </c>
      <c r="B1334">
        <f>VLOOKUP(MID(D1334,LOOKUP(2,1/ISNUMBER(-MID(D1334,1,{1,2,3,4,5})),{1,2,3,4,5})+1,9),'Hue codes'!$A$1:$B$10,2,FALSE)</f>
        <v>40</v>
      </c>
      <c r="C1334">
        <f t="shared" si="20"/>
        <v>47.5</v>
      </c>
      <c r="D1334" t="s">
        <v>39</v>
      </c>
      <c r="E1334">
        <v>5</v>
      </c>
      <c r="F1334">
        <v>4</v>
      </c>
      <c r="G1334">
        <v>0.27750000000000002</v>
      </c>
      <c r="H1334">
        <v>0.35449999999999998</v>
      </c>
      <c r="I1334">
        <v>19.77</v>
      </c>
    </row>
    <row r="1335" spans="1:9" x14ac:dyDescent="0.3">
      <c r="A1335">
        <f>LOOKUP(9E+307,--MID(D1335,1,{1,2,3,4,5}))</f>
        <v>7.5</v>
      </c>
      <c r="B1335">
        <f>VLOOKUP(MID(D1335,LOOKUP(2,1/ISNUMBER(-MID(D1335,1,{1,2,3,4,5})),{1,2,3,4,5})+1,9),'Hue codes'!$A$1:$B$10,2,FALSE)</f>
        <v>40</v>
      </c>
      <c r="C1335">
        <f t="shared" si="20"/>
        <v>47.5</v>
      </c>
      <c r="D1335" t="s">
        <v>39</v>
      </c>
      <c r="E1335">
        <v>5</v>
      </c>
      <c r="F1335">
        <v>6</v>
      </c>
      <c r="G1335">
        <v>0.25979999999999998</v>
      </c>
      <c r="H1335">
        <v>0.37240000000000001</v>
      </c>
      <c r="I1335">
        <v>19.77</v>
      </c>
    </row>
    <row r="1336" spans="1:9" x14ac:dyDescent="0.3">
      <c r="A1336">
        <f>LOOKUP(9E+307,--MID(D1336,1,{1,2,3,4,5}))</f>
        <v>7.5</v>
      </c>
      <c r="B1336">
        <f>VLOOKUP(MID(D1336,LOOKUP(2,1/ISNUMBER(-MID(D1336,1,{1,2,3,4,5})),{1,2,3,4,5})+1,9),'Hue codes'!$A$1:$B$10,2,FALSE)</f>
        <v>40</v>
      </c>
      <c r="C1336">
        <f t="shared" si="20"/>
        <v>47.5</v>
      </c>
      <c r="D1336" t="s">
        <v>39</v>
      </c>
      <c r="E1336">
        <v>5</v>
      </c>
      <c r="F1336">
        <v>8</v>
      </c>
      <c r="G1336">
        <v>0.23949999999999999</v>
      </c>
      <c r="H1336">
        <v>0.39150000000000001</v>
      </c>
      <c r="I1336">
        <v>19.77</v>
      </c>
    </row>
    <row r="1337" spans="1:9" x14ac:dyDescent="0.3">
      <c r="A1337">
        <f>LOOKUP(9E+307,--MID(D1337,1,{1,2,3,4,5}))</f>
        <v>7.5</v>
      </c>
      <c r="B1337">
        <f>VLOOKUP(MID(D1337,LOOKUP(2,1/ISNUMBER(-MID(D1337,1,{1,2,3,4,5})),{1,2,3,4,5})+1,9),'Hue codes'!$A$1:$B$10,2,FALSE)</f>
        <v>40</v>
      </c>
      <c r="C1337">
        <f t="shared" si="20"/>
        <v>47.5</v>
      </c>
      <c r="D1337" t="s">
        <v>39</v>
      </c>
      <c r="E1337">
        <v>5</v>
      </c>
      <c r="F1337">
        <v>10</v>
      </c>
      <c r="G1337">
        <v>0.22</v>
      </c>
      <c r="H1337">
        <v>0.40820000000000001</v>
      </c>
      <c r="I1337">
        <v>19.77</v>
      </c>
    </row>
    <row r="1338" spans="1:9" x14ac:dyDescent="0.3">
      <c r="A1338">
        <f>LOOKUP(9E+307,--MID(D1338,1,{1,2,3,4,5}))</f>
        <v>7.5</v>
      </c>
      <c r="B1338">
        <f>VLOOKUP(MID(D1338,LOOKUP(2,1/ISNUMBER(-MID(D1338,1,{1,2,3,4,5})),{1,2,3,4,5})+1,9),'Hue codes'!$A$1:$B$10,2,FALSE)</f>
        <v>40</v>
      </c>
      <c r="C1338">
        <f t="shared" si="20"/>
        <v>47.5</v>
      </c>
      <c r="D1338" t="s">
        <v>39</v>
      </c>
      <c r="E1338">
        <v>5</v>
      </c>
      <c r="F1338">
        <v>12</v>
      </c>
      <c r="G1338">
        <v>0.19639999999999999</v>
      </c>
      <c r="H1338">
        <v>0.42709999999999998</v>
      </c>
      <c r="I1338">
        <v>19.77</v>
      </c>
    </row>
    <row r="1339" spans="1:9" x14ac:dyDescent="0.3">
      <c r="A1339">
        <f>LOOKUP(9E+307,--MID(D1339,1,{1,2,3,4,5}))</f>
        <v>7.5</v>
      </c>
      <c r="B1339">
        <f>VLOOKUP(MID(D1339,LOOKUP(2,1/ISNUMBER(-MID(D1339,1,{1,2,3,4,5})),{1,2,3,4,5})+1,9),'Hue codes'!$A$1:$B$10,2,FALSE)</f>
        <v>40</v>
      </c>
      <c r="C1339">
        <f t="shared" si="20"/>
        <v>47.5</v>
      </c>
      <c r="D1339" t="s">
        <v>39</v>
      </c>
      <c r="E1339">
        <v>5</v>
      </c>
      <c r="F1339">
        <v>14</v>
      </c>
      <c r="G1339">
        <v>0.17760000000000001</v>
      </c>
      <c r="H1339">
        <v>0.4415</v>
      </c>
      <c r="I1339">
        <v>19.77</v>
      </c>
    </row>
    <row r="1340" spans="1:9" x14ac:dyDescent="0.3">
      <c r="A1340">
        <f>LOOKUP(9E+307,--MID(D1340,1,{1,2,3,4,5}))</f>
        <v>7.5</v>
      </c>
      <c r="B1340">
        <f>VLOOKUP(MID(D1340,LOOKUP(2,1/ISNUMBER(-MID(D1340,1,{1,2,3,4,5})),{1,2,3,4,5})+1,9),'Hue codes'!$A$1:$B$10,2,FALSE)</f>
        <v>40</v>
      </c>
      <c r="C1340">
        <f t="shared" si="20"/>
        <v>47.5</v>
      </c>
      <c r="D1340" t="s">
        <v>39</v>
      </c>
      <c r="E1340">
        <v>5</v>
      </c>
      <c r="F1340">
        <v>16</v>
      </c>
      <c r="G1340">
        <v>0.15709999999999999</v>
      </c>
      <c r="H1340">
        <v>0.45610000000000001</v>
      </c>
      <c r="I1340">
        <v>19.77</v>
      </c>
    </row>
    <row r="1341" spans="1:9" x14ac:dyDescent="0.3">
      <c r="A1341">
        <f>LOOKUP(9E+307,--MID(D1341,1,{1,2,3,4,5}))</f>
        <v>7.5</v>
      </c>
      <c r="B1341">
        <f>VLOOKUP(MID(D1341,LOOKUP(2,1/ISNUMBER(-MID(D1341,1,{1,2,3,4,5})),{1,2,3,4,5})+1,9),'Hue codes'!$A$1:$B$10,2,FALSE)</f>
        <v>40</v>
      </c>
      <c r="C1341">
        <f t="shared" si="20"/>
        <v>47.5</v>
      </c>
      <c r="D1341" t="s">
        <v>39</v>
      </c>
      <c r="E1341">
        <v>5</v>
      </c>
      <c r="F1341">
        <v>18</v>
      </c>
      <c r="G1341">
        <v>0.13719999999999999</v>
      </c>
      <c r="H1341">
        <v>0.47049999999999997</v>
      </c>
      <c r="I1341">
        <v>19.77</v>
      </c>
    </row>
    <row r="1342" spans="1:9" x14ac:dyDescent="0.3">
      <c r="A1342">
        <f>LOOKUP(9E+307,--MID(D1342,1,{1,2,3,4,5}))</f>
        <v>7.5</v>
      </c>
      <c r="B1342">
        <f>VLOOKUP(MID(D1342,LOOKUP(2,1/ISNUMBER(-MID(D1342,1,{1,2,3,4,5})),{1,2,3,4,5})+1,9),'Hue codes'!$A$1:$B$10,2,FALSE)</f>
        <v>40</v>
      </c>
      <c r="C1342">
        <f t="shared" si="20"/>
        <v>47.5</v>
      </c>
      <c r="D1342" t="s">
        <v>39</v>
      </c>
      <c r="E1342">
        <v>5</v>
      </c>
      <c r="F1342">
        <v>20</v>
      </c>
      <c r="G1342">
        <v>0.1212</v>
      </c>
      <c r="H1342">
        <v>0.48170000000000002</v>
      </c>
      <c r="I1342">
        <v>19.77</v>
      </c>
    </row>
    <row r="1343" spans="1:9" x14ac:dyDescent="0.3">
      <c r="A1343">
        <f>LOOKUP(9E+307,--MID(D1343,1,{1,2,3,4,5}))</f>
        <v>7.5</v>
      </c>
      <c r="B1343">
        <f>VLOOKUP(MID(D1343,LOOKUP(2,1/ISNUMBER(-MID(D1343,1,{1,2,3,4,5})),{1,2,3,4,5})+1,9),'Hue codes'!$A$1:$B$10,2,FALSE)</f>
        <v>40</v>
      </c>
      <c r="C1343">
        <f t="shared" si="20"/>
        <v>47.5</v>
      </c>
      <c r="D1343" t="s">
        <v>39</v>
      </c>
      <c r="E1343">
        <v>5</v>
      </c>
      <c r="F1343">
        <v>22</v>
      </c>
      <c r="G1343">
        <v>0.105</v>
      </c>
      <c r="H1343">
        <v>0.49270000000000003</v>
      </c>
      <c r="I1343">
        <v>19.77</v>
      </c>
    </row>
    <row r="1344" spans="1:9" x14ac:dyDescent="0.3">
      <c r="A1344">
        <f>LOOKUP(9E+307,--MID(D1344,1,{1,2,3,4,5}))</f>
        <v>7.5</v>
      </c>
      <c r="B1344">
        <f>VLOOKUP(MID(D1344,LOOKUP(2,1/ISNUMBER(-MID(D1344,1,{1,2,3,4,5})),{1,2,3,4,5})+1,9),'Hue codes'!$A$1:$B$10,2,FALSE)</f>
        <v>40</v>
      </c>
      <c r="C1344">
        <f t="shared" si="20"/>
        <v>47.5</v>
      </c>
      <c r="D1344" t="s">
        <v>39</v>
      </c>
      <c r="E1344">
        <v>5</v>
      </c>
      <c r="F1344">
        <v>24</v>
      </c>
      <c r="G1344">
        <v>8.7800000000000003E-2</v>
      </c>
      <c r="H1344">
        <v>0.50390000000000001</v>
      </c>
      <c r="I1344">
        <v>19.77</v>
      </c>
    </row>
    <row r="1345" spans="1:9" x14ac:dyDescent="0.3">
      <c r="A1345">
        <f>LOOKUP(9E+307,--MID(D1345,1,{1,2,3,4,5}))</f>
        <v>7.5</v>
      </c>
      <c r="B1345">
        <f>VLOOKUP(MID(D1345,LOOKUP(2,1/ISNUMBER(-MID(D1345,1,{1,2,3,4,5})),{1,2,3,4,5})+1,9),'Hue codes'!$A$1:$B$10,2,FALSE)</f>
        <v>40</v>
      </c>
      <c r="C1345">
        <f t="shared" si="20"/>
        <v>47.5</v>
      </c>
      <c r="D1345" t="s">
        <v>39</v>
      </c>
      <c r="E1345">
        <v>5</v>
      </c>
      <c r="F1345">
        <v>26</v>
      </c>
      <c r="G1345">
        <v>7.2999999999999995E-2</v>
      </c>
      <c r="H1345">
        <v>0.5131</v>
      </c>
      <c r="I1345">
        <v>19.77</v>
      </c>
    </row>
    <row r="1346" spans="1:9" x14ac:dyDescent="0.3">
      <c r="A1346">
        <f>LOOKUP(9E+307,--MID(D1346,1,{1,2,3,4,5}))</f>
        <v>7.5</v>
      </c>
      <c r="B1346">
        <f>VLOOKUP(MID(D1346,LOOKUP(2,1/ISNUMBER(-MID(D1346,1,{1,2,3,4,5})),{1,2,3,4,5})+1,9),'Hue codes'!$A$1:$B$10,2,FALSE)</f>
        <v>40</v>
      </c>
      <c r="C1346">
        <f t="shared" si="20"/>
        <v>47.5</v>
      </c>
      <c r="D1346" t="s">
        <v>39</v>
      </c>
      <c r="E1346">
        <v>5</v>
      </c>
      <c r="F1346">
        <v>28</v>
      </c>
      <c r="G1346">
        <v>5.8500000000000003E-2</v>
      </c>
      <c r="H1346">
        <v>0.52239999999999998</v>
      </c>
      <c r="I1346">
        <v>19.77</v>
      </c>
    </row>
    <row r="1347" spans="1:9" x14ac:dyDescent="0.3">
      <c r="A1347">
        <f>LOOKUP(9E+307,--MID(D1347,1,{1,2,3,4,5}))</f>
        <v>10</v>
      </c>
      <c r="B1347">
        <f>VLOOKUP(MID(D1347,LOOKUP(2,1/ISNUMBER(-MID(D1347,1,{1,2,3,4,5})),{1,2,3,4,5})+1,9),'Hue codes'!$A$1:$B$10,2,FALSE)</f>
        <v>40</v>
      </c>
      <c r="C1347">
        <f t="shared" ref="C1347:C1410" si="21">IF(A1347+B1347=100,0,A1347+B1347)</f>
        <v>50</v>
      </c>
      <c r="D1347" t="s">
        <v>40</v>
      </c>
      <c r="E1347">
        <v>5</v>
      </c>
      <c r="F1347">
        <v>2</v>
      </c>
      <c r="G1347">
        <v>0.29099999999999998</v>
      </c>
      <c r="H1347">
        <v>0.33100000000000002</v>
      </c>
      <c r="I1347">
        <v>19.77</v>
      </c>
    </row>
    <row r="1348" spans="1:9" x14ac:dyDescent="0.3">
      <c r="A1348">
        <f>LOOKUP(9E+307,--MID(D1348,1,{1,2,3,4,5}))</f>
        <v>10</v>
      </c>
      <c r="B1348">
        <f>VLOOKUP(MID(D1348,LOOKUP(2,1/ISNUMBER(-MID(D1348,1,{1,2,3,4,5})),{1,2,3,4,5})+1,9),'Hue codes'!$A$1:$B$10,2,FALSE)</f>
        <v>40</v>
      </c>
      <c r="C1348">
        <f t="shared" si="21"/>
        <v>50</v>
      </c>
      <c r="D1348" t="s">
        <v>40</v>
      </c>
      <c r="E1348">
        <v>5</v>
      </c>
      <c r="F1348">
        <v>4</v>
      </c>
      <c r="G1348">
        <v>0.27110000000000001</v>
      </c>
      <c r="H1348">
        <v>0.34549999999999997</v>
      </c>
      <c r="I1348">
        <v>19.77</v>
      </c>
    </row>
    <row r="1349" spans="1:9" x14ac:dyDescent="0.3">
      <c r="A1349">
        <f>LOOKUP(9E+307,--MID(D1349,1,{1,2,3,4,5}))</f>
        <v>10</v>
      </c>
      <c r="B1349">
        <f>VLOOKUP(MID(D1349,LOOKUP(2,1/ISNUMBER(-MID(D1349,1,{1,2,3,4,5})),{1,2,3,4,5})+1,9),'Hue codes'!$A$1:$B$10,2,FALSE)</f>
        <v>40</v>
      </c>
      <c r="C1349">
        <f t="shared" si="21"/>
        <v>50</v>
      </c>
      <c r="D1349" t="s">
        <v>40</v>
      </c>
      <c r="E1349">
        <v>5</v>
      </c>
      <c r="F1349">
        <v>6</v>
      </c>
      <c r="G1349">
        <v>0.25190000000000001</v>
      </c>
      <c r="H1349">
        <v>0.35870000000000002</v>
      </c>
      <c r="I1349">
        <v>19.77</v>
      </c>
    </row>
    <row r="1350" spans="1:9" x14ac:dyDescent="0.3">
      <c r="A1350">
        <f>LOOKUP(9E+307,--MID(D1350,1,{1,2,3,4,5}))</f>
        <v>10</v>
      </c>
      <c r="B1350">
        <f>VLOOKUP(MID(D1350,LOOKUP(2,1/ISNUMBER(-MID(D1350,1,{1,2,3,4,5})),{1,2,3,4,5})+1,9),'Hue codes'!$A$1:$B$10,2,FALSE)</f>
        <v>40</v>
      </c>
      <c r="C1350">
        <f t="shared" si="21"/>
        <v>50</v>
      </c>
      <c r="D1350" t="s">
        <v>40</v>
      </c>
      <c r="E1350">
        <v>5</v>
      </c>
      <c r="F1350">
        <v>8</v>
      </c>
      <c r="G1350">
        <v>0.22969999999999999</v>
      </c>
      <c r="H1350">
        <v>0.373</v>
      </c>
      <c r="I1350">
        <v>19.77</v>
      </c>
    </row>
    <row r="1351" spans="1:9" x14ac:dyDescent="0.3">
      <c r="A1351">
        <f>LOOKUP(9E+307,--MID(D1351,1,{1,2,3,4,5}))</f>
        <v>10</v>
      </c>
      <c r="B1351">
        <f>VLOOKUP(MID(D1351,LOOKUP(2,1/ISNUMBER(-MID(D1351,1,{1,2,3,4,5})),{1,2,3,4,5})+1,9),'Hue codes'!$A$1:$B$10,2,FALSE)</f>
        <v>40</v>
      </c>
      <c r="C1351">
        <f t="shared" si="21"/>
        <v>50</v>
      </c>
      <c r="D1351" t="s">
        <v>40</v>
      </c>
      <c r="E1351">
        <v>5</v>
      </c>
      <c r="F1351">
        <v>10</v>
      </c>
      <c r="G1351">
        <v>0.20949999999999999</v>
      </c>
      <c r="H1351">
        <v>0.38529999999999998</v>
      </c>
      <c r="I1351">
        <v>19.77</v>
      </c>
    </row>
    <row r="1352" spans="1:9" x14ac:dyDescent="0.3">
      <c r="A1352">
        <f>LOOKUP(9E+307,--MID(D1352,1,{1,2,3,4,5}))</f>
        <v>10</v>
      </c>
      <c r="B1352">
        <f>VLOOKUP(MID(D1352,LOOKUP(2,1/ISNUMBER(-MID(D1352,1,{1,2,3,4,5})),{1,2,3,4,5})+1,9),'Hue codes'!$A$1:$B$10,2,FALSE)</f>
        <v>40</v>
      </c>
      <c r="C1352">
        <f t="shared" si="21"/>
        <v>50</v>
      </c>
      <c r="D1352" t="s">
        <v>40</v>
      </c>
      <c r="E1352">
        <v>5</v>
      </c>
      <c r="F1352">
        <v>12</v>
      </c>
      <c r="G1352">
        <v>0.1852</v>
      </c>
      <c r="H1352">
        <v>0.3992</v>
      </c>
      <c r="I1352">
        <v>19.77</v>
      </c>
    </row>
    <row r="1353" spans="1:9" x14ac:dyDescent="0.3">
      <c r="A1353">
        <f>LOOKUP(9E+307,--MID(D1353,1,{1,2,3,4,5}))</f>
        <v>10</v>
      </c>
      <c r="B1353">
        <f>VLOOKUP(MID(D1353,LOOKUP(2,1/ISNUMBER(-MID(D1353,1,{1,2,3,4,5})),{1,2,3,4,5})+1,9),'Hue codes'!$A$1:$B$10,2,FALSE)</f>
        <v>40</v>
      </c>
      <c r="C1353">
        <f t="shared" si="21"/>
        <v>50</v>
      </c>
      <c r="D1353" t="s">
        <v>40</v>
      </c>
      <c r="E1353">
        <v>5</v>
      </c>
      <c r="F1353">
        <v>14</v>
      </c>
      <c r="G1353">
        <v>0.1671</v>
      </c>
      <c r="H1353">
        <v>0.40889999999999999</v>
      </c>
      <c r="I1353">
        <v>19.77</v>
      </c>
    </row>
    <row r="1354" spans="1:9" x14ac:dyDescent="0.3">
      <c r="A1354">
        <f>LOOKUP(9E+307,--MID(D1354,1,{1,2,3,4,5}))</f>
        <v>10</v>
      </c>
      <c r="B1354">
        <f>VLOOKUP(MID(D1354,LOOKUP(2,1/ISNUMBER(-MID(D1354,1,{1,2,3,4,5})),{1,2,3,4,5})+1,9),'Hue codes'!$A$1:$B$10,2,FALSE)</f>
        <v>40</v>
      </c>
      <c r="C1354">
        <f t="shared" si="21"/>
        <v>50</v>
      </c>
      <c r="D1354" t="s">
        <v>40</v>
      </c>
      <c r="E1354">
        <v>5</v>
      </c>
      <c r="F1354">
        <v>16</v>
      </c>
      <c r="G1354">
        <v>0.1469</v>
      </c>
      <c r="H1354">
        <v>0.41920000000000002</v>
      </c>
      <c r="I1354">
        <v>19.77</v>
      </c>
    </row>
    <row r="1355" spans="1:9" x14ac:dyDescent="0.3">
      <c r="A1355">
        <f>LOOKUP(9E+307,--MID(D1355,1,{1,2,3,4,5}))</f>
        <v>10</v>
      </c>
      <c r="B1355">
        <f>VLOOKUP(MID(D1355,LOOKUP(2,1/ISNUMBER(-MID(D1355,1,{1,2,3,4,5})),{1,2,3,4,5})+1,9),'Hue codes'!$A$1:$B$10,2,FALSE)</f>
        <v>40</v>
      </c>
      <c r="C1355">
        <f t="shared" si="21"/>
        <v>50</v>
      </c>
      <c r="D1355" t="s">
        <v>40</v>
      </c>
      <c r="E1355">
        <v>5</v>
      </c>
      <c r="F1355">
        <v>18</v>
      </c>
      <c r="G1355">
        <v>0.1275</v>
      </c>
      <c r="H1355">
        <v>0.42880000000000001</v>
      </c>
      <c r="I1355">
        <v>19.77</v>
      </c>
    </row>
    <row r="1356" spans="1:9" x14ac:dyDescent="0.3">
      <c r="A1356">
        <f>LOOKUP(9E+307,--MID(D1356,1,{1,2,3,4,5}))</f>
        <v>10</v>
      </c>
      <c r="B1356">
        <f>VLOOKUP(MID(D1356,LOOKUP(2,1/ISNUMBER(-MID(D1356,1,{1,2,3,4,5})),{1,2,3,4,5})+1,9),'Hue codes'!$A$1:$B$10,2,FALSE)</f>
        <v>40</v>
      </c>
      <c r="C1356">
        <f t="shared" si="21"/>
        <v>50</v>
      </c>
      <c r="D1356" t="s">
        <v>40</v>
      </c>
      <c r="E1356">
        <v>5</v>
      </c>
      <c r="F1356">
        <v>20</v>
      </c>
      <c r="G1356">
        <v>0.112</v>
      </c>
      <c r="H1356">
        <v>0.436</v>
      </c>
      <c r="I1356">
        <v>19.77</v>
      </c>
    </row>
    <row r="1357" spans="1:9" x14ac:dyDescent="0.3">
      <c r="A1357">
        <f>LOOKUP(9E+307,--MID(D1357,1,{1,2,3,4,5}))</f>
        <v>10</v>
      </c>
      <c r="B1357">
        <f>VLOOKUP(MID(D1357,LOOKUP(2,1/ISNUMBER(-MID(D1357,1,{1,2,3,4,5})),{1,2,3,4,5})+1,9),'Hue codes'!$A$1:$B$10,2,FALSE)</f>
        <v>40</v>
      </c>
      <c r="C1357">
        <f t="shared" si="21"/>
        <v>50</v>
      </c>
      <c r="D1357" t="s">
        <v>40</v>
      </c>
      <c r="E1357">
        <v>5</v>
      </c>
      <c r="F1357">
        <v>22</v>
      </c>
      <c r="G1357">
        <v>9.5799999999999996E-2</v>
      </c>
      <c r="H1357">
        <v>0.44280000000000003</v>
      </c>
      <c r="I1357">
        <v>19.77</v>
      </c>
    </row>
    <row r="1358" spans="1:9" x14ac:dyDescent="0.3">
      <c r="A1358">
        <f>LOOKUP(9E+307,--MID(D1358,1,{1,2,3,4,5}))</f>
        <v>10</v>
      </c>
      <c r="B1358">
        <f>VLOOKUP(MID(D1358,LOOKUP(2,1/ISNUMBER(-MID(D1358,1,{1,2,3,4,5})),{1,2,3,4,5})+1,9),'Hue codes'!$A$1:$B$10,2,FALSE)</f>
        <v>40</v>
      </c>
      <c r="C1358">
        <f t="shared" si="21"/>
        <v>50</v>
      </c>
      <c r="D1358" t="s">
        <v>40</v>
      </c>
      <c r="E1358">
        <v>5</v>
      </c>
      <c r="F1358">
        <v>24</v>
      </c>
      <c r="G1358">
        <v>8.1100000000000005E-2</v>
      </c>
      <c r="H1358">
        <v>0.4491</v>
      </c>
      <c r="I1358">
        <v>19.77</v>
      </c>
    </row>
    <row r="1359" spans="1:9" x14ac:dyDescent="0.3">
      <c r="A1359">
        <f>LOOKUP(9E+307,--MID(D1359,1,{1,2,3,4,5}))</f>
        <v>10</v>
      </c>
      <c r="B1359">
        <f>VLOOKUP(MID(D1359,LOOKUP(2,1/ISNUMBER(-MID(D1359,1,{1,2,3,4,5})),{1,2,3,4,5})+1,9),'Hue codes'!$A$1:$B$10,2,FALSE)</f>
        <v>40</v>
      </c>
      <c r="C1359">
        <f t="shared" si="21"/>
        <v>50</v>
      </c>
      <c r="D1359" t="s">
        <v>40</v>
      </c>
      <c r="E1359">
        <v>5</v>
      </c>
      <c r="F1359">
        <v>26</v>
      </c>
      <c r="G1359">
        <v>6.9000000000000006E-2</v>
      </c>
      <c r="H1359">
        <v>0.45419999999999999</v>
      </c>
      <c r="I1359">
        <v>19.77</v>
      </c>
    </row>
    <row r="1360" spans="1:9" x14ac:dyDescent="0.3">
      <c r="A1360">
        <f>LOOKUP(9E+307,--MID(D1360,1,{1,2,3,4,5}))</f>
        <v>10</v>
      </c>
      <c r="B1360">
        <f>VLOOKUP(MID(D1360,LOOKUP(2,1/ISNUMBER(-MID(D1360,1,{1,2,3,4,5})),{1,2,3,4,5})+1,9),'Hue codes'!$A$1:$B$10,2,FALSE)</f>
        <v>40</v>
      </c>
      <c r="C1360">
        <f t="shared" si="21"/>
        <v>50</v>
      </c>
      <c r="D1360" t="s">
        <v>40</v>
      </c>
      <c r="E1360">
        <v>5</v>
      </c>
      <c r="F1360">
        <v>28</v>
      </c>
      <c r="G1360">
        <v>5.7200000000000001E-2</v>
      </c>
      <c r="H1360">
        <v>0.45900000000000002</v>
      </c>
      <c r="I1360">
        <v>19.77</v>
      </c>
    </row>
    <row r="1361" spans="1:9" x14ac:dyDescent="0.3">
      <c r="A1361">
        <f>LOOKUP(9E+307,--MID(D1361,1,{1,2,3,4,5}))</f>
        <v>2.5</v>
      </c>
      <c r="B1361">
        <f>VLOOKUP(MID(D1361,LOOKUP(2,1/ISNUMBER(-MID(D1361,1,{1,2,3,4,5})),{1,2,3,4,5})+1,9),'Hue codes'!$A$1:$B$10,2,FALSE)</f>
        <v>50</v>
      </c>
      <c r="C1361">
        <f t="shared" si="21"/>
        <v>52.5</v>
      </c>
      <c r="D1361" t="s">
        <v>41</v>
      </c>
      <c r="E1361">
        <v>5</v>
      </c>
      <c r="F1361">
        <v>2</v>
      </c>
      <c r="G1361">
        <v>0.28799999999999998</v>
      </c>
      <c r="H1361">
        <v>0.32700000000000001</v>
      </c>
      <c r="I1361">
        <v>19.77</v>
      </c>
    </row>
    <row r="1362" spans="1:9" x14ac:dyDescent="0.3">
      <c r="A1362">
        <f>LOOKUP(9E+307,--MID(D1362,1,{1,2,3,4,5}))</f>
        <v>2.5</v>
      </c>
      <c r="B1362">
        <f>VLOOKUP(MID(D1362,LOOKUP(2,1/ISNUMBER(-MID(D1362,1,{1,2,3,4,5})),{1,2,3,4,5})+1,9),'Hue codes'!$A$1:$B$10,2,FALSE)</f>
        <v>50</v>
      </c>
      <c r="C1362">
        <f t="shared" si="21"/>
        <v>52.5</v>
      </c>
      <c r="D1362" t="s">
        <v>41</v>
      </c>
      <c r="E1362">
        <v>5</v>
      </c>
      <c r="F1362">
        <v>4</v>
      </c>
      <c r="G1362">
        <v>0.26590000000000003</v>
      </c>
      <c r="H1362">
        <v>0.33689999999999998</v>
      </c>
      <c r="I1362">
        <v>19.77</v>
      </c>
    </row>
    <row r="1363" spans="1:9" x14ac:dyDescent="0.3">
      <c r="A1363">
        <f>LOOKUP(9E+307,--MID(D1363,1,{1,2,3,4,5}))</f>
        <v>2.5</v>
      </c>
      <c r="B1363">
        <f>VLOOKUP(MID(D1363,LOOKUP(2,1/ISNUMBER(-MID(D1363,1,{1,2,3,4,5})),{1,2,3,4,5})+1,9),'Hue codes'!$A$1:$B$10,2,FALSE)</f>
        <v>50</v>
      </c>
      <c r="C1363">
        <f t="shared" si="21"/>
        <v>52.5</v>
      </c>
      <c r="D1363" t="s">
        <v>41</v>
      </c>
      <c r="E1363">
        <v>5</v>
      </c>
      <c r="F1363">
        <v>6</v>
      </c>
      <c r="G1363">
        <v>0.24479999999999999</v>
      </c>
      <c r="H1363">
        <v>0.34520000000000001</v>
      </c>
      <c r="I1363">
        <v>19.77</v>
      </c>
    </row>
    <row r="1364" spans="1:9" x14ac:dyDescent="0.3">
      <c r="A1364">
        <f>LOOKUP(9E+307,--MID(D1364,1,{1,2,3,4,5}))</f>
        <v>2.5</v>
      </c>
      <c r="B1364">
        <f>VLOOKUP(MID(D1364,LOOKUP(2,1/ISNUMBER(-MID(D1364,1,{1,2,3,4,5})),{1,2,3,4,5})+1,9),'Hue codes'!$A$1:$B$10,2,FALSE)</f>
        <v>50</v>
      </c>
      <c r="C1364">
        <f t="shared" si="21"/>
        <v>52.5</v>
      </c>
      <c r="D1364" t="s">
        <v>41</v>
      </c>
      <c r="E1364">
        <v>5</v>
      </c>
      <c r="F1364">
        <v>8</v>
      </c>
      <c r="G1364">
        <v>0.2205</v>
      </c>
      <c r="H1364">
        <v>0.35370000000000001</v>
      </c>
      <c r="I1364">
        <v>19.77</v>
      </c>
    </row>
    <row r="1365" spans="1:9" x14ac:dyDescent="0.3">
      <c r="A1365">
        <f>LOOKUP(9E+307,--MID(D1365,1,{1,2,3,4,5}))</f>
        <v>2.5</v>
      </c>
      <c r="B1365">
        <f>VLOOKUP(MID(D1365,LOOKUP(2,1/ISNUMBER(-MID(D1365,1,{1,2,3,4,5})),{1,2,3,4,5})+1,9),'Hue codes'!$A$1:$B$10,2,FALSE)</f>
        <v>50</v>
      </c>
      <c r="C1365">
        <f t="shared" si="21"/>
        <v>52.5</v>
      </c>
      <c r="D1365" t="s">
        <v>41</v>
      </c>
      <c r="E1365">
        <v>5</v>
      </c>
      <c r="F1365">
        <v>10</v>
      </c>
      <c r="G1365">
        <v>0.19800000000000001</v>
      </c>
      <c r="H1365">
        <v>0.36059999999999998</v>
      </c>
      <c r="I1365">
        <v>19.77</v>
      </c>
    </row>
    <row r="1366" spans="1:9" x14ac:dyDescent="0.3">
      <c r="A1366">
        <f>LOOKUP(9E+307,--MID(D1366,1,{1,2,3,4,5}))</f>
        <v>2.5</v>
      </c>
      <c r="B1366">
        <f>VLOOKUP(MID(D1366,LOOKUP(2,1/ISNUMBER(-MID(D1366,1,{1,2,3,4,5})),{1,2,3,4,5})+1,9),'Hue codes'!$A$1:$B$10,2,FALSE)</f>
        <v>50</v>
      </c>
      <c r="C1366">
        <f t="shared" si="21"/>
        <v>52.5</v>
      </c>
      <c r="D1366" t="s">
        <v>41</v>
      </c>
      <c r="E1366">
        <v>5</v>
      </c>
      <c r="F1366">
        <v>12</v>
      </c>
      <c r="G1366">
        <v>0.17349999999999999</v>
      </c>
      <c r="H1366">
        <v>0.36680000000000001</v>
      </c>
      <c r="I1366">
        <v>19.77</v>
      </c>
    </row>
    <row r="1367" spans="1:9" x14ac:dyDescent="0.3">
      <c r="A1367">
        <f>LOOKUP(9E+307,--MID(D1367,1,{1,2,3,4,5}))</f>
        <v>2.5</v>
      </c>
      <c r="B1367">
        <f>VLOOKUP(MID(D1367,LOOKUP(2,1/ISNUMBER(-MID(D1367,1,{1,2,3,4,5})),{1,2,3,4,5})+1,9),'Hue codes'!$A$1:$B$10,2,FALSE)</f>
        <v>50</v>
      </c>
      <c r="C1367">
        <f t="shared" si="21"/>
        <v>52.5</v>
      </c>
      <c r="D1367" t="s">
        <v>41</v>
      </c>
      <c r="E1367">
        <v>5</v>
      </c>
      <c r="F1367">
        <v>14</v>
      </c>
      <c r="G1367">
        <v>0.15590000000000001</v>
      </c>
      <c r="H1367">
        <v>0.37080000000000002</v>
      </c>
      <c r="I1367">
        <v>19.77</v>
      </c>
    </row>
    <row r="1368" spans="1:9" x14ac:dyDescent="0.3">
      <c r="A1368">
        <f>LOOKUP(9E+307,--MID(D1368,1,{1,2,3,4,5}))</f>
        <v>2.5</v>
      </c>
      <c r="B1368">
        <f>VLOOKUP(MID(D1368,LOOKUP(2,1/ISNUMBER(-MID(D1368,1,{1,2,3,4,5})),{1,2,3,4,5})+1,9),'Hue codes'!$A$1:$B$10,2,FALSE)</f>
        <v>50</v>
      </c>
      <c r="C1368">
        <f t="shared" si="21"/>
        <v>52.5</v>
      </c>
      <c r="D1368" t="s">
        <v>41</v>
      </c>
      <c r="E1368">
        <v>5</v>
      </c>
      <c r="F1368">
        <v>16</v>
      </c>
      <c r="G1368">
        <v>0.1348</v>
      </c>
      <c r="H1368">
        <v>0.375</v>
      </c>
      <c r="I1368">
        <v>19.77</v>
      </c>
    </row>
    <row r="1369" spans="1:9" x14ac:dyDescent="0.3">
      <c r="A1369">
        <f>LOOKUP(9E+307,--MID(D1369,1,{1,2,3,4,5}))</f>
        <v>2.5</v>
      </c>
      <c r="B1369">
        <f>VLOOKUP(MID(D1369,LOOKUP(2,1/ISNUMBER(-MID(D1369,1,{1,2,3,4,5})),{1,2,3,4,5})+1,9),'Hue codes'!$A$1:$B$10,2,FALSE)</f>
        <v>50</v>
      </c>
      <c r="C1369">
        <f t="shared" si="21"/>
        <v>52.5</v>
      </c>
      <c r="D1369" t="s">
        <v>41</v>
      </c>
      <c r="E1369">
        <v>5</v>
      </c>
      <c r="F1369">
        <v>18</v>
      </c>
      <c r="G1369">
        <v>0.11650000000000001</v>
      </c>
      <c r="H1369">
        <v>0.3785</v>
      </c>
      <c r="I1369">
        <v>19.77</v>
      </c>
    </row>
    <row r="1370" spans="1:9" x14ac:dyDescent="0.3">
      <c r="A1370">
        <f>LOOKUP(9E+307,--MID(D1370,1,{1,2,3,4,5}))</f>
        <v>2.5</v>
      </c>
      <c r="B1370">
        <f>VLOOKUP(MID(D1370,LOOKUP(2,1/ISNUMBER(-MID(D1370,1,{1,2,3,4,5})),{1,2,3,4,5})+1,9),'Hue codes'!$A$1:$B$10,2,FALSE)</f>
        <v>50</v>
      </c>
      <c r="C1370">
        <f t="shared" si="21"/>
        <v>52.5</v>
      </c>
      <c r="D1370" t="s">
        <v>41</v>
      </c>
      <c r="E1370">
        <v>5</v>
      </c>
      <c r="F1370">
        <v>20</v>
      </c>
      <c r="G1370">
        <v>0.10050000000000001</v>
      </c>
      <c r="H1370">
        <v>0.38140000000000002</v>
      </c>
      <c r="I1370">
        <v>19.77</v>
      </c>
    </row>
    <row r="1371" spans="1:9" x14ac:dyDescent="0.3">
      <c r="A1371">
        <f>LOOKUP(9E+307,--MID(D1371,1,{1,2,3,4,5}))</f>
        <v>2.5</v>
      </c>
      <c r="B1371">
        <f>VLOOKUP(MID(D1371,LOOKUP(2,1/ISNUMBER(-MID(D1371,1,{1,2,3,4,5})),{1,2,3,4,5})+1,9),'Hue codes'!$A$1:$B$10,2,FALSE)</f>
        <v>50</v>
      </c>
      <c r="C1371">
        <f t="shared" si="21"/>
        <v>52.5</v>
      </c>
      <c r="D1371" t="s">
        <v>41</v>
      </c>
      <c r="E1371">
        <v>5</v>
      </c>
      <c r="F1371">
        <v>22</v>
      </c>
      <c r="G1371">
        <v>8.6099999999999996E-2</v>
      </c>
      <c r="H1371">
        <v>0.38319999999999999</v>
      </c>
      <c r="I1371">
        <v>19.77</v>
      </c>
    </row>
    <row r="1372" spans="1:9" x14ac:dyDescent="0.3">
      <c r="A1372">
        <f>LOOKUP(9E+307,--MID(D1372,1,{1,2,3,4,5}))</f>
        <v>2.5</v>
      </c>
      <c r="B1372">
        <f>VLOOKUP(MID(D1372,LOOKUP(2,1/ISNUMBER(-MID(D1372,1,{1,2,3,4,5})),{1,2,3,4,5})+1,9),'Hue codes'!$A$1:$B$10,2,FALSE)</f>
        <v>50</v>
      </c>
      <c r="C1372">
        <f t="shared" si="21"/>
        <v>52.5</v>
      </c>
      <c r="D1372" t="s">
        <v>41</v>
      </c>
      <c r="E1372">
        <v>5</v>
      </c>
      <c r="F1372">
        <v>24</v>
      </c>
      <c r="G1372">
        <v>7.3800000000000004E-2</v>
      </c>
      <c r="H1372">
        <v>0.3851</v>
      </c>
      <c r="I1372">
        <v>19.77</v>
      </c>
    </row>
    <row r="1373" spans="1:9" x14ac:dyDescent="0.3">
      <c r="A1373">
        <f>LOOKUP(9E+307,--MID(D1373,1,{1,2,3,4,5}))</f>
        <v>5</v>
      </c>
      <c r="B1373">
        <f>VLOOKUP(MID(D1373,LOOKUP(2,1/ISNUMBER(-MID(D1373,1,{1,2,3,4,5})),{1,2,3,4,5})+1,9),'Hue codes'!$A$1:$B$10,2,FALSE)</f>
        <v>50</v>
      </c>
      <c r="C1373">
        <f t="shared" si="21"/>
        <v>55</v>
      </c>
      <c r="D1373" t="s">
        <v>42</v>
      </c>
      <c r="E1373">
        <v>5</v>
      </c>
      <c r="F1373">
        <v>2</v>
      </c>
      <c r="G1373">
        <v>0.28410000000000002</v>
      </c>
      <c r="H1373">
        <v>0.32100000000000001</v>
      </c>
      <c r="I1373">
        <v>19.77</v>
      </c>
    </row>
    <row r="1374" spans="1:9" x14ac:dyDescent="0.3">
      <c r="A1374">
        <f>LOOKUP(9E+307,--MID(D1374,1,{1,2,3,4,5}))</f>
        <v>5</v>
      </c>
      <c r="B1374">
        <f>VLOOKUP(MID(D1374,LOOKUP(2,1/ISNUMBER(-MID(D1374,1,{1,2,3,4,5})),{1,2,3,4,5})+1,9),'Hue codes'!$A$1:$B$10,2,FALSE)</f>
        <v>50</v>
      </c>
      <c r="C1374">
        <f t="shared" si="21"/>
        <v>55</v>
      </c>
      <c r="D1374" t="s">
        <v>42</v>
      </c>
      <c r="E1374">
        <v>5</v>
      </c>
      <c r="F1374">
        <v>4</v>
      </c>
      <c r="G1374">
        <v>0.2591</v>
      </c>
      <c r="H1374">
        <v>0.3246</v>
      </c>
      <c r="I1374">
        <v>19.77</v>
      </c>
    </row>
    <row r="1375" spans="1:9" x14ac:dyDescent="0.3">
      <c r="A1375">
        <f>LOOKUP(9E+307,--MID(D1375,1,{1,2,3,4,5}))</f>
        <v>5</v>
      </c>
      <c r="B1375">
        <f>VLOOKUP(MID(D1375,LOOKUP(2,1/ISNUMBER(-MID(D1375,1,{1,2,3,4,5})),{1,2,3,4,5})+1,9),'Hue codes'!$A$1:$B$10,2,FALSE)</f>
        <v>50</v>
      </c>
      <c r="C1375">
        <f t="shared" si="21"/>
        <v>55</v>
      </c>
      <c r="D1375" t="s">
        <v>42</v>
      </c>
      <c r="E1375">
        <v>5</v>
      </c>
      <c r="F1375">
        <v>6</v>
      </c>
      <c r="G1375">
        <v>0.23599999999999999</v>
      </c>
      <c r="H1375">
        <v>0.32700000000000001</v>
      </c>
      <c r="I1375">
        <v>19.77</v>
      </c>
    </row>
    <row r="1376" spans="1:9" x14ac:dyDescent="0.3">
      <c r="A1376">
        <f>LOOKUP(9E+307,--MID(D1376,1,{1,2,3,4,5}))</f>
        <v>5</v>
      </c>
      <c r="B1376">
        <f>VLOOKUP(MID(D1376,LOOKUP(2,1/ISNUMBER(-MID(D1376,1,{1,2,3,4,5})),{1,2,3,4,5})+1,9),'Hue codes'!$A$1:$B$10,2,FALSE)</f>
        <v>50</v>
      </c>
      <c r="C1376">
        <f t="shared" si="21"/>
        <v>55</v>
      </c>
      <c r="D1376" t="s">
        <v>42</v>
      </c>
      <c r="E1376">
        <v>5</v>
      </c>
      <c r="F1376">
        <v>8</v>
      </c>
      <c r="G1376">
        <v>0.21</v>
      </c>
      <c r="H1376">
        <v>0.32800000000000001</v>
      </c>
      <c r="I1376">
        <v>19.77</v>
      </c>
    </row>
    <row r="1377" spans="1:9" x14ac:dyDescent="0.3">
      <c r="A1377">
        <f>LOOKUP(9E+307,--MID(D1377,1,{1,2,3,4,5}))</f>
        <v>5</v>
      </c>
      <c r="B1377">
        <f>VLOOKUP(MID(D1377,LOOKUP(2,1/ISNUMBER(-MID(D1377,1,{1,2,3,4,5})),{1,2,3,4,5})+1,9),'Hue codes'!$A$1:$B$10,2,FALSE)</f>
        <v>50</v>
      </c>
      <c r="C1377">
        <f t="shared" si="21"/>
        <v>55</v>
      </c>
      <c r="D1377" t="s">
        <v>42</v>
      </c>
      <c r="E1377">
        <v>5</v>
      </c>
      <c r="F1377">
        <v>10</v>
      </c>
      <c r="G1377">
        <v>0.185</v>
      </c>
      <c r="H1377">
        <v>0.32800000000000001</v>
      </c>
      <c r="I1377">
        <v>19.77</v>
      </c>
    </row>
    <row r="1378" spans="1:9" x14ac:dyDescent="0.3">
      <c r="A1378">
        <f>LOOKUP(9E+307,--MID(D1378,1,{1,2,3,4,5}))</f>
        <v>5</v>
      </c>
      <c r="B1378">
        <f>VLOOKUP(MID(D1378,LOOKUP(2,1/ISNUMBER(-MID(D1378,1,{1,2,3,4,5})),{1,2,3,4,5})+1,9),'Hue codes'!$A$1:$B$10,2,FALSE)</f>
        <v>50</v>
      </c>
      <c r="C1378">
        <f t="shared" si="21"/>
        <v>55</v>
      </c>
      <c r="D1378" t="s">
        <v>42</v>
      </c>
      <c r="E1378">
        <v>5</v>
      </c>
      <c r="F1378">
        <v>12</v>
      </c>
      <c r="G1378">
        <v>0.16139999999999999</v>
      </c>
      <c r="H1378">
        <v>0.32800000000000001</v>
      </c>
      <c r="I1378">
        <v>19.77</v>
      </c>
    </row>
    <row r="1379" spans="1:9" x14ac:dyDescent="0.3">
      <c r="A1379">
        <f>LOOKUP(9E+307,--MID(D1379,1,{1,2,3,4,5}))</f>
        <v>5</v>
      </c>
      <c r="B1379">
        <f>VLOOKUP(MID(D1379,LOOKUP(2,1/ISNUMBER(-MID(D1379,1,{1,2,3,4,5})),{1,2,3,4,5})+1,9),'Hue codes'!$A$1:$B$10,2,FALSE)</f>
        <v>50</v>
      </c>
      <c r="C1379">
        <f t="shared" si="21"/>
        <v>55</v>
      </c>
      <c r="D1379" t="s">
        <v>42</v>
      </c>
      <c r="E1379">
        <v>5</v>
      </c>
      <c r="F1379">
        <v>14</v>
      </c>
      <c r="G1379">
        <v>0.14480000000000001</v>
      </c>
      <c r="H1379">
        <v>0.32750000000000001</v>
      </c>
      <c r="I1379">
        <v>19.77</v>
      </c>
    </row>
    <row r="1380" spans="1:9" x14ac:dyDescent="0.3">
      <c r="A1380">
        <f>LOOKUP(9E+307,--MID(D1380,1,{1,2,3,4,5}))</f>
        <v>5</v>
      </c>
      <c r="B1380">
        <f>VLOOKUP(MID(D1380,LOOKUP(2,1/ISNUMBER(-MID(D1380,1,{1,2,3,4,5})),{1,2,3,4,5})+1,9),'Hue codes'!$A$1:$B$10,2,FALSE)</f>
        <v>50</v>
      </c>
      <c r="C1380">
        <f t="shared" si="21"/>
        <v>55</v>
      </c>
      <c r="D1380" t="s">
        <v>42</v>
      </c>
      <c r="E1380">
        <v>5</v>
      </c>
      <c r="F1380">
        <v>16</v>
      </c>
      <c r="G1380">
        <v>0.12429999999999999</v>
      </c>
      <c r="H1380">
        <v>0.3261</v>
      </c>
      <c r="I1380">
        <v>19.77</v>
      </c>
    </row>
    <row r="1381" spans="1:9" x14ac:dyDescent="0.3">
      <c r="A1381">
        <f>LOOKUP(9E+307,--MID(D1381,1,{1,2,3,4,5}))</f>
        <v>5</v>
      </c>
      <c r="B1381">
        <f>VLOOKUP(MID(D1381,LOOKUP(2,1/ISNUMBER(-MID(D1381,1,{1,2,3,4,5})),{1,2,3,4,5})+1,9),'Hue codes'!$A$1:$B$10,2,FALSE)</f>
        <v>50</v>
      </c>
      <c r="C1381">
        <f t="shared" si="21"/>
        <v>55</v>
      </c>
      <c r="D1381" t="s">
        <v>42</v>
      </c>
      <c r="E1381">
        <v>5</v>
      </c>
      <c r="F1381">
        <v>18</v>
      </c>
      <c r="G1381">
        <v>0.1046</v>
      </c>
      <c r="H1381">
        <v>0.32440000000000002</v>
      </c>
      <c r="I1381">
        <v>19.77</v>
      </c>
    </row>
    <row r="1382" spans="1:9" x14ac:dyDescent="0.3">
      <c r="A1382">
        <f>LOOKUP(9E+307,--MID(D1382,1,{1,2,3,4,5}))</f>
        <v>5</v>
      </c>
      <c r="B1382">
        <f>VLOOKUP(MID(D1382,LOOKUP(2,1/ISNUMBER(-MID(D1382,1,{1,2,3,4,5})),{1,2,3,4,5})+1,9),'Hue codes'!$A$1:$B$10,2,FALSE)</f>
        <v>50</v>
      </c>
      <c r="C1382">
        <f t="shared" si="21"/>
        <v>55</v>
      </c>
      <c r="D1382" t="s">
        <v>42</v>
      </c>
      <c r="E1382">
        <v>5</v>
      </c>
      <c r="F1382">
        <v>20</v>
      </c>
      <c r="G1382">
        <v>9.0399999999999994E-2</v>
      </c>
      <c r="H1382">
        <v>0.3231</v>
      </c>
      <c r="I1382">
        <v>19.77</v>
      </c>
    </row>
    <row r="1383" spans="1:9" x14ac:dyDescent="0.3">
      <c r="A1383">
        <f>LOOKUP(9E+307,--MID(D1383,1,{1,2,3,4,5}))</f>
        <v>5</v>
      </c>
      <c r="B1383">
        <f>VLOOKUP(MID(D1383,LOOKUP(2,1/ISNUMBER(-MID(D1383,1,{1,2,3,4,5})),{1,2,3,4,5})+1,9),'Hue codes'!$A$1:$B$10,2,FALSE)</f>
        <v>50</v>
      </c>
      <c r="C1383">
        <f t="shared" si="21"/>
        <v>55</v>
      </c>
      <c r="D1383" t="s">
        <v>42</v>
      </c>
      <c r="E1383">
        <v>5</v>
      </c>
      <c r="F1383">
        <v>22</v>
      </c>
      <c r="G1383">
        <v>7.8100000000000003E-2</v>
      </c>
      <c r="H1383">
        <v>0.3211</v>
      </c>
      <c r="I1383">
        <v>19.77</v>
      </c>
    </row>
    <row r="1384" spans="1:9" x14ac:dyDescent="0.3">
      <c r="A1384">
        <f>LOOKUP(9E+307,--MID(D1384,1,{1,2,3,4,5}))</f>
        <v>7.5</v>
      </c>
      <c r="B1384">
        <f>VLOOKUP(MID(D1384,LOOKUP(2,1/ISNUMBER(-MID(D1384,1,{1,2,3,4,5})),{1,2,3,4,5})+1,9),'Hue codes'!$A$1:$B$10,2,FALSE)</f>
        <v>50</v>
      </c>
      <c r="C1384">
        <f t="shared" si="21"/>
        <v>57.5</v>
      </c>
      <c r="D1384" t="s">
        <v>43</v>
      </c>
      <c r="E1384">
        <v>5</v>
      </c>
      <c r="F1384">
        <v>2</v>
      </c>
      <c r="G1384">
        <v>0.28120000000000001</v>
      </c>
      <c r="H1384">
        <v>0.31609999999999999</v>
      </c>
      <c r="I1384">
        <v>19.77</v>
      </c>
    </row>
    <row r="1385" spans="1:9" x14ac:dyDescent="0.3">
      <c r="A1385">
        <f>LOOKUP(9E+307,--MID(D1385,1,{1,2,3,4,5}))</f>
        <v>7.5</v>
      </c>
      <c r="B1385">
        <f>VLOOKUP(MID(D1385,LOOKUP(2,1/ISNUMBER(-MID(D1385,1,{1,2,3,4,5})),{1,2,3,4,5})+1,9),'Hue codes'!$A$1:$B$10,2,FALSE)</f>
        <v>50</v>
      </c>
      <c r="C1385">
        <f t="shared" si="21"/>
        <v>57.5</v>
      </c>
      <c r="D1385" t="s">
        <v>43</v>
      </c>
      <c r="E1385">
        <v>5</v>
      </c>
      <c r="F1385">
        <v>4</v>
      </c>
      <c r="G1385">
        <v>0.255</v>
      </c>
      <c r="H1385">
        <v>0.315</v>
      </c>
      <c r="I1385">
        <v>19.77</v>
      </c>
    </row>
    <row r="1386" spans="1:9" x14ac:dyDescent="0.3">
      <c r="A1386">
        <f>LOOKUP(9E+307,--MID(D1386,1,{1,2,3,4,5}))</f>
        <v>7.5</v>
      </c>
      <c r="B1386">
        <f>VLOOKUP(MID(D1386,LOOKUP(2,1/ISNUMBER(-MID(D1386,1,{1,2,3,4,5})),{1,2,3,4,5})+1,9),'Hue codes'!$A$1:$B$10,2,FALSE)</f>
        <v>50</v>
      </c>
      <c r="C1386">
        <f t="shared" si="21"/>
        <v>57.5</v>
      </c>
      <c r="D1386" t="s">
        <v>43</v>
      </c>
      <c r="E1386">
        <v>5</v>
      </c>
      <c r="F1386">
        <v>6</v>
      </c>
      <c r="G1386">
        <v>0.22919999999999999</v>
      </c>
      <c r="H1386">
        <v>0.3125</v>
      </c>
      <c r="I1386">
        <v>19.77</v>
      </c>
    </row>
    <row r="1387" spans="1:9" x14ac:dyDescent="0.3">
      <c r="A1387">
        <f>LOOKUP(9E+307,--MID(D1387,1,{1,2,3,4,5}))</f>
        <v>7.5</v>
      </c>
      <c r="B1387">
        <f>VLOOKUP(MID(D1387,LOOKUP(2,1/ISNUMBER(-MID(D1387,1,{1,2,3,4,5})),{1,2,3,4,5})+1,9),'Hue codes'!$A$1:$B$10,2,FALSE)</f>
        <v>50</v>
      </c>
      <c r="C1387">
        <f t="shared" si="21"/>
        <v>57.5</v>
      </c>
      <c r="D1387" t="s">
        <v>43</v>
      </c>
      <c r="E1387">
        <v>5</v>
      </c>
      <c r="F1387">
        <v>8</v>
      </c>
      <c r="G1387">
        <v>0.20300000000000001</v>
      </c>
      <c r="H1387">
        <v>0.30819999999999997</v>
      </c>
      <c r="I1387">
        <v>19.77</v>
      </c>
    </row>
    <row r="1388" spans="1:9" x14ac:dyDescent="0.3">
      <c r="A1388">
        <f>LOOKUP(9E+307,--MID(D1388,1,{1,2,3,4,5}))</f>
        <v>7.5</v>
      </c>
      <c r="B1388">
        <f>VLOOKUP(MID(D1388,LOOKUP(2,1/ISNUMBER(-MID(D1388,1,{1,2,3,4,5})),{1,2,3,4,5})+1,9),'Hue codes'!$A$1:$B$10,2,FALSE)</f>
        <v>50</v>
      </c>
      <c r="C1388">
        <f t="shared" si="21"/>
        <v>57.5</v>
      </c>
      <c r="D1388" t="s">
        <v>43</v>
      </c>
      <c r="E1388">
        <v>5</v>
      </c>
      <c r="F1388">
        <v>10</v>
      </c>
      <c r="G1388">
        <v>0.17760000000000001</v>
      </c>
      <c r="H1388">
        <v>0.30320000000000003</v>
      </c>
      <c r="I1388">
        <v>19.77</v>
      </c>
    </row>
    <row r="1389" spans="1:9" x14ac:dyDescent="0.3">
      <c r="A1389">
        <f>LOOKUP(9E+307,--MID(D1389,1,{1,2,3,4,5}))</f>
        <v>7.5</v>
      </c>
      <c r="B1389">
        <f>VLOOKUP(MID(D1389,LOOKUP(2,1/ISNUMBER(-MID(D1389,1,{1,2,3,4,5})),{1,2,3,4,5})+1,9),'Hue codes'!$A$1:$B$10,2,FALSE)</f>
        <v>50</v>
      </c>
      <c r="C1389">
        <f t="shared" si="21"/>
        <v>57.5</v>
      </c>
      <c r="D1389" t="s">
        <v>43</v>
      </c>
      <c r="E1389">
        <v>5</v>
      </c>
      <c r="F1389">
        <v>12</v>
      </c>
      <c r="G1389">
        <v>0.1537</v>
      </c>
      <c r="H1389">
        <v>0.29759999999999998</v>
      </c>
      <c r="I1389">
        <v>19.77</v>
      </c>
    </row>
    <row r="1390" spans="1:9" x14ac:dyDescent="0.3">
      <c r="A1390">
        <f>LOOKUP(9E+307,--MID(D1390,1,{1,2,3,4,5}))</f>
        <v>7.5</v>
      </c>
      <c r="B1390">
        <f>VLOOKUP(MID(D1390,LOOKUP(2,1/ISNUMBER(-MID(D1390,1,{1,2,3,4,5})),{1,2,3,4,5})+1,9),'Hue codes'!$A$1:$B$10,2,FALSE)</f>
        <v>50</v>
      </c>
      <c r="C1390">
        <f t="shared" si="21"/>
        <v>57.5</v>
      </c>
      <c r="D1390" t="s">
        <v>43</v>
      </c>
      <c r="E1390">
        <v>5</v>
      </c>
      <c r="F1390">
        <v>14</v>
      </c>
      <c r="G1390">
        <v>0.13639999999999999</v>
      </c>
      <c r="H1390">
        <v>0.29320000000000002</v>
      </c>
      <c r="I1390">
        <v>19.77</v>
      </c>
    </row>
    <row r="1391" spans="1:9" x14ac:dyDescent="0.3">
      <c r="A1391">
        <f>LOOKUP(9E+307,--MID(D1391,1,{1,2,3,4,5}))</f>
        <v>7.5</v>
      </c>
      <c r="B1391">
        <f>VLOOKUP(MID(D1391,LOOKUP(2,1/ISNUMBER(-MID(D1391,1,{1,2,3,4,5})),{1,2,3,4,5})+1,9),'Hue codes'!$A$1:$B$10,2,FALSE)</f>
        <v>50</v>
      </c>
      <c r="C1391">
        <f t="shared" si="21"/>
        <v>57.5</v>
      </c>
      <c r="D1391" t="s">
        <v>43</v>
      </c>
      <c r="E1391">
        <v>5</v>
      </c>
      <c r="F1391">
        <v>16</v>
      </c>
      <c r="G1391">
        <v>0.1167</v>
      </c>
      <c r="H1391">
        <v>0.28799999999999998</v>
      </c>
      <c r="I1391">
        <v>19.77</v>
      </c>
    </row>
    <row r="1392" spans="1:9" x14ac:dyDescent="0.3">
      <c r="A1392">
        <f>LOOKUP(9E+307,--MID(D1392,1,{1,2,3,4,5}))</f>
        <v>7.5</v>
      </c>
      <c r="B1392">
        <f>VLOOKUP(MID(D1392,LOOKUP(2,1/ISNUMBER(-MID(D1392,1,{1,2,3,4,5})),{1,2,3,4,5})+1,9),'Hue codes'!$A$1:$B$10,2,FALSE)</f>
        <v>50</v>
      </c>
      <c r="C1392">
        <f t="shared" si="21"/>
        <v>57.5</v>
      </c>
      <c r="D1392" t="s">
        <v>43</v>
      </c>
      <c r="E1392">
        <v>5</v>
      </c>
      <c r="F1392">
        <v>18</v>
      </c>
      <c r="G1392">
        <v>9.8199999999999996E-2</v>
      </c>
      <c r="H1392">
        <v>0.2828</v>
      </c>
      <c r="I1392">
        <v>19.77</v>
      </c>
    </row>
    <row r="1393" spans="1:9" x14ac:dyDescent="0.3">
      <c r="A1393">
        <f>LOOKUP(9E+307,--MID(D1393,1,{1,2,3,4,5}))</f>
        <v>10</v>
      </c>
      <c r="B1393">
        <f>VLOOKUP(MID(D1393,LOOKUP(2,1/ISNUMBER(-MID(D1393,1,{1,2,3,4,5})),{1,2,3,4,5})+1,9),'Hue codes'!$A$1:$B$10,2,FALSE)</f>
        <v>50</v>
      </c>
      <c r="C1393">
        <f t="shared" si="21"/>
        <v>60</v>
      </c>
      <c r="D1393" t="s">
        <v>44</v>
      </c>
      <c r="E1393">
        <v>5</v>
      </c>
      <c r="F1393">
        <v>2</v>
      </c>
      <c r="G1393">
        <v>0.27960000000000002</v>
      </c>
      <c r="H1393">
        <v>0.31109999999999999</v>
      </c>
      <c r="I1393">
        <v>19.77</v>
      </c>
    </row>
    <row r="1394" spans="1:9" x14ac:dyDescent="0.3">
      <c r="A1394">
        <f>LOOKUP(9E+307,--MID(D1394,1,{1,2,3,4,5}))</f>
        <v>10</v>
      </c>
      <c r="B1394">
        <f>VLOOKUP(MID(D1394,LOOKUP(2,1/ISNUMBER(-MID(D1394,1,{1,2,3,4,5})),{1,2,3,4,5})+1,9),'Hue codes'!$A$1:$B$10,2,FALSE)</f>
        <v>50</v>
      </c>
      <c r="C1394">
        <f t="shared" si="21"/>
        <v>60</v>
      </c>
      <c r="D1394" t="s">
        <v>44</v>
      </c>
      <c r="E1394">
        <v>5</v>
      </c>
      <c r="F1394">
        <v>4</v>
      </c>
      <c r="G1394">
        <v>0.25119999999999998</v>
      </c>
      <c r="H1394">
        <v>0.30399999999999999</v>
      </c>
      <c r="I1394">
        <v>19.77</v>
      </c>
    </row>
    <row r="1395" spans="1:9" x14ac:dyDescent="0.3">
      <c r="A1395">
        <f>LOOKUP(9E+307,--MID(D1395,1,{1,2,3,4,5}))</f>
        <v>10</v>
      </c>
      <c r="B1395">
        <f>VLOOKUP(MID(D1395,LOOKUP(2,1/ISNUMBER(-MID(D1395,1,{1,2,3,4,5})),{1,2,3,4,5})+1,9),'Hue codes'!$A$1:$B$10,2,FALSE)</f>
        <v>50</v>
      </c>
      <c r="C1395">
        <f t="shared" si="21"/>
        <v>60</v>
      </c>
      <c r="D1395" t="s">
        <v>44</v>
      </c>
      <c r="E1395">
        <v>5</v>
      </c>
      <c r="F1395">
        <v>6</v>
      </c>
      <c r="G1395">
        <v>0.22339999999999999</v>
      </c>
      <c r="H1395">
        <v>0.29520000000000002</v>
      </c>
      <c r="I1395">
        <v>19.77</v>
      </c>
    </row>
    <row r="1396" spans="1:9" x14ac:dyDescent="0.3">
      <c r="A1396">
        <f>LOOKUP(9E+307,--MID(D1396,1,{1,2,3,4,5}))</f>
        <v>10</v>
      </c>
      <c r="B1396">
        <f>VLOOKUP(MID(D1396,LOOKUP(2,1/ISNUMBER(-MID(D1396,1,{1,2,3,4,5})),{1,2,3,4,5})+1,9),'Hue codes'!$A$1:$B$10,2,FALSE)</f>
        <v>50</v>
      </c>
      <c r="C1396">
        <f t="shared" si="21"/>
        <v>60</v>
      </c>
      <c r="D1396" t="s">
        <v>44</v>
      </c>
      <c r="E1396">
        <v>5</v>
      </c>
      <c r="F1396">
        <v>8</v>
      </c>
      <c r="G1396">
        <v>0.19700000000000001</v>
      </c>
      <c r="H1396">
        <v>0.28599999999999998</v>
      </c>
      <c r="I1396">
        <v>19.77</v>
      </c>
    </row>
    <row r="1397" spans="1:9" x14ac:dyDescent="0.3">
      <c r="A1397">
        <f>LOOKUP(9E+307,--MID(D1397,1,{1,2,3,4,5}))</f>
        <v>10</v>
      </c>
      <c r="B1397">
        <f>VLOOKUP(MID(D1397,LOOKUP(2,1/ISNUMBER(-MID(D1397,1,{1,2,3,4,5})),{1,2,3,4,5})+1,9),'Hue codes'!$A$1:$B$10,2,FALSE)</f>
        <v>50</v>
      </c>
      <c r="C1397">
        <f t="shared" si="21"/>
        <v>60</v>
      </c>
      <c r="D1397" t="s">
        <v>44</v>
      </c>
      <c r="E1397">
        <v>5</v>
      </c>
      <c r="F1397">
        <v>10</v>
      </c>
      <c r="G1397">
        <v>0.1716</v>
      </c>
      <c r="H1397">
        <v>0.27600000000000002</v>
      </c>
      <c r="I1397">
        <v>19.77</v>
      </c>
    </row>
    <row r="1398" spans="1:9" x14ac:dyDescent="0.3">
      <c r="A1398">
        <f>LOOKUP(9E+307,--MID(D1398,1,{1,2,3,4,5}))</f>
        <v>10</v>
      </c>
      <c r="B1398">
        <f>VLOOKUP(MID(D1398,LOOKUP(2,1/ISNUMBER(-MID(D1398,1,{1,2,3,4,5})),{1,2,3,4,5})+1,9),'Hue codes'!$A$1:$B$10,2,FALSE)</f>
        <v>50</v>
      </c>
      <c r="C1398">
        <f t="shared" si="21"/>
        <v>60</v>
      </c>
      <c r="D1398" t="s">
        <v>44</v>
      </c>
      <c r="E1398">
        <v>5</v>
      </c>
      <c r="F1398">
        <v>12</v>
      </c>
      <c r="G1398">
        <v>0.14849999999999999</v>
      </c>
      <c r="H1398">
        <v>0.26619999999999999</v>
      </c>
      <c r="I1398">
        <v>19.77</v>
      </c>
    </row>
    <row r="1399" spans="1:9" x14ac:dyDescent="0.3">
      <c r="A1399">
        <f>LOOKUP(9E+307,--MID(D1399,1,{1,2,3,4,5}))</f>
        <v>10</v>
      </c>
      <c r="B1399">
        <f>VLOOKUP(MID(D1399,LOOKUP(2,1/ISNUMBER(-MID(D1399,1,{1,2,3,4,5})),{1,2,3,4,5})+1,9),'Hue codes'!$A$1:$B$10,2,FALSE)</f>
        <v>50</v>
      </c>
      <c r="C1399">
        <f t="shared" si="21"/>
        <v>60</v>
      </c>
      <c r="D1399" t="s">
        <v>44</v>
      </c>
      <c r="E1399">
        <v>5</v>
      </c>
      <c r="F1399">
        <v>14</v>
      </c>
      <c r="G1399">
        <v>0.1308</v>
      </c>
      <c r="H1399">
        <v>0.25819999999999999</v>
      </c>
      <c r="I1399">
        <v>19.77</v>
      </c>
    </row>
    <row r="1400" spans="1:9" x14ac:dyDescent="0.3">
      <c r="A1400">
        <f>LOOKUP(9E+307,--MID(D1400,1,{1,2,3,4,5}))</f>
        <v>10</v>
      </c>
      <c r="B1400">
        <f>VLOOKUP(MID(D1400,LOOKUP(2,1/ISNUMBER(-MID(D1400,1,{1,2,3,4,5})),{1,2,3,4,5})+1,9),'Hue codes'!$A$1:$B$10,2,FALSE)</f>
        <v>50</v>
      </c>
      <c r="C1400">
        <f t="shared" si="21"/>
        <v>60</v>
      </c>
      <c r="D1400" t="s">
        <v>44</v>
      </c>
      <c r="E1400">
        <v>5</v>
      </c>
      <c r="F1400">
        <v>16</v>
      </c>
      <c r="G1400">
        <v>0.1108</v>
      </c>
      <c r="H1400">
        <v>0.24890000000000001</v>
      </c>
      <c r="I1400">
        <v>19.77</v>
      </c>
    </row>
    <row r="1401" spans="1:9" x14ac:dyDescent="0.3">
      <c r="A1401">
        <f>LOOKUP(9E+307,--MID(D1401,1,{1,2,3,4,5}))</f>
        <v>2.5</v>
      </c>
      <c r="B1401">
        <f>VLOOKUP(MID(D1401,LOOKUP(2,1/ISNUMBER(-MID(D1401,1,{1,2,3,4,5})),{1,2,3,4,5})+1,9),'Hue codes'!$A$1:$B$10,2,FALSE)</f>
        <v>60</v>
      </c>
      <c r="C1401">
        <f t="shared" si="21"/>
        <v>62.5</v>
      </c>
      <c r="D1401" t="s">
        <v>45</v>
      </c>
      <c r="E1401">
        <v>5</v>
      </c>
      <c r="F1401">
        <v>2</v>
      </c>
      <c r="G1401">
        <v>0.27910000000000001</v>
      </c>
      <c r="H1401">
        <v>0.30709999999999998</v>
      </c>
      <c r="I1401">
        <v>19.77</v>
      </c>
    </row>
    <row r="1402" spans="1:9" x14ac:dyDescent="0.3">
      <c r="A1402">
        <f>LOOKUP(9E+307,--MID(D1402,1,{1,2,3,4,5}))</f>
        <v>2.5</v>
      </c>
      <c r="B1402">
        <f>VLOOKUP(MID(D1402,LOOKUP(2,1/ISNUMBER(-MID(D1402,1,{1,2,3,4,5})),{1,2,3,4,5})+1,9),'Hue codes'!$A$1:$B$10,2,FALSE)</f>
        <v>60</v>
      </c>
      <c r="C1402">
        <f t="shared" si="21"/>
        <v>62.5</v>
      </c>
      <c r="D1402" t="s">
        <v>45</v>
      </c>
      <c r="E1402">
        <v>5</v>
      </c>
      <c r="F1402">
        <v>4</v>
      </c>
      <c r="G1402">
        <v>0.2492</v>
      </c>
      <c r="H1402">
        <v>0.2954</v>
      </c>
      <c r="I1402">
        <v>19.77</v>
      </c>
    </row>
    <row r="1403" spans="1:9" x14ac:dyDescent="0.3">
      <c r="A1403">
        <f>LOOKUP(9E+307,--MID(D1403,1,{1,2,3,4,5}))</f>
        <v>2.5</v>
      </c>
      <c r="B1403">
        <f>VLOOKUP(MID(D1403,LOOKUP(2,1/ISNUMBER(-MID(D1403,1,{1,2,3,4,5})),{1,2,3,4,5})+1,9),'Hue codes'!$A$1:$B$10,2,FALSE)</f>
        <v>60</v>
      </c>
      <c r="C1403">
        <f t="shared" si="21"/>
        <v>62.5</v>
      </c>
      <c r="D1403" t="s">
        <v>45</v>
      </c>
      <c r="E1403">
        <v>5</v>
      </c>
      <c r="F1403">
        <v>6</v>
      </c>
      <c r="G1403">
        <v>0.221</v>
      </c>
      <c r="H1403">
        <v>0.2823</v>
      </c>
      <c r="I1403">
        <v>19.77</v>
      </c>
    </row>
    <row r="1404" spans="1:9" x14ac:dyDescent="0.3">
      <c r="A1404">
        <f>LOOKUP(9E+307,--MID(D1404,1,{1,2,3,4,5}))</f>
        <v>2.5</v>
      </c>
      <c r="B1404">
        <f>VLOOKUP(MID(D1404,LOOKUP(2,1/ISNUMBER(-MID(D1404,1,{1,2,3,4,5})),{1,2,3,4,5})+1,9),'Hue codes'!$A$1:$B$10,2,FALSE)</f>
        <v>60</v>
      </c>
      <c r="C1404">
        <f t="shared" si="21"/>
        <v>62.5</v>
      </c>
      <c r="D1404" t="s">
        <v>45</v>
      </c>
      <c r="E1404">
        <v>5</v>
      </c>
      <c r="F1404">
        <v>8</v>
      </c>
      <c r="G1404">
        <v>0.19470000000000001</v>
      </c>
      <c r="H1404">
        <v>0.26869999999999999</v>
      </c>
      <c r="I1404">
        <v>19.77</v>
      </c>
    </row>
    <row r="1405" spans="1:9" x14ac:dyDescent="0.3">
      <c r="A1405">
        <f>LOOKUP(9E+307,--MID(D1405,1,{1,2,3,4,5}))</f>
        <v>2.5</v>
      </c>
      <c r="B1405">
        <f>VLOOKUP(MID(D1405,LOOKUP(2,1/ISNUMBER(-MID(D1405,1,{1,2,3,4,5})),{1,2,3,4,5})+1,9),'Hue codes'!$A$1:$B$10,2,FALSE)</f>
        <v>60</v>
      </c>
      <c r="C1405">
        <f t="shared" si="21"/>
        <v>62.5</v>
      </c>
      <c r="D1405" t="s">
        <v>45</v>
      </c>
      <c r="E1405">
        <v>5</v>
      </c>
      <c r="F1405">
        <v>10</v>
      </c>
      <c r="G1405">
        <v>0.16969999999999999</v>
      </c>
      <c r="H1405">
        <v>0.25490000000000002</v>
      </c>
      <c r="I1405">
        <v>19.77</v>
      </c>
    </row>
    <row r="1406" spans="1:9" x14ac:dyDescent="0.3">
      <c r="A1406">
        <f>LOOKUP(9E+307,--MID(D1406,1,{1,2,3,4,5}))</f>
        <v>2.5</v>
      </c>
      <c r="B1406">
        <f>VLOOKUP(MID(D1406,LOOKUP(2,1/ISNUMBER(-MID(D1406,1,{1,2,3,4,5})),{1,2,3,4,5})+1,9),'Hue codes'!$A$1:$B$10,2,FALSE)</f>
        <v>60</v>
      </c>
      <c r="C1406">
        <f t="shared" si="21"/>
        <v>62.5</v>
      </c>
      <c r="D1406" t="s">
        <v>45</v>
      </c>
      <c r="E1406">
        <v>5</v>
      </c>
      <c r="F1406">
        <v>12</v>
      </c>
      <c r="G1406">
        <v>0.14610000000000001</v>
      </c>
      <c r="H1406">
        <v>0.24060000000000001</v>
      </c>
      <c r="I1406">
        <v>19.77</v>
      </c>
    </row>
    <row r="1407" spans="1:9" x14ac:dyDescent="0.3">
      <c r="A1407">
        <f>LOOKUP(9E+307,--MID(D1407,1,{1,2,3,4,5}))</f>
        <v>2.5</v>
      </c>
      <c r="B1407">
        <f>VLOOKUP(MID(D1407,LOOKUP(2,1/ISNUMBER(-MID(D1407,1,{1,2,3,4,5})),{1,2,3,4,5})+1,9),'Hue codes'!$A$1:$B$10,2,FALSE)</f>
        <v>60</v>
      </c>
      <c r="C1407">
        <f t="shared" si="21"/>
        <v>62.5</v>
      </c>
      <c r="D1407" t="s">
        <v>45</v>
      </c>
      <c r="E1407">
        <v>5</v>
      </c>
      <c r="F1407">
        <v>14</v>
      </c>
      <c r="G1407">
        <v>0.1283</v>
      </c>
      <c r="H1407">
        <v>0.22919999999999999</v>
      </c>
      <c r="I1407">
        <v>19.77</v>
      </c>
    </row>
    <row r="1408" spans="1:9" x14ac:dyDescent="0.3">
      <c r="A1408">
        <f>LOOKUP(9E+307,--MID(D1408,1,{1,2,3,4,5}))</f>
        <v>2.5</v>
      </c>
      <c r="B1408">
        <f>VLOOKUP(MID(D1408,LOOKUP(2,1/ISNUMBER(-MID(D1408,1,{1,2,3,4,5})),{1,2,3,4,5})+1,9),'Hue codes'!$A$1:$B$10,2,FALSE)</f>
        <v>60</v>
      </c>
      <c r="C1408">
        <f t="shared" si="21"/>
        <v>62.5</v>
      </c>
      <c r="D1408" t="s">
        <v>45</v>
      </c>
      <c r="E1408">
        <v>5</v>
      </c>
      <c r="F1408">
        <v>16</v>
      </c>
      <c r="G1408">
        <v>0.109</v>
      </c>
      <c r="H1408">
        <v>0.21659999999999999</v>
      </c>
      <c r="I1408">
        <v>19.77</v>
      </c>
    </row>
    <row r="1409" spans="1:9" x14ac:dyDescent="0.3">
      <c r="A1409">
        <f>LOOKUP(9E+307,--MID(D1409,1,{1,2,3,4,5}))</f>
        <v>5</v>
      </c>
      <c r="B1409">
        <f>VLOOKUP(MID(D1409,LOOKUP(2,1/ISNUMBER(-MID(D1409,1,{1,2,3,4,5})),{1,2,3,4,5})+1,9),'Hue codes'!$A$1:$B$10,2,FALSE)</f>
        <v>60</v>
      </c>
      <c r="C1409">
        <f t="shared" si="21"/>
        <v>65</v>
      </c>
      <c r="D1409" t="s">
        <v>46</v>
      </c>
      <c r="E1409">
        <v>5</v>
      </c>
      <c r="F1409">
        <v>2</v>
      </c>
      <c r="G1409">
        <v>0.27939999999999998</v>
      </c>
      <c r="H1409">
        <v>0.30320000000000003</v>
      </c>
      <c r="I1409">
        <v>19.77</v>
      </c>
    </row>
    <row r="1410" spans="1:9" x14ac:dyDescent="0.3">
      <c r="A1410">
        <f>LOOKUP(9E+307,--MID(D1410,1,{1,2,3,4,5}))</f>
        <v>5</v>
      </c>
      <c r="B1410">
        <f>VLOOKUP(MID(D1410,LOOKUP(2,1/ISNUMBER(-MID(D1410,1,{1,2,3,4,5})),{1,2,3,4,5})+1,9),'Hue codes'!$A$1:$B$10,2,FALSE)</f>
        <v>60</v>
      </c>
      <c r="C1410">
        <f t="shared" si="21"/>
        <v>65</v>
      </c>
      <c r="D1410" t="s">
        <v>46</v>
      </c>
      <c r="E1410">
        <v>5</v>
      </c>
      <c r="F1410">
        <v>4</v>
      </c>
      <c r="G1410">
        <v>0.24929999999999999</v>
      </c>
      <c r="H1410">
        <v>0.28789999999999999</v>
      </c>
      <c r="I1410">
        <v>19.77</v>
      </c>
    </row>
    <row r="1411" spans="1:9" x14ac:dyDescent="0.3">
      <c r="A1411">
        <f>LOOKUP(9E+307,--MID(D1411,1,{1,2,3,4,5}))</f>
        <v>5</v>
      </c>
      <c r="B1411">
        <f>VLOOKUP(MID(D1411,LOOKUP(2,1/ISNUMBER(-MID(D1411,1,{1,2,3,4,5})),{1,2,3,4,5})+1,9),'Hue codes'!$A$1:$B$10,2,FALSE)</f>
        <v>60</v>
      </c>
      <c r="C1411">
        <f t="shared" ref="C1411:C1474" si="22">IF(A1411+B1411=100,0,A1411+B1411)</f>
        <v>65</v>
      </c>
      <c r="D1411" t="s">
        <v>46</v>
      </c>
      <c r="E1411">
        <v>5</v>
      </c>
      <c r="F1411">
        <v>6</v>
      </c>
      <c r="G1411">
        <v>0.2215</v>
      </c>
      <c r="H1411">
        <v>0.27010000000000001</v>
      </c>
      <c r="I1411">
        <v>19.77</v>
      </c>
    </row>
    <row r="1412" spans="1:9" x14ac:dyDescent="0.3">
      <c r="A1412">
        <f>LOOKUP(9E+307,--MID(D1412,1,{1,2,3,4,5}))</f>
        <v>5</v>
      </c>
      <c r="B1412">
        <f>VLOOKUP(MID(D1412,LOOKUP(2,1/ISNUMBER(-MID(D1412,1,{1,2,3,4,5})),{1,2,3,4,5})+1,9),'Hue codes'!$A$1:$B$10,2,FALSE)</f>
        <v>60</v>
      </c>
      <c r="C1412">
        <f t="shared" si="22"/>
        <v>65</v>
      </c>
      <c r="D1412" t="s">
        <v>46</v>
      </c>
      <c r="E1412">
        <v>5</v>
      </c>
      <c r="F1412">
        <v>8</v>
      </c>
      <c r="G1412">
        <v>0.1958</v>
      </c>
      <c r="H1412">
        <v>0.25190000000000001</v>
      </c>
      <c r="I1412">
        <v>19.77</v>
      </c>
    </row>
    <row r="1413" spans="1:9" x14ac:dyDescent="0.3">
      <c r="A1413">
        <f>LOOKUP(9E+307,--MID(D1413,1,{1,2,3,4,5}))</f>
        <v>5</v>
      </c>
      <c r="B1413">
        <f>VLOOKUP(MID(D1413,LOOKUP(2,1/ISNUMBER(-MID(D1413,1,{1,2,3,4,5})),{1,2,3,4,5})+1,9),'Hue codes'!$A$1:$B$10,2,FALSE)</f>
        <v>60</v>
      </c>
      <c r="C1413">
        <f t="shared" si="22"/>
        <v>65</v>
      </c>
      <c r="D1413" t="s">
        <v>46</v>
      </c>
      <c r="E1413">
        <v>5</v>
      </c>
      <c r="F1413">
        <v>10</v>
      </c>
      <c r="G1413">
        <v>0.1729</v>
      </c>
      <c r="H1413">
        <v>0.23469999999999999</v>
      </c>
      <c r="I1413">
        <v>19.77</v>
      </c>
    </row>
    <row r="1414" spans="1:9" x14ac:dyDescent="0.3">
      <c r="A1414">
        <f>LOOKUP(9E+307,--MID(D1414,1,{1,2,3,4,5}))</f>
        <v>5</v>
      </c>
      <c r="B1414">
        <f>VLOOKUP(MID(D1414,LOOKUP(2,1/ISNUMBER(-MID(D1414,1,{1,2,3,4,5})),{1,2,3,4,5})+1,9),'Hue codes'!$A$1:$B$10,2,FALSE)</f>
        <v>60</v>
      </c>
      <c r="C1414">
        <f t="shared" si="22"/>
        <v>65</v>
      </c>
      <c r="D1414" t="s">
        <v>46</v>
      </c>
      <c r="E1414">
        <v>5</v>
      </c>
      <c r="F1414">
        <v>12</v>
      </c>
      <c r="G1414">
        <v>0.15049999999999999</v>
      </c>
      <c r="H1414">
        <v>0.2172</v>
      </c>
      <c r="I1414">
        <v>19.77</v>
      </c>
    </row>
    <row r="1415" spans="1:9" x14ac:dyDescent="0.3">
      <c r="A1415">
        <f>LOOKUP(9E+307,--MID(D1415,1,{1,2,3,4,5}))</f>
        <v>5</v>
      </c>
      <c r="B1415">
        <f>VLOOKUP(MID(D1415,LOOKUP(2,1/ISNUMBER(-MID(D1415,1,{1,2,3,4,5})),{1,2,3,4,5})+1,9),'Hue codes'!$A$1:$B$10,2,FALSE)</f>
        <v>60</v>
      </c>
      <c r="C1415">
        <f t="shared" si="22"/>
        <v>65</v>
      </c>
      <c r="D1415" t="s">
        <v>46</v>
      </c>
      <c r="E1415">
        <v>5</v>
      </c>
      <c r="F1415">
        <v>14</v>
      </c>
      <c r="G1415">
        <v>0.13200000000000001</v>
      </c>
      <c r="H1415">
        <v>0.2021</v>
      </c>
      <c r="I1415">
        <v>19.77</v>
      </c>
    </row>
    <row r="1416" spans="1:9" x14ac:dyDescent="0.3">
      <c r="A1416">
        <f>LOOKUP(9E+307,--MID(D1416,1,{1,2,3,4,5}))</f>
        <v>5</v>
      </c>
      <c r="B1416">
        <f>VLOOKUP(MID(D1416,LOOKUP(2,1/ISNUMBER(-MID(D1416,1,{1,2,3,4,5})),{1,2,3,4,5})+1,9),'Hue codes'!$A$1:$B$10,2,FALSE)</f>
        <v>60</v>
      </c>
      <c r="C1416">
        <f t="shared" si="22"/>
        <v>65</v>
      </c>
      <c r="D1416" t="s">
        <v>46</v>
      </c>
      <c r="E1416">
        <v>5</v>
      </c>
      <c r="F1416">
        <v>16</v>
      </c>
      <c r="G1416">
        <v>0.1132</v>
      </c>
      <c r="H1416">
        <v>0.18629999999999999</v>
      </c>
      <c r="I1416">
        <v>19.77</v>
      </c>
    </row>
    <row r="1417" spans="1:9" x14ac:dyDescent="0.3">
      <c r="A1417">
        <f>LOOKUP(9E+307,--MID(D1417,1,{1,2,3,4,5}))</f>
        <v>7.5</v>
      </c>
      <c r="B1417">
        <f>VLOOKUP(MID(D1417,LOOKUP(2,1/ISNUMBER(-MID(D1417,1,{1,2,3,4,5})),{1,2,3,4,5})+1,9),'Hue codes'!$A$1:$B$10,2,FALSE)</f>
        <v>60</v>
      </c>
      <c r="C1417">
        <f t="shared" si="22"/>
        <v>67.5</v>
      </c>
      <c r="D1417" t="s">
        <v>47</v>
      </c>
      <c r="E1417">
        <v>5</v>
      </c>
      <c r="F1417">
        <v>2</v>
      </c>
      <c r="G1417">
        <v>0.28029999999999999</v>
      </c>
      <c r="H1417">
        <v>0.3</v>
      </c>
      <c r="I1417">
        <v>19.77</v>
      </c>
    </row>
    <row r="1418" spans="1:9" x14ac:dyDescent="0.3">
      <c r="A1418">
        <f>LOOKUP(9E+307,--MID(D1418,1,{1,2,3,4,5}))</f>
        <v>7.5</v>
      </c>
      <c r="B1418">
        <f>VLOOKUP(MID(D1418,LOOKUP(2,1/ISNUMBER(-MID(D1418,1,{1,2,3,4,5})),{1,2,3,4,5})+1,9),'Hue codes'!$A$1:$B$10,2,FALSE)</f>
        <v>60</v>
      </c>
      <c r="C1418">
        <f t="shared" si="22"/>
        <v>67.5</v>
      </c>
      <c r="D1418" t="s">
        <v>47</v>
      </c>
      <c r="E1418">
        <v>5</v>
      </c>
      <c r="F1418">
        <v>4</v>
      </c>
      <c r="G1418">
        <v>0.25109999999999999</v>
      </c>
      <c r="H1418">
        <v>0.28079999999999999</v>
      </c>
      <c r="I1418">
        <v>19.77</v>
      </c>
    </row>
    <row r="1419" spans="1:9" x14ac:dyDescent="0.3">
      <c r="A1419">
        <f>LOOKUP(9E+307,--MID(D1419,1,{1,2,3,4,5}))</f>
        <v>7.5</v>
      </c>
      <c r="B1419">
        <f>VLOOKUP(MID(D1419,LOOKUP(2,1/ISNUMBER(-MID(D1419,1,{1,2,3,4,5})),{1,2,3,4,5})+1,9),'Hue codes'!$A$1:$B$10,2,FALSE)</f>
        <v>60</v>
      </c>
      <c r="C1419">
        <f t="shared" si="22"/>
        <v>67.5</v>
      </c>
      <c r="D1419" t="s">
        <v>47</v>
      </c>
      <c r="E1419">
        <v>5</v>
      </c>
      <c r="F1419">
        <v>6</v>
      </c>
      <c r="G1419">
        <v>0.2248</v>
      </c>
      <c r="H1419">
        <v>0.26119999999999999</v>
      </c>
      <c r="I1419">
        <v>19.77</v>
      </c>
    </row>
    <row r="1420" spans="1:9" x14ac:dyDescent="0.3">
      <c r="A1420">
        <f>LOOKUP(9E+307,--MID(D1420,1,{1,2,3,4,5}))</f>
        <v>7.5</v>
      </c>
      <c r="B1420">
        <f>VLOOKUP(MID(D1420,LOOKUP(2,1/ISNUMBER(-MID(D1420,1,{1,2,3,4,5})),{1,2,3,4,5})+1,9),'Hue codes'!$A$1:$B$10,2,FALSE)</f>
        <v>60</v>
      </c>
      <c r="C1420">
        <f t="shared" si="22"/>
        <v>67.5</v>
      </c>
      <c r="D1420" t="s">
        <v>47</v>
      </c>
      <c r="E1420">
        <v>5</v>
      </c>
      <c r="F1420">
        <v>8</v>
      </c>
      <c r="G1420">
        <v>0.20069999999999999</v>
      </c>
      <c r="H1420">
        <v>0.2417</v>
      </c>
      <c r="I1420">
        <v>19.77</v>
      </c>
    </row>
    <row r="1421" spans="1:9" x14ac:dyDescent="0.3">
      <c r="A1421">
        <f>LOOKUP(9E+307,--MID(D1421,1,{1,2,3,4,5}))</f>
        <v>7.5</v>
      </c>
      <c r="B1421">
        <f>VLOOKUP(MID(D1421,LOOKUP(2,1/ISNUMBER(-MID(D1421,1,{1,2,3,4,5})),{1,2,3,4,5})+1,9),'Hue codes'!$A$1:$B$10,2,FALSE)</f>
        <v>60</v>
      </c>
      <c r="C1421">
        <f t="shared" si="22"/>
        <v>67.5</v>
      </c>
      <c r="D1421" t="s">
        <v>47</v>
      </c>
      <c r="E1421">
        <v>5</v>
      </c>
      <c r="F1421">
        <v>10</v>
      </c>
      <c r="G1421">
        <v>0.1792</v>
      </c>
      <c r="H1421">
        <v>0.223</v>
      </c>
      <c r="I1421">
        <v>19.77</v>
      </c>
    </row>
    <row r="1422" spans="1:9" x14ac:dyDescent="0.3">
      <c r="A1422">
        <f>LOOKUP(9E+307,--MID(D1422,1,{1,2,3,4,5}))</f>
        <v>7.5</v>
      </c>
      <c r="B1422">
        <f>VLOOKUP(MID(D1422,LOOKUP(2,1/ISNUMBER(-MID(D1422,1,{1,2,3,4,5})),{1,2,3,4,5})+1,9),'Hue codes'!$A$1:$B$10,2,FALSE)</f>
        <v>60</v>
      </c>
      <c r="C1422">
        <f t="shared" si="22"/>
        <v>67.5</v>
      </c>
      <c r="D1422" t="s">
        <v>47</v>
      </c>
      <c r="E1422">
        <v>5</v>
      </c>
      <c r="F1422">
        <v>12</v>
      </c>
      <c r="G1422">
        <v>0.15840000000000001</v>
      </c>
      <c r="H1422">
        <v>0.20419999999999999</v>
      </c>
      <c r="I1422">
        <v>19.77</v>
      </c>
    </row>
    <row r="1423" spans="1:9" x14ac:dyDescent="0.3">
      <c r="A1423">
        <f>LOOKUP(9E+307,--MID(D1423,1,{1,2,3,4,5}))</f>
        <v>7.5</v>
      </c>
      <c r="B1423">
        <f>VLOOKUP(MID(D1423,LOOKUP(2,1/ISNUMBER(-MID(D1423,1,{1,2,3,4,5})),{1,2,3,4,5})+1,9),'Hue codes'!$A$1:$B$10,2,FALSE)</f>
        <v>60</v>
      </c>
      <c r="C1423">
        <f t="shared" si="22"/>
        <v>67.5</v>
      </c>
      <c r="D1423" t="s">
        <v>47</v>
      </c>
      <c r="E1423">
        <v>5</v>
      </c>
      <c r="F1423">
        <v>14</v>
      </c>
      <c r="G1423">
        <v>0.1404</v>
      </c>
      <c r="H1423">
        <v>0.18779999999999999</v>
      </c>
      <c r="I1423">
        <v>19.77</v>
      </c>
    </row>
    <row r="1424" spans="1:9" x14ac:dyDescent="0.3">
      <c r="A1424">
        <f>LOOKUP(9E+307,--MID(D1424,1,{1,2,3,4,5}))</f>
        <v>7.5</v>
      </c>
      <c r="B1424">
        <f>VLOOKUP(MID(D1424,LOOKUP(2,1/ISNUMBER(-MID(D1424,1,{1,2,3,4,5})),{1,2,3,4,5})+1,9),'Hue codes'!$A$1:$B$10,2,FALSE)</f>
        <v>60</v>
      </c>
      <c r="C1424">
        <f t="shared" si="22"/>
        <v>67.5</v>
      </c>
      <c r="D1424" t="s">
        <v>47</v>
      </c>
      <c r="E1424">
        <v>5</v>
      </c>
      <c r="F1424">
        <v>16</v>
      </c>
      <c r="G1424">
        <v>0.123</v>
      </c>
      <c r="H1424">
        <v>0.1711</v>
      </c>
      <c r="I1424">
        <v>19.77</v>
      </c>
    </row>
    <row r="1425" spans="1:9" x14ac:dyDescent="0.3">
      <c r="A1425">
        <f>LOOKUP(9E+307,--MID(D1425,1,{1,2,3,4,5}))</f>
        <v>10</v>
      </c>
      <c r="B1425">
        <f>VLOOKUP(MID(D1425,LOOKUP(2,1/ISNUMBER(-MID(D1425,1,{1,2,3,4,5})),{1,2,3,4,5})+1,9),'Hue codes'!$A$1:$B$10,2,FALSE)</f>
        <v>60</v>
      </c>
      <c r="C1425">
        <f t="shared" si="22"/>
        <v>70</v>
      </c>
      <c r="D1425" t="s">
        <v>48</v>
      </c>
      <c r="E1425">
        <v>5</v>
      </c>
      <c r="F1425">
        <v>2</v>
      </c>
      <c r="G1425">
        <v>0.28210000000000002</v>
      </c>
      <c r="H1425">
        <v>0.29659999999999997</v>
      </c>
      <c r="I1425">
        <v>19.77</v>
      </c>
    </row>
    <row r="1426" spans="1:9" x14ac:dyDescent="0.3">
      <c r="A1426">
        <f>LOOKUP(9E+307,--MID(D1426,1,{1,2,3,4,5}))</f>
        <v>10</v>
      </c>
      <c r="B1426">
        <f>VLOOKUP(MID(D1426,LOOKUP(2,1/ISNUMBER(-MID(D1426,1,{1,2,3,4,5})),{1,2,3,4,5})+1,9),'Hue codes'!$A$1:$B$10,2,FALSE)</f>
        <v>60</v>
      </c>
      <c r="C1426">
        <f t="shared" si="22"/>
        <v>70</v>
      </c>
      <c r="D1426" t="s">
        <v>48</v>
      </c>
      <c r="E1426">
        <v>5</v>
      </c>
      <c r="F1426">
        <v>4</v>
      </c>
      <c r="G1426">
        <v>0.25469999999999998</v>
      </c>
      <c r="H1426">
        <v>0.2757</v>
      </c>
      <c r="I1426">
        <v>19.77</v>
      </c>
    </row>
    <row r="1427" spans="1:9" x14ac:dyDescent="0.3">
      <c r="A1427">
        <f>LOOKUP(9E+307,--MID(D1427,1,{1,2,3,4,5}))</f>
        <v>10</v>
      </c>
      <c r="B1427">
        <f>VLOOKUP(MID(D1427,LOOKUP(2,1/ISNUMBER(-MID(D1427,1,{1,2,3,4,5})),{1,2,3,4,5})+1,9),'Hue codes'!$A$1:$B$10,2,FALSE)</f>
        <v>60</v>
      </c>
      <c r="C1427">
        <f t="shared" si="22"/>
        <v>70</v>
      </c>
      <c r="D1427" t="s">
        <v>48</v>
      </c>
      <c r="E1427">
        <v>5</v>
      </c>
      <c r="F1427">
        <v>6</v>
      </c>
      <c r="G1427">
        <v>0.22989999999999999</v>
      </c>
      <c r="H1427">
        <v>0.25480000000000003</v>
      </c>
      <c r="I1427">
        <v>19.77</v>
      </c>
    </row>
    <row r="1428" spans="1:9" x14ac:dyDescent="0.3">
      <c r="A1428">
        <f>LOOKUP(9E+307,--MID(D1428,1,{1,2,3,4,5}))</f>
        <v>10</v>
      </c>
      <c r="B1428">
        <f>VLOOKUP(MID(D1428,LOOKUP(2,1/ISNUMBER(-MID(D1428,1,{1,2,3,4,5})),{1,2,3,4,5})+1,9),'Hue codes'!$A$1:$B$10,2,FALSE)</f>
        <v>60</v>
      </c>
      <c r="C1428">
        <f t="shared" si="22"/>
        <v>70</v>
      </c>
      <c r="D1428" t="s">
        <v>48</v>
      </c>
      <c r="E1428">
        <v>5</v>
      </c>
      <c r="F1428">
        <v>8</v>
      </c>
      <c r="G1428">
        <v>0.20669999999999999</v>
      </c>
      <c r="H1428">
        <v>0.2344</v>
      </c>
      <c r="I1428">
        <v>19.77</v>
      </c>
    </row>
    <row r="1429" spans="1:9" x14ac:dyDescent="0.3">
      <c r="A1429">
        <f>LOOKUP(9E+307,--MID(D1429,1,{1,2,3,4,5}))</f>
        <v>10</v>
      </c>
      <c r="B1429">
        <f>VLOOKUP(MID(D1429,LOOKUP(2,1/ISNUMBER(-MID(D1429,1,{1,2,3,4,5})),{1,2,3,4,5})+1,9),'Hue codes'!$A$1:$B$10,2,FALSE)</f>
        <v>60</v>
      </c>
      <c r="C1429">
        <f t="shared" si="22"/>
        <v>70</v>
      </c>
      <c r="D1429" t="s">
        <v>48</v>
      </c>
      <c r="E1429">
        <v>5</v>
      </c>
      <c r="F1429">
        <v>10</v>
      </c>
      <c r="G1429">
        <v>0.186</v>
      </c>
      <c r="H1429">
        <v>0.21490000000000001</v>
      </c>
      <c r="I1429">
        <v>19.77</v>
      </c>
    </row>
    <row r="1430" spans="1:9" x14ac:dyDescent="0.3">
      <c r="A1430">
        <f>LOOKUP(9E+307,--MID(D1430,1,{1,2,3,4,5}))</f>
        <v>10</v>
      </c>
      <c r="B1430">
        <f>VLOOKUP(MID(D1430,LOOKUP(2,1/ISNUMBER(-MID(D1430,1,{1,2,3,4,5})),{1,2,3,4,5})+1,9),'Hue codes'!$A$1:$B$10,2,FALSE)</f>
        <v>60</v>
      </c>
      <c r="C1430">
        <f t="shared" si="22"/>
        <v>70</v>
      </c>
      <c r="D1430" t="s">
        <v>48</v>
      </c>
      <c r="E1430">
        <v>5</v>
      </c>
      <c r="F1430">
        <v>12</v>
      </c>
      <c r="G1430">
        <v>0.1666</v>
      </c>
      <c r="H1430">
        <v>0.19639999999999999</v>
      </c>
      <c r="I1430">
        <v>19.77</v>
      </c>
    </row>
    <row r="1431" spans="1:9" x14ac:dyDescent="0.3">
      <c r="A1431">
        <f>LOOKUP(9E+307,--MID(D1431,1,{1,2,3,4,5}))</f>
        <v>10</v>
      </c>
      <c r="B1431">
        <f>VLOOKUP(MID(D1431,LOOKUP(2,1/ISNUMBER(-MID(D1431,1,{1,2,3,4,5})),{1,2,3,4,5})+1,9),'Hue codes'!$A$1:$B$10,2,FALSE)</f>
        <v>60</v>
      </c>
      <c r="C1431">
        <f t="shared" si="22"/>
        <v>70</v>
      </c>
      <c r="D1431" t="s">
        <v>48</v>
      </c>
      <c r="E1431">
        <v>5</v>
      </c>
      <c r="F1431">
        <v>14</v>
      </c>
      <c r="G1431">
        <v>0.1492</v>
      </c>
      <c r="H1431">
        <v>0.1797</v>
      </c>
      <c r="I1431">
        <v>19.77</v>
      </c>
    </row>
    <row r="1432" spans="1:9" x14ac:dyDescent="0.3">
      <c r="A1432">
        <f>LOOKUP(9E+307,--MID(D1432,1,{1,2,3,4,5}))</f>
        <v>10</v>
      </c>
      <c r="B1432">
        <f>VLOOKUP(MID(D1432,LOOKUP(2,1/ISNUMBER(-MID(D1432,1,{1,2,3,4,5})),{1,2,3,4,5})+1,9),'Hue codes'!$A$1:$B$10,2,FALSE)</f>
        <v>60</v>
      </c>
      <c r="C1432">
        <f t="shared" si="22"/>
        <v>70</v>
      </c>
      <c r="D1432" t="s">
        <v>48</v>
      </c>
      <c r="E1432">
        <v>5</v>
      </c>
      <c r="F1432">
        <v>16</v>
      </c>
      <c r="G1432">
        <v>0.1326</v>
      </c>
      <c r="H1432">
        <v>0.16320000000000001</v>
      </c>
      <c r="I1432">
        <v>19.77</v>
      </c>
    </row>
    <row r="1433" spans="1:9" x14ac:dyDescent="0.3">
      <c r="A1433">
        <f>LOOKUP(9E+307,--MID(D1433,1,{1,2,3,4,5}))</f>
        <v>10</v>
      </c>
      <c r="B1433">
        <f>VLOOKUP(MID(D1433,LOOKUP(2,1/ISNUMBER(-MID(D1433,1,{1,2,3,4,5})),{1,2,3,4,5})+1,9),'Hue codes'!$A$1:$B$10,2,FALSE)</f>
        <v>60</v>
      </c>
      <c r="C1433">
        <f t="shared" si="22"/>
        <v>70</v>
      </c>
      <c r="D1433" t="s">
        <v>48</v>
      </c>
      <c r="E1433">
        <v>5</v>
      </c>
      <c r="F1433">
        <v>18</v>
      </c>
      <c r="G1433">
        <v>0.1203</v>
      </c>
      <c r="H1433">
        <v>0.15049999999999999</v>
      </c>
      <c r="I1433">
        <v>19.77</v>
      </c>
    </row>
    <row r="1434" spans="1:9" x14ac:dyDescent="0.3">
      <c r="A1434">
        <f>LOOKUP(9E+307,--MID(D1434,1,{1,2,3,4,5}))</f>
        <v>2.5</v>
      </c>
      <c r="B1434">
        <f>VLOOKUP(MID(D1434,LOOKUP(2,1/ISNUMBER(-MID(D1434,1,{1,2,3,4,5})),{1,2,3,4,5})+1,9),'Hue codes'!$A$1:$B$10,2,FALSE)</f>
        <v>70</v>
      </c>
      <c r="C1434">
        <f t="shared" si="22"/>
        <v>72.5</v>
      </c>
      <c r="D1434" t="s">
        <v>49</v>
      </c>
      <c r="E1434">
        <v>5</v>
      </c>
      <c r="F1434">
        <v>2</v>
      </c>
      <c r="G1434">
        <v>0.28470000000000001</v>
      </c>
      <c r="H1434">
        <v>0.29420000000000002</v>
      </c>
      <c r="I1434">
        <v>19.77</v>
      </c>
    </row>
    <row r="1435" spans="1:9" x14ac:dyDescent="0.3">
      <c r="A1435">
        <f>LOOKUP(9E+307,--MID(D1435,1,{1,2,3,4,5}))</f>
        <v>2.5</v>
      </c>
      <c r="B1435">
        <f>VLOOKUP(MID(D1435,LOOKUP(2,1/ISNUMBER(-MID(D1435,1,{1,2,3,4,5})),{1,2,3,4,5})+1,9),'Hue codes'!$A$1:$B$10,2,FALSE)</f>
        <v>70</v>
      </c>
      <c r="C1435">
        <f t="shared" si="22"/>
        <v>72.5</v>
      </c>
      <c r="D1435" t="s">
        <v>49</v>
      </c>
      <c r="E1435">
        <v>5</v>
      </c>
      <c r="F1435">
        <v>4</v>
      </c>
      <c r="G1435">
        <v>0.26</v>
      </c>
      <c r="H1435">
        <v>0.27200000000000002</v>
      </c>
      <c r="I1435">
        <v>19.77</v>
      </c>
    </row>
    <row r="1436" spans="1:9" x14ac:dyDescent="0.3">
      <c r="A1436">
        <f>LOOKUP(9E+307,--MID(D1436,1,{1,2,3,4,5}))</f>
        <v>2.5</v>
      </c>
      <c r="B1436">
        <f>VLOOKUP(MID(D1436,LOOKUP(2,1/ISNUMBER(-MID(D1436,1,{1,2,3,4,5})),{1,2,3,4,5})+1,9),'Hue codes'!$A$1:$B$10,2,FALSE)</f>
        <v>70</v>
      </c>
      <c r="C1436">
        <f t="shared" si="22"/>
        <v>72.5</v>
      </c>
      <c r="D1436" t="s">
        <v>49</v>
      </c>
      <c r="E1436">
        <v>5</v>
      </c>
      <c r="F1436">
        <v>6</v>
      </c>
      <c r="G1436">
        <v>0.23649999999999999</v>
      </c>
      <c r="H1436">
        <v>0.24879999999999999</v>
      </c>
      <c r="I1436">
        <v>19.77</v>
      </c>
    </row>
    <row r="1437" spans="1:9" x14ac:dyDescent="0.3">
      <c r="A1437">
        <f>LOOKUP(9E+307,--MID(D1437,1,{1,2,3,4,5}))</f>
        <v>2.5</v>
      </c>
      <c r="B1437">
        <f>VLOOKUP(MID(D1437,LOOKUP(2,1/ISNUMBER(-MID(D1437,1,{1,2,3,4,5})),{1,2,3,4,5})+1,9),'Hue codes'!$A$1:$B$10,2,FALSE)</f>
        <v>70</v>
      </c>
      <c r="C1437">
        <f t="shared" si="22"/>
        <v>72.5</v>
      </c>
      <c r="D1437" t="s">
        <v>49</v>
      </c>
      <c r="E1437">
        <v>5</v>
      </c>
      <c r="F1437">
        <v>8</v>
      </c>
      <c r="G1437">
        <v>0.2157</v>
      </c>
      <c r="H1437">
        <v>0.2278</v>
      </c>
      <c r="I1437">
        <v>19.77</v>
      </c>
    </row>
    <row r="1438" spans="1:9" x14ac:dyDescent="0.3">
      <c r="A1438">
        <f>LOOKUP(9E+307,--MID(D1438,1,{1,2,3,4,5}))</f>
        <v>2.5</v>
      </c>
      <c r="B1438">
        <f>VLOOKUP(MID(D1438,LOOKUP(2,1/ISNUMBER(-MID(D1438,1,{1,2,3,4,5})),{1,2,3,4,5})+1,9),'Hue codes'!$A$1:$B$10,2,FALSE)</f>
        <v>70</v>
      </c>
      <c r="C1438">
        <f t="shared" si="22"/>
        <v>72.5</v>
      </c>
      <c r="D1438" t="s">
        <v>49</v>
      </c>
      <c r="E1438">
        <v>5</v>
      </c>
      <c r="F1438">
        <v>10</v>
      </c>
      <c r="G1438">
        <v>0.1968</v>
      </c>
      <c r="H1438">
        <v>0.20780000000000001</v>
      </c>
      <c r="I1438">
        <v>19.77</v>
      </c>
    </row>
    <row r="1439" spans="1:9" x14ac:dyDescent="0.3">
      <c r="A1439">
        <f>LOOKUP(9E+307,--MID(D1439,1,{1,2,3,4,5}))</f>
        <v>2.5</v>
      </c>
      <c r="B1439">
        <f>VLOOKUP(MID(D1439,LOOKUP(2,1/ISNUMBER(-MID(D1439,1,{1,2,3,4,5})),{1,2,3,4,5})+1,9),'Hue codes'!$A$1:$B$10,2,FALSE)</f>
        <v>70</v>
      </c>
      <c r="C1439">
        <f t="shared" si="22"/>
        <v>72.5</v>
      </c>
      <c r="D1439" t="s">
        <v>49</v>
      </c>
      <c r="E1439">
        <v>5</v>
      </c>
      <c r="F1439">
        <v>12</v>
      </c>
      <c r="G1439">
        <v>0.17929999999999999</v>
      </c>
      <c r="H1439">
        <v>0.18940000000000001</v>
      </c>
      <c r="I1439">
        <v>19.77</v>
      </c>
    </row>
    <row r="1440" spans="1:9" x14ac:dyDescent="0.3">
      <c r="A1440">
        <f>LOOKUP(9E+307,--MID(D1440,1,{1,2,3,4,5}))</f>
        <v>2.5</v>
      </c>
      <c r="B1440">
        <f>VLOOKUP(MID(D1440,LOOKUP(2,1/ISNUMBER(-MID(D1440,1,{1,2,3,4,5})),{1,2,3,4,5})+1,9),'Hue codes'!$A$1:$B$10,2,FALSE)</f>
        <v>70</v>
      </c>
      <c r="C1440">
        <f t="shared" si="22"/>
        <v>72.5</v>
      </c>
      <c r="D1440" t="s">
        <v>49</v>
      </c>
      <c r="E1440">
        <v>5</v>
      </c>
      <c r="F1440">
        <v>14</v>
      </c>
      <c r="G1440">
        <v>0.16420000000000001</v>
      </c>
      <c r="H1440">
        <v>0.17280000000000001</v>
      </c>
      <c r="I1440">
        <v>19.77</v>
      </c>
    </row>
    <row r="1441" spans="1:9" x14ac:dyDescent="0.3">
      <c r="A1441">
        <f>LOOKUP(9E+307,--MID(D1441,1,{1,2,3,4,5}))</f>
        <v>2.5</v>
      </c>
      <c r="B1441">
        <f>VLOOKUP(MID(D1441,LOOKUP(2,1/ISNUMBER(-MID(D1441,1,{1,2,3,4,5})),{1,2,3,4,5})+1,9),'Hue codes'!$A$1:$B$10,2,FALSE)</f>
        <v>70</v>
      </c>
      <c r="C1441">
        <f t="shared" si="22"/>
        <v>72.5</v>
      </c>
      <c r="D1441" t="s">
        <v>49</v>
      </c>
      <c r="E1441">
        <v>5</v>
      </c>
      <c r="F1441">
        <v>16</v>
      </c>
      <c r="G1441">
        <v>0.14949999999999999</v>
      </c>
      <c r="H1441">
        <v>0.15590000000000001</v>
      </c>
      <c r="I1441">
        <v>19.77</v>
      </c>
    </row>
    <row r="1442" spans="1:9" x14ac:dyDescent="0.3">
      <c r="A1442">
        <f>LOOKUP(9E+307,--MID(D1442,1,{1,2,3,4,5}))</f>
        <v>2.5</v>
      </c>
      <c r="B1442">
        <f>VLOOKUP(MID(D1442,LOOKUP(2,1/ISNUMBER(-MID(D1442,1,{1,2,3,4,5})),{1,2,3,4,5})+1,9),'Hue codes'!$A$1:$B$10,2,FALSE)</f>
        <v>70</v>
      </c>
      <c r="C1442">
        <f t="shared" si="22"/>
        <v>72.5</v>
      </c>
      <c r="D1442" t="s">
        <v>49</v>
      </c>
      <c r="E1442">
        <v>5</v>
      </c>
      <c r="F1442">
        <v>18</v>
      </c>
      <c r="G1442">
        <v>0.1363</v>
      </c>
      <c r="H1442">
        <v>0.14099999999999999</v>
      </c>
      <c r="I1442">
        <v>19.77</v>
      </c>
    </row>
    <row r="1443" spans="1:9" x14ac:dyDescent="0.3">
      <c r="A1443">
        <f>LOOKUP(9E+307,--MID(D1443,1,{1,2,3,4,5}))</f>
        <v>5</v>
      </c>
      <c r="B1443">
        <f>VLOOKUP(MID(D1443,LOOKUP(2,1/ISNUMBER(-MID(D1443,1,{1,2,3,4,5})),{1,2,3,4,5})+1,9),'Hue codes'!$A$1:$B$10,2,FALSE)</f>
        <v>70</v>
      </c>
      <c r="C1443">
        <f t="shared" si="22"/>
        <v>75</v>
      </c>
      <c r="D1443" t="s">
        <v>50</v>
      </c>
      <c r="E1443">
        <v>5</v>
      </c>
      <c r="F1443">
        <v>2</v>
      </c>
      <c r="G1443">
        <v>0.28820000000000001</v>
      </c>
      <c r="H1443">
        <v>0.2923</v>
      </c>
      <c r="I1443">
        <v>19.77</v>
      </c>
    </row>
    <row r="1444" spans="1:9" x14ac:dyDescent="0.3">
      <c r="A1444">
        <f>LOOKUP(9E+307,--MID(D1444,1,{1,2,3,4,5}))</f>
        <v>5</v>
      </c>
      <c r="B1444">
        <f>VLOOKUP(MID(D1444,LOOKUP(2,1/ISNUMBER(-MID(D1444,1,{1,2,3,4,5})),{1,2,3,4,5})+1,9),'Hue codes'!$A$1:$B$10,2,FALSE)</f>
        <v>70</v>
      </c>
      <c r="C1444">
        <f t="shared" si="22"/>
        <v>75</v>
      </c>
      <c r="D1444" t="s">
        <v>50</v>
      </c>
      <c r="E1444">
        <v>5</v>
      </c>
      <c r="F1444">
        <v>4</v>
      </c>
      <c r="G1444">
        <v>0.26619999999999999</v>
      </c>
      <c r="H1444">
        <v>0.26869999999999999</v>
      </c>
      <c r="I1444">
        <v>19.77</v>
      </c>
    </row>
    <row r="1445" spans="1:9" x14ac:dyDescent="0.3">
      <c r="A1445">
        <f>LOOKUP(9E+307,--MID(D1445,1,{1,2,3,4,5}))</f>
        <v>5</v>
      </c>
      <c r="B1445">
        <f>VLOOKUP(MID(D1445,LOOKUP(2,1/ISNUMBER(-MID(D1445,1,{1,2,3,4,5})),{1,2,3,4,5})+1,9),'Hue codes'!$A$1:$B$10,2,FALSE)</f>
        <v>70</v>
      </c>
      <c r="C1445">
        <f t="shared" si="22"/>
        <v>75</v>
      </c>
      <c r="D1445" t="s">
        <v>50</v>
      </c>
      <c r="E1445">
        <v>5</v>
      </c>
      <c r="F1445">
        <v>6</v>
      </c>
      <c r="G1445">
        <v>0.2447</v>
      </c>
      <c r="H1445">
        <v>0.24490000000000001</v>
      </c>
      <c r="I1445">
        <v>19.77</v>
      </c>
    </row>
    <row r="1446" spans="1:9" x14ac:dyDescent="0.3">
      <c r="A1446">
        <f>LOOKUP(9E+307,--MID(D1446,1,{1,2,3,4,5}))</f>
        <v>5</v>
      </c>
      <c r="B1446">
        <f>VLOOKUP(MID(D1446,LOOKUP(2,1/ISNUMBER(-MID(D1446,1,{1,2,3,4,5})),{1,2,3,4,5})+1,9),'Hue codes'!$A$1:$B$10,2,FALSE)</f>
        <v>70</v>
      </c>
      <c r="C1446">
        <f t="shared" si="22"/>
        <v>75</v>
      </c>
      <c r="D1446" t="s">
        <v>50</v>
      </c>
      <c r="E1446">
        <v>5</v>
      </c>
      <c r="F1446">
        <v>8</v>
      </c>
      <c r="G1446">
        <v>0.22550000000000001</v>
      </c>
      <c r="H1446">
        <v>0.22389999999999999</v>
      </c>
      <c r="I1446">
        <v>19.77</v>
      </c>
    </row>
    <row r="1447" spans="1:9" x14ac:dyDescent="0.3">
      <c r="A1447">
        <f>LOOKUP(9E+307,--MID(D1447,1,{1,2,3,4,5}))</f>
        <v>5</v>
      </c>
      <c r="B1447">
        <f>VLOOKUP(MID(D1447,LOOKUP(2,1/ISNUMBER(-MID(D1447,1,{1,2,3,4,5})),{1,2,3,4,5})+1,9),'Hue codes'!$A$1:$B$10,2,FALSE)</f>
        <v>70</v>
      </c>
      <c r="C1447">
        <f t="shared" si="22"/>
        <v>75</v>
      </c>
      <c r="D1447" t="s">
        <v>50</v>
      </c>
      <c r="E1447">
        <v>5</v>
      </c>
      <c r="F1447">
        <v>10</v>
      </c>
      <c r="G1447">
        <v>0.20799999999999999</v>
      </c>
      <c r="H1447">
        <v>0.2041</v>
      </c>
      <c r="I1447">
        <v>19.77</v>
      </c>
    </row>
    <row r="1448" spans="1:9" x14ac:dyDescent="0.3">
      <c r="A1448">
        <f>LOOKUP(9E+307,--MID(D1448,1,{1,2,3,4,5}))</f>
        <v>5</v>
      </c>
      <c r="B1448">
        <f>VLOOKUP(MID(D1448,LOOKUP(2,1/ISNUMBER(-MID(D1448,1,{1,2,3,4,5})),{1,2,3,4,5})+1,9),'Hue codes'!$A$1:$B$10,2,FALSE)</f>
        <v>70</v>
      </c>
      <c r="C1448">
        <f t="shared" si="22"/>
        <v>75</v>
      </c>
      <c r="D1448" t="s">
        <v>50</v>
      </c>
      <c r="E1448">
        <v>5</v>
      </c>
      <c r="F1448">
        <v>12</v>
      </c>
      <c r="G1448">
        <v>0.1918</v>
      </c>
      <c r="H1448">
        <v>0.18579999999999999</v>
      </c>
      <c r="I1448">
        <v>19.77</v>
      </c>
    </row>
    <row r="1449" spans="1:9" x14ac:dyDescent="0.3">
      <c r="A1449">
        <f>LOOKUP(9E+307,--MID(D1449,1,{1,2,3,4,5}))</f>
        <v>5</v>
      </c>
      <c r="B1449">
        <f>VLOOKUP(MID(D1449,LOOKUP(2,1/ISNUMBER(-MID(D1449,1,{1,2,3,4,5})),{1,2,3,4,5})+1,9),'Hue codes'!$A$1:$B$10,2,FALSE)</f>
        <v>70</v>
      </c>
      <c r="C1449">
        <f t="shared" si="22"/>
        <v>75</v>
      </c>
      <c r="D1449" t="s">
        <v>50</v>
      </c>
      <c r="E1449">
        <v>5</v>
      </c>
      <c r="F1449">
        <v>14</v>
      </c>
      <c r="G1449">
        <v>0.17730000000000001</v>
      </c>
      <c r="H1449">
        <v>0.16889999999999999</v>
      </c>
      <c r="I1449">
        <v>19.77</v>
      </c>
    </row>
    <row r="1450" spans="1:9" x14ac:dyDescent="0.3">
      <c r="A1450">
        <f>LOOKUP(9E+307,--MID(D1450,1,{1,2,3,4,5}))</f>
        <v>5</v>
      </c>
      <c r="B1450">
        <f>VLOOKUP(MID(D1450,LOOKUP(2,1/ISNUMBER(-MID(D1450,1,{1,2,3,4,5})),{1,2,3,4,5})+1,9),'Hue codes'!$A$1:$B$10,2,FALSE)</f>
        <v>70</v>
      </c>
      <c r="C1450">
        <f t="shared" si="22"/>
        <v>75</v>
      </c>
      <c r="D1450" t="s">
        <v>50</v>
      </c>
      <c r="E1450">
        <v>5</v>
      </c>
      <c r="F1450">
        <v>16</v>
      </c>
      <c r="G1450">
        <v>0.1638</v>
      </c>
      <c r="H1450">
        <v>0.15210000000000001</v>
      </c>
      <c r="I1450">
        <v>19.77</v>
      </c>
    </row>
    <row r="1451" spans="1:9" x14ac:dyDescent="0.3">
      <c r="A1451">
        <f>LOOKUP(9E+307,--MID(D1451,1,{1,2,3,4,5}))</f>
        <v>5</v>
      </c>
      <c r="B1451">
        <f>VLOOKUP(MID(D1451,LOOKUP(2,1/ISNUMBER(-MID(D1451,1,{1,2,3,4,5})),{1,2,3,4,5})+1,9),'Hue codes'!$A$1:$B$10,2,FALSE)</f>
        <v>70</v>
      </c>
      <c r="C1451">
        <f t="shared" si="22"/>
        <v>75</v>
      </c>
      <c r="D1451" t="s">
        <v>50</v>
      </c>
      <c r="E1451">
        <v>5</v>
      </c>
      <c r="F1451">
        <v>18</v>
      </c>
      <c r="G1451">
        <v>0.15179999999999999</v>
      </c>
      <c r="H1451">
        <v>0.13650000000000001</v>
      </c>
      <c r="I1451">
        <v>19.77</v>
      </c>
    </row>
    <row r="1452" spans="1:9" x14ac:dyDescent="0.3">
      <c r="A1452">
        <f>LOOKUP(9E+307,--MID(D1452,1,{1,2,3,4,5}))</f>
        <v>7.5</v>
      </c>
      <c r="B1452">
        <f>VLOOKUP(MID(D1452,LOOKUP(2,1/ISNUMBER(-MID(D1452,1,{1,2,3,4,5})),{1,2,3,4,5})+1,9),'Hue codes'!$A$1:$B$10,2,FALSE)</f>
        <v>70</v>
      </c>
      <c r="C1452">
        <f t="shared" si="22"/>
        <v>77.5</v>
      </c>
      <c r="D1452" t="s">
        <v>51</v>
      </c>
      <c r="E1452">
        <v>5</v>
      </c>
      <c r="F1452">
        <v>2</v>
      </c>
      <c r="G1452">
        <v>0.2918</v>
      </c>
      <c r="H1452">
        <v>0.2908</v>
      </c>
      <c r="I1452">
        <v>19.77</v>
      </c>
    </row>
    <row r="1453" spans="1:9" x14ac:dyDescent="0.3">
      <c r="A1453">
        <f>LOOKUP(9E+307,--MID(D1453,1,{1,2,3,4,5}))</f>
        <v>7.5</v>
      </c>
      <c r="B1453">
        <f>VLOOKUP(MID(D1453,LOOKUP(2,1/ISNUMBER(-MID(D1453,1,{1,2,3,4,5})),{1,2,3,4,5})+1,9),'Hue codes'!$A$1:$B$10,2,FALSE)</f>
        <v>70</v>
      </c>
      <c r="C1453">
        <f t="shared" si="22"/>
        <v>77.5</v>
      </c>
      <c r="D1453" t="s">
        <v>51</v>
      </c>
      <c r="E1453">
        <v>5</v>
      </c>
      <c r="F1453">
        <v>4</v>
      </c>
      <c r="G1453">
        <v>0.27389999999999998</v>
      </c>
      <c r="H1453">
        <v>0.2666</v>
      </c>
      <c r="I1453">
        <v>19.77</v>
      </c>
    </row>
    <row r="1454" spans="1:9" x14ac:dyDescent="0.3">
      <c r="A1454">
        <f>LOOKUP(9E+307,--MID(D1454,1,{1,2,3,4,5}))</f>
        <v>7.5</v>
      </c>
      <c r="B1454">
        <f>VLOOKUP(MID(D1454,LOOKUP(2,1/ISNUMBER(-MID(D1454,1,{1,2,3,4,5})),{1,2,3,4,5})+1,9),'Hue codes'!$A$1:$B$10,2,FALSE)</f>
        <v>70</v>
      </c>
      <c r="C1454">
        <f t="shared" si="22"/>
        <v>77.5</v>
      </c>
      <c r="D1454" t="s">
        <v>51</v>
      </c>
      <c r="E1454">
        <v>5</v>
      </c>
      <c r="F1454">
        <v>6</v>
      </c>
      <c r="G1454">
        <v>0.25629999999999997</v>
      </c>
      <c r="H1454">
        <v>0.2417</v>
      </c>
      <c r="I1454">
        <v>19.77</v>
      </c>
    </row>
    <row r="1455" spans="1:9" x14ac:dyDescent="0.3">
      <c r="A1455">
        <f>LOOKUP(9E+307,--MID(D1455,1,{1,2,3,4,5}))</f>
        <v>7.5</v>
      </c>
      <c r="B1455">
        <f>VLOOKUP(MID(D1455,LOOKUP(2,1/ISNUMBER(-MID(D1455,1,{1,2,3,4,5})),{1,2,3,4,5})+1,9),'Hue codes'!$A$1:$B$10,2,FALSE)</f>
        <v>70</v>
      </c>
      <c r="C1455">
        <f t="shared" si="22"/>
        <v>77.5</v>
      </c>
      <c r="D1455" t="s">
        <v>51</v>
      </c>
      <c r="E1455">
        <v>5</v>
      </c>
      <c r="F1455">
        <v>8</v>
      </c>
      <c r="G1455">
        <v>0.2417</v>
      </c>
      <c r="H1455">
        <v>0.22040000000000001</v>
      </c>
      <c r="I1455">
        <v>19.77</v>
      </c>
    </row>
    <row r="1456" spans="1:9" x14ac:dyDescent="0.3">
      <c r="A1456">
        <f>LOOKUP(9E+307,--MID(D1456,1,{1,2,3,4,5}))</f>
        <v>7.5</v>
      </c>
      <c r="B1456">
        <f>VLOOKUP(MID(D1456,LOOKUP(2,1/ISNUMBER(-MID(D1456,1,{1,2,3,4,5})),{1,2,3,4,5})+1,9),'Hue codes'!$A$1:$B$10,2,FALSE)</f>
        <v>70</v>
      </c>
      <c r="C1456">
        <f t="shared" si="22"/>
        <v>77.5</v>
      </c>
      <c r="D1456" t="s">
        <v>51</v>
      </c>
      <c r="E1456">
        <v>5</v>
      </c>
      <c r="F1456">
        <v>10</v>
      </c>
      <c r="G1456">
        <v>0.22850000000000001</v>
      </c>
      <c r="H1456">
        <v>0.20200000000000001</v>
      </c>
      <c r="I1456">
        <v>19.77</v>
      </c>
    </row>
    <row r="1457" spans="1:9" x14ac:dyDescent="0.3">
      <c r="A1457">
        <f>LOOKUP(9E+307,--MID(D1457,1,{1,2,3,4,5}))</f>
        <v>7.5</v>
      </c>
      <c r="B1457">
        <f>VLOOKUP(MID(D1457,LOOKUP(2,1/ISNUMBER(-MID(D1457,1,{1,2,3,4,5})),{1,2,3,4,5})+1,9),'Hue codes'!$A$1:$B$10,2,FALSE)</f>
        <v>70</v>
      </c>
      <c r="C1457">
        <f t="shared" si="22"/>
        <v>77.5</v>
      </c>
      <c r="D1457" t="s">
        <v>51</v>
      </c>
      <c r="E1457">
        <v>5</v>
      </c>
      <c r="F1457">
        <v>12</v>
      </c>
      <c r="G1457">
        <v>0.2157</v>
      </c>
      <c r="H1457">
        <v>0.183</v>
      </c>
      <c r="I1457">
        <v>19.77</v>
      </c>
    </row>
    <row r="1458" spans="1:9" x14ac:dyDescent="0.3">
      <c r="A1458">
        <f>LOOKUP(9E+307,--MID(D1458,1,{1,2,3,4,5}))</f>
        <v>7.5</v>
      </c>
      <c r="B1458">
        <f>VLOOKUP(MID(D1458,LOOKUP(2,1/ISNUMBER(-MID(D1458,1,{1,2,3,4,5})),{1,2,3,4,5})+1,9),'Hue codes'!$A$1:$B$10,2,FALSE)</f>
        <v>70</v>
      </c>
      <c r="C1458">
        <f t="shared" si="22"/>
        <v>77.5</v>
      </c>
      <c r="D1458" t="s">
        <v>51</v>
      </c>
      <c r="E1458">
        <v>5</v>
      </c>
      <c r="F1458">
        <v>14</v>
      </c>
      <c r="G1458">
        <v>0.20419999999999999</v>
      </c>
      <c r="H1458">
        <v>0.1661</v>
      </c>
      <c r="I1458">
        <v>19.77</v>
      </c>
    </row>
    <row r="1459" spans="1:9" x14ac:dyDescent="0.3">
      <c r="A1459">
        <f>LOOKUP(9E+307,--MID(D1459,1,{1,2,3,4,5}))</f>
        <v>7.5</v>
      </c>
      <c r="B1459">
        <f>VLOOKUP(MID(D1459,LOOKUP(2,1/ISNUMBER(-MID(D1459,1,{1,2,3,4,5})),{1,2,3,4,5})+1,9),'Hue codes'!$A$1:$B$10,2,FALSE)</f>
        <v>70</v>
      </c>
      <c r="C1459">
        <f t="shared" si="22"/>
        <v>77.5</v>
      </c>
      <c r="D1459" t="s">
        <v>51</v>
      </c>
      <c r="E1459">
        <v>5</v>
      </c>
      <c r="F1459">
        <v>16</v>
      </c>
      <c r="G1459">
        <v>0.19450000000000001</v>
      </c>
      <c r="H1459">
        <v>0.15110000000000001</v>
      </c>
      <c r="I1459">
        <v>19.77</v>
      </c>
    </row>
    <row r="1460" spans="1:9" x14ac:dyDescent="0.3">
      <c r="A1460">
        <f>LOOKUP(9E+307,--MID(D1460,1,{1,2,3,4,5}))</f>
        <v>7.5</v>
      </c>
      <c r="B1460">
        <f>VLOOKUP(MID(D1460,LOOKUP(2,1/ISNUMBER(-MID(D1460,1,{1,2,3,4,5})),{1,2,3,4,5})+1,9),'Hue codes'!$A$1:$B$10,2,FALSE)</f>
        <v>70</v>
      </c>
      <c r="C1460">
        <f t="shared" si="22"/>
        <v>77.5</v>
      </c>
      <c r="D1460" t="s">
        <v>51</v>
      </c>
      <c r="E1460">
        <v>5</v>
      </c>
      <c r="F1460">
        <v>18</v>
      </c>
      <c r="G1460">
        <v>0.1862</v>
      </c>
      <c r="H1460">
        <v>0.13650000000000001</v>
      </c>
      <c r="I1460">
        <v>19.77</v>
      </c>
    </row>
    <row r="1461" spans="1:9" x14ac:dyDescent="0.3">
      <c r="A1461">
        <f>LOOKUP(9E+307,--MID(D1461,1,{1,2,3,4,5}))</f>
        <v>7.5</v>
      </c>
      <c r="B1461">
        <f>VLOOKUP(MID(D1461,LOOKUP(2,1/ISNUMBER(-MID(D1461,1,{1,2,3,4,5})),{1,2,3,4,5})+1,9),'Hue codes'!$A$1:$B$10,2,FALSE)</f>
        <v>70</v>
      </c>
      <c r="C1461">
        <f t="shared" si="22"/>
        <v>77.5</v>
      </c>
      <c r="D1461" t="s">
        <v>51</v>
      </c>
      <c r="E1461">
        <v>5</v>
      </c>
      <c r="F1461">
        <v>20</v>
      </c>
      <c r="G1461">
        <v>0.1794</v>
      </c>
      <c r="H1461">
        <v>0.1239</v>
      </c>
      <c r="I1461">
        <v>19.77</v>
      </c>
    </row>
    <row r="1462" spans="1:9" x14ac:dyDescent="0.3">
      <c r="A1462">
        <f>LOOKUP(9E+307,--MID(D1462,1,{1,2,3,4,5}))</f>
        <v>10</v>
      </c>
      <c r="B1462">
        <f>VLOOKUP(MID(D1462,LOOKUP(2,1/ISNUMBER(-MID(D1462,1,{1,2,3,4,5})),{1,2,3,4,5})+1,9),'Hue codes'!$A$1:$B$10,2,FALSE)</f>
        <v>70</v>
      </c>
      <c r="C1462">
        <f t="shared" si="22"/>
        <v>80</v>
      </c>
      <c r="D1462" t="s">
        <v>52</v>
      </c>
      <c r="E1462">
        <v>5</v>
      </c>
      <c r="F1462">
        <v>2</v>
      </c>
      <c r="G1462">
        <v>0.2959</v>
      </c>
      <c r="H1462">
        <v>0.29049999999999998</v>
      </c>
      <c r="I1462">
        <v>19.77</v>
      </c>
    </row>
    <row r="1463" spans="1:9" x14ac:dyDescent="0.3">
      <c r="A1463">
        <f>LOOKUP(9E+307,--MID(D1463,1,{1,2,3,4,5}))</f>
        <v>10</v>
      </c>
      <c r="B1463">
        <f>VLOOKUP(MID(D1463,LOOKUP(2,1/ISNUMBER(-MID(D1463,1,{1,2,3,4,5})),{1,2,3,4,5})+1,9),'Hue codes'!$A$1:$B$10,2,FALSE)</f>
        <v>70</v>
      </c>
      <c r="C1463">
        <f t="shared" si="22"/>
        <v>80</v>
      </c>
      <c r="D1463" t="s">
        <v>52</v>
      </c>
      <c r="E1463">
        <v>5</v>
      </c>
      <c r="F1463">
        <v>4</v>
      </c>
      <c r="G1463">
        <v>0.28210000000000002</v>
      </c>
      <c r="H1463">
        <v>0.26590000000000003</v>
      </c>
      <c r="I1463">
        <v>19.77</v>
      </c>
    </row>
    <row r="1464" spans="1:9" x14ac:dyDescent="0.3">
      <c r="A1464">
        <f>LOOKUP(9E+307,--MID(D1464,1,{1,2,3,4,5}))</f>
        <v>10</v>
      </c>
      <c r="B1464">
        <f>VLOOKUP(MID(D1464,LOOKUP(2,1/ISNUMBER(-MID(D1464,1,{1,2,3,4,5})),{1,2,3,4,5})+1,9),'Hue codes'!$A$1:$B$10,2,FALSE)</f>
        <v>70</v>
      </c>
      <c r="C1464">
        <f t="shared" si="22"/>
        <v>80</v>
      </c>
      <c r="D1464" t="s">
        <v>52</v>
      </c>
      <c r="E1464">
        <v>5</v>
      </c>
      <c r="F1464">
        <v>6</v>
      </c>
      <c r="G1464">
        <v>0.26860000000000001</v>
      </c>
      <c r="H1464">
        <v>0.2412</v>
      </c>
      <c r="I1464">
        <v>19.77</v>
      </c>
    </row>
    <row r="1465" spans="1:9" x14ac:dyDescent="0.3">
      <c r="A1465">
        <f>LOOKUP(9E+307,--MID(D1465,1,{1,2,3,4,5}))</f>
        <v>10</v>
      </c>
      <c r="B1465">
        <f>VLOOKUP(MID(D1465,LOOKUP(2,1/ISNUMBER(-MID(D1465,1,{1,2,3,4,5})),{1,2,3,4,5})+1,9),'Hue codes'!$A$1:$B$10,2,FALSE)</f>
        <v>70</v>
      </c>
      <c r="C1465">
        <f t="shared" si="22"/>
        <v>80</v>
      </c>
      <c r="D1465" t="s">
        <v>52</v>
      </c>
      <c r="E1465">
        <v>5</v>
      </c>
      <c r="F1465">
        <v>8</v>
      </c>
      <c r="G1465">
        <v>0.25719999999999998</v>
      </c>
      <c r="H1465">
        <v>0.22109999999999999</v>
      </c>
      <c r="I1465">
        <v>19.77</v>
      </c>
    </row>
    <row r="1466" spans="1:9" x14ac:dyDescent="0.3">
      <c r="A1466">
        <f>LOOKUP(9E+307,--MID(D1466,1,{1,2,3,4,5}))</f>
        <v>10</v>
      </c>
      <c r="B1466">
        <f>VLOOKUP(MID(D1466,LOOKUP(2,1/ISNUMBER(-MID(D1466,1,{1,2,3,4,5})),{1,2,3,4,5})+1,9),'Hue codes'!$A$1:$B$10,2,FALSE)</f>
        <v>70</v>
      </c>
      <c r="C1466">
        <f t="shared" si="22"/>
        <v>80</v>
      </c>
      <c r="D1466" t="s">
        <v>52</v>
      </c>
      <c r="E1466">
        <v>5</v>
      </c>
      <c r="F1466">
        <v>10</v>
      </c>
      <c r="G1466">
        <v>0.24779999999999999</v>
      </c>
      <c r="H1466">
        <v>0.20300000000000001</v>
      </c>
      <c r="I1466">
        <v>19.77</v>
      </c>
    </row>
    <row r="1467" spans="1:9" x14ac:dyDescent="0.3">
      <c r="A1467">
        <f>LOOKUP(9E+307,--MID(D1467,1,{1,2,3,4,5}))</f>
        <v>10</v>
      </c>
      <c r="B1467">
        <f>VLOOKUP(MID(D1467,LOOKUP(2,1/ISNUMBER(-MID(D1467,1,{1,2,3,4,5})),{1,2,3,4,5})+1,9),'Hue codes'!$A$1:$B$10,2,FALSE)</f>
        <v>70</v>
      </c>
      <c r="C1467">
        <f t="shared" si="22"/>
        <v>80</v>
      </c>
      <c r="D1467" t="s">
        <v>52</v>
      </c>
      <c r="E1467">
        <v>5</v>
      </c>
      <c r="F1467">
        <v>12</v>
      </c>
      <c r="G1467">
        <v>0.2384</v>
      </c>
      <c r="H1467">
        <v>0.1857</v>
      </c>
      <c r="I1467">
        <v>19.77</v>
      </c>
    </row>
    <row r="1468" spans="1:9" x14ac:dyDescent="0.3">
      <c r="A1468">
        <f>LOOKUP(9E+307,--MID(D1468,1,{1,2,3,4,5}))</f>
        <v>10</v>
      </c>
      <c r="B1468">
        <f>VLOOKUP(MID(D1468,LOOKUP(2,1/ISNUMBER(-MID(D1468,1,{1,2,3,4,5})),{1,2,3,4,5})+1,9),'Hue codes'!$A$1:$B$10,2,FALSE)</f>
        <v>70</v>
      </c>
      <c r="C1468">
        <f t="shared" si="22"/>
        <v>80</v>
      </c>
      <c r="D1468" t="s">
        <v>52</v>
      </c>
      <c r="E1468">
        <v>5</v>
      </c>
      <c r="F1468">
        <v>14</v>
      </c>
      <c r="G1468">
        <v>0.22989999999999999</v>
      </c>
      <c r="H1468">
        <v>0.16980000000000001</v>
      </c>
      <c r="I1468">
        <v>19.77</v>
      </c>
    </row>
    <row r="1469" spans="1:9" x14ac:dyDescent="0.3">
      <c r="A1469">
        <f>LOOKUP(9E+307,--MID(D1469,1,{1,2,3,4,5}))</f>
        <v>10</v>
      </c>
      <c r="B1469">
        <f>VLOOKUP(MID(D1469,LOOKUP(2,1/ISNUMBER(-MID(D1469,1,{1,2,3,4,5})),{1,2,3,4,5})+1,9),'Hue codes'!$A$1:$B$10,2,FALSE)</f>
        <v>70</v>
      </c>
      <c r="C1469">
        <f t="shared" si="22"/>
        <v>80</v>
      </c>
      <c r="D1469" t="s">
        <v>52</v>
      </c>
      <c r="E1469">
        <v>5</v>
      </c>
      <c r="F1469">
        <v>16</v>
      </c>
      <c r="G1469">
        <v>0.22239999999999999</v>
      </c>
      <c r="H1469">
        <v>0.1555</v>
      </c>
      <c r="I1469">
        <v>19.77</v>
      </c>
    </row>
    <row r="1470" spans="1:9" x14ac:dyDescent="0.3">
      <c r="A1470">
        <f>LOOKUP(9E+307,--MID(D1470,1,{1,2,3,4,5}))</f>
        <v>10</v>
      </c>
      <c r="B1470">
        <f>VLOOKUP(MID(D1470,LOOKUP(2,1/ISNUMBER(-MID(D1470,1,{1,2,3,4,5})),{1,2,3,4,5})+1,9),'Hue codes'!$A$1:$B$10,2,FALSE)</f>
        <v>70</v>
      </c>
      <c r="C1470">
        <f t="shared" si="22"/>
        <v>80</v>
      </c>
      <c r="D1470" t="s">
        <v>52</v>
      </c>
      <c r="E1470">
        <v>5</v>
      </c>
      <c r="F1470">
        <v>18</v>
      </c>
      <c r="G1470">
        <v>0.21740000000000001</v>
      </c>
      <c r="H1470">
        <v>0.1444</v>
      </c>
      <c r="I1470">
        <v>19.77</v>
      </c>
    </row>
    <row r="1471" spans="1:9" x14ac:dyDescent="0.3">
      <c r="A1471">
        <f>LOOKUP(9E+307,--MID(D1471,1,{1,2,3,4,5}))</f>
        <v>10</v>
      </c>
      <c r="B1471">
        <f>VLOOKUP(MID(D1471,LOOKUP(2,1/ISNUMBER(-MID(D1471,1,{1,2,3,4,5})),{1,2,3,4,5})+1,9),'Hue codes'!$A$1:$B$10,2,FALSE)</f>
        <v>70</v>
      </c>
      <c r="C1471">
        <f t="shared" si="22"/>
        <v>80</v>
      </c>
      <c r="D1471" t="s">
        <v>52</v>
      </c>
      <c r="E1471">
        <v>5</v>
      </c>
      <c r="F1471">
        <v>20</v>
      </c>
      <c r="G1471">
        <v>0.21210000000000001</v>
      </c>
      <c r="H1471">
        <v>0.13289999999999999</v>
      </c>
      <c r="I1471">
        <v>19.77</v>
      </c>
    </row>
    <row r="1472" spans="1:9" x14ac:dyDescent="0.3">
      <c r="A1472">
        <f>LOOKUP(9E+307,--MID(D1472,1,{1,2,3,4,5}))</f>
        <v>10</v>
      </c>
      <c r="B1472">
        <f>VLOOKUP(MID(D1472,LOOKUP(2,1/ISNUMBER(-MID(D1472,1,{1,2,3,4,5})),{1,2,3,4,5})+1,9),'Hue codes'!$A$1:$B$10,2,FALSE)</f>
        <v>70</v>
      </c>
      <c r="C1472">
        <f t="shared" si="22"/>
        <v>80</v>
      </c>
      <c r="D1472" t="s">
        <v>52</v>
      </c>
      <c r="E1472">
        <v>5</v>
      </c>
      <c r="F1472">
        <v>22</v>
      </c>
      <c r="G1472">
        <v>0.2082</v>
      </c>
      <c r="H1472">
        <v>0.1225</v>
      </c>
      <c r="I1472">
        <v>19.77</v>
      </c>
    </row>
    <row r="1473" spans="1:9" x14ac:dyDescent="0.3">
      <c r="A1473">
        <f>LOOKUP(9E+307,--MID(D1473,1,{1,2,3,4,5}))</f>
        <v>2.5</v>
      </c>
      <c r="B1473">
        <f>VLOOKUP(MID(D1473,LOOKUP(2,1/ISNUMBER(-MID(D1473,1,{1,2,3,4,5})),{1,2,3,4,5})+1,9),'Hue codes'!$A$1:$B$10,2,FALSE)</f>
        <v>80</v>
      </c>
      <c r="C1473">
        <f t="shared" si="22"/>
        <v>82.5</v>
      </c>
      <c r="D1473" t="s">
        <v>53</v>
      </c>
      <c r="E1473">
        <v>5</v>
      </c>
      <c r="F1473">
        <v>2</v>
      </c>
      <c r="G1473">
        <v>0.3</v>
      </c>
      <c r="H1473">
        <v>0.29120000000000001</v>
      </c>
      <c r="I1473">
        <v>19.77</v>
      </c>
    </row>
    <row r="1474" spans="1:9" x14ac:dyDescent="0.3">
      <c r="A1474">
        <f>LOOKUP(9E+307,--MID(D1474,1,{1,2,3,4,5}))</f>
        <v>2.5</v>
      </c>
      <c r="B1474">
        <f>VLOOKUP(MID(D1474,LOOKUP(2,1/ISNUMBER(-MID(D1474,1,{1,2,3,4,5})),{1,2,3,4,5})+1,9),'Hue codes'!$A$1:$B$10,2,FALSE)</f>
        <v>80</v>
      </c>
      <c r="C1474">
        <f t="shared" si="22"/>
        <v>82.5</v>
      </c>
      <c r="D1474" t="s">
        <v>53</v>
      </c>
      <c r="E1474">
        <v>5</v>
      </c>
      <c r="F1474">
        <v>4</v>
      </c>
      <c r="G1474">
        <v>0.2898</v>
      </c>
      <c r="H1474">
        <v>0.26669999999999999</v>
      </c>
      <c r="I1474">
        <v>19.77</v>
      </c>
    </row>
    <row r="1475" spans="1:9" x14ac:dyDescent="0.3">
      <c r="A1475">
        <f>LOOKUP(9E+307,--MID(D1475,1,{1,2,3,4,5}))</f>
        <v>2.5</v>
      </c>
      <c r="B1475">
        <f>VLOOKUP(MID(D1475,LOOKUP(2,1/ISNUMBER(-MID(D1475,1,{1,2,3,4,5})),{1,2,3,4,5})+1,9),'Hue codes'!$A$1:$B$10,2,FALSE)</f>
        <v>80</v>
      </c>
      <c r="C1475">
        <f t="shared" ref="C1475:C1538" si="23">IF(A1475+B1475=100,0,A1475+B1475)</f>
        <v>82.5</v>
      </c>
      <c r="D1475" t="s">
        <v>53</v>
      </c>
      <c r="E1475">
        <v>5</v>
      </c>
      <c r="F1475">
        <v>6</v>
      </c>
      <c r="G1475">
        <v>0.28060000000000002</v>
      </c>
      <c r="H1475">
        <v>0.24440000000000001</v>
      </c>
      <c r="I1475">
        <v>19.77</v>
      </c>
    </row>
    <row r="1476" spans="1:9" x14ac:dyDescent="0.3">
      <c r="A1476">
        <f>LOOKUP(9E+307,--MID(D1476,1,{1,2,3,4,5}))</f>
        <v>2.5</v>
      </c>
      <c r="B1476">
        <f>VLOOKUP(MID(D1476,LOOKUP(2,1/ISNUMBER(-MID(D1476,1,{1,2,3,4,5})),{1,2,3,4,5})+1,9),'Hue codes'!$A$1:$B$10,2,FALSE)</f>
        <v>80</v>
      </c>
      <c r="C1476">
        <f t="shared" si="23"/>
        <v>82.5</v>
      </c>
      <c r="D1476" t="s">
        <v>53</v>
      </c>
      <c r="E1476">
        <v>5</v>
      </c>
      <c r="F1476">
        <v>8</v>
      </c>
      <c r="G1476">
        <v>0.27279999999999999</v>
      </c>
      <c r="H1476">
        <v>0.224</v>
      </c>
      <c r="I1476">
        <v>19.77</v>
      </c>
    </row>
    <row r="1477" spans="1:9" x14ac:dyDescent="0.3">
      <c r="A1477">
        <f>LOOKUP(9E+307,--MID(D1477,1,{1,2,3,4,5}))</f>
        <v>2.5</v>
      </c>
      <c r="B1477">
        <f>VLOOKUP(MID(D1477,LOOKUP(2,1/ISNUMBER(-MID(D1477,1,{1,2,3,4,5})),{1,2,3,4,5})+1,9),'Hue codes'!$A$1:$B$10,2,FALSE)</f>
        <v>80</v>
      </c>
      <c r="C1477">
        <f t="shared" si="23"/>
        <v>82.5</v>
      </c>
      <c r="D1477" t="s">
        <v>53</v>
      </c>
      <c r="E1477">
        <v>5</v>
      </c>
      <c r="F1477">
        <v>10</v>
      </c>
      <c r="G1477">
        <v>0.26650000000000001</v>
      </c>
      <c r="H1477">
        <v>0.20749999999999999</v>
      </c>
      <c r="I1477">
        <v>19.77</v>
      </c>
    </row>
    <row r="1478" spans="1:9" x14ac:dyDescent="0.3">
      <c r="A1478">
        <f>LOOKUP(9E+307,--MID(D1478,1,{1,2,3,4,5}))</f>
        <v>2.5</v>
      </c>
      <c r="B1478">
        <f>VLOOKUP(MID(D1478,LOOKUP(2,1/ISNUMBER(-MID(D1478,1,{1,2,3,4,5})),{1,2,3,4,5})+1,9),'Hue codes'!$A$1:$B$10,2,FALSE)</f>
        <v>80</v>
      </c>
      <c r="C1478">
        <f t="shared" si="23"/>
        <v>82.5</v>
      </c>
      <c r="D1478" t="s">
        <v>53</v>
      </c>
      <c r="E1478">
        <v>5</v>
      </c>
      <c r="F1478">
        <v>12</v>
      </c>
      <c r="G1478">
        <v>0.26079999999999998</v>
      </c>
      <c r="H1478">
        <v>0.1913</v>
      </c>
      <c r="I1478">
        <v>19.77</v>
      </c>
    </row>
    <row r="1479" spans="1:9" x14ac:dyDescent="0.3">
      <c r="A1479">
        <f>LOOKUP(9E+307,--MID(D1479,1,{1,2,3,4,5}))</f>
        <v>2.5</v>
      </c>
      <c r="B1479">
        <f>VLOOKUP(MID(D1479,LOOKUP(2,1/ISNUMBER(-MID(D1479,1,{1,2,3,4,5})),{1,2,3,4,5})+1,9),'Hue codes'!$A$1:$B$10,2,FALSE)</f>
        <v>80</v>
      </c>
      <c r="C1479">
        <f t="shared" si="23"/>
        <v>82.5</v>
      </c>
      <c r="D1479" t="s">
        <v>53</v>
      </c>
      <c r="E1479">
        <v>5</v>
      </c>
      <c r="F1479">
        <v>14</v>
      </c>
      <c r="G1479">
        <v>0.25600000000000001</v>
      </c>
      <c r="H1479">
        <v>0.1774</v>
      </c>
      <c r="I1479">
        <v>19.77</v>
      </c>
    </row>
    <row r="1480" spans="1:9" x14ac:dyDescent="0.3">
      <c r="A1480">
        <f>LOOKUP(9E+307,--MID(D1480,1,{1,2,3,4,5}))</f>
        <v>2.5</v>
      </c>
      <c r="B1480">
        <f>VLOOKUP(MID(D1480,LOOKUP(2,1/ISNUMBER(-MID(D1480,1,{1,2,3,4,5})),{1,2,3,4,5})+1,9),'Hue codes'!$A$1:$B$10,2,FALSE)</f>
        <v>80</v>
      </c>
      <c r="C1480">
        <f t="shared" si="23"/>
        <v>82.5</v>
      </c>
      <c r="D1480" t="s">
        <v>53</v>
      </c>
      <c r="E1480">
        <v>5</v>
      </c>
      <c r="F1480">
        <v>16</v>
      </c>
      <c r="G1480">
        <v>0.2515</v>
      </c>
      <c r="H1480">
        <v>0.16439999999999999</v>
      </c>
      <c r="I1480">
        <v>19.77</v>
      </c>
    </row>
    <row r="1481" spans="1:9" x14ac:dyDescent="0.3">
      <c r="A1481">
        <f>LOOKUP(9E+307,--MID(D1481,1,{1,2,3,4,5}))</f>
        <v>2.5</v>
      </c>
      <c r="B1481">
        <f>VLOOKUP(MID(D1481,LOOKUP(2,1/ISNUMBER(-MID(D1481,1,{1,2,3,4,5})),{1,2,3,4,5})+1,9),'Hue codes'!$A$1:$B$10,2,FALSE)</f>
        <v>80</v>
      </c>
      <c r="C1481">
        <f t="shared" si="23"/>
        <v>82.5</v>
      </c>
      <c r="D1481" t="s">
        <v>53</v>
      </c>
      <c r="E1481">
        <v>5</v>
      </c>
      <c r="F1481">
        <v>18</v>
      </c>
      <c r="G1481">
        <v>0.24759999999999999</v>
      </c>
      <c r="H1481">
        <v>0.1532</v>
      </c>
      <c r="I1481">
        <v>19.77</v>
      </c>
    </row>
    <row r="1482" spans="1:9" x14ac:dyDescent="0.3">
      <c r="A1482">
        <f>LOOKUP(9E+307,--MID(D1482,1,{1,2,3,4,5}))</f>
        <v>2.5</v>
      </c>
      <c r="B1482">
        <f>VLOOKUP(MID(D1482,LOOKUP(2,1/ISNUMBER(-MID(D1482,1,{1,2,3,4,5})),{1,2,3,4,5})+1,9),'Hue codes'!$A$1:$B$10,2,FALSE)</f>
        <v>80</v>
      </c>
      <c r="C1482">
        <f t="shared" si="23"/>
        <v>82.5</v>
      </c>
      <c r="D1482" t="s">
        <v>53</v>
      </c>
      <c r="E1482">
        <v>5</v>
      </c>
      <c r="F1482">
        <v>20</v>
      </c>
      <c r="G1482">
        <v>0.24379999999999999</v>
      </c>
      <c r="H1482">
        <v>0.1419</v>
      </c>
      <c r="I1482">
        <v>19.77</v>
      </c>
    </row>
    <row r="1483" spans="1:9" x14ac:dyDescent="0.3">
      <c r="A1483">
        <f>LOOKUP(9E+307,--MID(D1483,1,{1,2,3,4,5}))</f>
        <v>2.5</v>
      </c>
      <c r="B1483">
        <f>VLOOKUP(MID(D1483,LOOKUP(2,1/ISNUMBER(-MID(D1483,1,{1,2,3,4,5})),{1,2,3,4,5})+1,9),'Hue codes'!$A$1:$B$10,2,FALSE)</f>
        <v>80</v>
      </c>
      <c r="C1483">
        <f t="shared" si="23"/>
        <v>82.5</v>
      </c>
      <c r="D1483" t="s">
        <v>53</v>
      </c>
      <c r="E1483">
        <v>5</v>
      </c>
      <c r="F1483">
        <v>22</v>
      </c>
      <c r="G1483">
        <v>0.2402</v>
      </c>
      <c r="H1483">
        <v>0.13150000000000001</v>
      </c>
      <c r="I1483">
        <v>19.77</v>
      </c>
    </row>
    <row r="1484" spans="1:9" x14ac:dyDescent="0.3">
      <c r="A1484">
        <f>LOOKUP(9E+307,--MID(D1484,1,{1,2,3,4,5}))</f>
        <v>2.5</v>
      </c>
      <c r="B1484">
        <f>VLOOKUP(MID(D1484,LOOKUP(2,1/ISNUMBER(-MID(D1484,1,{1,2,3,4,5})),{1,2,3,4,5})+1,9),'Hue codes'!$A$1:$B$10,2,FALSE)</f>
        <v>80</v>
      </c>
      <c r="C1484">
        <f t="shared" si="23"/>
        <v>82.5</v>
      </c>
      <c r="D1484" t="s">
        <v>53</v>
      </c>
      <c r="E1484">
        <v>5</v>
      </c>
      <c r="F1484">
        <v>24</v>
      </c>
      <c r="G1484">
        <v>0.23719999999999999</v>
      </c>
      <c r="H1484">
        <v>0.12230000000000001</v>
      </c>
      <c r="I1484">
        <v>19.77</v>
      </c>
    </row>
    <row r="1485" spans="1:9" x14ac:dyDescent="0.3">
      <c r="A1485">
        <f>LOOKUP(9E+307,--MID(D1485,1,{1,2,3,4,5}))</f>
        <v>2.5</v>
      </c>
      <c r="B1485">
        <f>VLOOKUP(MID(D1485,LOOKUP(2,1/ISNUMBER(-MID(D1485,1,{1,2,3,4,5})),{1,2,3,4,5})+1,9),'Hue codes'!$A$1:$B$10,2,FALSE)</f>
        <v>80</v>
      </c>
      <c r="C1485">
        <f t="shared" si="23"/>
        <v>82.5</v>
      </c>
      <c r="D1485" t="s">
        <v>53</v>
      </c>
      <c r="E1485">
        <v>5</v>
      </c>
      <c r="F1485">
        <v>26</v>
      </c>
      <c r="G1485">
        <v>0.23480000000000001</v>
      </c>
      <c r="H1485">
        <v>0.114</v>
      </c>
      <c r="I1485">
        <v>19.77</v>
      </c>
    </row>
    <row r="1486" spans="1:9" x14ac:dyDescent="0.3">
      <c r="A1486">
        <f>LOOKUP(9E+307,--MID(D1486,1,{1,2,3,4,5}))</f>
        <v>5</v>
      </c>
      <c r="B1486">
        <f>VLOOKUP(MID(D1486,LOOKUP(2,1/ISNUMBER(-MID(D1486,1,{1,2,3,4,5})),{1,2,3,4,5})+1,9),'Hue codes'!$A$1:$B$10,2,FALSE)</f>
        <v>80</v>
      </c>
      <c r="C1486">
        <f t="shared" si="23"/>
        <v>85</v>
      </c>
      <c r="D1486" t="s">
        <v>54</v>
      </c>
      <c r="E1486">
        <v>5</v>
      </c>
      <c r="F1486">
        <v>2</v>
      </c>
      <c r="G1486">
        <v>0.30449999999999999</v>
      </c>
      <c r="H1486">
        <v>0.2928</v>
      </c>
      <c r="I1486">
        <v>19.77</v>
      </c>
    </row>
    <row r="1487" spans="1:9" x14ac:dyDescent="0.3">
      <c r="A1487">
        <f>LOOKUP(9E+307,--MID(D1487,1,{1,2,3,4,5}))</f>
        <v>5</v>
      </c>
      <c r="B1487">
        <f>VLOOKUP(MID(D1487,LOOKUP(2,1/ISNUMBER(-MID(D1487,1,{1,2,3,4,5})),{1,2,3,4,5})+1,9),'Hue codes'!$A$1:$B$10,2,FALSE)</f>
        <v>80</v>
      </c>
      <c r="C1487">
        <f t="shared" si="23"/>
        <v>85</v>
      </c>
      <c r="D1487" t="s">
        <v>54</v>
      </c>
      <c r="E1487">
        <v>5</v>
      </c>
      <c r="F1487">
        <v>4</v>
      </c>
      <c r="G1487">
        <v>0.29859999999999998</v>
      </c>
      <c r="H1487">
        <v>0.26989999999999997</v>
      </c>
      <c r="I1487">
        <v>19.77</v>
      </c>
    </row>
    <row r="1488" spans="1:9" x14ac:dyDescent="0.3">
      <c r="A1488">
        <f>LOOKUP(9E+307,--MID(D1488,1,{1,2,3,4,5}))</f>
        <v>5</v>
      </c>
      <c r="B1488">
        <f>VLOOKUP(MID(D1488,LOOKUP(2,1/ISNUMBER(-MID(D1488,1,{1,2,3,4,5})),{1,2,3,4,5})+1,9),'Hue codes'!$A$1:$B$10,2,FALSE)</f>
        <v>80</v>
      </c>
      <c r="C1488">
        <f t="shared" si="23"/>
        <v>85</v>
      </c>
      <c r="D1488" t="s">
        <v>54</v>
      </c>
      <c r="E1488">
        <v>5</v>
      </c>
      <c r="F1488">
        <v>6</v>
      </c>
      <c r="G1488">
        <v>0.29320000000000002</v>
      </c>
      <c r="H1488">
        <v>0.2487</v>
      </c>
      <c r="I1488">
        <v>19.77</v>
      </c>
    </row>
    <row r="1489" spans="1:9" x14ac:dyDescent="0.3">
      <c r="A1489">
        <f>LOOKUP(9E+307,--MID(D1489,1,{1,2,3,4,5}))</f>
        <v>5</v>
      </c>
      <c r="B1489">
        <f>VLOOKUP(MID(D1489,LOOKUP(2,1/ISNUMBER(-MID(D1489,1,{1,2,3,4,5})),{1,2,3,4,5})+1,9),'Hue codes'!$A$1:$B$10,2,FALSE)</f>
        <v>80</v>
      </c>
      <c r="C1489">
        <f t="shared" si="23"/>
        <v>85</v>
      </c>
      <c r="D1489" t="s">
        <v>54</v>
      </c>
      <c r="E1489">
        <v>5</v>
      </c>
      <c r="F1489">
        <v>8</v>
      </c>
      <c r="G1489">
        <v>0.28849999999999998</v>
      </c>
      <c r="H1489">
        <v>0.2296</v>
      </c>
      <c r="I1489">
        <v>19.77</v>
      </c>
    </row>
    <row r="1490" spans="1:9" x14ac:dyDescent="0.3">
      <c r="A1490">
        <f>LOOKUP(9E+307,--MID(D1490,1,{1,2,3,4,5}))</f>
        <v>5</v>
      </c>
      <c r="B1490">
        <f>VLOOKUP(MID(D1490,LOOKUP(2,1/ISNUMBER(-MID(D1490,1,{1,2,3,4,5})),{1,2,3,4,5})+1,9),'Hue codes'!$A$1:$B$10,2,FALSE)</f>
        <v>80</v>
      </c>
      <c r="C1490">
        <f t="shared" si="23"/>
        <v>85</v>
      </c>
      <c r="D1490" t="s">
        <v>54</v>
      </c>
      <c r="E1490">
        <v>5</v>
      </c>
      <c r="F1490">
        <v>10</v>
      </c>
      <c r="G1490">
        <v>0.28449999999999998</v>
      </c>
      <c r="H1490">
        <v>0.2137</v>
      </c>
      <c r="I1490">
        <v>19.77</v>
      </c>
    </row>
    <row r="1491" spans="1:9" x14ac:dyDescent="0.3">
      <c r="A1491">
        <f>LOOKUP(9E+307,--MID(D1491,1,{1,2,3,4,5}))</f>
        <v>5</v>
      </c>
      <c r="B1491">
        <f>VLOOKUP(MID(D1491,LOOKUP(2,1/ISNUMBER(-MID(D1491,1,{1,2,3,4,5})),{1,2,3,4,5})+1,9),'Hue codes'!$A$1:$B$10,2,FALSE)</f>
        <v>80</v>
      </c>
      <c r="C1491">
        <f t="shared" si="23"/>
        <v>85</v>
      </c>
      <c r="D1491" t="s">
        <v>54</v>
      </c>
      <c r="E1491">
        <v>5</v>
      </c>
      <c r="F1491">
        <v>12</v>
      </c>
      <c r="G1491">
        <v>0.28060000000000002</v>
      </c>
      <c r="H1491">
        <v>0.19769999999999999</v>
      </c>
      <c r="I1491">
        <v>19.77</v>
      </c>
    </row>
    <row r="1492" spans="1:9" x14ac:dyDescent="0.3">
      <c r="A1492">
        <f>LOOKUP(9E+307,--MID(D1492,1,{1,2,3,4,5}))</f>
        <v>5</v>
      </c>
      <c r="B1492">
        <f>VLOOKUP(MID(D1492,LOOKUP(2,1/ISNUMBER(-MID(D1492,1,{1,2,3,4,5})),{1,2,3,4,5})+1,9),'Hue codes'!$A$1:$B$10,2,FALSE)</f>
        <v>80</v>
      </c>
      <c r="C1492">
        <f t="shared" si="23"/>
        <v>85</v>
      </c>
      <c r="D1492" t="s">
        <v>54</v>
      </c>
      <c r="E1492">
        <v>5</v>
      </c>
      <c r="F1492">
        <v>14</v>
      </c>
      <c r="G1492">
        <v>0.27750000000000002</v>
      </c>
      <c r="H1492">
        <v>0.1847</v>
      </c>
      <c r="I1492">
        <v>19.77</v>
      </c>
    </row>
    <row r="1493" spans="1:9" x14ac:dyDescent="0.3">
      <c r="A1493">
        <f>LOOKUP(9E+307,--MID(D1493,1,{1,2,3,4,5}))</f>
        <v>5</v>
      </c>
      <c r="B1493">
        <f>VLOOKUP(MID(D1493,LOOKUP(2,1/ISNUMBER(-MID(D1493,1,{1,2,3,4,5})),{1,2,3,4,5})+1,9),'Hue codes'!$A$1:$B$10,2,FALSE)</f>
        <v>80</v>
      </c>
      <c r="C1493">
        <f t="shared" si="23"/>
        <v>85</v>
      </c>
      <c r="D1493" t="s">
        <v>54</v>
      </c>
      <c r="E1493">
        <v>5</v>
      </c>
      <c r="F1493">
        <v>16</v>
      </c>
      <c r="G1493">
        <v>0.27439999999999998</v>
      </c>
      <c r="H1493">
        <v>0.17180000000000001</v>
      </c>
      <c r="I1493">
        <v>19.77</v>
      </c>
    </row>
    <row r="1494" spans="1:9" x14ac:dyDescent="0.3">
      <c r="A1494">
        <f>LOOKUP(9E+307,--MID(D1494,1,{1,2,3,4,5}))</f>
        <v>5</v>
      </c>
      <c r="B1494">
        <f>VLOOKUP(MID(D1494,LOOKUP(2,1/ISNUMBER(-MID(D1494,1,{1,2,3,4,5})),{1,2,3,4,5})+1,9),'Hue codes'!$A$1:$B$10,2,FALSE)</f>
        <v>80</v>
      </c>
      <c r="C1494">
        <f t="shared" si="23"/>
        <v>85</v>
      </c>
      <c r="D1494" t="s">
        <v>54</v>
      </c>
      <c r="E1494">
        <v>5</v>
      </c>
      <c r="F1494">
        <v>18</v>
      </c>
      <c r="G1494">
        <v>0.27179999999999999</v>
      </c>
      <c r="H1494">
        <v>0.16039999999999999</v>
      </c>
      <c r="I1494">
        <v>19.77</v>
      </c>
    </row>
    <row r="1495" spans="1:9" x14ac:dyDescent="0.3">
      <c r="A1495">
        <f>LOOKUP(9E+307,--MID(D1495,1,{1,2,3,4,5}))</f>
        <v>5</v>
      </c>
      <c r="B1495">
        <f>VLOOKUP(MID(D1495,LOOKUP(2,1/ISNUMBER(-MID(D1495,1,{1,2,3,4,5})),{1,2,3,4,5})+1,9),'Hue codes'!$A$1:$B$10,2,FALSE)</f>
        <v>80</v>
      </c>
      <c r="C1495">
        <f t="shared" si="23"/>
        <v>85</v>
      </c>
      <c r="D1495" t="s">
        <v>54</v>
      </c>
      <c r="E1495">
        <v>5</v>
      </c>
      <c r="F1495">
        <v>20</v>
      </c>
      <c r="G1495">
        <v>0.26939999999999997</v>
      </c>
      <c r="H1495">
        <v>0.14990000000000001</v>
      </c>
      <c r="I1495">
        <v>19.77</v>
      </c>
    </row>
    <row r="1496" spans="1:9" x14ac:dyDescent="0.3">
      <c r="A1496">
        <f>LOOKUP(9E+307,--MID(D1496,1,{1,2,3,4,5}))</f>
        <v>5</v>
      </c>
      <c r="B1496">
        <f>VLOOKUP(MID(D1496,LOOKUP(2,1/ISNUMBER(-MID(D1496,1,{1,2,3,4,5})),{1,2,3,4,5})+1,9),'Hue codes'!$A$1:$B$10,2,FALSE)</f>
        <v>80</v>
      </c>
      <c r="C1496">
        <f t="shared" si="23"/>
        <v>85</v>
      </c>
      <c r="D1496" t="s">
        <v>54</v>
      </c>
      <c r="E1496">
        <v>5</v>
      </c>
      <c r="F1496">
        <v>22</v>
      </c>
      <c r="G1496">
        <v>0.26729999999999998</v>
      </c>
      <c r="H1496">
        <v>0.13980000000000001</v>
      </c>
      <c r="I1496">
        <v>19.77</v>
      </c>
    </row>
    <row r="1497" spans="1:9" x14ac:dyDescent="0.3">
      <c r="A1497">
        <f>LOOKUP(9E+307,--MID(D1497,1,{1,2,3,4,5}))</f>
        <v>5</v>
      </c>
      <c r="B1497">
        <f>VLOOKUP(MID(D1497,LOOKUP(2,1/ISNUMBER(-MID(D1497,1,{1,2,3,4,5})),{1,2,3,4,5})+1,9),'Hue codes'!$A$1:$B$10,2,FALSE)</f>
        <v>80</v>
      </c>
      <c r="C1497">
        <f t="shared" si="23"/>
        <v>85</v>
      </c>
      <c r="D1497" t="s">
        <v>54</v>
      </c>
      <c r="E1497">
        <v>5</v>
      </c>
      <c r="F1497">
        <v>24</v>
      </c>
      <c r="G1497">
        <v>0.26519999999999999</v>
      </c>
      <c r="H1497">
        <v>0.13039999999999999</v>
      </c>
      <c r="I1497">
        <v>19.77</v>
      </c>
    </row>
    <row r="1498" spans="1:9" x14ac:dyDescent="0.3">
      <c r="A1498">
        <f>LOOKUP(9E+307,--MID(D1498,1,{1,2,3,4,5}))</f>
        <v>5</v>
      </c>
      <c r="B1498">
        <f>VLOOKUP(MID(D1498,LOOKUP(2,1/ISNUMBER(-MID(D1498,1,{1,2,3,4,5})),{1,2,3,4,5})+1,9),'Hue codes'!$A$1:$B$10,2,FALSE)</f>
        <v>80</v>
      </c>
      <c r="C1498">
        <f t="shared" si="23"/>
        <v>85</v>
      </c>
      <c r="D1498" t="s">
        <v>54</v>
      </c>
      <c r="E1498">
        <v>5</v>
      </c>
      <c r="F1498">
        <v>26</v>
      </c>
      <c r="G1498">
        <v>0.26350000000000001</v>
      </c>
      <c r="H1498">
        <v>0.12239999999999999</v>
      </c>
      <c r="I1498">
        <v>19.77</v>
      </c>
    </row>
    <row r="1499" spans="1:9" x14ac:dyDescent="0.3">
      <c r="A1499">
        <f>LOOKUP(9E+307,--MID(D1499,1,{1,2,3,4,5}))</f>
        <v>5</v>
      </c>
      <c r="B1499">
        <f>VLOOKUP(MID(D1499,LOOKUP(2,1/ISNUMBER(-MID(D1499,1,{1,2,3,4,5})),{1,2,3,4,5})+1,9),'Hue codes'!$A$1:$B$10,2,FALSE)</f>
        <v>80</v>
      </c>
      <c r="C1499">
        <f t="shared" si="23"/>
        <v>85</v>
      </c>
      <c r="D1499" t="s">
        <v>54</v>
      </c>
      <c r="E1499">
        <v>5</v>
      </c>
      <c r="F1499">
        <v>28</v>
      </c>
      <c r="G1499">
        <v>0.26179999999999998</v>
      </c>
      <c r="H1499">
        <v>0.1135</v>
      </c>
      <c r="I1499">
        <v>19.77</v>
      </c>
    </row>
    <row r="1500" spans="1:9" x14ac:dyDescent="0.3">
      <c r="A1500">
        <f>LOOKUP(9E+307,--MID(D1500,1,{1,2,3,4,5}))</f>
        <v>7.5</v>
      </c>
      <c r="B1500">
        <f>VLOOKUP(MID(D1500,LOOKUP(2,1/ISNUMBER(-MID(D1500,1,{1,2,3,4,5})),{1,2,3,4,5})+1,9),'Hue codes'!$A$1:$B$10,2,FALSE)</f>
        <v>80</v>
      </c>
      <c r="C1500">
        <f t="shared" si="23"/>
        <v>87.5</v>
      </c>
      <c r="D1500" t="s">
        <v>55</v>
      </c>
      <c r="E1500">
        <v>5</v>
      </c>
      <c r="F1500">
        <v>2</v>
      </c>
      <c r="G1500">
        <v>0.31030000000000002</v>
      </c>
      <c r="H1500">
        <v>0.2959</v>
      </c>
      <c r="I1500">
        <v>19.77</v>
      </c>
    </row>
    <row r="1501" spans="1:9" x14ac:dyDescent="0.3">
      <c r="A1501">
        <f>LOOKUP(9E+307,--MID(D1501,1,{1,2,3,4,5}))</f>
        <v>7.5</v>
      </c>
      <c r="B1501">
        <f>VLOOKUP(MID(D1501,LOOKUP(2,1/ISNUMBER(-MID(D1501,1,{1,2,3,4,5})),{1,2,3,4,5})+1,9),'Hue codes'!$A$1:$B$10,2,FALSE)</f>
        <v>80</v>
      </c>
      <c r="C1501">
        <f t="shared" si="23"/>
        <v>87.5</v>
      </c>
      <c r="D1501" t="s">
        <v>55</v>
      </c>
      <c r="E1501">
        <v>5</v>
      </c>
      <c r="F1501">
        <v>4</v>
      </c>
      <c r="G1501">
        <v>0.31</v>
      </c>
      <c r="H1501">
        <v>0.27500000000000002</v>
      </c>
      <c r="I1501">
        <v>19.77</v>
      </c>
    </row>
    <row r="1502" spans="1:9" x14ac:dyDescent="0.3">
      <c r="A1502">
        <f>LOOKUP(9E+307,--MID(D1502,1,{1,2,3,4,5}))</f>
        <v>7.5</v>
      </c>
      <c r="B1502">
        <f>VLOOKUP(MID(D1502,LOOKUP(2,1/ISNUMBER(-MID(D1502,1,{1,2,3,4,5})),{1,2,3,4,5})+1,9),'Hue codes'!$A$1:$B$10,2,FALSE)</f>
        <v>80</v>
      </c>
      <c r="C1502">
        <f t="shared" si="23"/>
        <v>87.5</v>
      </c>
      <c r="D1502" t="s">
        <v>55</v>
      </c>
      <c r="E1502">
        <v>5</v>
      </c>
      <c r="F1502">
        <v>6</v>
      </c>
      <c r="G1502">
        <v>0.30930000000000002</v>
      </c>
      <c r="H1502">
        <v>0.2555</v>
      </c>
      <c r="I1502">
        <v>19.77</v>
      </c>
    </row>
    <row r="1503" spans="1:9" x14ac:dyDescent="0.3">
      <c r="A1503">
        <f>LOOKUP(9E+307,--MID(D1503,1,{1,2,3,4,5}))</f>
        <v>7.5</v>
      </c>
      <c r="B1503">
        <f>VLOOKUP(MID(D1503,LOOKUP(2,1/ISNUMBER(-MID(D1503,1,{1,2,3,4,5})),{1,2,3,4,5})+1,9),'Hue codes'!$A$1:$B$10,2,FALSE)</f>
        <v>80</v>
      </c>
      <c r="C1503">
        <f t="shared" si="23"/>
        <v>87.5</v>
      </c>
      <c r="D1503" t="s">
        <v>55</v>
      </c>
      <c r="E1503">
        <v>5</v>
      </c>
      <c r="F1503">
        <v>8</v>
      </c>
      <c r="G1503">
        <v>0.30869999999999997</v>
      </c>
      <c r="H1503">
        <v>0.23749999999999999</v>
      </c>
      <c r="I1503">
        <v>19.77</v>
      </c>
    </row>
    <row r="1504" spans="1:9" x14ac:dyDescent="0.3">
      <c r="A1504">
        <f>LOOKUP(9E+307,--MID(D1504,1,{1,2,3,4,5}))</f>
        <v>7.5</v>
      </c>
      <c r="B1504">
        <f>VLOOKUP(MID(D1504,LOOKUP(2,1/ISNUMBER(-MID(D1504,1,{1,2,3,4,5})),{1,2,3,4,5})+1,9),'Hue codes'!$A$1:$B$10,2,FALSE)</f>
        <v>80</v>
      </c>
      <c r="C1504">
        <f t="shared" si="23"/>
        <v>87.5</v>
      </c>
      <c r="D1504" t="s">
        <v>55</v>
      </c>
      <c r="E1504">
        <v>5</v>
      </c>
      <c r="F1504">
        <v>10</v>
      </c>
      <c r="G1504">
        <v>0.308</v>
      </c>
      <c r="H1504">
        <v>0.223</v>
      </c>
      <c r="I1504">
        <v>19.77</v>
      </c>
    </row>
    <row r="1505" spans="1:9" x14ac:dyDescent="0.3">
      <c r="A1505">
        <f>LOOKUP(9E+307,--MID(D1505,1,{1,2,3,4,5}))</f>
        <v>7.5</v>
      </c>
      <c r="B1505">
        <f>VLOOKUP(MID(D1505,LOOKUP(2,1/ISNUMBER(-MID(D1505,1,{1,2,3,4,5})),{1,2,3,4,5})+1,9),'Hue codes'!$A$1:$B$10,2,FALSE)</f>
        <v>80</v>
      </c>
      <c r="C1505">
        <f t="shared" si="23"/>
        <v>87.5</v>
      </c>
      <c r="D1505" t="s">
        <v>55</v>
      </c>
      <c r="E1505">
        <v>5</v>
      </c>
      <c r="F1505">
        <v>12</v>
      </c>
      <c r="G1505">
        <v>0.30709999999999998</v>
      </c>
      <c r="H1505">
        <v>0.20799999999999999</v>
      </c>
      <c r="I1505">
        <v>19.77</v>
      </c>
    </row>
    <row r="1506" spans="1:9" x14ac:dyDescent="0.3">
      <c r="A1506">
        <f>LOOKUP(9E+307,--MID(D1506,1,{1,2,3,4,5}))</f>
        <v>7.5</v>
      </c>
      <c r="B1506">
        <f>VLOOKUP(MID(D1506,LOOKUP(2,1/ISNUMBER(-MID(D1506,1,{1,2,3,4,5})),{1,2,3,4,5})+1,9),'Hue codes'!$A$1:$B$10,2,FALSE)</f>
        <v>80</v>
      </c>
      <c r="C1506">
        <f t="shared" si="23"/>
        <v>87.5</v>
      </c>
      <c r="D1506" t="s">
        <v>55</v>
      </c>
      <c r="E1506">
        <v>5</v>
      </c>
      <c r="F1506">
        <v>14</v>
      </c>
      <c r="G1506">
        <v>0.30680000000000002</v>
      </c>
      <c r="H1506">
        <v>0.1951</v>
      </c>
      <c r="I1506">
        <v>19.77</v>
      </c>
    </row>
    <row r="1507" spans="1:9" x14ac:dyDescent="0.3">
      <c r="A1507">
        <f>LOOKUP(9E+307,--MID(D1507,1,{1,2,3,4,5}))</f>
        <v>7.5</v>
      </c>
      <c r="B1507">
        <f>VLOOKUP(MID(D1507,LOOKUP(2,1/ISNUMBER(-MID(D1507,1,{1,2,3,4,5})),{1,2,3,4,5})+1,9),'Hue codes'!$A$1:$B$10,2,FALSE)</f>
        <v>80</v>
      </c>
      <c r="C1507">
        <f t="shared" si="23"/>
        <v>87.5</v>
      </c>
      <c r="D1507" t="s">
        <v>55</v>
      </c>
      <c r="E1507">
        <v>5</v>
      </c>
      <c r="F1507">
        <v>16</v>
      </c>
      <c r="G1507">
        <v>0.30599999999999999</v>
      </c>
      <c r="H1507">
        <v>0.183</v>
      </c>
      <c r="I1507">
        <v>19.77</v>
      </c>
    </row>
    <row r="1508" spans="1:9" x14ac:dyDescent="0.3">
      <c r="A1508">
        <f>LOOKUP(9E+307,--MID(D1508,1,{1,2,3,4,5}))</f>
        <v>7.5</v>
      </c>
      <c r="B1508">
        <f>VLOOKUP(MID(D1508,LOOKUP(2,1/ISNUMBER(-MID(D1508,1,{1,2,3,4,5})),{1,2,3,4,5})+1,9),'Hue codes'!$A$1:$B$10,2,FALSE)</f>
        <v>80</v>
      </c>
      <c r="C1508">
        <f t="shared" si="23"/>
        <v>87.5</v>
      </c>
      <c r="D1508" t="s">
        <v>55</v>
      </c>
      <c r="E1508">
        <v>5</v>
      </c>
      <c r="F1508">
        <v>18</v>
      </c>
      <c r="G1508">
        <v>0.30520000000000003</v>
      </c>
      <c r="H1508">
        <v>0.1711</v>
      </c>
      <c r="I1508">
        <v>19.77</v>
      </c>
    </row>
    <row r="1509" spans="1:9" x14ac:dyDescent="0.3">
      <c r="A1509">
        <f>LOOKUP(9E+307,--MID(D1509,1,{1,2,3,4,5}))</f>
        <v>7.5</v>
      </c>
      <c r="B1509">
        <f>VLOOKUP(MID(D1509,LOOKUP(2,1/ISNUMBER(-MID(D1509,1,{1,2,3,4,5})),{1,2,3,4,5})+1,9),'Hue codes'!$A$1:$B$10,2,FALSE)</f>
        <v>80</v>
      </c>
      <c r="C1509">
        <f t="shared" si="23"/>
        <v>87.5</v>
      </c>
      <c r="D1509" t="s">
        <v>55</v>
      </c>
      <c r="E1509">
        <v>5</v>
      </c>
      <c r="F1509">
        <v>20</v>
      </c>
      <c r="G1509">
        <v>0.30420000000000003</v>
      </c>
      <c r="H1509">
        <v>0.16059999999999999</v>
      </c>
      <c r="I1509">
        <v>19.77</v>
      </c>
    </row>
    <row r="1510" spans="1:9" x14ac:dyDescent="0.3">
      <c r="A1510">
        <f>LOOKUP(9E+307,--MID(D1510,1,{1,2,3,4,5}))</f>
        <v>7.5</v>
      </c>
      <c r="B1510">
        <f>VLOOKUP(MID(D1510,LOOKUP(2,1/ISNUMBER(-MID(D1510,1,{1,2,3,4,5})),{1,2,3,4,5})+1,9),'Hue codes'!$A$1:$B$10,2,FALSE)</f>
        <v>80</v>
      </c>
      <c r="C1510">
        <f t="shared" si="23"/>
        <v>87.5</v>
      </c>
      <c r="D1510" t="s">
        <v>55</v>
      </c>
      <c r="E1510">
        <v>5</v>
      </c>
      <c r="F1510">
        <v>22</v>
      </c>
      <c r="G1510">
        <v>0.30380000000000001</v>
      </c>
      <c r="H1510">
        <v>0.15</v>
      </c>
      <c r="I1510">
        <v>19.77</v>
      </c>
    </row>
    <row r="1511" spans="1:9" x14ac:dyDescent="0.3">
      <c r="A1511">
        <f>LOOKUP(9E+307,--MID(D1511,1,{1,2,3,4,5}))</f>
        <v>7.5</v>
      </c>
      <c r="B1511">
        <f>VLOOKUP(MID(D1511,LOOKUP(2,1/ISNUMBER(-MID(D1511,1,{1,2,3,4,5})),{1,2,3,4,5})+1,9),'Hue codes'!$A$1:$B$10,2,FALSE)</f>
        <v>80</v>
      </c>
      <c r="C1511">
        <f t="shared" si="23"/>
        <v>87.5</v>
      </c>
      <c r="D1511" t="s">
        <v>55</v>
      </c>
      <c r="E1511">
        <v>5</v>
      </c>
      <c r="F1511">
        <v>24</v>
      </c>
      <c r="G1511">
        <v>0.30299999999999999</v>
      </c>
      <c r="H1511">
        <v>0.14230000000000001</v>
      </c>
      <c r="I1511">
        <v>19.77</v>
      </c>
    </row>
    <row r="1512" spans="1:9" x14ac:dyDescent="0.3">
      <c r="A1512">
        <f>LOOKUP(9E+307,--MID(D1512,1,{1,2,3,4,5}))</f>
        <v>7.5</v>
      </c>
      <c r="B1512">
        <f>VLOOKUP(MID(D1512,LOOKUP(2,1/ISNUMBER(-MID(D1512,1,{1,2,3,4,5})),{1,2,3,4,5})+1,9),'Hue codes'!$A$1:$B$10,2,FALSE)</f>
        <v>80</v>
      </c>
      <c r="C1512">
        <f t="shared" si="23"/>
        <v>87.5</v>
      </c>
      <c r="D1512" t="s">
        <v>55</v>
      </c>
      <c r="E1512">
        <v>5</v>
      </c>
      <c r="F1512">
        <v>26</v>
      </c>
      <c r="G1512">
        <v>0.30220000000000002</v>
      </c>
      <c r="H1512">
        <v>0.1331</v>
      </c>
      <c r="I1512">
        <v>19.77</v>
      </c>
    </row>
    <row r="1513" spans="1:9" x14ac:dyDescent="0.3">
      <c r="A1513">
        <f>LOOKUP(9E+307,--MID(D1513,1,{1,2,3,4,5}))</f>
        <v>7.5</v>
      </c>
      <c r="B1513">
        <f>VLOOKUP(MID(D1513,LOOKUP(2,1/ISNUMBER(-MID(D1513,1,{1,2,3,4,5})),{1,2,3,4,5})+1,9),'Hue codes'!$A$1:$B$10,2,FALSE)</f>
        <v>80</v>
      </c>
      <c r="C1513">
        <f t="shared" si="23"/>
        <v>87.5</v>
      </c>
      <c r="D1513" t="s">
        <v>55</v>
      </c>
      <c r="E1513">
        <v>5</v>
      </c>
      <c r="F1513">
        <v>28</v>
      </c>
      <c r="G1513">
        <v>0.30180000000000001</v>
      </c>
      <c r="H1513">
        <v>0.12529999999999999</v>
      </c>
      <c r="I1513">
        <v>19.77</v>
      </c>
    </row>
    <row r="1514" spans="1:9" x14ac:dyDescent="0.3">
      <c r="A1514">
        <f>LOOKUP(9E+307,--MID(D1514,1,{1,2,3,4,5}))</f>
        <v>7.5</v>
      </c>
      <c r="B1514">
        <f>VLOOKUP(MID(D1514,LOOKUP(2,1/ISNUMBER(-MID(D1514,1,{1,2,3,4,5})),{1,2,3,4,5})+1,9),'Hue codes'!$A$1:$B$10,2,FALSE)</f>
        <v>80</v>
      </c>
      <c r="C1514">
        <f t="shared" si="23"/>
        <v>87.5</v>
      </c>
      <c r="D1514" t="s">
        <v>55</v>
      </c>
      <c r="E1514">
        <v>5</v>
      </c>
      <c r="F1514">
        <v>30</v>
      </c>
      <c r="G1514">
        <v>0.30099999999999999</v>
      </c>
      <c r="H1514">
        <v>0.11700000000000001</v>
      </c>
      <c r="I1514">
        <v>19.77</v>
      </c>
    </row>
    <row r="1515" spans="1:9" x14ac:dyDescent="0.3">
      <c r="A1515">
        <f>LOOKUP(9E+307,--MID(D1515,1,{1,2,3,4,5}))</f>
        <v>10</v>
      </c>
      <c r="B1515">
        <f>VLOOKUP(MID(D1515,LOOKUP(2,1/ISNUMBER(-MID(D1515,1,{1,2,3,4,5})),{1,2,3,4,5})+1,9),'Hue codes'!$A$1:$B$10,2,FALSE)</f>
        <v>80</v>
      </c>
      <c r="C1515">
        <f t="shared" si="23"/>
        <v>90</v>
      </c>
      <c r="D1515" t="s">
        <v>56</v>
      </c>
      <c r="E1515">
        <v>5</v>
      </c>
      <c r="F1515">
        <v>2</v>
      </c>
      <c r="G1515">
        <v>0.31480000000000002</v>
      </c>
      <c r="H1515">
        <v>0.29859999999999998</v>
      </c>
      <c r="I1515">
        <v>19.77</v>
      </c>
    </row>
    <row r="1516" spans="1:9" x14ac:dyDescent="0.3">
      <c r="A1516">
        <f>LOOKUP(9E+307,--MID(D1516,1,{1,2,3,4,5}))</f>
        <v>10</v>
      </c>
      <c r="B1516">
        <f>VLOOKUP(MID(D1516,LOOKUP(2,1/ISNUMBER(-MID(D1516,1,{1,2,3,4,5})),{1,2,3,4,5})+1,9),'Hue codes'!$A$1:$B$10,2,FALSE)</f>
        <v>80</v>
      </c>
      <c r="C1516">
        <f t="shared" si="23"/>
        <v>90</v>
      </c>
      <c r="D1516" t="s">
        <v>56</v>
      </c>
      <c r="E1516">
        <v>5</v>
      </c>
      <c r="F1516">
        <v>4</v>
      </c>
      <c r="G1516">
        <v>0.31979999999999997</v>
      </c>
      <c r="H1516">
        <v>0.28070000000000001</v>
      </c>
      <c r="I1516">
        <v>19.77</v>
      </c>
    </row>
    <row r="1517" spans="1:9" x14ac:dyDescent="0.3">
      <c r="A1517">
        <f>LOOKUP(9E+307,--MID(D1517,1,{1,2,3,4,5}))</f>
        <v>10</v>
      </c>
      <c r="B1517">
        <f>VLOOKUP(MID(D1517,LOOKUP(2,1/ISNUMBER(-MID(D1517,1,{1,2,3,4,5})),{1,2,3,4,5})+1,9),'Hue codes'!$A$1:$B$10,2,FALSE)</f>
        <v>80</v>
      </c>
      <c r="C1517">
        <f t="shared" si="23"/>
        <v>90</v>
      </c>
      <c r="D1517" t="s">
        <v>56</v>
      </c>
      <c r="E1517">
        <v>5</v>
      </c>
      <c r="F1517">
        <v>6</v>
      </c>
      <c r="G1517">
        <v>0.32429999999999998</v>
      </c>
      <c r="H1517">
        <v>0.26300000000000001</v>
      </c>
      <c r="I1517">
        <v>19.77</v>
      </c>
    </row>
    <row r="1518" spans="1:9" x14ac:dyDescent="0.3">
      <c r="A1518">
        <f>LOOKUP(9E+307,--MID(D1518,1,{1,2,3,4,5}))</f>
        <v>10</v>
      </c>
      <c r="B1518">
        <f>VLOOKUP(MID(D1518,LOOKUP(2,1/ISNUMBER(-MID(D1518,1,{1,2,3,4,5})),{1,2,3,4,5})+1,9),'Hue codes'!$A$1:$B$10,2,FALSE)</f>
        <v>80</v>
      </c>
      <c r="C1518">
        <f t="shared" si="23"/>
        <v>90</v>
      </c>
      <c r="D1518" t="s">
        <v>56</v>
      </c>
      <c r="E1518">
        <v>5</v>
      </c>
      <c r="F1518">
        <v>8</v>
      </c>
      <c r="G1518">
        <v>0.32800000000000001</v>
      </c>
      <c r="H1518">
        <v>0.24640000000000001</v>
      </c>
      <c r="I1518">
        <v>19.77</v>
      </c>
    </row>
    <row r="1519" spans="1:9" x14ac:dyDescent="0.3">
      <c r="A1519">
        <f>LOOKUP(9E+307,--MID(D1519,1,{1,2,3,4,5}))</f>
        <v>10</v>
      </c>
      <c r="B1519">
        <f>VLOOKUP(MID(D1519,LOOKUP(2,1/ISNUMBER(-MID(D1519,1,{1,2,3,4,5})),{1,2,3,4,5})+1,9),'Hue codes'!$A$1:$B$10,2,FALSE)</f>
        <v>80</v>
      </c>
      <c r="C1519">
        <f t="shared" si="23"/>
        <v>90</v>
      </c>
      <c r="D1519" t="s">
        <v>56</v>
      </c>
      <c r="E1519">
        <v>5</v>
      </c>
      <c r="F1519">
        <v>10</v>
      </c>
      <c r="G1519">
        <v>0.33079999999999998</v>
      </c>
      <c r="H1519">
        <v>0.23280000000000001</v>
      </c>
      <c r="I1519">
        <v>19.77</v>
      </c>
    </row>
    <row r="1520" spans="1:9" x14ac:dyDescent="0.3">
      <c r="A1520">
        <f>LOOKUP(9E+307,--MID(D1520,1,{1,2,3,4,5}))</f>
        <v>10</v>
      </c>
      <c r="B1520">
        <f>VLOOKUP(MID(D1520,LOOKUP(2,1/ISNUMBER(-MID(D1520,1,{1,2,3,4,5})),{1,2,3,4,5})+1,9),'Hue codes'!$A$1:$B$10,2,FALSE)</f>
        <v>80</v>
      </c>
      <c r="C1520">
        <f t="shared" si="23"/>
        <v>90</v>
      </c>
      <c r="D1520" t="s">
        <v>56</v>
      </c>
      <c r="E1520">
        <v>5</v>
      </c>
      <c r="F1520">
        <v>12</v>
      </c>
      <c r="G1520">
        <v>0.33350000000000002</v>
      </c>
      <c r="H1520">
        <v>0.21870000000000001</v>
      </c>
      <c r="I1520">
        <v>19.77</v>
      </c>
    </row>
    <row r="1521" spans="1:9" x14ac:dyDescent="0.3">
      <c r="A1521">
        <f>LOOKUP(9E+307,--MID(D1521,1,{1,2,3,4,5}))</f>
        <v>10</v>
      </c>
      <c r="B1521">
        <f>VLOOKUP(MID(D1521,LOOKUP(2,1/ISNUMBER(-MID(D1521,1,{1,2,3,4,5})),{1,2,3,4,5})+1,9),'Hue codes'!$A$1:$B$10,2,FALSE)</f>
        <v>80</v>
      </c>
      <c r="C1521">
        <f t="shared" si="23"/>
        <v>90</v>
      </c>
      <c r="D1521" t="s">
        <v>56</v>
      </c>
      <c r="E1521">
        <v>5</v>
      </c>
      <c r="F1521">
        <v>14</v>
      </c>
      <c r="G1521">
        <v>0.33600000000000002</v>
      </c>
      <c r="H1521">
        <v>0.20660000000000001</v>
      </c>
      <c r="I1521">
        <v>19.77</v>
      </c>
    </row>
    <row r="1522" spans="1:9" x14ac:dyDescent="0.3">
      <c r="A1522">
        <f>LOOKUP(9E+307,--MID(D1522,1,{1,2,3,4,5}))</f>
        <v>10</v>
      </c>
      <c r="B1522">
        <f>VLOOKUP(MID(D1522,LOOKUP(2,1/ISNUMBER(-MID(D1522,1,{1,2,3,4,5})),{1,2,3,4,5})+1,9),'Hue codes'!$A$1:$B$10,2,FALSE)</f>
        <v>80</v>
      </c>
      <c r="C1522">
        <f t="shared" si="23"/>
        <v>90</v>
      </c>
      <c r="D1522" t="s">
        <v>56</v>
      </c>
      <c r="E1522">
        <v>5</v>
      </c>
      <c r="F1522">
        <v>16</v>
      </c>
      <c r="G1522">
        <v>0.3382</v>
      </c>
      <c r="H1522">
        <v>0.1951</v>
      </c>
      <c r="I1522">
        <v>19.77</v>
      </c>
    </row>
    <row r="1523" spans="1:9" x14ac:dyDescent="0.3">
      <c r="A1523">
        <f>LOOKUP(9E+307,--MID(D1523,1,{1,2,3,4,5}))</f>
        <v>10</v>
      </c>
      <c r="B1523">
        <f>VLOOKUP(MID(D1523,LOOKUP(2,1/ISNUMBER(-MID(D1523,1,{1,2,3,4,5})),{1,2,3,4,5})+1,9),'Hue codes'!$A$1:$B$10,2,FALSE)</f>
        <v>80</v>
      </c>
      <c r="C1523">
        <f t="shared" si="23"/>
        <v>90</v>
      </c>
      <c r="D1523" t="s">
        <v>56</v>
      </c>
      <c r="E1523">
        <v>5</v>
      </c>
      <c r="F1523">
        <v>18</v>
      </c>
      <c r="G1523">
        <v>0.34010000000000001</v>
      </c>
      <c r="H1523">
        <v>0.184</v>
      </c>
      <c r="I1523">
        <v>19.77</v>
      </c>
    </row>
    <row r="1524" spans="1:9" x14ac:dyDescent="0.3">
      <c r="A1524">
        <f>LOOKUP(9E+307,--MID(D1524,1,{1,2,3,4,5}))</f>
        <v>10</v>
      </c>
      <c r="B1524">
        <f>VLOOKUP(MID(D1524,LOOKUP(2,1/ISNUMBER(-MID(D1524,1,{1,2,3,4,5})),{1,2,3,4,5})+1,9),'Hue codes'!$A$1:$B$10,2,FALSE)</f>
        <v>80</v>
      </c>
      <c r="C1524">
        <f t="shared" si="23"/>
        <v>90</v>
      </c>
      <c r="D1524" t="s">
        <v>56</v>
      </c>
      <c r="E1524">
        <v>5</v>
      </c>
      <c r="F1524">
        <v>20</v>
      </c>
      <c r="G1524">
        <v>0.3422</v>
      </c>
      <c r="H1524">
        <v>0.17349999999999999</v>
      </c>
      <c r="I1524">
        <v>19.77</v>
      </c>
    </row>
    <row r="1525" spans="1:9" x14ac:dyDescent="0.3">
      <c r="A1525">
        <f>LOOKUP(9E+307,--MID(D1525,1,{1,2,3,4,5}))</f>
        <v>10</v>
      </c>
      <c r="B1525">
        <f>VLOOKUP(MID(D1525,LOOKUP(2,1/ISNUMBER(-MID(D1525,1,{1,2,3,4,5})),{1,2,3,4,5})+1,9),'Hue codes'!$A$1:$B$10,2,FALSE)</f>
        <v>80</v>
      </c>
      <c r="C1525">
        <f t="shared" si="23"/>
        <v>90</v>
      </c>
      <c r="D1525" t="s">
        <v>56</v>
      </c>
      <c r="E1525">
        <v>5</v>
      </c>
      <c r="F1525">
        <v>22</v>
      </c>
      <c r="G1525">
        <v>0.34370000000000001</v>
      </c>
      <c r="H1525">
        <v>0.16439999999999999</v>
      </c>
      <c r="I1525">
        <v>19.77</v>
      </c>
    </row>
    <row r="1526" spans="1:9" x14ac:dyDescent="0.3">
      <c r="A1526">
        <f>LOOKUP(9E+307,--MID(D1526,1,{1,2,3,4,5}))</f>
        <v>10</v>
      </c>
      <c r="B1526">
        <f>VLOOKUP(MID(D1526,LOOKUP(2,1/ISNUMBER(-MID(D1526,1,{1,2,3,4,5})),{1,2,3,4,5})+1,9),'Hue codes'!$A$1:$B$10,2,FALSE)</f>
        <v>80</v>
      </c>
      <c r="C1526">
        <f t="shared" si="23"/>
        <v>90</v>
      </c>
      <c r="D1526" t="s">
        <v>56</v>
      </c>
      <c r="E1526">
        <v>5</v>
      </c>
      <c r="F1526">
        <v>24</v>
      </c>
      <c r="G1526">
        <v>0.34499999999999997</v>
      </c>
      <c r="H1526">
        <v>0.1555</v>
      </c>
      <c r="I1526">
        <v>19.77</v>
      </c>
    </row>
    <row r="1527" spans="1:9" x14ac:dyDescent="0.3">
      <c r="A1527">
        <f>LOOKUP(9E+307,--MID(D1527,1,{1,2,3,4,5}))</f>
        <v>10</v>
      </c>
      <c r="B1527">
        <f>VLOOKUP(MID(D1527,LOOKUP(2,1/ISNUMBER(-MID(D1527,1,{1,2,3,4,5})),{1,2,3,4,5})+1,9),'Hue codes'!$A$1:$B$10,2,FALSE)</f>
        <v>80</v>
      </c>
      <c r="C1527">
        <f t="shared" si="23"/>
        <v>90</v>
      </c>
      <c r="D1527" t="s">
        <v>56</v>
      </c>
      <c r="E1527">
        <v>5</v>
      </c>
      <c r="F1527">
        <v>26</v>
      </c>
      <c r="G1527">
        <v>0.3468</v>
      </c>
      <c r="H1527">
        <v>0.14599999999999999</v>
      </c>
      <c r="I1527">
        <v>19.77</v>
      </c>
    </row>
    <row r="1528" spans="1:9" x14ac:dyDescent="0.3">
      <c r="A1528">
        <f>LOOKUP(9E+307,--MID(D1528,1,{1,2,3,4,5}))</f>
        <v>10</v>
      </c>
      <c r="B1528">
        <f>VLOOKUP(MID(D1528,LOOKUP(2,1/ISNUMBER(-MID(D1528,1,{1,2,3,4,5})),{1,2,3,4,5})+1,9),'Hue codes'!$A$1:$B$10,2,FALSE)</f>
        <v>80</v>
      </c>
      <c r="C1528">
        <f t="shared" si="23"/>
        <v>90</v>
      </c>
      <c r="D1528" t="s">
        <v>56</v>
      </c>
      <c r="E1528">
        <v>5</v>
      </c>
      <c r="F1528">
        <v>28</v>
      </c>
      <c r="G1528">
        <v>0.3478</v>
      </c>
      <c r="H1528">
        <v>0.13880000000000001</v>
      </c>
      <c r="I1528">
        <v>19.77</v>
      </c>
    </row>
    <row r="1529" spans="1:9" x14ac:dyDescent="0.3">
      <c r="A1529">
        <f>LOOKUP(9E+307,--MID(D1529,1,{1,2,3,4,5}))</f>
        <v>10</v>
      </c>
      <c r="B1529">
        <f>VLOOKUP(MID(D1529,LOOKUP(2,1/ISNUMBER(-MID(D1529,1,{1,2,3,4,5})),{1,2,3,4,5})+1,9),'Hue codes'!$A$1:$B$10,2,FALSE)</f>
        <v>80</v>
      </c>
      <c r="C1529">
        <f t="shared" si="23"/>
        <v>90</v>
      </c>
      <c r="D1529" t="s">
        <v>56</v>
      </c>
      <c r="E1529">
        <v>5</v>
      </c>
      <c r="F1529">
        <v>30</v>
      </c>
      <c r="G1529">
        <v>0.34899999999999998</v>
      </c>
      <c r="H1529">
        <v>0.1308</v>
      </c>
      <c r="I1529">
        <v>19.77</v>
      </c>
    </row>
    <row r="1530" spans="1:9" x14ac:dyDescent="0.3">
      <c r="A1530">
        <f>LOOKUP(9E+307,--MID(D1530,1,{1,2,3,4,5}))</f>
        <v>2.5</v>
      </c>
      <c r="B1530">
        <f>VLOOKUP(MID(D1530,LOOKUP(2,1/ISNUMBER(-MID(D1530,1,{1,2,3,4,5})),{1,2,3,4,5})+1,9),'Hue codes'!$A$1:$B$10,2,FALSE)</f>
        <v>90</v>
      </c>
      <c r="C1530">
        <f t="shared" si="23"/>
        <v>92.5</v>
      </c>
      <c r="D1530" t="s">
        <v>57</v>
      </c>
      <c r="E1530">
        <v>5</v>
      </c>
      <c r="F1530">
        <v>2</v>
      </c>
      <c r="G1530">
        <v>0.31990000000000002</v>
      </c>
      <c r="H1530">
        <v>0.3019</v>
      </c>
      <c r="I1530">
        <v>19.77</v>
      </c>
    </row>
    <row r="1531" spans="1:9" x14ac:dyDescent="0.3">
      <c r="A1531">
        <f>LOOKUP(9E+307,--MID(D1531,1,{1,2,3,4,5}))</f>
        <v>2.5</v>
      </c>
      <c r="B1531">
        <f>VLOOKUP(MID(D1531,LOOKUP(2,1/ISNUMBER(-MID(D1531,1,{1,2,3,4,5})),{1,2,3,4,5})+1,9),'Hue codes'!$A$1:$B$10,2,FALSE)</f>
        <v>90</v>
      </c>
      <c r="C1531">
        <f t="shared" si="23"/>
        <v>92.5</v>
      </c>
      <c r="D1531" t="s">
        <v>57</v>
      </c>
      <c r="E1531">
        <v>5</v>
      </c>
      <c r="F1531">
        <v>4</v>
      </c>
      <c r="G1531">
        <v>0.32979999999999998</v>
      </c>
      <c r="H1531">
        <v>0.28689999999999999</v>
      </c>
      <c r="I1531">
        <v>19.77</v>
      </c>
    </row>
    <row r="1532" spans="1:9" x14ac:dyDescent="0.3">
      <c r="A1532">
        <f>LOOKUP(9E+307,--MID(D1532,1,{1,2,3,4,5}))</f>
        <v>2.5</v>
      </c>
      <c r="B1532">
        <f>VLOOKUP(MID(D1532,LOOKUP(2,1/ISNUMBER(-MID(D1532,1,{1,2,3,4,5})),{1,2,3,4,5})+1,9),'Hue codes'!$A$1:$B$10,2,FALSE)</f>
        <v>90</v>
      </c>
      <c r="C1532">
        <f t="shared" si="23"/>
        <v>92.5</v>
      </c>
      <c r="D1532" t="s">
        <v>57</v>
      </c>
      <c r="E1532">
        <v>5</v>
      </c>
      <c r="F1532">
        <v>6</v>
      </c>
      <c r="G1532">
        <v>0.33960000000000001</v>
      </c>
      <c r="H1532">
        <v>0.27179999999999999</v>
      </c>
      <c r="I1532">
        <v>19.77</v>
      </c>
    </row>
    <row r="1533" spans="1:9" x14ac:dyDescent="0.3">
      <c r="A1533">
        <f>LOOKUP(9E+307,--MID(D1533,1,{1,2,3,4,5}))</f>
        <v>2.5</v>
      </c>
      <c r="B1533">
        <f>VLOOKUP(MID(D1533,LOOKUP(2,1/ISNUMBER(-MID(D1533,1,{1,2,3,4,5})),{1,2,3,4,5})+1,9),'Hue codes'!$A$1:$B$10,2,FALSE)</f>
        <v>90</v>
      </c>
      <c r="C1533">
        <f t="shared" si="23"/>
        <v>92.5</v>
      </c>
      <c r="D1533" t="s">
        <v>57</v>
      </c>
      <c r="E1533">
        <v>5</v>
      </c>
      <c r="F1533">
        <v>8</v>
      </c>
      <c r="G1533">
        <v>0.34899999999999998</v>
      </c>
      <c r="H1533">
        <v>0.25700000000000001</v>
      </c>
      <c r="I1533">
        <v>19.77</v>
      </c>
    </row>
    <row r="1534" spans="1:9" x14ac:dyDescent="0.3">
      <c r="A1534">
        <f>LOOKUP(9E+307,--MID(D1534,1,{1,2,3,4,5}))</f>
        <v>2.5</v>
      </c>
      <c r="B1534">
        <f>VLOOKUP(MID(D1534,LOOKUP(2,1/ISNUMBER(-MID(D1534,1,{1,2,3,4,5})),{1,2,3,4,5})+1,9),'Hue codes'!$A$1:$B$10,2,FALSE)</f>
        <v>90</v>
      </c>
      <c r="C1534">
        <f t="shared" si="23"/>
        <v>92.5</v>
      </c>
      <c r="D1534" t="s">
        <v>57</v>
      </c>
      <c r="E1534">
        <v>5</v>
      </c>
      <c r="F1534">
        <v>10</v>
      </c>
      <c r="G1534">
        <v>0.35599999999999998</v>
      </c>
      <c r="H1534">
        <v>0.2452</v>
      </c>
      <c r="I1534">
        <v>19.77</v>
      </c>
    </row>
    <row r="1535" spans="1:9" x14ac:dyDescent="0.3">
      <c r="A1535">
        <f>LOOKUP(9E+307,--MID(D1535,1,{1,2,3,4,5}))</f>
        <v>2.5</v>
      </c>
      <c r="B1535">
        <f>VLOOKUP(MID(D1535,LOOKUP(2,1/ISNUMBER(-MID(D1535,1,{1,2,3,4,5})),{1,2,3,4,5})+1,9),'Hue codes'!$A$1:$B$10,2,FALSE)</f>
        <v>90</v>
      </c>
      <c r="C1535">
        <f t="shared" si="23"/>
        <v>92.5</v>
      </c>
      <c r="D1535" t="s">
        <v>57</v>
      </c>
      <c r="E1535">
        <v>5</v>
      </c>
      <c r="F1535">
        <v>12</v>
      </c>
      <c r="G1535">
        <v>0.36349999999999999</v>
      </c>
      <c r="H1535">
        <v>0.23250000000000001</v>
      </c>
      <c r="I1535">
        <v>19.77</v>
      </c>
    </row>
    <row r="1536" spans="1:9" x14ac:dyDescent="0.3">
      <c r="A1536">
        <f>LOOKUP(9E+307,--MID(D1536,1,{1,2,3,4,5}))</f>
        <v>2.5</v>
      </c>
      <c r="B1536">
        <f>VLOOKUP(MID(D1536,LOOKUP(2,1/ISNUMBER(-MID(D1536,1,{1,2,3,4,5})),{1,2,3,4,5})+1,9),'Hue codes'!$A$1:$B$10,2,FALSE)</f>
        <v>90</v>
      </c>
      <c r="C1536">
        <f t="shared" si="23"/>
        <v>92.5</v>
      </c>
      <c r="D1536" t="s">
        <v>57</v>
      </c>
      <c r="E1536">
        <v>5</v>
      </c>
      <c r="F1536">
        <v>14</v>
      </c>
      <c r="G1536">
        <v>0.37030000000000002</v>
      </c>
      <c r="H1536">
        <v>0.22109999999999999</v>
      </c>
      <c r="I1536">
        <v>19.77</v>
      </c>
    </row>
    <row r="1537" spans="1:9" x14ac:dyDescent="0.3">
      <c r="A1537">
        <f>LOOKUP(9E+307,--MID(D1537,1,{1,2,3,4,5}))</f>
        <v>2.5</v>
      </c>
      <c r="B1537">
        <f>VLOOKUP(MID(D1537,LOOKUP(2,1/ISNUMBER(-MID(D1537,1,{1,2,3,4,5})),{1,2,3,4,5})+1,9),'Hue codes'!$A$1:$B$10,2,FALSE)</f>
        <v>90</v>
      </c>
      <c r="C1537">
        <f t="shared" si="23"/>
        <v>92.5</v>
      </c>
      <c r="D1537" t="s">
        <v>57</v>
      </c>
      <c r="E1537">
        <v>5</v>
      </c>
      <c r="F1537">
        <v>16</v>
      </c>
      <c r="G1537">
        <v>0.37630000000000002</v>
      </c>
      <c r="H1537">
        <v>0.21079999999999999</v>
      </c>
      <c r="I1537">
        <v>19.77</v>
      </c>
    </row>
    <row r="1538" spans="1:9" x14ac:dyDescent="0.3">
      <c r="A1538">
        <f>LOOKUP(9E+307,--MID(D1538,1,{1,2,3,4,5}))</f>
        <v>2.5</v>
      </c>
      <c r="B1538">
        <f>VLOOKUP(MID(D1538,LOOKUP(2,1/ISNUMBER(-MID(D1538,1,{1,2,3,4,5})),{1,2,3,4,5})+1,9),'Hue codes'!$A$1:$B$10,2,FALSE)</f>
        <v>90</v>
      </c>
      <c r="C1538">
        <f t="shared" si="23"/>
        <v>92.5</v>
      </c>
      <c r="D1538" t="s">
        <v>57</v>
      </c>
      <c r="E1538">
        <v>5</v>
      </c>
      <c r="F1538">
        <v>18</v>
      </c>
      <c r="G1538">
        <v>0.3821</v>
      </c>
      <c r="H1538">
        <v>0.20069999999999999</v>
      </c>
      <c r="I1538">
        <v>19.77</v>
      </c>
    </row>
    <row r="1539" spans="1:9" x14ac:dyDescent="0.3">
      <c r="A1539">
        <f>LOOKUP(9E+307,--MID(D1539,1,{1,2,3,4,5}))</f>
        <v>2.5</v>
      </c>
      <c r="B1539">
        <f>VLOOKUP(MID(D1539,LOOKUP(2,1/ISNUMBER(-MID(D1539,1,{1,2,3,4,5})),{1,2,3,4,5})+1,9),'Hue codes'!$A$1:$B$10,2,FALSE)</f>
        <v>90</v>
      </c>
      <c r="C1539">
        <f t="shared" ref="C1539:C1602" si="24">IF(A1539+B1539=100,0,A1539+B1539)</f>
        <v>92.5</v>
      </c>
      <c r="D1539" t="s">
        <v>57</v>
      </c>
      <c r="E1539">
        <v>5</v>
      </c>
      <c r="F1539">
        <v>20</v>
      </c>
      <c r="G1539">
        <v>0.38729999999999998</v>
      </c>
      <c r="H1539">
        <v>0.19089999999999999</v>
      </c>
      <c r="I1539">
        <v>19.77</v>
      </c>
    </row>
    <row r="1540" spans="1:9" x14ac:dyDescent="0.3">
      <c r="A1540">
        <f>LOOKUP(9E+307,--MID(D1540,1,{1,2,3,4,5}))</f>
        <v>2.5</v>
      </c>
      <c r="B1540">
        <f>VLOOKUP(MID(D1540,LOOKUP(2,1/ISNUMBER(-MID(D1540,1,{1,2,3,4,5})),{1,2,3,4,5})+1,9),'Hue codes'!$A$1:$B$10,2,FALSE)</f>
        <v>90</v>
      </c>
      <c r="C1540">
        <f t="shared" si="24"/>
        <v>92.5</v>
      </c>
      <c r="D1540" t="s">
        <v>57</v>
      </c>
      <c r="E1540">
        <v>5</v>
      </c>
      <c r="F1540">
        <v>22</v>
      </c>
      <c r="G1540">
        <v>0.39240000000000003</v>
      </c>
      <c r="H1540">
        <v>0.18140000000000001</v>
      </c>
      <c r="I1540">
        <v>19.77</v>
      </c>
    </row>
    <row r="1541" spans="1:9" x14ac:dyDescent="0.3">
      <c r="A1541">
        <f>LOOKUP(9E+307,--MID(D1541,1,{1,2,3,4,5}))</f>
        <v>2.5</v>
      </c>
      <c r="B1541">
        <f>VLOOKUP(MID(D1541,LOOKUP(2,1/ISNUMBER(-MID(D1541,1,{1,2,3,4,5})),{1,2,3,4,5})+1,9),'Hue codes'!$A$1:$B$10,2,FALSE)</f>
        <v>90</v>
      </c>
      <c r="C1541">
        <f t="shared" si="24"/>
        <v>92.5</v>
      </c>
      <c r="D1541" t="s">
        <v>57</v>
      </c>
      <c r="E1541">
        <v>5</v>
      </c>
      <c r="F1541">
        <v>24</v>
      </c>
      <c r="G1541">
        <v>0.39650000000000002</v>
      </c>
      <c r="H1541">
        <v>0.17380000000000001</v>
      </c>
      <c r="I1541">
        <v>19.77</v>
      </c>
    </row>
    <row r="1542" spans="1:9" x14ac:dyDescent="0.3">
      <c r="A1542">
        <f>LOOKUP(9E+307,--MID(D1542,1,{1,2,3,4,5}))</f>
        <v>2.5</v>
      </c>
      <c r="B1542">
        <f>VLOOKUP(MID(D1542,LOOKUP(2,1/ISNUMBER(-MID(D1542,1,{1,2,3,4,5})),{1,2,3,4,5})+1,9),'Hue codes'!$A$1:$B$10,2,FALSE)</f>
        <v>90</v>
      </c>
      <c r="C1542">
        <f t="shared" si="24"/>
        <v>92.5</v>
      </c>
      <c r="D1542" t="s">
        <v>57</v>
      </c>
      <c r="E1542">
        <v>5</v>
      </c>
      <c r="F1542">
        <v>26</v>
      </c>
      <c r="G1542">
        <v>0.40110000000000001</v>
      </c>
      <c r="H1542">
        <v>0.16520000000000001</v>
      </c>
      <c r="I1542">
        <v>19.77</v>
      </c>
    </row>
    <row r="1543" spans="1:9" x14ac:dyDescent="0.3">
      <c r="A1543">
        <f>LOOKUP(9E+307,--MID(D1543,1,{1,2,3,4,5}))</f>
        <v>5</v>
      </c>
      <c r="B1543">
        <f>VLOOKUP(MID(D1543,LOOKUP(2,1/ISNUMBER(-MID(D1543,1,{1,2,3,4,5})),{1,2,3,4,5})+1,9),'Hue codes'!$A$1:$B$10,2,FALSE)</f>
        <v>90</v>
      </c>
      <c r="C1543">
        <f t="shared" si="24"/>
        <v>95</v>
      </c>
      <c r="D1543" t="s">
        <v>58</v>
      </c>
      <c r="E1543">
        <v>5</v>
      </c>
      <c r="F1543">
        <v>2</v>
      </c>
      <c r="G1543">
        <v>0.3256</v>
      </c>
      <c r="H1543">
        <v>0.30649999999999999</v>
      </c>
      <c r="I1543">
        <v>19.77</v>
      </c>
    </row>
    <row r="1544" spans="1:9" x14ac:dyDescent="0.3">
      <c r="A1544">
        <f>LOOKUP(9E+307,--MID(D1544,1,{1,2,3,4,5}))</f>
        <v>5</v>
      </c>
      <c r="B1544">
        <f>VLOOKUP(MID(D1544,LOOKUP(2,1/ISNUMBER(-MID(D1544,1,{1,2,3,4,5})),{1,2,3,4,5})+1,9),'Hue codes'!$A$1:$B$10,2,FALSE)</f>
        <v>90</v>
      </c>
      <c r="C1544">
        <f t="shared" si="24"/>
        <v>95</v>
      </c>
      <c r="D1544" t="s">
        <v>58</v>
      </c>
      <c r="E1544">
        <v>5</v>
      </c>
      <c r="F1544">
        <v>4</v>
      </c>
      <c r="G1544">
        <v>0.34210000000000002</v>
      </c>
      <c r="H1544">
        <v>0.2954</v>
      </c>
      <c r="I1544">
        <v>19.77</v>
      </c>
    </row>
    <row r="1545" spans="1:9" x14ac:dyDescent="0.3">
      <c r="A1545">
        <f>LOOKUP(9E+307,--MID(D1545,1,{1,2,3,4,5}))</f>
        <v>5</v>
      </c>
      <c r="B1545">
        <f>VLOOKUP(MID(D1545,LOOKUP(2,1/ISNUMBER(-MID(D1545,1,{1,2,3,4,5})),{1,2,3,4,5})+1,9),'Hue codes'!$A$1:$B$10,2,FALSE)</f>
        <v>90</v>
      </c>
      <c r="C1545">
        <f t="shared" si="24"/>
        <v>95</v>
      </c>
      <c r="D1545" t="s">
        <v>58</v>
      </c>
      <c r="E1545">
        <v>5</v>
      </c>
      <c r="F1545">
        <v>6</v>
      </c>
      <c r="G1545">
        <v>0.35849999999999999</v>
      </c>
      <c r="H1545">
        <v>0.28420000000000001</v>
      </c>
      <c r="I1545">
        <v>19.77</v>
      </c>
    </row>
    <row r="1546" spans="1:9" x14ac:dyDescent="0.3">
      <c r="A1546">
        <f>LOOKUP(9E+307,--MID(D1546,1,{1,2,3,4,5}))</f>
        <v>5</v>
      </c>
      <c r="B1546">
        <f>VLOOKUP(MID(D1546,LOOKUP(2,1/ISNUMBER(-MID(D1546,1,{1,2,3,4,5})),{1,2,3,4,5})+1,9),'Hue codes'!$A$1:$B$10,2,FALSE)</f>
        <v>90</v>
      </c>
      <c r="C1546">
        <f t="shared" si="24"/>
        <v>95</v>
      </c>
      <c r="D1546" t="s">
        <v>58</v>
      </c>
      <c r="E1546">
        <v>5</v>
      </c>
      <c r="F1546">
        <v>8</v>
      </c>
      <c r="G1546">
        <v>0.37480000000000002</v>
      </c>
      <c r="H1546">
        <v>0.27289999999999998</v>
      </c>
      <c r="I1546">
        <v>19.77</v>
      </c>
    </row>
    <row r="1547" spans="1:9" x14ac:dyDescent="0.3">
      <c r="A1547">
        <f>LOOKUP(9E+307,--MID(D1547,1,{1,2,3,4,5}))</f>
        <v>5</v>
      </c>
      <c r="B1547">
        <f>VLOOKUP(MID(D1547,LOOKUP(2,1/ISNUMBER(-MID(D1547,1,{1,2,3,4,5})),{1,2,3,4,5})+1,9),'Hue codes'!$A$1:$B$10,2,FALSE)</f>
        <v>90</v>
      </c>
      <c r="C1547">
        <f t="shared" si="24"/>
        <v>95</v>
      </c>
      <c r="D1547" t="s">
        <v>58</v>
      </c>
      <c r="E1547">
        <v>5</v>
      </c>
      <c r="F1547">
        <v>10</v>
      </c>
      <c r="G1547">
        <v>0.38800000000000001</v>
      </c>
      <c r="H1547">
        <v>0.26300000000000001</v>
      </c>
      <c r="I1547">
        <v>19.77</v>
      </c>
    </row>
    <row r="1548" spans="1:9" x14ac:dyDescent="0.3">
      <c r="A1548">
        <f>LOOKUP(9E+307,--MID(D1548,1,{1,2,3,4,5}))</f>
        <v>5</v>
      </c>
      <c r="B1548">
        <f>VLOOKUP(MID(D1548,LOOKUP(2,1/ISNUMBER(-MID(D1548,1,{1,2,3,4,5})),{1,2,3,4,5})+1,9),'Hue codes'!$A$1:$B$10,2,FALSE)</f>
        <v>90</v>
      </c>
      <c r="C1548">
        <f t="shared" si="24"/>
        <v>95</v>
      </c>
      <c r="D1548" t="s">
        <v>58</v>
      </c>
      <c r="E1548">
        <v>5</v>
      </c>
      <c r="F1548">
        <v>12</v>
      </c>
      <c r="G1548">
        <v>0.4022</v>
      </c>
      <c r="H1548">
        <v>0.25230000000000002</v>
      </c>
      <c r="I1548">
        <v>19.77</v>
      </c>
    </row>
    <row r="1549" spans="1:9" x14ac:dyDescent="0.3">
      <c r="A1549">
        <f>LOOKUP(9E+307,--MID(D1549,1,{1,2,3,4,5}))</f>
        <v>5</v>
      </c>
      <c r="B1549">
        <f>VLOOKUP(MID(D1549,LOOKUP(2,1/ISNUMBER(-MID(D1549,1,{1,2,3,4,5})),{1,2,3,4,5})+1,9),'Hue codes'!$A$1:$B$10,2,FALSE)</f>
        <v>90</v>
      </c>
      <c r="C1549">
        <f t="shared" si="24"/>
        <v>95</v>
      </c>
      <c r="D1549" t="s">
        <v>58</v>
      </c>
      <c r="E1549">
        <v>5</v>
      </c>
      <c r="F1549">
        <v>14</v>
      </c>
      <c r="G1549">
        <v>0.41420000000000001</v>
      </c>
      <c r="H1549">
        <v>0.24279999999999999</v>
      </c>
      <c r="I1549">
        <v>19.77</v>
      </c>
    </row>
    <row r="1550" spans="1:9" x14ac:dyDescent="0.3">
      <c r="A1550">
        <f>LOOKUP(9E+307,--MID(D1550,1,{1,2,3,4,5}))</f>
        <v>5</v>
      </c>
      <c r="B1550">
        <f>VLOOKUP(MID(D1550,LOOKUP(2,1/ISNUMBER(-MID(D1550,1,{1,2,3,4,5})),{1,2,3,4,5})+1,9),'Hue codes'!$A$1:$B$10,2,FALSE)</f>
        <v>90</v>
      </c>
      <c r="C1550">
        <f t="shared" si="24"/>
        <v>95</v>
      </c>
      <c r="D1550" t="s">
        <v>58</v>
      </c>
      <c r="E1550">
        <v>5</v>
      </c>
      <c r="F1550">
        <v>16</v>
      </c>
      <c r="G1550">
        <v>0.42609999999999998</v>
      </c>
      <c r="H1550">
        <v>0.2331</v>
      </c>
      <c r="I1550">
        <v>19.77</v>
      </c>
    </row>
    <row r="1551" spans="1:9" x14ac:dyDescent="0.3">
      <c r="A1551">
        <f>LOOKUP(9E+307,--MID(D1551,1,{1,2,3,4,5}))</f>
        <v>5</v>
      </c>
      <c r="B1551">
        <f>VLOOKUP(MID(D1551,LOOKUP(2,1/ISNUMBER(-MID(D1551,1,{1,2,3,4,5})),{1,2,3,4,5})+1,9),'Hue codes'!$A$1:$B$10,2,FALSE)</f>
        <v>90</v>
      </c>
      <c r="C1551">
        <f t="shared" si="24"/>
        <v>95</v>
      </c>
      <c r="D1551" t="s">
        <v>58</v>
      </c>
      <c r="E1551">
        <v>5</v>
      </c>
      <c r="F1551">
        <v>18</v>
      </c>
      <c r="G1551">
        <v>0.43719999999999998</v>
      </c>
      <c r="H1551">
        <v>0.22420000000000001</v>
      </c>
      <c r="I1551">
        <v>19.77</v>
      </c>
    </row>
    <row r="1552" spans="1:9" x14ac:dyDescent="0.3">
      <c r="A1552">
        <f>LOOKUP(9E+307,--MID(D1552,1,{1,2,3,4,5}))</f>
        <v>5</v>
      </c>
      <c r="B1552">
        <f>VLOOKUP(MID(D1552,LOOKUP(2,1/ISNUMBER(-MID(D1552,1,{1,2,3,4,5})),{1,2,3,4,5})+1,9),'Hue codes'!$A$1:$B$10,2,FALSE)</f>
        <v>90</v>
      </c>
      <c r="C1552">
        <f t="shared" si="24"/>
        <v>95</v>
      </c>
      <c r="D1552" t="s">
        <v>58</v>
      </c>
      <c r="E1552">
        <v>5</v>
      </c>
      <c r="F1552">
        <v>20</v>
      </c>
      <c r="G1552">
        <v>0.44840000000000002</v>
      </c>
      <c r="H1552">
        <v>0.215</v>
      </c>
      <c r="I1552">
        <v>19.77</v>
      </c>
    </row>
    <row r="1553" spans="1:9" x14ac:dyDescent="0.3">
      <c r="A1553">
        <f>LOOKUP(9E+307,--MID(D1553,1,{1,2,3,4,5}))</f>
        <v>5</v>
      </c>
      <c r="B1553">
        <f>VLOOKUP(MID(D1553,LOOKUP(2,1/ISNUMBER(-MID(D1553,1,{1,2,3,4,5})),{1,2,3,4,5})+1,9),'Hue codes'!$A$1:$B$10,2,FALSE)</f>
        <v>90</v>
      </c>
      <c r="C1553">
        <f t="shared" si="24"/>
        <v>95</v>
      </c>
      <c r="D1553" t="s">
        <v>58</v>
      </c>
      <c r="E1553">
        <v>5</v>
      </c>
      <c r="F1553">
        <v>22</v>
      </c>
      <c r="G1553">
        <v>0.45810000000000001</v>
      </c>
      <c r="H1553">
        <v>0.20680000000000001</v>
      </c>
      <c r="I1553">
        <v>19.77</v>
      </c>
    </row>
    <row r="1554" spans="1:9" x14ac:dyDescent="0.3">
      <c r="A1554">
        <f>LOOKUP(9E+307,--MID(D1554,1,{1,2,3,4,5}))</f>
        <v>5</v>
      </c>
      <c r="B1554">
        <f>VLOOKUP(MID(D1554,LOOKUP(2,1/ISNUMBER(-MID(D1554,1,{1,2,3,4,5})),{1,2,3,4,5})+1,9),'Hue codes'!$A$1:$B$10,2,FALSE)</f>
        <v>90</v>
      </c>
      <c r="C1554">
        <f t="shared" si="24"/>
        <v>95</v>
      </c>
      <c r="D1554" t="s">
        <v>58</v>
      </c>
      <c r="E1554">
        <v>5</v>
      </c>
      <c r="F1554">
        <v>24</v>
      </c>
      <c r="G1554">
        <v>0.46829999999999999</v>
      </c>
      <c r="H1554">
        <v>0.1978</v>
      </c>
      <c r="I1554">
        <v>19.77</v>
      </c>
    </row>
    <row r="1555" spans="1:9" x14ac:dyDescent="0.3">
      <c r="A1555">
        <f>LOOKUP(9E+307,--MID(D1555,1,{1,2,3,4,5}))</f>
        <v>7.5</v>
      </c>
      <c r="B1555">
        <f>VLOOKUP(MID(D1555,LOOKUP(2,1/ISNUMBER(-MID(D1555,1,{1,2,3,4,5})),{1,2,3,4,5})+1,9),'Hue codes'!$A$1:$B$10,2,FALSE)</f>
        <v>90</v>
      </c>
      <c r="C1555">
        <f t="shared" si="24"/>
        <v>97.5</v>
      </c>
      <c r="D1555" t="s">
        <v>59</v>
      </c>
      <c r="E1555">
        <v>5</v>
      </c>
      <c r="F1555">
        <v>2</v>
      </c>
      <c r="G1555">
        <v>0.3296</v>
      </c>
      <c r="H1555">
        <v>0.30980000000000002</v>
      </c>
      <c r="I1555">
        <v>19.77</v>
      </c>
    </row>
    <row r="1556" spans="1:9" x14ac:dyDescent="0.3">
      <c r="A1556">
        <f>LOOKUP(9E+307,--MID(D1556,1,{1,2,3,4,5}))</f>
        <v>7.5</v>
      </c>
      <c r="B1556">
        <f>VLOOKUP(MID(D1556,LOOKUP(2,1/ISNUMBER(-MID(D1556,1,{1,2,3,4,5})),{1,2,3,4,5})+1,9),'Hue codes'!$A$1:$B$10,2,FALSE)</f>
        <v>90</v>
      </c>
      <c r="C1556">
        <f t="shared" si="24"/>
        <v>97.5</v>
      </c>
      <c r="D1556" t="s">
        <v>59</v>
      </c>
      <c r="E1556">
        <v>5</v>
      </c>
      <c r="F1556">
        <v>4</v>
      </c>
      <c r="G1556">
        <v>0.35149999999999998</v>
      </c>
      <c r="H1556">
        <v>0.3024</v>
      </c>
      <c r="I1556">
        <v>19.77</v>
      </c>
    </row>
    <row r="1557" spans="1:9" x14ac:dyDescent="0.3">
      <c r="A1557">
        <f>LOOKUP(9E+307,--MID(D1557,1,{1,2,3,4,5}))</f>
        <v>7.5</v>
      </c>
      <c r="B1557">
        <f>VLOOKUP(MID(D1557,LOOKUP(2,1/ISNUMBER(-MID(D1557,1,{1,2,3,4,5})),{1,2,3,4,5})+1,9),'Hue codes'!$A$1:$B$10,2,FALSE)</f>
        <v>90</v>
      </c>
      <c r="C1557">
        <f t="shared" si="24"/>
        <v>97.5</v>
      </c>
      <c r="D1557" t="s">
        <v>59</v>
      </c>
      <c r="E1557">
        <v>5</v>
      </c>
      <c r="F1557">
        <v>6</v>
      </c>
      <c r="G1557">
        <v>0.37259999999999999</v>
      </c>
      <c r="H1557">
        <v>0.29409999999999997</v>
      </c>
      <c r="I1557">
        <v>19.77</v>
      </c>
    </row>
    <row r="1558" spans="1:9" x14ac:dyDescent="0.3">
      <c r="A1558">
        <f>LOOKUP(9E+307,--MID(D1558,1,{1,2,3,4,5}))</f>
        <v>7.5</v>
      </c>
      <c r="B1558">
        <f>VLOOKUP(MID(D1558,LOOKUP(2,1/ISNUMBER(-MID(D1558,1,{1,2,3,4,5})),{1,2,3,4,5})+1,9),'Hue codes'!$A$1:$B$10,2,FALSE)</f>
        <v>90</v>
      </c>
      <c r="C1558">
        <f t="shared" si="24"/>
        <v>97.5</v>
      </c>
      <c r="D1558" t="s">
        <v>59</v>
      </c>
      <c r="E1558">
        <v>5</v>
      </c>
      <c r="F1558">
        <v>8</v>
      </c>
      <c r="G1558">
        <v>0.39319999999999999</v>
      </c>
      <c r="H1558">
        <v>0.28520000000000001</v>
      </c>
      <c r="I1558">
        <v>19.77</v>
      </c>
    </row>
    <row r="1559" spans="1:9" x14ac:dyDescent="0.3">
      <c r="A1559">
        <f>LOOKUP(9E+307,--MID(D1559,1,{1,2,3,4,5}))</f>
        <v>7.5</v>
      </c>
      <c r="B1559">
        <f>VLOOKUP(MID(D1559,LOOKUP(2,1/ISNUMBER(-MID(D1559,1,{1,2,3,4,5})),{1,2,3,4,5})+1,9),'Hue codes'!$A$1:$B$10,2,FALSE)</f>
        <v>90</v>
      </c>
      <c r="C1559">
        <f t="shared" si="24"/>
        <v>97.5</v>
      </c>
      <c r="D1559" t="s">
        <v>59</v>
      </c>
      <c r="E1559">
        <v>5</v>
      </c>
      <c r="F1559">
        <v>10</v>
      </c>
      <c r="G1559">
        <v>0.4108</v>
      </c>
      <c r="H1559">
        <v>0.27729999999999999</v>
      </c>
      <c r="I1559">
        <v>19.77</v>
      </c>
    </row>
    <row r="1560" spans="1:9" x14ac:dyDescent="0.3">
      <c r="A1560">
        <f>LOOKUP(9E+307,--MID(D1560,1,{1,2,3,4,5}))</f>
        <v>7.5</v>
      </c>
      <c r="B1560">
        <f>VLOOKUP(MID(D1560,LOOKUP(2,1/ISNUMBER(-MID(D1560,1,{1,2,3,4,5})),{1,2,3,4,5})+1,9),'Hue codes'!$A$1:$B$10,2,FALSE)</f>
        <v>90</v>
      </c>
      <c r="C1560">
        <f t="shared" si="24"/>
        <v>97.5</v>
      </c>
      <c r="D1560" t="s">
        <v>59</v>
      </c>
      <c r="E1560">
        <v>5</v>
      </c>
      <c r="F1560">
        <v>12</v>
      </c>
      <c r="G1560">
        <v>0.43030000000000002</v>
      </c>
      <c r="H1560">
        <v>0.26750000000000002</v>
      </c>
      <c r="I1560">
        <v>19.77</v>
      </c>
    </row>
    <row r="1561" spans="1:9" x14ac:dyDescent="0.3">
      <c r="A1561">
        <f>LOOKUP(9E+307,--MID(D1561,1,{1,2,3,4,5}))</f>
        <v>7.5</v>
      </c>
      <c r="B1561">
        <f>VLOOKUP(MID(D1561,LOOKUP(2,1/ISNUMBER(-MID(D1561,1,{1,2,3,4,5})),{1,2,3,4,5})+1,9),'Hue codes'!$A$1:$B$10,2,FALSE)</f>
        <v>90</v>
      </c>
      <c r="C1561">
        <f t="shared" si="24"/>
        <v>97.5</v>
      </c>
      <c r="D1561" t="s">
        <v>59</v>
      </c>
      <c r="E1561">
        <v>5</v>
      </c>
      <c r="F1561">
        <v>14</v>
      </c>
      <c r="G1561">
        <v>0.44540000000000002</v>
      </c>
      <c r="H1561">
        <v>0.2596</v>
      </c>
      <c r="I1561">
        <v>19.77</v>
      </c>
    </row>
    <row r="1562" spans="1:9" x14ac:dyDescent="0.3">
      <c r="A1562">
        <f>LOOKUP(9E+307,--MID(D1562,1,{1,2,3,4,5}))</f>
        <v>7.5</v>
      </c>
      <c r="B1562">
        <f>VLOOKUP(MID(D1562,LOOKUP(2,1/ISNUMBER(-MID(D1562,1,{1,2,3,4,5})),{1,2,3,4,5})+1,9),'Hue codes'!$A$1:$B$10,2,FALSE)</f>
        <v>90</v>
      </c>
      <c r="C1562">
        <f t="shared" si="24"/>
        <v>97.5</v>
      </c>
      <c r="D1562" t="s">
        <v>59</v>
      </c>
      <c r="E1562">
        <v>5</v>
      </c>
      <c r="F1562">
        <v>16</v>
      </c>
      <c r="G1562">
        <v>0.4617</v>
      </c>
      <c r="H1562">
        <v>0.25059999999999999</v>
      </c>
      <c r="I1562">
        <v>19.77</v>
      </c>
    </row>
    <row r="1563" spans="1:9" x14ac:dyDescent="0.3">
      <c r="A1563">
        <f>LOOKUP(9E+307,--MID(D1563,1,{1,2,3,4,5}))</f>
        <v>7.5</v>
      </c>
      <c r="B1563">
        <f>VLOOKUP(MID(D1563,LOOKUP(2,1/ISNUMBER(-MID(D1563,1,{1,2,3,4,5})),{1,2,3,4,5})+1,9),'Hue codes'!$A$1:$B$10,2,FALSE)</f>
        <v>90</v>
      </c>
      <c r="C1563">
        <f t="shared" si="24"/>
        <v>97.5</v>
      </c>
      <c r="D1563" t="s">
        <v>59</v>
      </c>
      <c r="E1563">
        <v>5</v>
      </c>
      <c r="F1563">
        <v>18</v>
      </c>
      <c r="G1563">
        <v>0.47610000000000002</v>
      </c>
      <c r="H1563">
        <v>0.24210000000000001</v>
      </c>
      <c r="I1563">
        <v>19.77</v>
      </c>
    </row>
    <row r="1564" spans="1:9" x14ac:dyDescent="0.3">
      <c r="A1564">
        <f>LOOKUP(9E+307,--MID(D1564,1,{1,2,3,4,5}))</f>
        <v>7.5</v>
      </c>
      <c r="B1564">
        <f>VLOOKUP(MID(D1564,LOOKUP(2,1/ISNUMBER(-MID(D1564,1,{1,2,3,4,5})),{1,2,3,4,5})+1,9),'Hue codes'!$A$1:$B$10,2,FALSE)</f>
        <v>90</v>
      </c>
      <c r="C1564">
        <f t="shared" si="24"/>
        <v>97.5</v>
      </c>
      <c r="D1564" t="s">
        <v>59</v>
      </c>
      <c r="E1564">
        <v>5</v>
      </c>
      <c r="F1564">
        <v>20</v>
      </c>
      <c r="G1564">
        <v>0.49149999999999999</v>
      </c>
      <c r="H1564">
        <v>0.23300000000000001</v>
      </c>
      <c r="I1564">
        <v>19.77</v>
      </c>
    </row>
    <row r="1565" spans="1:9" x14ac:dyDescent="0.3">
      <c r="A1565">
        <f>LOOKUP(9E+307,--MID(D1565,1,{1,2,3,4,5}))</f>
        <v>7.5</v>
      </c>
      <c r="B1565">
        <f>VLOOKUP(MID(D1565,LOOKUP(2,1/ISNUMBER(-MID(D1565,1,{1,2,3,4,5})),{1,2,3,4,5})+1,9),'Hue codes'!$A$1:$B$10,2,FALSE)</f>
        <v>90</v>
      </c>
      <c r="C1565">
        <f t="shared" si="24"/>
        <v>97.5</v>
      </c>
      <c r="D1565" t="s">
        <v>59</v>
      </c>
      <c r="E1565">
        <v>5</v>
      </c>
      <c r="F1565">
        <v>22</v>
      </c>
      <c r="G1565">
        <v>0.50449999999999995</v>
      </c>
      <c r="H1565">
        <v>0.2248</v>
      </c>
      <c r="I1565">
        <v>19.77</v>
      </c>
    </row>
    <row r="1566" spans="1:9" x14ac:dyDescent="0.3">
      <c r="A1566">
        <f>LOOKUP(9E+307,--MID(D1566,1,{1,2,3,4,5}))</f>
        <v>10</v>
      </c>
      <c r="B1566">
        <f>VLOOKUP(MID(D1566,LOOKUP(2,1/ISNUMBER(-MID(D1566,1,{1,2,3,4,5})),{1,2,3,4,5})+1,9),'Hue codes'!$A$1:$B$10,2,FALSE)</f>
        <v>90</v>
      </c>
      <c r="C1566">
        <f t="shared" si="24"/>
        <v>0</v>
      </c>
      <c r="D1566" t="s">
        <v>20</v>
      </c>
      <c r="E1566">
        <v>6</v>
      </c>
      <c r="F1566">
        <v>2</v>
      </c>
      <c r="G1566">
        <v>0.32919999999999999</v>
      </c>
      <c r="H1566">
        <v>0.31409999999999999</v>
      </c>
      <c r="I1566">
        <v>30.05</v>
      </c>
    </row>
    <row r="1567" spans="1:9" x14ac:dyDescent="0.3">
      <c r="A1567">
        <f>LOOKUP(9E+307,--MID(D1567,1,{1,2,3,4,5}))</f>
        <v>10</v>
      </c>
      <c r="B1567">
        <f>VLOOKUP(MID(D1567,LOOKUP(2,1/ISNUMBER(-MID(D1567,1,{1,2,3,4,5})),{1,2,3,4,5})+1,9),'Hue codes'!$A$1:$B$10,2,FALSE)</f>
        <v>90</v>
      </c>
      <c r="C1567">
        <f t="shared" si="24"/>
        <v>0</v>
      </c>
      <c r="D1567" t="s">
        <v>20</v>
      </c>
      <c r="E1567">
        <v>6</v>
      </c>
      <c r="F1567">
        <v>4</v>
      </c>
      <c r="G1567">
        <v>0.3508</v>
      </c>
      <c r="H1567">
        <v>0.31119999999999998</v>
      </c>
      <c r="I1567">
        <v>30.05</v>
      </c>
    </row>
    <row r="1568" spans="1:9" x14ac:dyDescent="0.3">
      <c r="A1568">
        <f>LOOKUP(9E+307,--MID(D1568,1,{1,2,3,4,5}))</f>
        <v>10</v>
      </c>
      <c r="B1568">
        <f>VLOOKUP(MID(D1568,LOOKUP(2,1/ISNUMBER(-MID(D1568,1,{1,2,3,4,5})),{1,2,3,4,5})+1,9),'Hue codes'!$A$1:$B$10,2,FALSE)</f>
        <v>90</v>
      </c>
      <c r="C1568">
        <f t="shared" si="24"/>
        <v>0</v>
      </c>
      <c r="D1568" t="s">
        <v>20</v>
      </c>
      <c r="E1568">
        <v>6</v>
      </c>
      <c r="F1568">
        <v>6</v>
      </c>
      <c r="G1568">
        <v>0.374</v>
      </c>
      <c r="H1568">
        <v>0.30740000000000001</v>
      </c>
      <c r="I1568">
        <v>30.05</v>
      </c>
    </row>
    <row r="1569" spans="1:9" x14ac:dyDescent="0.3">
      <c r="A1569">
        <f>LOOKUP(9E+307,--MID(D1569,1,{1,2,3,4,5}))</f>
        <v>10</v>
      </c>
      <c r="B1569">
        <f>VLOOKUP(MID(D1569,LOOKUP(2,1/ISNUMBER(-MID(D1569,1,{1,2,3,4,5})),{1,2,3,4,5})+1,9),'Hue codes'!$A$1:$B$10,2,FALSE)</f>
        <v>90</v>
      </c>
      <c r="C1569">
        <f t="shared" si="24"/>
        <v>0</v>
      </c>
      <c r="D1569" t="s">
        <v>20</v>
      </c>
      <c r="E1569">
        <v>6</v>
      </c>
      <c r="F1569">
        <v>8</v>
      </c>
      <c r="G1569">
        <v>0.39300000000000002</v>
      </c>
      <c r="H1569">
        <v>0.30380000000000001</v>
      </c>
      <c r="I1569">
        <v>30.05</v>
      </c>
    </row>
    <row r="1570" spans="1:9" x14ac:dyDescent="0.3">
      <c r="A1570">
        <f>LOOKUP(9E+307,--MID(D1570,1,{1,2,3,4,5}))</f>
        <v>10</v>
      </c>
      <c r="B1570">
        <f>VLOOKUP(MID(D1570,LOOKUP(2,1/ISNUMBER(-MID(D1570,1,{1,2,3,4,5})),{1,2,3,4,5})+1,9),'Hue codes'!$A$1:$B$10,2,FALSE)</f>
        <v>90</v>
      </c>
      <c r="C1570">
        <f t="shared" si="24"/>
        <v>0</v>
      </c>
      <c r="D1570" t="s">
        <v>20</v>
      </c>
      <c r="E1570">
        <v>6</v>
      </c>
      <c r="F1570">
        <v>10</v>
      </c>
      <c r="G1570">
        <v>0.41499999999999998</v>
      </c>
      <c r="H1570">
        <v>0.2989</v>
      </c>
      <c r="I1570">
        <v>30.05</v>
      </c>
    </row>
    <row r="1571" spans="1:9" x14ac:dyDescent="0.3">
      <c r="A1571">
        <f>LOOKUP(9E+307,--MID(D1571,1,{1,2,3,4,5}))</f>
        <v>10</v>
      </c>
      <c r="B1571">
        <f>VLOOKUP(MID(D1571,LOOKUP(2,1/ISNUMBER(-MID(D1571,1,{1,2,3,4,5})),{1,2,3,4,5})+1,9),'Hue codes'!$A$1:$B$10,2,FALSE)</f>
        <v>90</v>
      </c>
      <c r="C1571">
        <f t="shared" si="24"/>
        <v>0</v>
      </c>
      <c r="D1571" t="s">
        <v>20</v>
      </c>
      <c r="E1571">
        <v>6</v>
      </c>
      <c r="F1571">
        <v>12</v>
      </c>
      <c r="G1571">
        <v>0.436</v>
      </c>
      <c r="H1571">
        <v>0.29360000000000003</v>
      </c>
      <c r="I1571">
        <v>30.05</v>
      </c>
    </row>
    <row r="1572" spans="1:9" x14ac:dyDescent="0.3">
      <c r="A1572">
        <f>LOOKUP(9E+307,--MID(D1572,1,{1,2,3,4,5}))</f>
        <v>10</v>
      </c>
      <c r="B1572">
        <f>VLOOKUP(MID(D1572,LOOKUP(2,1/ISNUMBER(-MID(D1572,1,{1,2,3,4,5})),{1,2,3,4,5})+1,9),'Hue codes'!$A$1:$B$10,2,FALSE)</f>
        <v>90</v>
      </c>
      <c r="C1572">
        <f t="shared" si="24"/>
        <v>0</v>
      </c>
      <c r="D1572" t="s">
        <v>20</v>
      </c>
      <c r="E1572">
        <v>6</v>
      </c>
      <c r="F1572">
        <v>14</v>
      </c>
      <c r="G1572">
        <v>0.45519999999999999</v>
      </c>
      <c r="H1572">
        <v>0.28810000000000002</v>
      </c>
      <c r="I1572">
        <v>30.05</v>
      </c>
    </row>
    <row r="1573" spans="1:9" x14ac:dyDescent="0.3">
      <c r="A1573">
        <f>LOOKUP(9E+307,--MID(D1573,1,{1,2,3,4,5}))</f>
        <v>10</v>
      </c>
      <c r="B1573">
        <f>VLOOKUP(MID(D1573,LOOKUP(2,1/ISNUMBER(-MID(D1573,1,{1,2,3,4,5})),{1,2,3,4,5})+1,9),'Hue codes'!$A$1:$B$10,2,FALSE)</f>
        <v>90</v>
      </c>
      <c r="C1573">
        <f t="shared" si="24"/>
        <v>0</v>
      </c>
      <c r="D1573" t="s">
        <v>20</v>
      </c>
      <c r="E1573">
        <v>6</v>
      </c>
      <c r="F1573">
        <v>16</v>
      </c>
      <c r="G1573">
        <v>0.47810000000000002</v>
      </c>
      <c r="H1573">
        <v>0.28120000000000001</v>
      </c>
      <c r="I1573">
        <v>30.05</v>
      </c>
    </row>
    <row r="1574" spans="1:9" x14ac:dyDescent="0.3">
      <c r="A1574">
        <f>LOOKUP(9E+307,--MID(D1574,1,{1,2,3,4,5}))</f>
        <v>10</v>
      </c>
      <c r="B1574">
        <f>VLOOKUP(MID(D1574,LOOKUP(2,1/ISNUMBER(-MID(D1574,1,{1,2,3,4,5})),{1,2,3,4,5})+1,9),'Hue codes'!$A$1:$B$10,2,FALSE)</f>
        <v>90</v>
      </c>
      <c r="C1574">
        <f t="shared" si="24"/>
        <v>0</v>
      </c>
      <c r="D1574" t="s">
        <v>20</v>
      </c>
      <c r="E1574">
        <v>6</v>
      </c>
      <c r="F1574">
        <v>18</v>
      </c>
      <c r="G1574">
        <v>0.49609999999999999</v>
      </c>
      <c r="H1574">
        <v>0.27510000000000001</v>
      </c>
      <c r="I1574">
        <v>30.05</v>
      </c>
    </row>
    <row r="1575" spans="1:9" x14ac:dyDescent="0.3">
      <c r="A1575">
        <f>LOOKUP(9E+307,--MID(D1575,1,{1,2,3,4,5}))</f>
        <v>2.5</v>
      </c>
      <c r="B1575">
        <f>VLOOKUP(MID(D1575,LOOKUP(2,1/ISNUMBER(-MID(D1575,1,{1,2,3,4,5})),{1,2,3,4,5})+1,9),'Hue codes'!$A$1:$B$10,2,FALSE)</f>
        <v>0</v>
      </c>
      <c r="C1575">
        <f t="shared" si="24"/>
        <v>2.5</v>
      </c>
      <c r="D1575" t="s">
        <v>21</v>
      </c>
      <c r="E1575">
        <v>6</v>
      </c>
      <c r="F1575">
        <v>2</v>
      </c>
      <c r="G1575">
        <v>0.33179999999999998</v>
      </c>
      <c r="H1575">
        <v>0.31659999999999999</v>
      </c>
      <c r="I1575">
        <v>30.05</v>
      </c>
    </row>
    <row r="1576" spans="1:9" x14ac:dyDescent="0.3">
      <c r="A1576">
        <f>LOOKUP(9E+307,--MID(D1576,1,{1,2,3,4,5}))</f>
        <v>2.5</v>
      </c>
      <c r="B1576">
        <f>VLOOKUP(MID(D1576,LOOKUP(2,1/ISNUMBER(-MID(D1576,1,{1,2,3,4,5})),{1,2,3,4,5})+1,9),'Hue codes'!$A$1:$B$10,2,FALSE)</f>
        <v>0</v>
      </c>
      <c r="C1576">
        <f t="shared" si="24"/>
        <v>2.5</v>
      </c>
      <c r="D1576" t="s">
        <v>21</v>
      </c>
      <c r="E1576">
        <v>6</v>
      </c>
      <c r="F1576">
        <v>4</v>
      </c>
      <c r="G1576">
        <v>0.35659999999999997</v>
      </c>
      <c r="H1576">
        <v>0.31630000000000003</v>
      </c>
      <c r="I1576">
        <v>30.05</v>
      </c>
    </row>
    <row r="1577" spans="1:9" x14ac:dyDescent="0.3">
      <c r="A1577">
        <f>LOOKUP(9E+307,--MID(D1577,1,{1,2,3,4,5}))</f>
        <v>2.5</v>
      </c>
      <c r="B1577">
        <f>VLOOKUP(MID(D1577,LOOKUP(2,1/ISNUMBER(-MID(D1577,1,{1,2,3,4,5})),{1,2,3,4,5})+1,9),'Hue codes'!$A$1:$B$10,2,FALSE)</f>
        <v>0</v>
      </c>
      <c r="C1577">
        <f t="shared" si="24"/>
        <v>2.5</v>
      </c>
      <c r="D1577" t="s">
        <v>21</v>
      </c>
      <c r="E1577">
        <v>6</v>
      </c>
      <c r="F1577">
        <v>6</v>
      </c>
      <c r="G1577">
        <v>0.38319999999999999</v>
      </c>
      <c r="H1577">
        <v>0.31580000000000003</v>
      </c>
      <c r="I1577">
        <v>30.05</v>
      </c>
    </row>
    <row r="1578" spans="1:9" x14ac:dyDescent="0.3">
      <c r="A1578">
        <f>LOOKUP(9E+307,--MID(D1578,1,{1,2,3,4,5}))</f>
        <v>2.5</v>
      </c>
      <c r="B1578">
        <f>VLOOKUP(MID(D1578,LOOKUP(2,1/ISNUMBER(-MID(D1578,1,{1,2,3,4,5})),{1,2,3,4,5})+1,9),'Hue codes'!$A$1:$B$10,2,FALSE)</f>
        <v>0</v>
      </c>
      <c r="C1578">
        <f t="shared" si="24"/>
        <v>2.5</v>
      </c>
      <c r="D1578" t="s">
        <v>21</v>
      </c>
      <c r="E1578">
        <v>6</v>
      </c>
      <c r="F1578">
        <v>8</v>
      </c>
      <c r="G1578">
        <v>0.40649999999999997</v>
      </c>
      <c r="H1578">
        <v>0.31440000000000001</v>
      </c>
      <c r="I1578">
        <v>30.05</v>
      </c>
    </row>
    <row r="1579" spans="1:9" x14ac:dyDescent="0.3">
      <c r="A1579">
        <f>LOOKUP(9E+307,--MID(D1579,1,{1,2,3,4,5}))</f>
        <v>2.5</v>
      </c>
      <c r="B1579">
        <f>VLOOKUP(MID(D1579,LOOKUP(2,1/ISNUMBER(-MID(D1579,1,{1,2,3,4,5})),{1,2,3,4,5})+1,9),'Hue codes'!$A$1:$B$10,2,FALSE)</f>
        <v>0</v>
      </c>
      <c r="C1579">
        <f t="shared" si="24"/>
        <v>2.5</v>
      </c>
      <c r="D1579" t="s">
        <v>21</v>
      </c>
      <c r="E1579">
        <v>6</v>
      </c>
      <c r="F1579">
        <v>10</v>
      </c>
      <c r="G1579">
        <v>0.432</v>
      </c>
      <c r="H1579">
        <v>0.31180000000000002</v>
      </c>
      <c r="I1579">
        <v>30.05</v>
      </c>
    </row>
    <row r="1580" spans="1:9" x14ac:dyDescent="0.3">
      <c r="A1580">
        <f>LOOKUP(9E+307,--MID(D1580,1,{1,2,3,4,5}))</f>
        <v>2.5</v>
      </c>
      <c r="B1580">
        <f>VLOOKUP(MID(D1580,LOOKUP(2,1/ISNUMBER(-MID(D1580,1,{1,2,3,4,5})),{1,2,3,4,5})+1,9),'Hue codes'!$A$1:$B$10,2,FALSE)</f>
        <v>0</v>
      </c>
      <c r="C1580">
        <f t="shared" si="24"/>
        <v>2.5</v>
      </c>
      <c r="D1580" t="s">
        <v>21</v>
      </c>
      <c r="E1580">
        <v>6</v>
      </c>
      <c r="F1580">
        <v>12</v>
      </c>
      <c r="G1580">
        <v>0.45679999999999998</v>
      </c>
      <c r="H1580">
        <v>0.30819999999999997</v>
      </c>
      <c r="I1580">
        <v>30.05</v>
      </c>
    </row>
    <row r="1581" spans="1:9" x14ac:dyDescent="0.3">
      <c r="A1581">
        <f>LOOKUP(9E+307,--MID(D1581,1,{1,2,3,4,5}))</f>
        <v>2.5</v>
      </c>
      <c r="B1581">
        <f>VLOOKUP(MID(D1581,LOOKUP(2,1/ISNUMBER(-MID(D1581,1,{1,2,3,4,5})),{1,2,3,4,5})+1,9),'Hue codes'!$A$1:$B$10,2,FALSE)</f>
        <v>0</v>
      </c>
      <c r="C1581">
        <f t="shared" si="24"/>
        <v>2.5</v>
      </c>
      <c r="D1581" t="s">
        <v>21</v>
      </c>
      <c r="E1581">
        <v>6</v>
      </c>
      <c r="F1581">
        <v>14</v>
      </c>
      <c r="G1581">
        <v>0.47899999999999998</v>
      </c>
      <c r="H1581">
        <v>0.30409999999999998</v>
      </c>
      <c r="I1581">
        <v>30.05</v>
      </c>
    </row>
    <row r="1582" spans="1:9" x14ac:dyDescent="0.3">
      <c r="A1582">
        <f>LOOKUP(9E+307,--MID(D1582,1,{1,2,3,4,5}))</f>
        <v>2.5</v>
      </c>
      <c r="B1582">
        <f>VLOOKUP(MID(D1582,LOOKUP(2,1/ISNUMBER(-MID(D1582,1,{1,2,3,4,5})),{1,2,3,4,5})+1,9),'Hue codes'!$A$1:$B$10,2,FALSE)</f>
        <v>0</v>
      </c>
      <c r="C1582">
        <f t="shared" si="24"/>
        <v>2.5</v>
      </c>
      <c r="D1582" t="s">
        <v>21</v>
      </c>
      <c r="E1582">
        <v>6</v>
      </c>
      <c r="F1582">
        <v>16</v>
      </c>
      <c r="G1582">
        <v>0.50409999999999999</v>
      </c>
      <c r="H1582">
        <v>0.29830000000000001</v>
      </c>
      <c r="I1582">
        <v>30.05</v>
      </c>
    </row>
    <row r="1583" spans="1:9" x14ac:dyDescent="0.3">
      <c r="A1583">
        <f>LOOKUP(9E+307,--MID(D1583,1,{1,2,3,4,5}))</f>
        <v>2.5</v>
      </c>
      <c r="B1583">
        <f>VLOOKUP(MID(D1583,LOOKUP(2,1/ISNUMBER(-MID(D1583,1,{1,2,3,4,5})),{1,2,3,4,5})+1,9),'Hue codes'!$A$1:$B$10,2,FALSE)</f>
        <v>0</v>
      </c>
      <c r="C1583">
        <f t="shared" si="24"/>
        <v>2.5</v>
      </c>
      <c r="D1583" t="s">
        <v>21</v>
      </c>
      <c r="E1583">
        <v>6</v>
      </c>
      <c r="F1583">
        <v>18</v>
      </c>
      <c r="G1583">
        <v>0.5262</v>
      </c>
      <c r="H1583">
        <v>0.2928</v>
      </c>
      <c r="I1583">
        <v>30.05</v>
      </c>
    </row>
    <row r="1584" spans="1:9" x14ac:dyDescent="0.3">
      <c r="A1584">
        <f>LOOKUP(9E+307,--MID(D1584,1,{1,2,3,4,5}))</f>
        <v>5</v>
      </c>
      <c r="B1584">
        <f>VLOOKUP(MID(D1584,LOOKUP(2,1/ISNUMBER(-MID(D1584,1,{1,2,3,4,5})),{1,2,3,4,5})+1,9),'Hue codes'!$A$1:$B$10,2,FALSE)</f>
        <v>0</v>
      </c>
      <c r="C1584">
        <f t="shared" si="24"/>
        <v>5</v>
      </c>
      <c r="D1584" t="s">
        <v>22</v>
      </c>
      <c r="E1584">
        <v>6</v>
      </c>
      <c r="F1584">
        <v>2</v>
      </c>
      <c r="G1584">
        <v>0.33429999999999999</v>
      </c>
      <c r="H1584">
        <v>0.31900000000000001</v>
      </c>
      <c r="I1584">
        <v>30.05</v>
      </c>
    </row>
    <row r="1585" spans="1:9" x14ac:dyDescent="0.3">
      <c r="A1585">
        <f>LOOKUP(9E+307,--MID(D1585,1,{1,2,3,4,5}))</f>
        <v>5</v>
      </c>
      <c r="B1585">
        <f>VLOOKUP(MID(D1585,LOOKUP(2,1/ISNUMBER(-MID(D1585,1,{1,2,3,4,5})),{1,2,3,4,5})+1,9),'Hue codes'!$A$1:$B$10,2,FALSE)</f>
        <v>0</v>
      </c>
      <c r="C1585">
        <f t="shared" si="24"/>
        <v>5</v>
      </c>
      <c r="D1585" t="s">
        <v>22</v>
      </c>
      <c r="E1585">
        <v>6</v>
      </c>
      <c r="F1585">
        <v>4</v>
      </c>
      <c r="G1585">
        <v>0.36280000000000001</v>
      </c>
      <c r="H1585">
        <v>0.3221</v>
      </c>
      <c r="I1585">
        <v>30.05</v>
      </c>
    </row>
    <row r="1586" spans="1:9" x14ac:dyDescent="0.3">
      <c r="A1586">
        <f>LOOKUP(9E+307,--MID(D1586,1,{1,2,3,4,5}))</f>
        <v>5</v>
      </c>
      <c r="B1586">
        <f>VLOOKUP(MID(D1586,LOOKUP(2,1/ISNUMBER(-MID(D1586,1,{1,2,3,4,5})),{1,2,3,4,5})+1,9),'Hue codes'!$A$1:$B$10,2,FALSE)</f>
        <v>0</v>
      </c>
      <c r="C1586">
        <f t="shared" si="24"/>
        <v>5</v>
      </c>
      <c r="D1586" t="s">
        <v>22</v>
      </c>
      <c r="E1586">
        <v>6</v>
      </c>
      <c r="F1586">
        <v>6</v>
      </c>
      <c r="G1586">
        <v>0.3921</v>
      </c>
      <c r="H1586">
        <v>0.32440000000000002</v>
      </c>
      <c r="I1586">
        <v>30.05</v>
      </c>
    </row>
    <row r="1587" spans="1:9" x14ac:dyDescent="0.3">
      <c r="A1587">
        <f>LOOKUP(9E+307,--MID(D1587,1,{1,2,3,4,5}))</f>
        <v>5</v>
      </c>
      <c r="B1587">
        <f>VLOOKUP(MID(D1587,LOOKUP(2,1/ISNUMBER(-MID(D1587,1,{1,2,3,4,5})),{1,2,3,4,5})+1,9),'Hue codes'!$A$1:$B$10,2,FALSE)</f>
        <v>0</v>
      </c>
      <c r="C1587">
        <f t="shared" si="24"/>
        <v>5</v>
      </c>
      <c r="D1587" t="s">
        <v>22</v>
      </c>
      <c r="E1587">
        <v>6</v>
      </c>
      <c r="F1587">
        <v>8</v>
      </c>
      <c r="G1587">
        <v>0.41870000000000002</v>
      </c>
      <c r="H1587">
        <v>0.3251</v>
      </c>
      <c r="I1587">
        <v>30.05</v>
      </c>
    </row>
    <row r="1588" spans="1:9" x14ac:dyDescent="0.3">
      <c r="A1588">
        <f>LOOKUP(9E+307,--MID(D1588,1,{1,2,3,4,5}))</f>
        <v>5</v>
      </c>
      <c r="B1588">
        <f>VLOOKUP(MID(D1588,LOOKUP(2,1/ISNUMBER(-MID(D1588,1,{1,2,3,4,5})),{1,2,3,4,5})+1,9),'Hue codes'!$A$1:$B$10,2,FALSE)</f>
        <v>0</v>
      </c>
      <c r="C1588">
        <f t="shared" si="24"/>
        <v>5</v>
      </c>
      <c r="D1588" t="s">
        <v>22</v>
      </c>
      <c r="E1588">
        <v>6</v>
      </c>
      <c r="F1588">
        <v>10</v>
      </c>
      <c r="G1588">
        <v>0.44800000000000001</v>
      </c>
      <c r="H1588">
        <v>0.32500000000000001</v>
      </c>
      <c r="I1588">
        <v>30.05</v>
      </c>
    </row>
    <row r="1589" spans="1:9" x14ac:dyDescent="0.3">
      <c r="A1589">
        <f>LOOKUP(9E+307,--MID(D1589,1,{1,2,3,4,5}))</f>
        <v>5</v>
      </c>
      <c r="B1589">
        <f>VLOOKUP(MID(D1589,LOOKUP(2,1/ISNUMBER(-MID(D1589,1,{1,2,3,4,5})),{1,2,3,4,5})+1,9),'Hue codes'!$A$1:$B$10,2,FALSE)</f>
        <v>0</v>
      </c>
      <c r="C1589">
        <f t="shared" si="24"/>
        <v>5</v>
      </c>
      <c r="D1589" t="s">
        <v>22</v>
      </c>
      <c r="E1589">
        <v>6</v>
      </c>
      <c r="F1589">
        <v>12</v>
      </c>
      <c r="G1589">
        <v>0.47599999999999998</v>
      </c>
      <c r="H1589">
        <v>0.32340000000000002</v>
      </c>
      <c r="I1589">
        <v>30.05</v>
      </c>
    </row>
    <row r="1590" spans="1:9" x14ac:dyDescent="0.3">
      <c r="A1590">
        <f>LOOKUP(9E+307,--MID(D1590,1,{1,2,3,4,5}))</f>
        <v>5</v>
      </c>
      <c r="B1590">
        <f>VLOOKUP(MID(D1590,LOOKUP(2,1/ISNUMBER(-MID(D1590,1,{1,2,3,4,5})),{1,2,3,4,5})+1,9),'Hue codes'!$A$1:$B$10,2,FALSE)</f>
        <v>0</v>
      </c>
      <c r="C1590">
        <f t="shared" si="24"/>
        <v>5</v>
      </c>
      <c r="D1590" t="s">
        <v>22</v>
      </c>
      <c r="E1590">
        <v>6</v>
      </c>
      <c r="F1590">
        <v>14</v>
      </c>
      <c r="G1590">
        <v>0.502</v>
      </c>
      <c r="H1590">
        <v>0.32119999999999999</v>
      </c>
      <c r="I1590">
        <v>30.05</v>
      </c>
    </row>
    <row r="1591" spans="1:9" x14ac:dyDescent="0.3">
      <c r="A1591">
        <f>LOOKUP(9E+307,--MID(D1591,1,{1,2,3,4,5}))</f>
        <v>5</v>
      </c>
      <c r="B1591">
        <f>VLOOKUP(MID(D1591,LOOKUP(2,1/ISNUMBER(-MID(D1591,1,{1,2,3,4,5})),{1,2,3,4,5})+1,9),'Hue codes'!$A$1:$B$10,2,FALSE)</f>
        <v>0</v>
      </c>
      <c r="C1591">
        <f t="shared" si="24"/>
        <v>5</v>
      </c>
      <c r="D1591" t="s">
        <v>22</v>
      </c>
      <c r="E1591">
        <v>6</v>
      </c>
      <c r="F1591">
        <v>16</v>
      </c>
      <c r="G1591">
        <v>0.52969999999999995</v>
      </c>
      <c r="H1591">
        <v>0.31790000000000002</v>
      </c>
      <c r="I1591">
        <v>30.05</v>
      </c>
    </row>
    <row r="1592" spans="1:9" x14ac:dyDescent="0.3">
      <c r="A1592">
        <f>LOOKUP(9E+307,--MID(D1592,1,{1,2,3,4,5}))</f>
        <v>5</v>
      </c>
      <c r="B1592">
        <f>VLOOKUP(MID(D1592,LOOKUP(2,1/ISNUMBER(-MID(D1592,1,{1,2,3,4,5})),{1,2,3,4,5})+1,9),'Hue codes'!$A$1:$B$10,2,FALSE)</f>
        <v>0</v>
      </c>
      <c r="C1592">
        <f t="shared" si="24"/>
        <v>5</v>
      </c>
      <c r="D1592" t="s">
        <v>22</v>
      </c>
      <c r="E1592">
        <v>6</v>
      </c>
      <c r="F1592">
        <v>18</v>
      </c>
      <c r="G1592">
        <v>0.55520000000000003</v>
      </c>
      <c r="H1592">
        <v>0.31380000000000002</v>
      </c>
      <c r="I1592">
        <v>30.05</v>
      </c>
    </row>
    <row r="1593" spans="1:9" x14ac:dyDescent="0.3">
      <c r="A1593">
        <f>LOOKUP(9E+307,--MID(D1593,1,{1,2,3,4,5}))</f>
        <v>7.5</v>
      </c>
      <c r="B1593">
        <f>VLOOKUP(MID(D1593,LOOKUP(2,1/ISNUMBER(-MID(D1593,1,{1,2,3,4,5})),{1,2,3,4,5})+1,9),'Hue codes'!$A$1:$B$10,2,FALSE)</f>
        <v>0</v>
      </c>
      <c r="C1593">
        <f t="shared" si="24"/>
        <v>7.5</v>
      </c>
      <c r="D1593" t="s">
        <v>23</v>
      </c>
      <c r="E1593">
        <v>6</v>
      </c>
      <c r="F1593">
        <v>2</v>
      </c>
      <c r="G1593">
        <v>0.33810000000000001</v>
      </c>
      <c r="H1593">
        <v>0.32279999999999998</v>
      </c>
      <c r="I1593">
        <v>30.05</v>
      </c>
    </row>
    <row r="1594" spans="1:9" x14ac:dyDescent="0.3">
      <c r="A1594">
        <f>LOOKUP(9E+307,--MID(D1594,1,{1,2,3,4,5}))</f>
        <v>7.5</v>
      </c>
      <c r="B1594">
        <f>VLOOKUP(MID(D1594,LOOKUP(2,1/ISNUMBER(-MID(D1594,1,{1,2,3,4,5})),{1,2,3,4,5})+1,9),'Hue codes'!$A$1:$B$10,2,FALSE)</f>
        <v>0</v>
      </c>
      <c r="C1594">
        <f t="shared" si="24"/>
        <v>7.5</v>
      </c>
      <c r="D1594" t="s">
        <v>23</v>
      </c>
      <c r="E1594">
        <v>6</v>
      </c>
      <c r="F1594">
        <v>4</v>
      </c>
      <c r="G1594">
        <v>0.36919999999999997</v>
      </c>
      <c r="H1594">
        <v>0.3291</v>
      </c>
      <c r="I1594">
        <v>30.05</v>
      </c>
    </row>
    <row r="1595" spans="1:9" x14ac:dyDescent="0.3">
      <c r="A1595">
        <f>LOOKUP(9E+307,--MID(D1595,1,{1,2,3,4,5}))</f>
        <v>7.5</v>
      </c>
      <c r="B1595">
        <f>VLOOKUP(MID(D1595,LOOKUP(2,1/ISNUMBER(-MID(D1595,1,{1,2,3,4,5})),{1,2,3,4,5})+1,9),'Hue codes'!$A$1:$B$10,2,FALSE)</f>
        <v>0</v>
      </c>
      <c r="C1595">
        <f t="shared" si="24"/>
        <v>7.5</v>
      </c>
      <c r="D1595" t="s">
        <v>23</v>
      </c>
      <c r="E1595">
        <v>6</v>
      </c>
      <c r="F1595">
        <v>6</v>
      </c>
      <c r="G1595">
        <v>0.4</v>
      </c>
      <c r="H1595">
        <v>0.33400000000000002</v>
      </c>
      <c r="I1595">
        <v>30.05</v>
      </c>
    </row>
    <row r="1596" spans="1:9" x14ac:dyDescent="0.3">
      <c r="A1596">
        <f>LOOKUP(9E+307,--MID(D1596,1,{1,2,3,4,5}))</f>
        <v>7.5</v>
      </c>
      <c r="B1596">
        <f>VLOOKUP(MID(D1596,LOOKUP(2,1/ISNUMBER(-MID(D1596,1,{1,2,3,4,5})),{1,2,3,4,5})+1,9),'Hue codes'!$A$1:$B$10,2,FALSE)</f>
        <v>0</v>
      </c>
      <c r="C1596">
        <f t="shared" si="24"/>
        <v>7.5</v>
      </c>
      <c r="D1596" t="s">
        <v>23</v>
      </c>
      <c r="E1596">
        <v>6</v>
      </c>
      <c r="F1596">
        <v>8</v>
      </c>
      <c r="G1596">
        <v>0.43180000000000002</v>
      </c>
      <c r="H1596">
        <v>0.33829999999999999</v>
      </c>
      <c r="I1596">
        <v>30.05</v>
      </c>
    </row>
    <row r="1597" spans="1:9" x14ac:dyDescent="0.3">
      <c r="A1597">
        <f>LOOKUP(9E+307,--MID(D1597,1,{1,2,3,4,5}))</f>
        <v>7.5</v>
      </c>
      <c r="B1597">
        <f>VLOOKUP(MID(D1597,LOOKUP(2,1/ISNUMBER(-MID(D1597,1,{1,2,3,4,5})),{1,2,3,4,5})+1,9),'Hue codes'!$A$1:$B$10,2,FALSE)</f>
        <v>0</v>
      </c>
      <c r="C1597">
        <f t="shared" si="24"/>
        <v>7.5</v>
      </c>
      <c r="D1597" t="s">
        <v>23</v>
      </c>
      <c r="E1597">
        <v>6</v>
      </c>
      <c r="F1597">
        <v>10</v>
      </c>
      <c r="G1597">
        <v>0.46550000000000002</v>
      </c>
      <c r="H1597">
        <v>0.3412</v>
      </c>
      <c r="I1597">
        <v>30.05</v>
      </c>
    </row>
    <row r="1598" spans="1:9" x14ac:dyDescent="0.3">
      <c r="A1598">
        <f>LOOKUP(9E+307,--MID(D1598,1,{1,2,3,4,5}))</f>
        <v>7.5</v>
      </c>
      <c r="B1598">
        <f>VLOOKUP(MID(D1598,LOOKUP(2,1/ISNUMBER(-MID(D1598,1,{1,2,3,4,5})),{1,2,3,4,5})+1,9),'Hue codes'!$A$1:$B$10,2,FALSE)</f>
        <v>0</v>
      </c>
      <c r="C1598">
        <f t="shared" si="24"/>
        <v>7.5</v>
      </c>
      <c r="D1598" t="s">
        <v>23</v>
      </c>
      <c r="E1598">
        <v>6</v>
      </c>
      <c r="F1598">
        <v>12</v>
      </c>
      <c r="G1598">
        <v>0.49609999999999999</v>
      </c>
      <c r="H1598">
        <v>0.34279999999999999</v>
      </c>
      <c r="I1598">
        <v>30.05</v>
      </c>
    </row>
    <row r="1599" spans="1:9" x14ac:dyDescent="0.3">
      <c r="A1599">
        <f>LOOKUP(9E+307,--MID(D1599,1,{1,2,3,4,5}))</f>
        <v>7.5</v>
      </c>
      <c r="B1599">
        <f>VLOOKUP(MID(D1599,LOOKUP(2,1/ISNUMBER(-MID(D1599,1,{1,2,3,4,5})),{1,2,3,4,5})+1,9),'Hue codes'!$A$1:$B$10,2,FALSE)</f>
        <v>0</v>
      </c>
      <c r="C1599">
        <f t="shared" si="24"/>
        <v>7.5</v>
      </c>
      <c r="D1599" t="s">
        <v>23</v>
      </c>
      <c r="E1599">
        <v>6</v>
      </c>
      <c r="F1599">
        <v>14</v>
      </c>
      <c r="G1599">
        <v>0.52649999999999997</v>
      </c>
      <c r="H1599">
        <v>0.34310000000000002</v>
      </c>
      <c r="I1599">
        <v>30.05</v>
      </c>
    </row>
    <row r="1600" spans="1:9" x14ac:dyDescent="0.3">
      <c r="A1600">
        <f>LOOKUP(9E+307,--MID(D1600,1,{1,2,3,4,5}))</f>
        <v>7.5</v>
      </c>
      <c r="B1600">
        <f>VLOOKUP(MID(D1600,LOOKUP(2,1/ISNUMBER(-MID(D1600,1,{1,2,3,4,5})),{1,2,3,4,5})+1,9),'Hue codes'!$A$1:$B$10,2,FALSE)</f>
        <v>0</v>
      </c>
      <c r="C1600">
        <f t="shared" si="24"/>
        <v>7.5</v>
      </c>
      <c r="D1600" t="s">
        <v>23</v>
      </c>
      <c r="E1600">
        <v>6</v>
      </c>
      <c r="F1600">
        <v>16</v>
      </c>
      <c r="G1600">
        <v>0.55600000000000005</v>
      </c>
      <c r="H1600">
        <v>0.34200000000000003</v>
      </c>
      <c r="I1600">
        <v>30.05</v>
      </c>
    </row>
    <row r="1601" spans="1:9" x14ac:dyDescent="0.3">
      <c r="A1601">
        <f>LOOKUP(9E+307,--MID(D1601,1,{1,2,3,4,5}))</f>
        <v>7.5</v>
      </c>
      <c r="B1601">
        <f>VLOOKUP(MID(D1601,LOOKUP(2,1/ISNUMBER(-MID(D1601,1,{1,2,3,4,5})),{1,2,3,4,5})+1,9),'Hue codes'!$A$1:$B$10,2,FALSE)</f>
        <v>0</v>
      </c>
      <c r="C1601">
        <f t="shared" si="24"/>
        <v>7.5</v>
      </c>
      <c r="D1601" t="s">
        <v>23</v>
      </c>
      <c r="E1601">
        <v>6</v>
      </c>
      <c r="F1601">
        <v>18</v>
      </c>
      <c r="G1601">
        <v>0.58289999999999997</v>
      </c>
      <c r="H1601">
        <v>0.33960000000000001</v>
      </c>
      <c r="I1601">
        <v>30.05</v>
      </c>
    </row>
    <row r="1602" spans="1:9" x14ac:dyDescent="0.3">
      <c r="A1602">
        <f>LOOKUP(9E+307,--MID(D1602,1,{1,2,3,4,5}))</f>
        <v>10</v>
      </c>
      <c r="B1602">
        <f>VLOOKUP(MID(D1602,LOOKUP(2,1/ISNUMBER(-MID(D1602,1,{1,2,3,4,5})),{1,2,3,4,5})+1,9),'Hue codes'!$A$1:$B$10,2,FALSE)</f>
        <v>0</v>
      </c>
      <c r="C1602">
        <f t="shared" si="24"/>
        <v>10</v>
      </c>
      <c r="D1602" t="s">
        <v>24</v>
      </c>
      <c r="E1602">
        <v>6</v>
      </c>
      <c r="F1602">
        <v>2</v>
      </c>
      <c r="G1602">
        <v>0.3417</v>
      </c>
      <c r="H1602">
        <v>0.32679999999999998</v>
      </c>
      <c r="I1602">
        <v>30.05</v>
      </c>
    </row>
    <row r="1603" spans="1:9" x14ac:dyDescent="0.3">
      <c r="A1603">
        <f>LOOKUP(9E+307,--MID(D1603,1,{1,2,3,4,5}))</f>
        <v>10</v>
      </c>
      <c r="B1603">
        <f>VLOOKUP(MID(D1603,LOOKUP(2,1/ISNUMBER(-MID(D1603,1,{1,2,3,4,5})),{1,2,3,4,5})+1,9),'Hue codes'!$A$1:$B$10,2,FALSE)</f>
        <v>0</v>
      </c>
      <c r="C1603">
        <f t="shared" ref="C1603:C1666" si="25">IF(A1603+B1603=100,0,A1603+B1603)</f>
        <v>10</v>
      </c>
      <c r="D1603" t="s">
        <v>24</v>
      </c>
      <c r="E1603">
        <v>6</v>
      </c>
      <c r="F1603">
        <v>4</v>
      </c>
      <c r="G1603">
        <v>0.37680000000000002</v>
      </c>
      <c r="H1603">
        <v>0.33810000000000001</v>
      </c>
      <c r="I1603">
        <v>30.05</v>
      </c>
    </row>
    <row r="1604" spans="1:9" x14ac:dyDescent="0.3">
      <c r="A1604">
        <f>LOOKUP(9E+307,--MID(D1604,1,{1,2,3,4,5}))</f>
        <v>10</v>
      </c>
      <c r="B1604">
        <f>VLOOKUP(MID(D1604,LOOKUP(2,1/ISNUMBER(-MID(D1604,1,{1,2,3,4,5})),{1,2,3,4,5})+1,9),'Hue codes'!$A$1:$B$10,2,FALSE)</f>
        <v>0</v>
      </c>
      <c r="C1604">
        <f t="shared" si="25"/>
        <v>10</v>
      </c>
      <c r="D1604" t="s">
        <v>24</v>
      </c>
      <c r="E1604">
        <v>6</v>
      </c>
      <c r="F1604">
        <v>6</v>
      </c>
      <c r="G1604">
        <v>0.4103</v>
      </c>
      <c r="H1604">
        <v>0.3473</v>
      </c>
      <c r="I1604">
        <v>30.05</v>
      </c>
    </row>
    <row r="1605" spans="1:9" x14ac:dyDescent="0.3">
      <c r="A1605">
        <f>LOOKUP(9E+307,--MID(D1605,1,{1,2,3,4,5}))</f>
        <v>10</v>
      </c>
      <c r="B1605">
        <f>VLOOKUP(MID(D1605,LOOKUP(2,1/ISNUMBER(-MID(D1605,1,{1,2,3,4,5})),{1,2,3,4,5})+1,9),'Hue codes'!$A$1:$B$10,2,FALSE)</f>
        <v>0</v>
      </c>
      <c r="C1605">
        <f t="shared" si="25"/>
        <v>10</v>
      </c>
      <c r="D1605" t="s">
        <v>24</v>
      </c>
      <c r="E1605">
        <v>6</v>
      </c>
      <c r="F1605">
        <v>8</v>
      </c>
      <c r="G1605">
        <v>0.44490000000000002</v>
      </c>
      <c r="H1605">
        <v>0.35499999999999998</v>
      </c>
      <c r="I1605">
        <v>30.05</v>
      </c>
    </row>
    <row r="1606" spans="1:9" x14ac:dyDescent="0.3">
      <c r="A1606">
        <f>LOOKUP(9E+307,--MID(D1606,1,{1,2,3,4,5}))</f>
        <v>10</v>
      </c>
      <c r="B1606">
        <f>VLOOKUP(MID(D1606,LOOKUP(2,1/ISNUMBER(-MID(D1606,1,{1,2,3,4,5})),{1,2,3,4,5})+1,9),'Hue codes'!$A$1:$B$10,2,FALSE)</f>
        <v>0</v>
      </c>
      <c r="C1606">
        <f t="shared" si="25"/>
        <v>10</v>
      </c>
      <c r="D1606" t="s">
        <v>24</v>
      </c>
      <c r="E1606">
        <v>6</v>
      </c>
      <c r="F1606">
        <v>10</v>
      </c>
      <c r="G1606">
        <v>0.48120000000000002</v>
      </c>
      <c r="H1606">
        <v>0.3619</v>
      </c>
      <c r="I1606">
        <v>30.05</v>
      </c>
    </row>
    <row r="1607" spans="1:9" x14ac:dyDescent="0.3">
      <c r="A1607">
        <f>LOOKUP(9E+307,--MID(D1607,1,{1,2,3,4,5}))</f>
        <v>10</v>
      </c>
      <c r="B1607">
        <f>VLOOKUP(MID(D1607,LOOKUP(2,1/ISNUMBER(-MID(D1607,1,{1,2,3,4,5})),{1,2,3,4,5})+1,9),'Hue codes'!$A$1:$B$10,2,FALSE)</f>
        <v>0</v>
      </c>
      <c r="C1607">
        <f t="shared" si="25"/>
        <v>10</v>
      </c>
      <c r="D1607" t="s">
        <v>24</v>
      </c>
      <c r="E1607">
        <v>6</v>
      </c>
      <c r="F1607">
        <v>12</v>
      </c>
      <c r="G1607">
        <v>0.51500000000000001</v>
      </c>
      <c r="H1607">
        <v>0.36670000000000003</v>
      </c>
      <c r="I1607">
        <v>30.05</v>
      </c>
    </row>
    <row r="1608" spans="1:9" x14ac:dyDescent="0.3">
      <c r="A1608">
        <f>LOOKUP(9E+307,--MID(D1608,1,{1,2,3,4,5}))</f>
        <v>10</v>
      </c>
      <c r="B1608">
        <f>VLOOKUP(MID(D1608,LOOKUP(2,1/ISNUMBER(-MID(D1608,1,{1,2,3,4,5})),{1,2,3,4,5})+1,9),'Hue codes'!$A$1:$B$10,2,FALSE)</f>
        <v>0</v>
      </c>
      <c r="C1608">
        <f t="shared" si="25"/>
        <v>10</v>
      </c>
      <c r="D1608" t="s">
        <v>24</v>
      </c>
      <c r="E1608">
        <v>6</v>
      </c>
      <c r="F1608">
        <v>14</v>
      </c>
      <c r="G1608">
        <v>0.54679999999999995</v>
      </c>
      <c r="H1608">
        <v>0.36969999999999997</v>
      </c>
      <c r="I1608">
        <v>30.05</v>
      </c>
    </row>
    <row r="1609" spans="1:9" x14ac:dyDescent="0.3">
      <c r="A1609">
        <f>LOOKUP(9E+307,--MID(D1609,1,{1,2,3,4,5}))</f>
        <v>10</v>
      </c>
      <c r="B1609">
        <f>VLOOKUP(MID(D1609,LOOKUP(2,1/ISNUMBER(-MID(D1609,1,{1,2,3,4,5})),{1,2,3,4,5})+1,9),'Hue codes'!$A$1:$B$10,2,FALSE)</f>
        <v>0</v>
      </c>
      <c r="C1609">
        <f t="shared" si="25"/>
        <v>10</v>
      </c>
      <c r="D1609" t="s">
        <v>24</v>
      </c>
      <c r="E1609">
        <v>6</v>
      </c>
      <c r="F1609">
        <v>16</v>
      </c>
      <c r="G1609">
        <v>0.57410000000000005</v>
      </c>
      <c r="H1609">
        <v>0.37130000000000002</v>
      </c>
      <c r="I1609">
        <v>30.05</v>
      </c>
    </row>
    <row r="1610" spans="1:9" x14ac:dyDescent="0.3">
      <c r="A1610">
        <f>LOOKUP(9E+307,--MID(D1610,1,{1,2,3,4,5}))</f>
        <v>10</v>
      </c>
      <c r="B1610">
        <f>VLOOKUP(MID(D1610,LOOKUP(2,1/ISNUMBER(-MID(D1610,1,{1,2,3,4,5})),{1,2,3,4,5})+1,9),'Hue codes'!$A$1:$B$10,2,FALSE)</f>
        <v>0</v>
      </c>
      <c r="C1610">
        <f t="shared" si="25"/>
        <v>10</v>
      </c>
      <c r="D1610" t="s">
        <v>24</v>
      </c>
      <c r="E1610">
        <v>6</v>
      </c>
      <c r="F1610">
        <v>18</v>
      </c>
      <c r="G1610">
        <v>0.60089999999999999</v>
      </c>
      <c r="H1610">
        <v>0.372</v>
      </c>
      <c r="I1610">
        <v>30.05</v>
      </c>
    </row>
    <row r="1611" spans="1:9" x14ac:dyDescent="0.3">
      <c r="A1611">
        <f>LOOKUP(9E+307,--MID(D1611,1,{1,2,3,4,5}))</f>
        <v>2.5</v>
      </c>
      <c r="B1611">
        <f>VLOOKUP(MID(D1611,LOOKUP(2,1/ISNUMBER(-MID(D1611,1,{1,2,3,4,5})),{1,2,3,4,5})+1,9),'Hue codes'!$A$1:$B$10,2,FALSE)</f>
        <v>10</v>
      </c>
      <c r="C1611">
        <f t="shared" si="25"/>
        <v>12.5</v>
      </c>
      <c r="D1611" t="s">
        <v>25</v>
      </c>
      <c r="E1611">
        <v>6</v>
      </c>
      <c r="F1611">
        <v>2</v>
      </c>
      <c r="G1611">
        <v>0.3453</v>
      </c>
      <c r="H1611">
        <v>0.33210000000000001</v>
      </c>
      <c r="I1611">
        <v>30.05</v>
      </c>
    </row>
    <row r="1612" spans="1:9" x14ac:dyDescent="0.3">
      <c r="A1612">
        <f>LOOKUP(9E+307,--MID(D1612,1,{1,2,3,4,5}))</f>
        <v>2.5</v>
      </c>
      <c r="B1612">
        <f>VLOOKUP(MID(D1612,LOOKUP(2,1/ISNUMBER(-MID(D1612,1,{1,2,3,4,5})),{1,2,3,4,5})+1,9),'Hue codes'!$A$1:$B$10,2,FALSE)</f>
        <v>10</v>
      </c>
      <c r="C1612">
        <f t="shared" si="25"/>
        <v>12.5</v>
      </c>
      <c r="D1612" t="s">
        <v>25</v>
      </c>
      <c r="E1612">
        <v>6</v>
      </c>
      <c r="F1612">
        <v>4</v>
      </c>
      <c r="G1612">
        <v>0.38059999999999999</v>
      </c>
      <c r="H1612">
        <v>0.34670000000000001</v>
      </c>
      <c r="I1612">
        <v>30.05</v>
      </c>
    </row>
    <row r="1613" spans="1:9" x14ac:dyDescent="0.3">
      <c r="A1613">
        <f>LOOKUP(9E+307,--MID(D1613,1,{1,2,3,4,5}))</f>
        <v>2.5</v>
      </c>
      <c r="B1613">
        <f>VLOOKUP(MID(D1613,LOOKUP(2,1/ISNUMBER(-MID(D1613,1,{1,2,3,4,5})),{1,2,3,4,5})+1,9),'Hue codes'!$A$1:$B$10,2,FALSE)</f>
        <v>10</v>
      </c>
      <c r="C1613">
        <f t="shared" si="25"/>
        <v>12.5</v>
      </c>
      <c r="D1613" t="s">
        <v>25</v>
      </c>
      <c r="E1613">
        <v>6</v>
      </c>
      <c r="F1613">
        <v>6</v>
      </c>
      <c r="G1613">
        <v>0.41799999999999998</v>
      </c>
      <c r="H1613">
        <v>0.36</v>
      </c>
      <c r="I1613">
        <v>30.05</v>
      </c>
    </row>
    <row r="1614" spans="1:9" x14ac:dyDescent="0.3">
      <c r="A1614">
        <f>LOOKUP(9E+307,--MID(D1614,1,{1,2,3,4,5}))</f>
        <v>2.5</v>
      </c>
      <c r="B1614">
        <f>VLOOKUP(MID(D1614,LOOKUP(2,1/ISNUMBER(-MID(D1614,1,{1,2,3,4,5})),{1,2,3,4,5})+1,9),'Hue codes'!$A$1:$B$10,2,FALSE)</f>
        <v>10</v>
      </c>
      <c r="C1614">
        <f t="shared" si="25"/>
        <v>12.5</v>
      </c>
      <c r="D1614" t="s">
        <v>25</v>
      </c>
      <c r="E1614">
        <v>6</v>
      </c>
      <c r="F1614">
        <v>8</v>
      </c>
      <c r="G1614">
        <v>0.45329999999999998</v>
      </c>
      <c r="H1614">
        <v>0.37080000000000002</v>
      </c>
      <c r="I1614">
        <v>30.05</v>
      </c>
    </row>
    <row r="1615" spans="1:9" x14ac:dyDescent="0.3">
      <c r="A1615">
        <f>LOOKUP(9E+307,--MID(D1615,1,{1,2,3,4,5}))</f>
        <v>2.5</v>
      </c>
      <c r="B1615">
        <f>VLOOKUP(MID(D1615,LOOKUP(2,1/ISNUMBER(-MID(D1615,1,{1,2,3,4,5})),{1,2,3,4,5})+1,9),'Hue codes'!$A$1:$B$10,2,FALSE)</f>
        <v>10</v>
      </c>
      <c r="C1615">
        <f t="shared" si="25"/>
        <v>12.5</v>
      </c>
      <c r="D1615" t="s">
        <v>25</v>
      </c>
      <c r="E1615">
        <v>6</v>
      </c>
      <c r="F1615">
        <v>10</v>
      </c>
      <c r="G1615">
        <v>0.48909999999999998</v>
      </c>
      <c r="H1615">
        <v>0.38059999999999999</v>
      </c>
      <c r="I1615">
        <v>30.05</v>
      </c>
    </row>
    <row r="1616" spans="1:9" x14ac:dyDescent="0.3">
      <c r="A1616">
        <f>LOOKUP(9E+307,--MID(D1616,1,{1,2,3,4,5}))</f>
        <v>2.5</v>
      </c>
      <c r="B1616">
        <f>VLOOKUP(MID(D1616,LOOKUP(2,1/ISNUMBER(-MID(D1616,1,{1,2,3,4,5})),{1,2,3,4,5})+1,9),'Hue codes'!$A$1:$B$10,2,FALSE)</f>
        <v>10</v>
      </c>
      <c r="C1616">
        <f t="shared" si="25"/>
        <v>12.5</v>
      </c>
      <c r="D1616" t="s">
        <v>25</v>
      </c>
      <c r="E1616">
        <v>6</v>
      </c>
      <c r="F1616">
        <v>12</v>
      </c>
      <c r="G1616">
        <v>0.52149999999999996</v>
      </c>
      <c r="H1616">
        <v>0.38869999999999999</v>
      </c>
      <c r="I1616">
        <v>30.05</v>
      </c>
    </row>
    <row r="1617" spans="1:9" x14ac:dyDescent="0.3">
      <c r="A1617">
        <f>LOOKUP(9E+307,--MID(D1617,1,{1,2,3,4,5}))</f>
        <v>2.5</v>
      </c>
      <c r="B1617">
        <f>VLOOKUP(MID(D1617,LOOKUP(2,1/ISNUMBER(-MID(D1617,1,{1,2,3,4,5})),{1,2,3,4,5})+1,9),'Hue codes'!$A$1:$B$10,2,FALSE)</f>
        <v>10</v>
      </c>
      <c r="C1617">
        <f t="shared" si="25"/>
        <v>12.5</v>
      </c>
      <c r="D1617" t="s">
        <v>25</v>
      </c>
      <c r="E1617">
        <v>6</v>
      </c>
      <c r="F1617">
        <v>14</v>
      </c>
      <c r="G1617">
        <v>0.54879999999999995</v>
      </c>
      <c r="H1617">
        <v>0.3947</v>
      </c>
      <c r="I1617">
        <v>30.05</v>
      </c>
    </row>
    <row r="1618" spans="1:9" x14ac:dyDescent="0.3">
      <c r="A1618">
        <f>LOOKUP(9E+307,--MID(D1618,1,{1,2,3,4,5}))</f>
        <v>2.5</v>
      </c>
      <c r="B1618">
        <f>VLOOKUP(MID(D1618,LOOKUP(2,1/ISNUMBER(-MID(D1618,1,{1,2,3,4,5})),{1,2,3,4,5})+1,9),'Hue codes'!$A$1:$B$10,2,FALSE)</f>
        <v>10</v>
      </c>
      <c r="C1618">
        <f t="shared" si="25"/>
        <v>12.5</v>
      </c>
      <c r="D1618" t="s">
        <v>25</v>
      </c>
      <c r="E1618">
        <v>6</v>
      </c>
      <c r="F1618">
        <v>16</v>
      </c>
      <c r="G1618">
        <v>0.56979999999999997</v>
      </c>
      <c r="H1618">
        <v>0.39900000000000002</v>
      </c>
      <c r="I1618">
        <v>30.05</v>
      </c>
    </row>
    <row r="1619" spans="1:9" x14ac:dyDescent="0.3">
      <c r="A1619">
        <f>LOOKUP(9E+307,--MID(D1619,1,{1,2,3,4,5}))</f>
        <v>2.5</v>
      </c>
      <c r="B1619">
        <f>VLOOKUP(MID(D1619,LOOKUP(2,1/ISNUMBER(-MID(D1619,1,{1,2,3,4,5})),{1,2,3,4,5})+1,9),'Hue codes'!$A$1:$B$10,2,FALSE)</f>
        <v>10</v>
      </c>
      <c r="C1619">
        <f t="shared" si="25"/>
        <v>12.5</v>
      </c>
      <c r="D1619" t="s">
        <v>25</v>
      </c>
      <c r="E1619">
        <v>6</v>
      </c>
      <c r="F1619">
        <v>18</v>
      </c>
      <c r="G1619">
        <v>0.58789999999999998</v>
      </c>
      <c r="H1619">
        <v>0.40210000000000001</v>
      </c>
      <c r="I1619">
        <v>30.05</v>
      </c>
    </row>
    <row r="1620" spans="1:9" x14ac:dyDescent="0.3">
      <c r="A1620">
        <f>LOOKUP(9E+307,--MID(D1620,1,{1,2,3,4,5}))</f>
        <v>5</v>
      </c>
      <c r="B1620">
        <f>VLOOKUP(MID(D1620,LOOKUP(2,1/ISNUMBER(-MID(D1620,1,{1,2,3,4,5})),{1,2,3,4,5})+1,9),'Hue codes'!$A$1:$B$10,2,FALSE)</f>
        <v>10</v>
      </c>
      <c r="C1620">
        <f t="shared" si="25"/>
        <v>15</v>
      </c>
      <c r="D1620" t="s">
        <v>26</v>
      </c>
      <c r="E1620">
        <v>6</v>
      </c>
      <c r="F1620">
        <v>2</v>
      </c>
      <c r="G1620">
        <v>0.34739999999999999</v>
      </c>
      <c r="H1620">
        <v>0.33729999999999999</v>
      </c>
      <c r="I1620">
        <v>30.05</v>
      </c>
    </row>
    <row r="1621" spans="1:9" x14ac:dyDescent="0.3">
      <c r="A1621">
        <f>LOOKUP(9E+307,--MID(D1621,1,{1,2,3,4,5}))</f>
        <v>5</v>
      </c>
      <c r="B1621">
        <f>VLOOKUP(MID(D1621,LOOKUP(2,1/ISNUMBER(-MID(D1621,1,{1,2,3,4,5})),{1,2,3,4,5})+1,9),'Hue codes'!$A$1:$B$10,2,FALSE)</f>
        <v>10</v>
      </c>
      <c r="C1621">
        <f t="shared" si="25"/>
        <v>15</v>
      </c>
      <c r="D1621" t="s">
        <v>26</v>
      </c>
      <c r="E1621">
        <v>6</v>
      </c>
      <c r="F1621">
        <v>4</v>
      </c>
      <c r="G1621">
        <v>0.38400000000000001</v>
      </c>
      <c r="H1621">
        <v>0.35639999999999999</v>
      </c>
      <c r="I1621">
        <v>30.05</v>
      </c>
    </row>
    <row r="1622" spans="1:9" x14ac:dyDescent="0.3">
      <c r="A1622">
        <f>LOOKUP(9E+307,--MID(D1622,1,{1,2,3,4,5}))</f>
        <v>5</v>
      </c>
      <c r="B1622">
        <f>VLOOKUP(MID(D1622,LOOKUP(2,1/ISNUMBER(-MID(D1622,1,{1,2,3,4,5})),{1,2,3,4,5})+1,9),'Hue codes'!$A$1:$B$10,2,FALSE)</f>
        <v>10</v>
      </c>
      <c r="C1622">
        <f t="shared" si="25"/>
        <v>15</v>
      </c>
      <c r="D1622" t="s">
        <v>26</v>
      </c>
      <c r="E1622">
        <v>6</v>
      </c>
      <c r="F1622">
        <v>6</v>
      </c>
      <c r="G1622">
        <v>0.4229</v>
      </c>
      <c r="H1622">
        <v>0.375</v>
      </c>
      <c r="I1622">
        <v>30.05</v>
      </c>
    </row>
    <row r="1623" spans="1:9" x14ac:dyDescent="0.3">
      <c r="A1623">
        <f>LOOKUP(9E+307,--MID(D1623,1,{1,2,3,4,5}))</f>
        <v>5</v>
      </c>
      <c r="B1623">
        <f>VLOOKUP(MID(D1623,LOOKUP(2,1/ISNUMBER(-MID(D1623,1,{1,2,3,4,5})),{1,2,3,4,5})+1,9),'Hue codes'!$A$1:$B$10,2,FALSE)</f>
        <v>10</v>
      </c>
      <c r="C1623">
        <f t="shared" si="25"/>
        <v>15</v>
      </c>
      <c r="D1623" t="s">
        <v>26</v>
      </c>
      <c r="E1623">
        <v>6</v>
      </c>
      <c r="F1623">
        <v>8</v>
      </c>
      <c r="G1623">
        <v>0.4592</v>
      </c>
      <c r="H1623">
        <v>0.39</v>
      </c>
      <c r="I1623">
        <v>30.05</v>
      </c>
    </row>
    <row r="1624" spans="1:9" x14ac:dyDescent="0.3">
      <c r="A1624">
        <f>LOOKUP(9E+307,--MID(D1624,1,{1,2,3,4,5}))</f>
        <v>5</v>
      </c>
      <c r="B1624">
        <f>VLOOKUP(MID(D1624,LOOKUP(2,1/ISNUMBER(-MID(D1624,1,{1,2,3,4,5})),{1,2,3,4,5})+1,9),'Hue codes'!$A$1:$B$10,2,FALSE)</f>
        <v>10</v>
      </c>
      <c r="C1624">
        <f t="shared" si="25"/>
        <v>15</v>
      </c>
      <c r="D1624" t="s">
        <v>26</v>
      </c>
      <c r="E1624">
        <v>6</v>
      </c>
      <c r="F1624">
        <v>10</v>
      </c>
      <c r="G1624">
        <v>0.49209999999999998</v>
      </c>
      <c r="H1624">
        <v>0.4022</v>
      </c>
      <c r="I1624">
        <v>30.05</v>
      </c>
    </row>
    <row r="1625" spans="1:9" x14ac:dyDescent="0.3">
      <c r="A1625">
        <f>LOOKUP(9E+307,--MID(D1625,1,{1,2,3,4,5}))</f>
        <v>5</v>
      </c>
      <c r="B1625">
        <f>VLOOKUP(MID(D1625,LOOKUP(2,1/ISNUMBER(-MID(D1625,1,{1,2,3,4,5})),{1,2,3,4,5})+1,9),'Hue codes'!$A$1:$B$10,2,FALSE)</f>
        <v>10</v>
      </c>
      <c r="C1625">
        <f t="shared" si="25"/>
        <v>15</v>
      </c>
      <c r="D1625" t="s">
        <v>26</v>
      </c>
      <c r="E1625">
        <v>6</v>
      </c>
      <c r="F1625">
        <v>12</v>
      </c>
      <c r="G1625">
        <v>0.51990000000000003</v>
      </c>
      <c r="H1625">
        <v>0.41189999999999999</v>
      </c>
      <c r="I1625">
        <v>30.05</v>
      </c>
    </row>
    <row r="1626" spans="1:9" x14ac:dyDescent="0.3">
      <c r="A1626">
        <f>LOOKUP(9E+307,--MID(D1626,1,{1,2,3,4,5}))</f>
        <v>5</v>
      </c>
      <c r="B1626">
        <f>VLOOKUP(MID(D1626,LOOKUP(2,1/ISNUMBER(-MID(D1626,1,{1,2,3,4,5})),{1,2,3,4,5})+1,9),'Hue codes'!$A$1:$B$10,2,FALSE)</f>
        <v>10</v>
      </c>
      <c r="C1626">
        <f t="shared" si="25"/>
        <v>15</v>
      </c>
      <c r="D1626" t="s">
        <v>26</v>
      </c>
      <c r="E1626">
        <v>6</v>
      </c>
      <c r="F1626">
        <v>14</v>
      </c>
      <c r="G1626">
        <v>0.5423</v>
      </c>
      <c r="H1626">
        <v>0.41880000000000001</v>
      </c>
      <c r="I1626">
        <v>30.05</v>
      </c>
    </row>
    <row r="1627" spans="1:9" x14ac:dyDescent="0.3">
      <c r="A1627">
        <f>LOOKUP(9E+307,--MID(D1627,1,{1,2,3,4,5}))</f>
        <v>5</v>
      </c>
      <c r="B1627">
        <f>VLOOKUP(MID(D1627,LOOKUP(2,1/ISNUMBER(-MID(D1627,1,{1,2,3,4,5})),{1,2,3,4,5})+1,9),'Hue codes'!$A$1:$B$10,2,FALSE)</f>
        <v>10</v>
      </c>
      <c r="C1627">
        <f t="shared" si="25"/>
        <v>15</v>
      </c>
      <c r="D1627" t="s">
        <v>26</v>
      </c>
      <c r="E1627">
        <v>6</v>
      </c>
      <c r="F1627">
        <v>16</v>
      </c>
      <c r="G1627">
        <v>0.55969999999999998</v>
      </c>
      <c r="H1627">
        <v>0.4239</v>
      </c>
      <c r="I1627">
        <v>30.05</v>
      </c>
    </row>
    <row r="1628" spans="1:9" x14ac:dyDescent="0.3">
      <c r="A1628">
        <f>LOOKUP(9E+307,--MID(D1628,1,{1,2,3,4,5}))</f>
        <v>5</v>
      </c>
      <c r="B1628">
        <f>VLOOKUP(MID(D1628,LOOKUP(2,1/ISNUMBER(-MID(D1628,1,{1,2,3,4,5})),{1,2,3,4,5})+1,9),'Hue codes'!$A$1:$B$10,2,FALSE)</f>
        <v>10</v>
      </c>
      <c r="C1628">
        <f t="shared" si="25"/>
        <v>15</v>
      </c>
      <c r="D1628" t="s">
        <v>26</v>
      </c>
      <c r="E1628">
        <v>6</v>
      </c>
      <c r="F1628">
        <v>18</v>
      </c>
      <c r="G1628">
        <v>0.57150000000000001</v>
      </c>
      <c r="H1628">
        <v>0.42699999999999999</v>
      </c>
      <c r="I1628">
        <v>30.05</v>
      </c>
    </row>
    <row r="1629" spans="1:9" x14ac:dyDescent="0.3">
      <c r="A1629">
        <f>LOOKUP(9E+307,--MID(D1629,1,{1,2,3,4,5}))</f>
        <v>7.5</v>
      </c>
      <c r="B1629">
        <f>VLOOKUP(MID(D1629,LOOKUP(2,1/ISNUMBER(-MID(D1629,1,{1,2,3,4,5})),{1,2,3,4,5})+1,9),'Hue codes'!$A$1:$B$10,2,FALSE)</f>
        <v>10</v>
      </c>
      <c r="C1629">
        <f t="shared" si="25"/>
        <v>17.5</v>
      </c>
      <c r="D1629" t="s">
        <v>27</v>
      </c>
      <c r="E1629">
        <v>6</v>
      </c>
      <c r="F1629">
        <v>2</v>
      </c>
      <c r="G1629">
        <v>0.34870000000000001</v>
      </c>
      <c r="H1629">
        <v>0.34210000000000002</v>
      </c>
      <c r="I1629">
        <v>30.05</v>
      </c>
    </row>
    <row r="1630" spans="1:9" x14ac:dyDescent="0.3">
      <c r="A1630">
        <f>LOOKUP(9E+307,--MID(D1630,1,{1,2,3,4,5}))</f>
        <v>7.5</v>
      </c>
      <c r="B1630">
        <f>VLOOKUP(MID(D1630,LOOKUP(2,1/ISNUMBER(-MID(D1630,1,{1,2,3,4,5})),{1,2,3,4,5})+1,9),'Hue codes'!$A$1:$B$10,2,FALSE)</f>
        <v>10</v>
      </c>
      <c r="C1630">
        <f t="shared" si="25"/>
        <v>17.5</v>
      </c>
      <c r="D1630" t="s">
        <v>27</v>
      </c>
      <c r="E1630">
        <v>6</v>
      </c>
      <c r="F1630">
        <v>4</v>
      </c>
      <c r="G1630">
        <v>0.38600000000000001</v>
      </c>
      <c r="H1630">
        <v>0.36520000000000002</v>
      </c>
      <c r="I1630">
        <v>30.05</v>
      </c>
    </row>
    <row r="1631" spans="1:9" x14ac:dyDescent="0.3">
      <c r="A1631">
        <f>LOOKUP(9E+307,--MID(D1631,1,{1,2,3,4,5}))</f>
        <v>7.5</v>
      </c>
      <c r="B1631">
        <f>VLOOKUP(MID(D1631,LOOKUP(2,1/ISNUMBER(-MID(D1631,1,{1,2,3,4,5})),{1,2,3,4,5})+1,9),'Hue codes'!$A$1:$B$10,2,FALSE)</f>
        <v>10</v>
      </c>
      <c r="C1631">
        <f t="shared" si="25"/>
        <v>17.5</v>
      </c>
      <c r="D1631" t="s">
        <v>27</v>
      </c>
      <c r="E1631">
        <v>6</v>
      </c>
      <c r="F1631">
        <v>6</v>
      </c>
      <c r="G1631">
        <v>0.42420000000000002</v>
      </c>
      <c r="H1631">
        <v>0.3876</v>
      </c>
      <c r="I1631">
        <v>30.05</v>
      </c>
    </row>
    <row r="1632" spans="1:9" x14ac:dyDescent="0.3">
      <c r="A1632">
        <f>LOOKUP(9E+307,--MID(D1632,1,{1,2,3,4,5}))</f>
        <v>7.5</v>
      </c>
      <c r="B1632">
        <f>VLOOKUP(MID(D1632,LOOKUP(2,1/ISNUMBER(-MID(D1632,1,{1,2,3,4,5})),{1,2,3,4,5})+1,9),'Hue codes'!$A$1:$B$10,2,FALSE)</f>
        <v>10</v>
      </c>
      <c r="C1632">
        <f t="shared" si="25"/>
        <v>17.5</v>
      </c>
      <c r="D1632" t="s">
        <v>27</v>
      </c>
      <c r="E1632">
        <v>6</v>
      </c>
      <c r="F1632">
        <v>8</v>
      </c>
      <c r="G1632">
        <v>0.45960000000000001</v>
      </c>
      <c r="H1632">
        <v>0.40639999999999998</v>
      </c>
      <c r="I1632">
        <v>30.05</v>
      </c>
    </row>
    <row r="1633" spans="1:9" x14ac:dyDescent="0.3">
      <c r="A1633">
        <f>LOOKUP(9E+307,--MID(D1633,1,{1,2,3,4,5}))</f>
        <v>7.5</v>
      </c>
      <c r="B1633">
        <f>VLOOKUP(MID(D1633,LOOKUP(2,1/ISNUMBER(-MID(D1633,1,{1,2,3,4,5})),{1,2,3,4,5})+1,9),'Hue codes'!$A$1:$B$10,2,FALSE)</f>
        <v>10</v>
      </c>
      <c r="C1633">
        <f t="shared" si="25"/>
        <v>17.5</v>
      </c>
      <c r="D1633" t="s">
        <v>27</v>
      </c>
      <c r="E1633">
        <v>6</v>
      </c>
      <c r="F1633">
        <v>10</v>
      </c>
      <c r="G1633">
        <v>0.4904</v>
      </c>
      <c r="H1633">
        <v>0.42199999999999999</v>
      </c>
      <c r="I1633">
        <v>30.05</v>
      </c>
    </row>
    <row r="1634" spans="1:9" x14ac:dyDescent="0.3">
      <c r="A1634">
        <f>LOOKUP(9E+307,--MID(D1634,1,{1,2,3,4,5}))</f>
        <v>7.5</v>
      </c>
      <c r="B1634">
        <f>VLOOKUP(MID(D1634,LOOKUP(2,1/ISNUMBER(-MID(D1634,1,{1,2,3,4,5})),{1,2,3,4,5})+1,9),'Hue codes'!$A$1:$B$10,2,FALSE)</f>
        <v>10</v>
      </c>
      <c r="C1634">
        <f t="shared" si="25"/>
        <v>17.5</v>
      </c>
      <c r="D1634" t="s">
        <v>27</v>
      </c>
      <c r="E1634">
        <v>6</v>
      </c>
      <c r="F1634">
        <v>12</v>
      </c>
      <c r="G1634">
        <v>0.51449999999999996</v>
      </c>
      <c r="H1634">
        <v>0.43309999999999998</v>
      </c>
      <c r="I1634">
        <v>30.05</v>
      </c>
    </row>
    <row r="1635" spans="1:9" x14ac:dyDescent="0.3">
      <c r="A1635">
        <f>LOOKUP(9E+307,--MID(D1635,1,{1,2,3,4,5}))</f>
        <v>7.5</v>
      </c>
      <c r="B1635">
        <f>VLOOKUP(MID(D1635,LOOKUP(2,1/ISNUMBER(-MID(D1635,1,{1,2,3,4,5})),{1,2,3,4,5})+1,9),'Hue codes'!$A$1:$B$10,2,FALSE)</f>
        <v>10</v>
      </c>
      <c r="C1635">
        <f t="shared" si="25"/>
        <v>17.5</v>
      </c>
      <c r="D1635" t="s">
        <v>27</v>
      </c>
      <c r="E1635">
        <v>6</v>
      </c>
      <c r="F1635">
        <v>14</v>
      </c>
      <c r="G1635">
        <v>0.53200000000000003</v>
      </c>
      <c r="H1635">
        <v>0.44119999999999998</v>
      </c>
      <c r="I1635">
        <v>30.05</v>
      </c>
    </row>
    <row r="1636" spans="1:9" x14ac:dyDescent="0.3">
      <c r="A1636">
        <f>LOOKUP(9E+307,--MID(D1636,1,{1,2,3,4,5}))</f>
        <v>7.5</v>
      </c>
      <c r="B1636">
        <f>VLOOKUP(MID(D1636,LOOKUP(2,1/ISNUMBER(-MID(D1636,1,{1,2,3,4,5})),{1,2,3,4,5})+1,9),'Hue codes'!$A$1:$B$10,2,FALSE)</f>
        <v>10</v>
      </c>
      <c r="C1636">
        <f t="shared" si="25"/>
        <v>17.5</v>
      </c>
      <c r="D1636" t="s">
        <v>27</v>
      </c>
      <c r="E1636">
        <v>6</v>
      </c>
      <c r="F1636">
        <v>16</v>
      </c>
      <c r="G1636">
        <v>0.54679999999999995</v>
      </c>
      <c r="H1636">
        <v>0.44779999999999998</v>
      </c>
      <c r="I1636">
        <v>30.05</v>
      </c>
    </row>
    <row r="1637" spans="1:9" x14ac:dyDescent="0.3">
      <c r="A1637">
        <f>LOOKUP(9E+307,--MID(D1637,1,{1,2,3,4,5}))</f>
        <v>10</v>
      </c>
      <c r="B1637">
        <f>VLOOKUP(MID(D1637,LOOKUP(2,1/ISNUMBER(-MID(D1637,1,{1,2,3,4,5})),{1,2,3,4,5})+1,9),'Hue codes'!$A$1:$B$10,2,FALSE)</f>
        <v>10</v>
      </c>
      <c r="C1637">
        <f t="shared" si="25"/>
        <v>20</v>
      </c>
      <c r="D1637" t="s">
        <v>28</v>
      </c>
      <c r="E1637">
        <v>6</v>
      </c>
      <c r="F1637">
        <v>2</v>
      </c>
      <c r="G1637">
        <v>0.34910000000000002</v>
      </c>
      <c r="H1637">
        <v>0.3483</v>
      </c>
      <c r="I1637">
        <v>30.05</v>
      </c>
    </row>
    <row r="1638" spans="1:9" x14ac:dyDescent="0.3">
      <c r="A1638">
        <f>LOOKUP(9E+307,--MID(D1638,1,{1,2,3,4,5}))</f>
        <v>10</v>
      </c>
      <c r="B1638">
        <f>VLOOKUP(MID(D1638,LOOKUP(2,1/ISNUMBER(-MID(D1638,1,{1,2,3,4,5})),{1,2,3,4,5})+1,9),'Hue codes'!$A$1:$B$10,2,FALSE)</f>
        <v>10</v>
      </c>
      <c r="C1638">
        <f t="shared" si="25"/>
        <v>20</v>
      </c>
      <c r="D1638" t="s">
        <v>28</v>
      </c>
      <c r="E1638">
        <v>6</v>
      </c>
      <c r="F1638">
        <v>4</v>
      </c>
      <c r="G1638">
        <v>0.3861</v>
      </c>
      <c r="H1638">
        <v>0.37669999999999998</v>
      </c>
      <c r="I1638">
        <v>30.05</v>
      </c>
    </row>
    <row r="1639" spans="1:9" x14ac:dyDescent="0.3">
      <c r="A1639">
        <f>LOOKUP(9E+307,--MID(D1639,1,{1,2,3,4,5}))</f>
        <v>10</v>
      </c>
      <c r="B1639">
        <f>VLOOKUP(MID(D1639,LOOKUP(2,1/ISNUMBER(-MID(D1639,1,{1,2,3,4,5})),{1,2,3,4,5})+1,9),'Hue codes'!$A$1:$B$10,2,FALSE)</f>
        <v>10</v>
      </c>
      <c r="C1639">
        <f t="shared" si="25"/>
        <v>20</v>
      </c>
      <c r="D1639" t="s">
        <v>28</v>
      </c>
      <c r="E1639">
        <v>6</v>
      </c>
      <c r="F1639">
        <v>6</v>
      </c>
      <c r="G1639">
        <v>0.42399999999999999</v>
      </c>
      <c r="H1639">
        <v>0.40300000000000002</v>
      </c>
      <c r="I1639">
        <v>30.05</v>
      </c>
    </row>
    <row r="1640" spans="1:9" x14ac:dyDescent="0.3">
      <c r="A1640">
        <f>LOOKUP(9E+307,--MID(D1640,1,{1,2,3,4,5}))</f>
        <v>10</v>
      </c>
      <c r="B1640">
        <f>VLOOKUP(MID(D1640,LOOKUP(2,1/ISNUMBER(-MID(D1640,1,{1,2,3,4,5})),{1,2,3,4,5})+1,9),'Hue codes'!$A$1:$B$10,2,FALSE)</f>
        <v>10</v>
      </c>
      <c r="C1640">
        <f t="shared" si="25"/>
        <v>20</v>
      </c>
      <c r="D1640" t="s">
        <v>28</v>
      </c>
      <c r="E1640">
        <v>6</v>
      </c>
      <c r="F1640">
        <v>8</v>
      </c>
      <c r="G1640">
        <v>0.45700000000000002</v>
      </c>
      <c r="H1640">
        <v>0.4249</v>
      </c>
      <c r="I1640">
        <v>30.05</v>
      </c>
    </row>
    <row r="1641" spans="1:9" x14ac:dyDescent="0.3">
      <c r="A1641">
        <f>LOOKUP(9E+307,--MID(D1641,1,{1,2,3,4,5}))</f>
        <v>10</v>
      </c>
      <c r="B1641">
        <f>VLOOKUP(MID(D1641,LOOKUP(2,1/ISNUMBER(-MID(D1641,1,{1,2,3,4,5})),{1,2,3,4,5})+1,9),'Hue codes'!$A$1:$B$10,2,FALSE)</f>
        <v>10</v>
      </c>
      <c r="C1641">
        <f t="shared" si="25"/>
        <v>20</v>
      </c>
      <c r="D1641" t="s">
        <v>28</v>
      </c>
      <c r="E1641">
        <v>6</v>
      </c>
      <c r="F1641">
        <v>10</v>
      </c>
      <c r="G1641">
        <v>0.48430000000000001</v>
      </c>
      <c r="H1641">
        <v>0.44159999999999999</v>
      </c>
      <c r="I1641">
        <v>30.05</v>
      </c>
    </row>
    <row r="1642" spans="1:9" x14ac:dyDescent="0.3">
      <c r="A1642">
        <f>LOOKUP(9E+307,--MID(D1642,1,{1,2,3,4,5}))</f>
        <v>10</v>
      </c>
      <c r="B1642">
        <f>VLOOKUP(MID(D1642,LOOKUP(2,1/ISNUMBER(-MID(D1642,1,{1,2,3,4,5})),{1,2,3,4,5})+1,9),'Hue codes'!$A$1:$B$10,2,FALSE)</f>
        <v>10</v>
      </c>
      <c r="C1642">
        <f t="shared" si="25"/>
        <v>20</v>
      </c>
      <c r="D1642" t="s">
        <v>28</v>
      </c>
      <c r="E1642">
        <v>6</v>
      </c>
      <c r="F1642">
        <v>12</v>
      </c>
      <c r="G1642">
        <v>0.505</v>
      </c>
      <c r="H1642">
        <v>0.4536</v>
      </c>
      <c r="I1642">
        <v>30.05</v>
      </c>
    </row>
    <row r="1643" spans="1:9" x14ac:dyDescent="0.3">
      <c r="A1643">
        <f>LOOKUP(9E+307,--MID(D1643,1,{1,2,3,4,5}))</f>
        <v>10</v>
      </c>
      <c r="B1643">
        <f>VLOOKUP(MID(D1643,LOOKUP(2,1/ISNUMBER(-MID(D1643,1,{1,2,3,4,5})),{1,2,3,4,5})+1,9),'Hue codes'!$A$1:$B$10,2,FALSE)</f>
        <v>10</v>
      </c>
      <c r="C1643">
        <f t="shared" si="25"/>
        <v>20</v>
      </c>
      <c r="D1643" t="s">
        <v>28</v>
      </c>
      <c r="E1643">
        <v>6</v>
      </c>
      <c r="F1643">
        <v>14</v>
      </c>
      <c r="G1643">
        <v>0.52</v>
      </c>
      <c r="H1643">
        <v>0.46229999999999999</v>
      </c>
      <c r="I1643">
        <v>30.05</v>
      </c>
    </row>
    <row r="1644" spans="1:9" x14ac:dyDescent="0.3">
      <c r="A1644">
        <f>LOOKUP(9E+307,--MID(D1644,1,{1,2,3,4,5}))</f>
        <v>2.5</v>
      </c>
      <c r="B1644">
        <f>VLOOKUP(MID(D1644,LOOKUP(2,1/ISNUMBER(-MID(D1644,1,{1,2,3,4,5})),{1,2,3,4,5})+1,9),'Hue codes'!$A$1:$B$10,2,FALSE)</f>
        <v>20</v>
      </c>
      <c r="C1644">
        <f t="shared" si="25"/>
        <v>22.5</v>
      </c>
      <c r="D1644" t="s">
        <v>29</v>
      </c>
      <c r="E1644">
        <v>6</v>
      </c>
      <c r="F1644">
        <v>2</v>
      </c>
      <c r="G1644">
        <v>0.34799999999999998</v>
      </c>
      <c r="H1644">
        <v>0.35399999999999998</v>
      </c>
      <c r="I1644">
        <v>30.05</v>
      </c>
    </row>
    <row r="1645" spans="1:9" x14ac:dyDescent="0.3">
      <c r="A1645">
        <f>LOOKUP(9E+307,--MID(D1645,1,{1,2,3,4,5}))</f>
        <v>2.5</v>
      </c>
      <c r="B1645">
        <f>VLOOKUP(MID(D1645,LOOKUP(2,1/ISNUMBER(-MID(D1645,1,{1,2,3,4,5})),{1,2,3,4,5})+1,9),'Hue codes'!$A$1:$B$10,2,FALSE)</f>
        <v>20</v>
      </c>
      <c r="C1645">
        <f t="shared" si="25"/>
        <v>22.5</v>
      </c>
      <c r="D1645" t="s">
        <v>29</v>
      </c>
      <c r="E1645">
        <v>6</v>
      </c>
      <c r="F1645">
        <v>4</v>
      </c>
      <c r="G1645">
        <v>0.38400000000000001</v>
      </c>
      <c r="H1645">
        <v>0.38669999999999999</v>
      </c>
      <c r="I1645">
        <v>30.05</v>
      </c>
    </row>
    <row r="1646" spans="1:9" x14ac:dyDescent="0.3">
      <c r="A1646">
        <f>LOOKUP(9E+307,--MID(D1646,1,{1,2,3,4,5}))</f>
        <v>2.5</v>
      </c>
      <c r="B1646">
        <f>VLOOKUP(MID(D1646,LOOKUP(2,1/ISNUMBER(-MID(D1646,1,{1,2,3,4,5})),{1,2,3,4,5})+1,9),'Hue codes'!$A$1:$B$10,2,FALSE)</f>
        <v>20</v>
      </c>
      <c r="C1646">
        <f t="shared" si="25"/>
        <v>22.5</v>
      </c>
      <c r="D1646" t="s">
        <v>29</v>
      </c>
      <c r="E1646">
        <v>6</v>
      </c>
      <c r="F1646">
        <v>6</v>
      </c>
      <c r="G1646">
        <v>0.42030000000000001</v>
      </c>
      <c r="H1646">
        <v>0.41760000000000003</v>
      </c>
      <c r="I1646">
        <v>30.05</v>
      </c>
    </row>
    <row r="1647" spans="1:9" x14ac:dyDescent="0.3">
      <c r="A1647">
        <f>LOOKUP(9E+307,--MID(D1647,1,{1,2,3,4,5}))</f>
        <v>2.5</v>
      </c>
      <c r="B1647">
        <f>VLOOKUP(MID(D1647,LOOKUP(2,1/ISNUMBER(-MID(D1647,1,{1,2,3,4,5})),{1,2,3,4,5})+1,9),'Hue codes'!$A$1:$B$10,2,FALSE)</f>
        <v>20</v>
      </c>
      <c r="C1647">
        <f t="shared" si="25"/>
        <v>22.5</v>
      </c>
      <c r="D1647" t="s">
        <v>29</v>
      </c>
      <c r="E1647">
        <v>6</v>
      </c>
      <c r="F1647">
        <v>8</v>
      </c>
      <c r="G1647">
        <v>0.45169999999999999</v>
      </c>
      <c r="H1647">
        <v>0.44209999999999999</v>
      </c>
      <c r="I1647">
        <v>30.05</v>
      </c>
    </row>
    <row r="1648" spans="1:9" x14ac:dyDescent="0.3">
      <c r="A1648">
        <f>LOOKUP(9E+307,--MID(D1648,1,{1,2,3,4,5}))</f>
        <v>2.5</v>
      </c>
      <c r="B1648">
        <f>VLOOKUP(MID(D1648,LOOKUP(2,1/ISNUMBER(-MID(D1648,1,{1,2,3,4,5})),{1,2,3,4,5})+1,9),'Hue codes'!$A$1:$B$10,2,FALSE)</f>
        <v>20</v>
      </c>
      <c r="C1648">
        <f t="shared" si="25"/>
        <v>22.5</v>
      </c>
      <c r="D1648" t="s">
        <v>29</v>
      </c>
      <c r="E1648">
        <v>6</v>
      </c>
      <c r="F1648">
        <v>10</v>
      </c>
      <c r="G1648">
        <v>0.47599999999999998</v>
      </c>
      <c r="H1648">
        <v>0.4607</v>
      </c>
      <c r="I1648">
        <v>30.05</v>
      </c>
    </row>
    <row r="1649" spans="1:9" x14ac:dyDescent="0.3">
      <c r="A1649">
        <f>LOOKUP(9E+307,--MID(D1649,1,{1,2,3,4,5}))</f>
        <v>2.5</v>
      </c>
      <c r="B1649">
        <f>VLOOKUP(MID(D1649,LOOKUP(2,1/ISNUMBER(-MID(D1649,1,{1,2,3,4,5})),{1,2,3,4,5})+1,9),'Hue codes'!$A$1:$B$10,2,FALSE)</f>
        <v>20</v>
      </c>
      <c r="C1649">
        <f t="shared" si="25"/>
        <v>22.5</v>
      </c>
      <c r="D1649" t="s">
        <v>29</v>
      </c>
      <c r="E1649">
        <v>6</v>
      </c>
      <c r="F1649">
        <v>12</v>
      </c>
      <c r="G1649">
        <v>0.49280000000000002</v>
      </c>
      <c r="H1649">
        <v>0.47299999999999998</v>
      </c>
      <c r="I1649">
        <v>30.05</v>
      </c>
    </row>
    <row r="1650" spans="1:9" x14ac:dyDescent="0.3">
      <c r="A1650">
        <f>LOOKUP(9E+307,--MID(D1650,1,{1,2,3,4,5}))</f>
        <v>2.5</v>
      </c>
      <c r="B1650">
        <f>VLOOKUP(MID(D1650,LOOKUP(2,1/ISNUMBER(-MID(D1650,1,{1,2,3,4,5})),{1,2,3,4,5})+1,9),'Hue codes'!$A$1:$B$10,2,FALSE)</f>
        <v>20</v>
      </c>
      <c r="C1650">
        <f t="shared" si="25"/>
        <v>22.5</v>
      </c>
      <c r="D1650" t="s">
        <v>29</v>
      </c>
      <c r="E1650">
        <v>6</v>
      </c>
      <c r="F1650">
        <v>14</v>
      </c>
      <c r="G1650">
        <v>0.50609999999999999</v>
      </c>
      <c r="H1650">
        <v>0.4829</v>
      </c>
      <c r="I1650">
        <v>30.05</v>
      </c>
    </row>
    <row r="1651" spans="1:9" x14ac:dyDescent="0.3">
      <c r="A1651">
        <f>LOOKUP(9E+307,--MID(D1651,1,{1,2,3,4,5}))</f>
        <v>5</v>
      </c>
      <c r="B1651">
        <f>VLOOKUP(MID(D1651,LOOKUP(2,1/ISNUMBER(-MID(D1651,1,{1,2,3,4,5})),{1,2,3,4,5})+1,9),'Hue codes'!$A$1:$B$10,2,FALSE)</f>
        <v>20</v>
      </c>
      <c r="C1651">
        <f t="shared" si="25"/>
        <v>25</v>
      </c>
      <c r="D1651" t="s">
        <v>30</v>
      </c>
      <c r="E1651">
        <v>6</v>
      </c>
      <c r="F1651">
        <v>2</v>
      </c>
      <c r="G1651">
        <v>0.34570000000000001</v>
      </c>
      <c r="H1651">
        <v>0.35799999999999998</v>
      </c>
      <c r="I1651">
        <v>30.05</v>
      </c>
    </row>
    <row r="1652" spans="1:9" x14ac:dyDescent="0.3">
      <c r="A1652">
        <f>LOOKUP(9E+307,--MID(D1652,1,{1,2,3,4,5}))</f>
        <v>5</v>
      </c>
      <c r="B1652">
        <f>VLOOKUP(MID(D1652,LOOKUP(2,1/ISNUMBER(-MID(D1652,1,{1,2,3,4,5})),{1,2,3,4,5})+1,9),'Hue codes'!$A$1:$B$10,2,FALSE)</f>
        <v>20</v>
      </c>
      <c r="C1652">
        <f t="shared" si="25"/>
        <v>25</v>
      </c>
      <c r="D1652" t="s">
        <v>30</v>
      </c>
      <c r="E1652">
        <v>6</v>
      </c>
      <c r="F1652">
        <v>4</v>
      </c>
      <c r="G1652">
        <v>0.37940000000000002</v>
      </c>
      <c r="H1652">
        <v>0.39550000000000002</v>
      </c>
      <c r="I1652">
        <v>30.05</v>
      </c>
    </row>
    <row r="1653" spans="1:9" x14ac:dyDescent="0.3">
      <c r="A1653">
        <f>LOOKUP(9E+307,--MID(D1653,1,{1,2,3,4,5}))</f>
        <v>5</v>
      </c>
      <c r="B1653">
        <f>VLOOKUP(MID(D1653,LOOKUP(2,1/ISNUMBER(-MID(D1653,1,{1,2,3,4,5})),{1,2,3,4,5})+1,9),'Hue codes'!$A$1:$B$10,2,FALSE)</f>
        <v>20</v>
      </c>
      <c r="C1653">
        <f t="shared" si="25"/>
        <v>25</v>
      </c>
      <c r="D1653" t="s">
        <v>30</v>
      </c>
      <c r="E1653">
        <v>6</v>
      </c>
      <c r="F1653">
        <v>6</v>
      </c>
      <c r="G1653">
        <v>0.41399999999999998</v>
      </c>
      <c r="H1653">
        <v>0.43049999999999999</v>
      </c>
      <c r="I1653">
        <v>30.05</v>
      </c>
    </row>
    <row r="1654" spans="1:9" x14ac:dyDescent="0.3">
      <c r="A1654">
        <f>LOOKUP(9E+307,--MID(D1654,1,{1,2,3,4,5}))</f>
        <v>5</v>
      </c>
      <c r="B1654">
        <f>VLOOKUP(MID(D1654,LOOKUP(2,1/ISNUMBER(-MID(D1654,1,{1,2,3,4,5})),{1,2,3,4,5})+1,9),'Hue codes'!$A$1:$B$10,2,FALSE)</f>
        <v>20</v>
      </c>
      <c r="C1654">
        <f t="shared" si="25"/>
        <v>25</v>
      </c>
      <c r="D1654" t="s">
        <v>30</v>
      </c>
      <c r="E1654">
        <v>6</v>
      </c>
      <c r="F1654">
        <v>8</v>
      </c>
      <c r="G1654">
        <v>0.44259999999999999</v>
      </c>
      <c r="H1654">
        <v>0.45879999999999999</v>
      </c>
      <c r="I1654">
        <v>30.05</v>
      </c>
    </row>
    <row r="1655" spans="1:9" x14ac:dyDescent="0.3">
      <c r="A1655">
        <f>LOOKUP(9E+307,--MID(D1655,1,{1,2,3,4,5}))</f>
        <v>5</v>
      </c>
      <c r="B1655">
        <f>VLOOKUP(MID(D1655,LOOKUP(2,1/ISNUMBER(-MID(D1655,1,{1,2,3,4,5})),{1,2,3,4,5})+1,9),'Hue codes'!$A$1:$B$10,2,FALSE)</f>
        <v>20</v>
      </c>
      <c r="C1655">
        <f t="shared" si="25"/>
        <v>25</v>
      </c>
      <c r="D1655" t="s">
        <v>30</v>
      </c>
      <c r="E1655">
        <v>6</v>
      </c>
      <c r="F1655">
        <v>10</v>
      </c>
      <c r="G1655">
        <v>0.46389999999999998</v>
      </c>
      <c r="H1655">
        <v>0.47899999999999998</v>
      </c>
      <c r="I1655">
        <v>30.05</v>
      </c>
    </row>
    <row r="1656" spans="1:9" x14ac:dyDescent="0.3">
      <c r="A1656">
        <f>LOOKUP(9E+307,--MID(D1656,1,{1,2,3,4,5}))</f>
        <v>5</v>
      </c>
      <c r="B1656">
        <f>VLOOKUP(MID(D1656,LOOKUP(2,1/ISNUMBER(-MID(D1656,1,{1,2,3,4,5})),{1,2,3,4,5})+1,9),'Hue codes'!$A$1:$B$10,2,FALSE)</f>
        <v>20</v>
      </c>
      <c r="C1656">
        <f t="shared" si="25"/>
        <v>25</v>
      </c>
      <c r="D1656" t="s">
        <v>30</v>
      </c>
      <c r="E1656">
        <v>6</v>
      </c>
      <c r="F1656">
        <v>12</v>
      </c>
      <c r="G1656">
        <v>0.47799999999999998</v>
      </c>
      <c r="H1656">
        <v>0.49199999999999999</v>
      </c>
      <c r="I1656">
        <v>30.05</v>
      </c>
    </row>
    <row r="1657" spans="1:9" x14ac:dyDescent="0.3">
      <c r="A1657">
        <f>LOOKUP(9E+307,--MID(D1657,1,{1,2,3,4,5}))</f>
        <v>5</v>
      </c>
      <c r="B1657">
        <f>VLOOKUP(MID(D1657,LOOKUP(2,1/ISNUMBER(-MID(D1657,1,{1,2,3,4,5})),{1,2,3,4,5})+1,9),'Hue codes'!$A$1:$B$10,2,FALSE)</f>
        <v>20</v>
      </c>
      <c r="C1657">
        <f t="shared" si="25"/>
        <v>25</v>
      </c>
      <c r="D1657" t="s">
        <v>30</v>
      </c>
      <c r="E1657">
        <v>6</v>
      </c>
      <c r="F1657">
        <v>14</v>
      </c>
      <c r="G1657">
        <v>0.49049999999999999</v>
      </c>
      <c r="H1657">
        <v>0.50380000000000003</v>
      </c>
      <c r="I1657">
        <v>30.05</v>
      </c>
    </row>
    <row r="1658" spans="1:9" x14ac:dyDescent="0.3">
      <c r="A1658">
        <f>LOOKUP(9E+307,--MID(D1658,1,{1,2,3,4,5}))</f>
        <v>7.5</v>
      </c>
      <c r="B1658">
        <f>VLOOKUP(MID(D1658,LOOKUP(2,1/ISNUMBER(-MID(D1658,1,{1,2,3,4,5})),{1,2,3,4,5})+1,9),'Hue codes'!$A$1:$B$10,2,FALSE)</f>
        <v>20</v>
      </c>
      <c r="C1658">
        <f t="shared" si="25"/>
        <v>27.5</v>
      </c>
      <c r="D1658" t="s">
        <v>31</v>
      </c>
      <c r="E1658">
        <v>6</v>
      </c>
      <c r="F1658">
        <v>2</v>
      </c>
      <c r="G1658">
        <v>0.34310000000000002</v>
      </c>
      <c r="H1658">
        <v>0.36009999999999998</v>
      </c>
      <c r="I1658">
        <v>30.05</v>
      </c>
    </row>
    <row r="1659" spans="1:9" x14ac:dyDescent="0.3">
      <c r="A1659">
        <f>LOOKUP(9E+307,--MID(D1659,1,{1,2,3,4,5}))</f>
        <v>7.5</v>
      </c>
      <c r="B1659">
        <f>VLOOKUP(MID(D1659,LOOKUP(2,1/ISNUMBER(-MID(D1659,1,{1,2,3,4,5})),{1,2,3,4,5})+1,9),'Hue codes'!$A$1:$B$10,2,FALSE)</f>
        <v>20</v>
      </c>
      <c r="C1659">
        <f t="shared" si="25"/>
        <v>27.5</v>
      </c>
      <c r="D1659" t="s">
        <v>31</v>
      </c>
      <c r="E1659">
        <v>6</v>
      </c>
      <c r="F1659">
        <v>4</v>
      </c>
      <c r="G1659">
        <v>0.3745</v>
      </c>
      <c r="H1659">
        <v>0.40039999999999998</v>
      </c>
      <c r="I1659">
        <v>30.05</v>
      </c>
    </row>
    <row r="1660" spans="1:9" x14ac:dyDescent="0.3">
      <c r="A1660">
        <f>LOOKUP(9E+307,--MID(D1660,1,{1,2,3,4,5}))</f>
        <v>7.5</v>
      </c>
      <c r="B1660">
        <f>VLOOKUP(MID(D1660,LOOKUP(2,1/ISNUMBER(-MID(D1660,1,{1,2,3,4,5})),{1,2,3,4,5})+1,9),'Hue codes'!$A$1:$B$10,2,FALSE)</f>
        <v>20</v>
      </c>
      <c r="C1660">
        <f t="shared" si="25"/>
        <v>27.5</v>
      </c>
      <c r="D1660" t="s">
        <v>31</v>
      </c>
      <c r="E1660">
        <v>6</v>
      </c>
      <c r="F1660">
        <v>6</v>
      </c>
      <c r="G1660">
        <v>0.40600000000000003</v>
      </c>
      <c r="H1660">
        <v>0.44</v>
      </c>
      <c r="I1660">
        <v>30.05</v>
      </c>
    </row>
    <row r="1661" spans="1:9" x14ac:dyDescent="0.3">
      <c r="A1661">
        <f>LOOKUP(9E+307,--MID(D1661,1,{1,2,3,4,5}))</f>
        <v>7.5</v>
      </c>
      <c r="B1661">
        <f>VLOOKUP(MID(D1661,LOOKUP(2,1/ISNUMBER(-MID(D1661,1,{1,2,3,4,5})),{1,2,3,4,5})+1,9),'Hue codes'!$A$1:$B$10,2,FALSE)</f>
        <v>20</v>
      </c>
      <c r="C1661">
        <f t="shared" si="25"/>
        <v>27.5</v>
      </c>
      <c r="D1661" t="s">
        <v>31</v>
      </c>
      <c r="E1661">
        <v>6</v>
      </c>
      <c r="F1661">
        <v>8</v>
      </c>
      <c r="G1661">
        <v>0.43209999999999998</v>
      </c>
      <c r="H1661">
        <v>0.47189999999999999</v>
      </c>
      <c r="I1661">
        <v>30.05</v>
      </c>
    </row>
    <row r="1662" spans="1:9" x14ac:dyDescent="0.3">
      <c r="A1662">
        <f>LOOKUP(9E+307,--MID(D1662,1,{1,2,3,4,5}))</f>
        <v>7.5</v>
      </c>
      <c r="B1662">
        <f>VLOOKUP(MID(D1662,LOOKUP(2,1/ISNUMBER(-MID(D1662,1,{1,2,3,4,5})),{1,2,3,4,5})+1,9),'Hue codes'!$A$1:$B$10,2,FALSE)</f>
        <v>20</v>
      </c>
      <c r="C1662">
        <f t="shared" si="25"/>
        <v>27.5</v>
      </c>
      <c r="D1662" t="s">
        <v>31</v>
      </c>
      <c r="E1662">
        <v>6</v>
      </c>
      <c r="F1662">
        <v>10</v>
      </c>
      <c r="G1662">
        <v>0.45119999999999999</v>
      </c>
      <c r="H1662">
        <v>0.49430000000000002</v>
      </c>
      <c r="I1662">
        <v>30.05</v>
      </c>
    </row>
    <row r="1663" spans="1:9" x14ac:dyDescent="0.3">
      <c r="A1663">
        <f>LOOKUP(9E+307,--MID(D1663,1,{1,2,3,4,5}))</f>
        <v>7.5</v>
      </c>
      <c r="B1663">
        <f>VLOOKUP(MID(D1663,LOOKUP(2,1/ISNUMBER(-MID(D1663,1,{1,2,3,4,5})),{1,2,3,4,5})+1,9),'Hue codes'!$A$1:$B$10,2,FALSE)</f>
        <v>20</v>
      </c>
      <c r="C1663">
        <f t="shared" si="25"/>
        <v>27.5</v>
      </c>
      <c r="D1663" t="s">
        <v>31</v>
      </c>
      <c r="E1663">
        <v>6</v>
      </c>
      <c r="F1663">
        <v>12</v>
      </c>
      <c r="G1663">
        <v>0.46379999999999999</v>
      </c>
      <c r="H1663">
        <v>0.50870000000000004</v>
      </c>
      <c r="I1663">
        <v>30.05</v>
      </c>
    </row>
    <row r="1664" spans="1:9" x14ac:dyDescent="0.3">
      <c r="A1664">
        <f>LOOKUP(9E+307,--MID(D1664,1,{1,2,3,4,5}))</f>
        <v>7.5</v>
      </c>
      <c r="B1664">
        <f>VLOOKUP(MID(D1664,LOOKUP(2,1/ISNUMBER(-MID(D1664,1,{1,2,3,4,5})),{1,2,3,4,5})+1,9),'Hue codes'!$A$1:$B$10,2,FALSE)</f>
        <v>20</v>
      </c>
      <c r="C1664">
        <f t="shared" si="25"/>
        <v>27.5</v>
      </c>
      <c r="D1664" t="s">
        <v>31</v>
      </c>
      <c r="E1664">
        <v>6</v>
      </c>
      <c r="F1664">
        <v>14</v>
      </c>
      <c r="G1664">
        <v>0.47539999999999999</v>
      </c>
      <c r="H1664">
        <v>0.52200000000000002</v>
      </c>
      <c r="I1664">
        <v>30.05</v>
      </c>
    </row>
    <row r="1665" spans="1:9" x14ac:dyDescent="0.3">
      <c r="A1665">
        <f>LOOKUP(9E+307,--MID(D1665,1,{1,2,3,4,5}))</f>
        <v>10</v>
      </c>
      <c r="B1665">
        <f>VLOOKUP(MID(D1665,LOOKUP(2,1/ISNUMBER(-MID(D1665,1,{1,2,3,4,5})),{1,2,3,4,5})+1,9),'Hue codes'!$A$1:$B$10,2,FALSE)</f>
        <v>20</v>
      </c>
      <c r="C1665">
        <f t="shared" si="25"/>
        <v>30</v>
      </c>
      <c r="D1665" t="s">
        <v>32</v>
      </c>
      <c r="E1665">
        <v>6</v>
      </c>
      <c r="F1665">
        <v>2</v>
      </c>
      <c r="G1665">
        <v>0.33979999999999999</v>
      </c>
      <c r="H1665">
        <v>0.36109999999999998</v>
      </c>
      <c r="I1665">
        <v>30.05</v>
      </c>
    </row>
    <row r="1666" spans="1:9" x14ac:dyDescent="0.3">
      <c r="A1666">
        <f>LOOKUP(9E+307,--MID(D1666,1,{1,2,3,4,5}))</f>
        <v>10</v>
      </c>
      <c r="B1666">
        <f>VLOOKUP(MID(D1666,LOOKUP(2,1/ISNUMBER(-MID(D1666,1,{1,2,3,4,5})),{1,2,3,4,5})+1,9),'Hue codes'!$A$1:$B$10,2,FALSE)</f>
        <v>20</v>
      </c>
      <c r="C1666">
        <f t="shared" si="25"/>
        <v>30</v>
      </c>
      <c r="D1666" t="s">
        <v>32</v>
      </c>
      <c r="E1666">
        <v>6</v>
      </c>
      <c r="F1666">
        <v>4</v>
      </c>
      <c r="G1666">
        <v>0.3679</v>
      </c>
      <c r="H1666">
        <v>0.40329999999999999</v>
      </c>
      <c r="I1666">
        <v>30.05</v>
      </c>
    </row>
    <row r="1667" spans="1:9" x14ac:dyDescent="0.3">
      <c r="A1667">
        <f>LOOKUP(9E+307,--MID(D1667,1,{1,2,3,4,5}))</f>
        <v>10</v>
      </c>
      <c r="B1667">
        <f>VLOOKUP(MID(D1667,LOOKUP(2,1/ISNUMBER(-MID(D1667,1,{1,2,3,4,5})),{1,2,3,4,5})+1,9),'Hue codes'!$A$1:$B$10,2,FALSE)</f>
        <v>20</v>
      </c>
      <c r="C1667">
        <f t="shared" ref="C1667:C1730" si="26">IF(A1667+B1667=100,0,A1667+B1667)</f>
        <v>30</v>
      </c>
      <c r="D1667" t="s">
        <v>32</v>
      </c>
      <c r="E1667">
        <v>6</v>
      </c>
      <c r="F1667">
        <v>6</v>
      </c>
      <c r="G1667">
        <v>0.39600000000000002</v>
      </c>
      <c r="H1667">
        <v>0.44519999999999998</v>
      </c>
      <c r="I1667">
        <v>30.05</v>
      </c>
    </row>
    <row r="1668" spans="1:9" x14ac:dyDescent="0.3">
      <c r="A1668">
        <f>LOOKUP(9E+307,--MID(D1668,1,{1,2,3,4,5}))</f>
        <v>10</v>
      </c>
      <c r="B1668">
        <f>VLOOKUP(MID(D1668,LOOKUP(2,1/ISNUMBER(-MID(D1668,1,{1,2,3,4,5})),{1,2,3,4,5})+1,9),'Hue codes'!$A$1:$B$10,2,FALSE)</f>
        <v>20</v>
      </c>
      <c r="C1668">
        <f t="shared" si="26"/>
        <v>30</v>
      </c>
      <c r="D1668" t="s">
        <v>32</v>
      </c>
      <c r="E1668">
        <v>6</v>
      </c>
      <c r="F1668">
        <v>8</v>
      </c>
      <c r="G1668">
        <v>0.42009999999999997</v>
      </c>
      <c r="H1668">
        <v>0.48120000000000002</v>
      </c>
      <c r="I1668">
        <v>30.05</v>
      </c>
    </row>
    <row r="1669" spans="1:9" x14ac:dyDescent="0.3">
      <c r="A1669">
        <f>LOOKUP(9E+307,--MID(D1669,1,{1,2,3,4,5}))</f>
        <v>10</v>
      </c>
      <c r="B1669">
        <f>VLOOKUP(MID(D1669,LOOKUP(2,1/ISNUMBER(-MID(D1669,1,{1,2,3,4,5})),{1,2,3,4,5})+1,9),'Hue codes'!$A$1:$B$10,2,FALSE)</f>
        <v>20</v>
      </c>
      <c r="C1669">
        <f t="shared" si="26"/>
        <v>30</v>
      </c>
      <c r="D1669" t="s">
        <v>32</v>
      </c>
      <c r="E1669">
        <v>6</v>
      </c>
      <c r="F1669">
        <v>10</v>
      </c>
      <c r="G1669">
        <v>0.43719999999999998</v>
      </c>
      <c r="H1669">
        <v>0.50680000000000003</v>
      </c>
      <c r="I1669">
        <v>30.05</v>
      </c>
    </row>
    <row r="1670" spans="1:9" x14ac:dyDescent="0.3">
      <c r="A1670">
        <f>LOOKUP(9E+307,--MID(D1670,1,{1,2,3,4,5}))</f>
        <v>10</v>
      </c>
      <c r="B1670">
        <f>VLOOKUP(MID(D1670,LOOKUP(2,1/ISNUMBER(-MID(D1670,1,{1,2,3,4,5})),{1,2,3,4,5})+1,9),'Hue codes'!$A$1:$B$10,2,FALSE)</f>
        <v>20</v>
      </c>
      <c r="C1670">
        <f t="shared" si="26"/>
        <v>30</v>
      </c>
      <c r="D1670" t="s">
        <v>32</v>
      </c>
      <c r="E1670">
        <v>6</v>
      </c>
      <c r="F1670">
        <v>12</v>
      </c>
      <c r="G1670">
        <v>0.44879999999999998</v>
      </c>
      <c r="H1670">
        <v>0.52370000000000005</v>
      </c>
      <c r="I1670">
        <v>30.05</v>
      </c>
    </row>
    <row r="1671" spans="1:9" x14ac:dyDescent="0.3">
      <c r="A1671">
        <f>LOOKUP(9E+307,--MID(D1671,1,{1,2,3,4,5}))</f>
        <v>10</v>
      </c>
      <c r="B1671">
        <f>VLOOKUP(MID(D1671,LOOKUP(2,1/ISNUMBER(-MID(D1671,1,{1,2,3,4,5})),{1,2,3,4,5})+1,9),'Hue codes'!$A$1:$B$10,2,FALSE)</f>
        <v>20</v>
      </c>
      <c r="C1671">
        <f t="shared" si="26"/>
        <v>30</v>
      </c>
      <c r="D1671" t="s">
        <v>32</v>
      </c>
      <c r="E1671">
        <v>6</v>
      </c>
      <c r="F1671">
        <v>14</v>
      </c>
      <c r="G1671">
        <v>0.45929999999999999</v>
      </c>
      <c r="H1671">
        <v>0.53920000000000001</v>
      </c>
      <c r="I1671">
        <v>30.05</v>
      </c>
    </row>
    <row r="1672" spans="1:9" x14ac:dyDescent="0.3">
      <c r="A1672">
        <f>LOOKUP(9E+307,--MID(D1672,1,{1,2,3,4,5}))</f>
        <v>2.5</v>
      </c>
      <c r="B1672">
        <f>VLOOKUP(MID(D1672,LOOKUP(2,1/ISNUMBER(-MID(D1672,1,{1,2,3,4,5})),{1,2,3,4,5})+1,9),'Hue codes'!$A$1:$B$10,2,FALSE)</f>
        <v>30</v>
      </c>
      <c r="C1672">
        <f t="shared" si="26"/>
        <v>32.5</v>
      </c>
      <c r="D1672" t="s">
        <v>33</v>
      </c>
      <c r="E1672">
        <v>6</v>
      </c>
      <c r="F1672">
        <v>2</v>
      </c>
      <c r="G1672">
        <v>0.3342</v>
      </c>
      <c r="H1672">
        <v>0.36070000000000002</v>
      </c>
      <c r="I1672">
        <v>30.05</v>
      </c>
    </row>
    <row r="1673" spans="1:9" x14ac:dyDescent="0.3">
      <c r="A1673">
        <f>LOOKUP(9E+307,--MID(D1673,1,{1,2,3,4,5}))</f>
        <v>2.5</v>
      </c>
      <c r="B1673">
        <f>VLOOKUP(MID(D1673,LOOKUP(2,1/ISNUMBER(-MID(D1673,1,{1,2,3,4,5})),{1,2,3,4,5})+1,9),'Hue codes'!$A$1:$B$10,2,FALSE)</f>
        <v>30</v>
      </c>
      <c r="C1673">
        <f t="shared" si="26"/>
        <v>32.5</v>
      </c>
      <c r="D1673" t="s">
        <v>33</v>
      </c>
      <c r="E1673">
        <v>6</v>
      </c>
      <c r="F1673">
        <v>4</v>
      </c>
      <c r="G1673">
        <v>0.35720000000000002</v>
      </c>
      <c r="H1673">
        <v>0.40379999999999999</v>
      </c>
      <c r="I1673">
        <v>30.05</v>
      </c>
    </row>
    <row r="1674" spans="1:9" x14ac:dyDescent="0.3">
      <c r="A1674">
        <f>LOOKUP(9E+307,--MID(D1674,1,{1,2,3,4,5}))</f>
        <v>2.5</v>
      </c>
      <c r="B1674">
        <f>VLOOKUP(MID(D1674,LOOKUP(2,1/ISNUMBER(-MID(D1674,1,{1,2,3,4,5})),{1,2,3,4,5})+1,9),'Hue codes'!$A$1:$B$10,2,FALSE)</f>
        <v>30</v>
      </c>
      <c r="C1674">
        <f t="shared" si="26"/>
        <v>32.5</v>
      </c>
      <c r="D1674" t="s">
        <v>33</v>
      </c>
      <c r="E1674">
        <v>6</v>
      </c>
      <c r="F1674">
        <v>6</v>
      </c>
      <c r="G1674">
        <v>0.37990000000000002</v>
      </c>
      <c r="H1674">
        <v>0.44700000000000001</v>
      </c>
      <c r="I1674">
        <v>30.05</v>
      </c>
    </row>
    <row r="1675" spans="1:9" x14ac:dyDescent="0.3">
      <c r="A1675">
        <f>LOOKUP(9E+307,--MID(D1675,1,{1,2,3,4,5}))</f>
        <v>2.5</v>
      </c>
      <c r="B1675">
        <f>VLOOKUP(MID(D1675,LOOKUP(2,1/ISNUMBER(-MID(D1675,1,{1,2,3,4,5})),{1,2,3,4,5})+1,9),'Hue codes'!$A$1:$B$10,2,FALSE)</f>
        <v>30</v>
      </c>
      <c r="C1675">
        <f t="shared" si="26"/>
        <v>32.5</v>
      </c>
      <c r="D1675" t="s">
        <v>33</v>
      </c>
      <c r="E1675">
        <v>6</v>
      </c>
      <c r="F1675">
        <v>8</v>
      </c>
      <c r="G1675">
        <v>0.40060000000000001</v>
      </c>
      <c r="H1675">
        <v>0.48849999999999999</v>
      </c>
      <c r="I1675">
        <v>30.05</v>
      </c>
    </row>
    <row r="1676" spans="1:9" x14ac:dyDescent="0.3">
      <c r="A1676">
        <f>LOOKUP(9E+307,--MID(D1676,1,{1,2,3,4,5}))</f>
        <v>2.5</v>
      </c>
      <c r="B1676">
        <f>VLOOKUP(MID(D1676,LOOKUP(2,1/ISNUMBER(-MID(D1676,1,{1,2,3,4,5})),{1,2,3,4,5})+1,9),'Hue codes'!$A$1:$B$10,2,FALSE)</f>
        <v>30</v>
      </c>
      <c r="C1676">
        <f t="shared" si="26"/>
        <v>32.5</v>
      </c>
      <c r="D1676" t="s">
        <v>33</v>
      </c>
      <c r="E1676">
        <v>6</v>
      </c>
      <c r="F1676">
        <v>10</v>
      </c>
      <c r="G1676">
        <v>0.41589999999999999</v>
      </c>
      <c r="H1676">
        <v>0.51900000000000002</v>
      </c>
      <c r="I1676">
        <v>30.05</v>
      </c>
    </row>
    <row r="1677" spans="1:9" x14ac:dyDescent="0.3">
      <c r="A1677">
        <f>LOOKUP(9E+307,--MID(D1677,1,{1,2,3,4,5}))</f>
        <v>2.5</v>
      </c>
      <c r="B1677">
        <f>VLOOKUP(MID(D1677,LOOKUP(2,1/ISNUMBER(-MID(D1677,1,{1,2,3,4,5})),{1,2,3,4,5})+1,9),'Hue codes'!$A$1:$B$10,2,FALSE)</f>
        <v>30</v>
      </c>
      <c r="C1677">
        <f t="shared" si="26"/>
        <v>32.5</v>
      </c>
      <c r="D1677" t="s">
        <v>33</v>
      </c>
      <c r="E1677">
        <v>6</v>
      </c>
      <c r="F1677">
        <v>12</v>
      </c>
      <c r="G1677">
        <v>0.4269</v>
      </c>
      <c r="H1677">
        <v>0.54139999999999999</v>
      </c>
      <c r="I1677">
        <v>30.05</v>
      </c>
    </row>
    <row r="1678" spans="1:9" x14ac:dyDescent="0.3">
      <c r="A1678">
        <f>LOOKUP(9E+307,--MID(D1678,1,{1,2,3,4,5}))</f>
        <v>2.5</v>
      </c>
      <c r="B1678">
        <f>VLOOKUP(MID(D1678,LOOKUP(2,1/ISNUMBER(-MID(D1678,1,{1,2,3,4,5})),{1,2,3,4,5})+1,9),'Hue codes'!$A$1:$B$10,2,FALSE)</f>
        <v>30</v>
      </c>
      <c r="C1678">
        <f t="shared" si="26"/>
        <v>32.5</v>
      </c>
      <c r="D1678" t="s">
        <v>33</v>
      </c>
      <c r="E1678">
        <v>6</v>
      </c>
      <c r="F1678">
        <v>14</v>
      </c>
      <c r="G1678">
        <v>0.43540000000000001</v>
      </c>
      <c r="H1678">
        <v>0.55940000000000001</v>
      </c>
      <c r="I1678">
        <v>30.05</v>
      </c>
    </row>
    <row r="1679" spans="1:9" x14ac:dyDescent="0.3">
      <c r="A1679">
        <f>LOOKUP(9E+307,--MID(D1679,1,{1,2,3,4,5}))</f>
        <v>5</v>
      </c>
      <c r="B1679">
        <f>VLOOKUP(MID(D1679,LOOKUP(2,1/ISNUMBER(-MID(D1679,1,{1,2,3,4,5})),{1,2,3,4,5})+1,9),'Hue codes'!$A$1:$B$10,2,FALSE)</f>
        <v>30</v>
      </c>
      <c r="C1679">
        <f t="shared" si="26"/>
        <v>35</v>
      </c>
      <c r="D1679" t="s">
        <v>34</v>
      </c>
      <c r="E1679">
        <v>6</v>
      </c>
      <c r="F1679">
        <v>2</v>
      </c>
      <c r="G1679">
        <v>0.32879999999999998</v>
      </c>
      <c r="H1679">
        <v>0.35920000000000002</v>
      </c>
      <c r="I1679">
        <v>30.05</v>
      </c>
    </row>
    <row r="1680" spans="1:9" x14ac:dyDescent="0.3">
      <c r="A1680">
        <f>LOOKUP(9E+307,--MID(D1680,1,{1,2,3,4,5}))</f>
        <v>5</v>
      </c>
      <c r="B1680">
        <f>VLOOKUP(MID(D1680,LOOKUP(2,1/ISNUMBER(-MID(D1680,1,{1,2,3,4,5})),{1,2,3,4,5})+1,9),'Hue codes'!$A$1:$B$10,2,FALSE)</f>
        <v>30</v>
      </c>
      <c r="C1680">
        <f t="shared" si="26"/>
        <v>35</v>
      </c>
      <c r="D1680" t="s">
        <v>34</v>
      </c>
      <c r="E1680">
        <v>6</v>
      </c>
      <c r="F1680">
        <v>4</v>
      </c>
      <c r="G1680">
        <v>0.34610000000000002</v>
      </c>
      <c r="H1680">
        <v>0.40079999999999999</v>
      </c>
      <c r="I1680">
        <v>30.05</v>
      </c>
    </row>
    <row r="1681" spans="1:9" x14ac:dyDescent="0.3">
      <c r="A1681">
        <f>LOOKUP(9E+307,--MID(D1681,1,{1,2,3,4,5}))</f>
        <v>5</v>
      </c>
      <c r="B1681">
        <f>VLOOKUP(MID(D1681,LOOKUP(2,1/ISNUMBER(-MID(D1681,1,{1,2,3,4,5})),{1,2,3,4,5})+1,9),'Hue codes'!$A$1:$B$10,2,FALSE)</f>
        <v>30</v>
      </c>
      <c r="C1681">
        <f t="shared" si="26"/>
        <v>35</v>
      </c>
      <c r="D1681" t="s">
        <v>34</v>
      </c>
      <c r="E1681">
        <v>6</v>
      </c>
      <c r="F1681">
        <v>6</v>
      </c>
      <c r="G1681">
        <v>0.36220000000000002</v>
      </c>
      <c r="H1681">
        <v>0.44379999999999997</v>
      </c>
      <c r="I1681">
        <v>30.05</v>
      </c>
    </row>
    <row r="1682" spans="1:9" x14ac:dyDescent="0.3">
      <c r="A1682">
        <f>LOOKUP(9E+307,--MID(D1682,1,{1,2,3,4,5}))</f>
        <v>5</v>
      </c>
      <c r="B1682">
        <f>VLOOKUP(MID(D1682,LOOKUP(2,1/ISNUMBER(-MID(D1682,1,{1,2,3,4,5})),{1,2,3,4,5})+1,9),'Hue codes'!$A$1:$B$10,2,FALSE)</f>
        <v>30</v>
      </c>
      <c r="C1682">
        <f t="shared" si="26"/>
        <v>35</v>
      </c>
      <c r="D1682" t="s">
        <v>34</v>
      </c>
      <c r="E1682">
        <v>6</v>
      </c>
      <c r="F1682">
        <v>8</v>
      </c>
      <c r="G1682">
        <v>0.37719999999999998</v>
      </c>
      <c r="H1682">
        <v>0.48799999999999999</v>
      </c>
      <c r="I1682">
        <v>30.05</v>
      </c>
    </row>
    <row r="1683" spans="1:9" x14ac:dyDescent="0.3">
      <c r="A1683">
        <f>LOOKUP(9E+307,--MID(D1683,1,{1,2,3,4,5}))</f>
        <v>5</v>
      </c>
      <c r="B1683">
        <f>VLOOKUP(MID(D1683,LOOKUP(2,1/ISNUMBER(-MID(D1683,1,{1,2,3,4,5})),{1,2,3,4,5})+1,9),'Hue codes'!$A$1:$B$10,2,FALSE)</f>
        <v>30</v>
      </c>
      <c r="C1683">
        <f t="shared" si="26"/>
        <v>35</v>
      </c>
      <c r="D1683" t="s">
        <v>34</v>
      </c>
      <c r="E1683">
        <v>6</v>
      </c>
      <c r="F1683">
        <v>10</v>
      </c>
      <c r="G1683">
        <v>0.3891</v>
      </c>
      <c r="H1683">
        <v>0.52639999999999998</v>
      </c>
      <c r="I1683">
        <v>30.05</v>
      </c>
    </row>
    <row r="1684" spans="1:9" x14ac:dyDescent="0.3">
      <c r="A1684">
        <f>LOOKUP(9E+307,--MID(D1684,1,{1,2,3,4,5}))</f>
        <v>5</v>
      </c>
      <c r="B1684">
        <f>VLOOKUP(MID(D1684,LOOKUP(2,1/ISNUMBER(-MID(D1684,1,{1,2,3,4,5})),{1,2,3,4,5})+1,9),'Hue codes'!$A$1:$B$10,2,FALSE)</f>
        <v>30</v>
      </c>
      <c r="C1684">
        <f t="shared" si="26"/>
        <v>35</v>
      </c>
      <c r="D1684" t="s">
        <v>34</v>
      </c>
      <c r="E1684">
        <v>6</v>
      </c>
      <c r="F1684">
        <v>12</v>
      </c>
      <c r="G1684">
        <v>0.39800000000000002</v>
      </c>
      <c r="H1684">
        <v>0.55640000000000001</v>
      </c>
      <c r="I1684">
        <v>30.05</v>
      </c>
    </row>
    <row r="1685" spans="1:9" x14ac:dyDescent="0.3">
      <c r="A1685">
        <f>LOOKUP(9E+307,--MID(D1685,1,{1,2,3,4,5}))</f>
        <v>5</v>
      </c>
      <c r="B1685">
        <f>VLOOKUP(MID(D1685,LOOKUP(2,1/ISNUMBER(-MID(D1685,1,{1,2,3,4,5})),{1,2,3,4,5})+1,9),'Hue codes'!$A$1:$B$10,2,FALSE)</f>
        <v>30</v>
      </c>
      <c r="C1685">
        <f t="shared" si="26"/>
        <v>35</v>
      </c>
      <c r="D1685" t="s">
        <v>34</v>
      </c>
      <c r="E1685">
        <v>6</v>
      </c>
      <c r="F1685">
        <v>14</v>
      </c>
      <c r="G1685">
        <v>0.4042</v>
      </c>
      <c r="H1685">
        <v>0.57879999999999998</v>
      </c>
      <c r="I1685">
        <v>30.05</v>
      </c>
    </row>
    <row r="1686" spans="1:9" x14ac:dyDescent="0.3">
      <c r="A1686">
        <f>LOOKUP(9E+307,--MID(D1686,1,{1,2,3,4,5}))</f>
        <v>7.5</v>
      </c>
      <c r="B1686">
        <f>VLOOKUP(MID(D1686,LOOKUP(2,1/ISNUMBER(-MID(D1686,1,{1,2,3,4,5})),{1,2,3,4,5})+1,9),'Hue codes'!$A$1:$B$10,2,FALSE)</f>
        <v>30</v>
      </c>
      <c r="C1686">
        <f t="shared" si="26"/>
        <v>37.5</v>
      </c>
      <c r="D1686" t="s">
        <v>35</v>
      </c>
      <c r="E1686">
        <v>6</v>
      </c>
      <c r="F1686">
        <v>2</v>
      </c>
      <c r="G1686">
        <v>0.31929999999999997</v>
      </c>
      <c r="H1686">
        <v>0.35499999999999998</v>
      </c>
      <c r="I1686">
        <v>30.05</v>
      </c>
    </row>
    <row r="1687" spans="1:9" x14ac:dyDescent="0.3">
      <c r="A1687">
        <f>LOOKUP(9E+307,--MID(D1687,1,{1,2,3,4,5}))</f>
        <v>7.5</v>
      </c>
      <c r="B1687">
        <f>VLOOKUP(MID(D1687,LOOKUP(2,1/ISNUMBER(-MID(D1687,1,{1,2,3,4,5})),{1,2,3,4,5})+1,9),'Hue codes'!$A$1:$B$10,2,FALSE)</f>
        <v>30</v>
      </c>
      <c r="C1687">
        <f t="shared" si="26"/>
        <v>37.5</v>
      </c>
      <c r="D1687" t="s">
        <v>35</v>
      </c>
      <c r="E1687">
        <v>6</v>
      </c>
      <c r="F1687">
        <v>4</v>
      </c>
      <c r="G1687">
        <v>0.32750000000000001</v>
      </c>
      <c r="H1687">
        <v>0.39219999999999999</v>
      </c>
      <c r="I1687">
        <v>30.05</v>
      </c>
    </row>
    <row r="1688" spans="1:9" x14ac:dyDescent="0.3">
      <c r="A1688">
        <f>LOOKUP(9E+307,--MID(D1688,1,{1,2,3,4,5}))</f>
        <v>7.5</v>
      </c>
      <c r="B1688">
        <f>VLOOKUP(MID(D1688,LOOKUP(2,1/ISNUMBER(-MID(D1688,1,{1,2,3,4,5})),{1,2,3,4,5})+1,9),'Hue codes'!$A$1:$B$10,2,FALSE)</f>
        <v>30</v>
      </c>
      <c r="C1688">
        <f t="shared" si="26"/>
        <v>37.5</v>
      </c>
      <c r="D1688" t="s">
        <v>35</v>
      </c>
      <c r="E1688">
        <v>6</v>
      </c>
      <c r="F1688">
        <v>6</v>
      </c>
      <c r="G1688">
        <v>0.33510000000000001</v>
      </c>
      <c r="H1688">
        <v>0.43209999999999998</v>
      </c>
      <c r="I1688">
        <v>30.05</v>
      </c>
    </row>
    <row r="1689" spans="1:9" x14ac:dyDescent="0.3">
      <c r="A1689">
        <f>LOOKUP(9E+307,--MID(D1689,1,{1,2,3,4,5}))</f>
        <v>7.5</v>
      </c>
      <c r="B1689">
        <f>VLOOKUP(MID(D1689,LOOKUP(2,1/ISNUMBER(-MID(D1689,1,{1,2,3,4,5})),{1,2,3,4,5})+1,9),'Hue codes'!$A$1:$B$10,2,FALSE)</f>
        <v>30</v>
      </c>
      <c r="C1689">
        <f t="shared" si="26"/>
        <v>37.5</v>
      </c>
      <c r="D1689" t="s">
        <v>35</v>
      </c>
      <c r="E1689">
        <v>6</v>
      </c>
      <c r="F1689">
        <v>8</v>
      </c>
      <c r="G1689">
        <v>0.34179999999999999</v>
      </c>
      <c r="H1689">
        <v>0.4768</v>
      </c>
      <c r="I1689">
        <v>30.05</v>
      </c>
    </row>
    <row r="1690" spans="1:9" x14ac:dyDescent="0.3">
      <c r="A1690">
        <f>LOOKUP(9E+307,--MID(D1690,1,{1,2,3,4,5}))</f>
        <v>7.5</v>
      </c>
      <c r="B1690">
        <f>VLOOKUP(MID(D1690,LOOKUP(2,1/ISNUMBER(-MID(D1690,1,{1,2,3,4,5})),{1,2,3,4,5})+1,9),'Hue codes'!$A$1:$B$10,2,FALSE)</f>
        <v>30</v>
      </c>
      <c r="C1690">
        <f t="shared" si="26"/>
        <v>37.5</v>
      </c>
      <c r="D1690" t="s">
        <v>35</v>
      </c>
      <c r="E1690">
        <v>6</v>
      </c>
      <c r="F1690">
        <v>10</v>
      </c>
      <c r="G1690">
        <v>0.3463</v>
      </c>
      <c r="H1690">
        <v>0.51959999999999995</v>
      </c>
      <c r="I1690">
        <v>30.05</v>
      </c>
    </row>
    <row r="1691" spans="1:9" x14ac:dyDescent="0.3">
      <c r="A1691">
        <f>LOOKUP(9E+307,--MID(D1691,1,{1,2,3,4,5}))</f>
        <v>7.5</v>
      </c>
      <c r="B1691">
        <f>VLOOKUP(MID(D1691,LOOKUP(2,1/ISNUMBER(-MID(D1691,1,{1,2,3,4,5})),{1,2,3,4,5})+1,9),'Hue codes'!$A$1:$B$10,2,FALSE)</f>
        <v>30</v>
      </c>
      <c r="C1691">
        <f t="shared" si="26"/>
        <v>37.5</v>
      </c>
      <c r="D1691" t="s">
        <v>35</v>
      </c>
      <c r="E1691">
        <v>6</v>
      </c>
      <c r="F1691">
        <v>12</v>
      </c>
      <c r="G1691">
        <v>0.3488</v>
      </c>
      <c r="H1691">
        <v>0.55959999999999999</v>
      </c>
      <c r="I1691">
        <v>30.05</v>
      </c>
    </row>
    <row r="1692" spans="1:9" x14ac:dyDescent="0.3">
      <c r="A1692">
        <f>LOOKUP(9E+307,--MID(D1692,1,{1,2,3,4,5}))</f>
        <v>7.5</v>
      </c>
      <c r="B1692">
        <f>VLOOKUP(MID(D1692,LOOKUP(2,1/ISNUMBER(-MID(D1692,1,{1,2,3,4,5})),{1,2,3,4,5})+1,9),'Hue codes'!$A$1:$B$10,2,FALSE)</f>
        <v>30</v>
      </c>
      <c r="C1692">
        <f t="shared" si="26"/>
        <v>37.5</v>
      </c>
      <c r="D1692" t="s">
        <v>35</v>
      </c>
      <c r="E1692">
        <v>6</v>
      </c>
      <c r="F1692">
        <v>14</v>
      </c>
      <c r="G1692">
        <v>0.3498</v>
      </c>
      <c r="H1692">
        <v>0.59850000000000003</v>
      </c>
      <c r="I1692">
        <v>30.05</v>
      </c>
    </row>
    <row r="1693" spans="1:9" x14ac:dyDescent="0.3">
      <c r="A1693">
        <f>LOOKUP(9E+307,--MID(D1693,1,{1,2,3,4,5}))</f>
        <v>7.5</v>
      </c>
      <c r="B1693">
        <f>VLOOKUP(MID(D1693,LOOKUP(2,1/ISNUMBER(-MID(D1693,1,{1,2,3,4,5})),{1,2,3,4,5})+1,9),'Hue codes'!$A$1:$B$10,2,FALSE)</f>
        <v>30</v>
      </c>
      <c r="C1693">
        <f t="shared" si="26"/>
        <v>37.5</v>
      </c>
      <c r="D1693" t="s">
        <v>35</v>
      </c>
      <c r="E1693">
        <v>6</v>
      </c>
      <c r="F1693">
        <v>16</v>
      </c>
      <c r="G1693">
        <v>0.3498</v>
      </c>
      <c r="H1693">
        <v>0.62819999999999998</v>
      </c>
      <c r="I1693">
        <v>30.05</v>
      </c>
    </row>
    <row r="1694" spans="1:9" x14ac:dyDescent="0.3">
      <c r="A1694">
        <f>LOOKUP(9E+307,--MID(D1694,1,{1,2,3,4,5}))</f>
        <v>10</v>
      </c>
      <c r="B1694">
        <f>VLOOKUP(MID(D1694,LOOKUP(2,1/ISNUMBER(-MID(D1694,1,{1,2,3,4,5})),{1,2,3,4,5})+1,9),'Hue codes'!$A$1:$B$10,2,FALSE)</f>
        <v>30</v>
      </c>
      <c r="C1694">
        <f t="shared" si="26"/>
        <v>40</v>
      </c>
      <c r="D1694" t="s">
        <v>36</v>
      </c>
      <c r="E1694">
        <v>6</v>
      </c>
      <c r="F1694">
        <v>2</v>
      </c>
      <c r="G1694">
        <v>0.31119999999999998</v>
      </c>
      <c r="H1694">
        <v>0.34960000000000002</v>
      </c>
      <c r="I1694">
        <v>30.05</v>
      </c>
    </row>
    <row r="1695" spans="1:9" x14ac:dyDescent="0.3">
      <c r="A1695">
        <f>LOOKUP(9E+307,--MID(D1695,1,{1,2,3,4,5}))</f>
        <v>10</v>
      </c>
      <c r="B1695">
        <f>VLOOKUP(MID(D1695,LOOKUP(2,1/ISNUMBER(-MID(D1695,1,{1,2,3,4,5})),{1,2,3,4,5})+1,9),'Hue codes'!$A$1:$B$10,2,FALSE)</f>
        <v>30</v>
      </c>
      <c r="C1695">
        <f t="shared" si="26"/>
        <v>40</v>
      </c>
      <c r="D1695" t="s">
        <v>36</v>
      </c>
      <c r="E1695">
        <v>6</v>
      </c>
      <c r="F1695">
        <v>4</v>
      </c>
      <c r="G1695">
        <v>0.31240000000000001</v>
      </c>
      <c r="H1695">
        <v>0.38219999999999998</v>
      </c>
      <c r="I1695">
        <v>30.05</v>
      </c>
    </row>
    <row r="1696" spans="1:9" x14ac:dyDescent="0.3">
      <c r="A1696">
        <f>LOOKUP(9E+307,--MID(D1696,1,{1,2,3,4,5}))</f>
        <v>10</v>
      </c>
      <c r="B1696">
        <f>VLOOKUP(MID(D1696,LOOKUP(2,1/ISNUMBER(-MID(D1696,1,{1,2,3,4,5})),{1,2,3,4,5})+1,9),'Hue codes'!$A$1:$B$10,2,FALSE)</f>
        <v>30</v>
      </c>
      <c r="C1696">
        <f t="shared" si="26"/>
        <v>40</v>
      </c>
      <c r="D1696" t="s">
        <v>36</v>
      </c>
      <c r="E1696">
        <v>6</v>
      </c>
      <c r="F1696">
        <v>6</v>
      </c>
      <c r="G1696">
        <v>0.31280000000000002</v>
      </c>
      <c r="H1696">
        <v>0.41749999999999998</v>
      </c>
      <c r="I1696">
        <v>30.05</v>
      </c>
    </row>
    <row r="1697" spans="1:9" x14ac:dyDescent="0.3">
      <c r="A1697">
        <f>LOOKUP(9E+307,--MID(D1697,1,{1,2,3,4,5}))</f>
        <v>10</v>
      </c>
      <c r="B1697">
        <f>VLOOKUP(MID(D1697,LOOKUP(2,1/ISNUMBER(-MID(D1697,1,{1,2,3,4,5})),{1,2,3,4,5})+1,9),'Hue codes'!$A$1:$B$10,2,FALSE)</f>
        <v>30</v>
      </c>
      <c r="C1697">
        <f t="shared" si="26"/>
        <v>40</v>
      </c>
      <c r="D1697" t="s">
        <v>36</v>
      </c>
      <c r="E1697">
        <v>6</v>
      </c>
      <c r="F1697">
        <v>8</v>
      </c>
      <c r="G1697">
        <v>0.31159999999999999</v>
      </c>
      <c r="H1697">
        <v>0.45629999999999998</v>
      </c>
      <c r="I1697">
        <v>30.05</v>
      </c>
    </row>
    <row r="1698" spans="1:9" x14ac:dyDescent="0.3">
      <c r="A1698">
        <f>LOOKUP(9E+307,--MID(D1698,1,{1,2,3,4,5}))</f>
        <v>10</v>
      </c>
      <c r="B1698">
        <f>VLOOKUP(MID(D1698,LOOKUP(2,1/ISNUMBER(-MID(D1698,1,{1,2,3,4,5})),{1,2,3,4,5})+1,9),'Hue codes'!$A$1:$B$10,2,FALSE)</f>
        <v>30</v>
      </c>
      <c r="C1698">
        <f t="shared" si="26"/>
        <v>40</v>
      </c>
      <c r="D1698" t="s">
        <v>36</v>
      </c>
      <c r="E1698">
        <v>6</v>
      </c>
      <c r="F1698">
        <v>10</v>
      </c>
      <c r="G1698">
        <v>0.30859999999999999</v>
      </c>
      <c r="H1698">
        <v>0.49490000000000001</v>
      </c>
      <c r="I1698">
        <v>30.05</v>
      </c>
    </row>
    <row r="1699" spans="1:9" x14ac:dyDescent="0.3">
      <c r="A1699">
        <f>LOOKUP(9E+307,--MID(D1699,1,{1,2,3,4,5}))</f>
        <v>10</v>
      </c>
      <c r="B1699">
        <f>VLOOKUP(MID(D1699,LOOKUP(2,1/ISNUMBER(-MID(D1699,1,{1,2,3,4,5})),{1,2,3,4,5})+1,9),'Hue codes'!$A$1:$B$10,2,FALSE)</f>
        <v>30</v>
      </c>
      <c r="C1699">
        <f t="shared" si="26"/>
        <v>40</v>
      </c>
      <c r="D1699" t="s">
        <v>36</v>
      </c>
      <c r="E1699">
        <v>6</v>
      </c>
      <c r="F1699">
        <v>12</v>
      </c>
      <c r="G1699">
        <v>0.30370000000000003</v>
      </c>
      <c r="H1699">
        <v>0.53580000000000005</v>
      </c>
      <c r="I1699">
        <v>30.05</v>
      </c>
    </row>
    <row r="1700" spans="1:9" x14ac:dyDescent="0.3">
      <c r="A1700">
        <f>LOOKUP(9E+307,--MID(D1700,1,{1,2,3,4,5}))</f>
        <v>10</v>
      </c>
      <c r="B1700">
        <f>VLOOKUP(MID(D1700,LOOKUP(2,1/ISNUMBER(-MID(D1700,1,{1,2,3,4,5})),{1,2,3,4,5})+1,9),'Hue codes'!$A$1:$B$10,2,FALSE)</f>
        <v>30</v>
      </c>
      <c r="C1700">
        <f t="shared" si="26"/>
        <v>40</v>
      </c>
      <c r="D1700" t="s">
        <v>36</v>
      </c>
      <c r="E1700">
        <v>6</v>
      </c>
      <c r="F1700">
        <v>14</v>
      </c>
      <c r="G1700">
        <v>0.29620000000000002</v>
      </c>
      <c r="H1700">
        <v>0.58020000000000005</v>
      </c>
      <c r="I1700">
        <v>30.05</v>
      </c>
    </row>
    <row r="1701" spans="1:9" x14ac:dyDescent="0.3">
      <c r="A1701">
        <f>LOOKUP(9E+307,--MID(D1701,1,{1,2,3,4,5}))</f>
        <v>10</v>
      </c>
      <c r="B1701">
        <f>VLOOKUP(MID(D1701,LOOKUP(2,1/ISNUMBER(-MID(D1701,1,{1,2,3,4,5})),{1,2,3,4,5})+1,9),'Hue codes'!$A$1:$B$10,2,FALSE)</f>
        <v>30</v>
      </c>
      <c r="C1701">
        <f t="shared" si="26"/>
        <v>40</v>
      </c>
      <c r="D1701" t="s">
        <v>36</v>
      </c>
      <c r="E1701">
        <v>6</v>
      </c>
      <c r="F1701">
        <v>16</v>
      </c>
      <c r="G1701">
        <v>0.28720000000000001</v>
      </c>
      <c r="H1701">
        <v>0.61990000000000001</v>
      </c>
      <c r="I1701">
        <v>30.05</v>
      </c>
    </row>
    <row r="1702" spans="1:9" x14ac:dyDescent="0.3">
      <c r="A1702">
        <f>LOOKUP(9E+307,--MID(D1702,1,{1,2,3,4,5}))</f>
        <v>10</v>
      </c>
      <c r="B1702">
        <f>VLOOKUP(MID(D1702,LOOKUP(2,1/ISNUMBER(-MID(D1702,1,{1,2,3,4,5})),{1,2,3,4,5})+1,9),'Hue codes'!$A$1:$B$10,2,FALSE)</f>
        <v>30</v>
      </c>
      <c r="C1702">
        <f t="shared" si="26"/>
        <v>40</v>
      </c>
      <c r="D1702" t="s">
        <v>36</v>
      </c>
      <c r="E1702">
        <v>6</v>
      </c>
      <c r="F1702">
        <v>18</v>
      </c>
      <c r="G1702">
        <v>0.27629999999999999</v>
      </c>
      <c r="H1702">
        <v>0.66159999999999997</v>
      </c>
      <c r="I1702">
        <v>30.05</v>
      </c>
    </row>
    <row r="1703" spans="1:9" x14ac:dyDescent="0.3">
      <c r="A1703">
        <f>LOOKUP(9E+307,--MID(D1703,1,{1,2,3,4,5}))</f>
        <v>10</v>
      </c>
      <c r="B1703">
        <f>VLOOKUP(MID(D1703,LOOKUP(2,1/ISNUMBER(-MID(D1703,1,{1,2,3,4,5})),{1,2,3,4,5})+1,9),'Hue codes'!$A$1:$B$10,2,FALSE)</f>
        <v>30</v>
      </c>
      <c r="C1703">
        <f t="shared" si="26"/>
        <v>40</v>
      </c>
      <c r="D1703" t="s">
        <v>36</v>
      </c>
      <c r="E1703">
        <v>6</v>
      </c>
      <c r="F1703">
        <v>20</v>
      </c>
      <c r="G1703">
        <v>0.26479999999999998</v>
      </c>
      <c r="H1703">
        <v>0.70040000000000002</v>
      </c>
      <c r="I1703">
        <v>30.05</v>
      </c>
    </row>
    <row r="1704" spans="1:9" x14ac:dyDescent="0.3">
      <c r="A1704">
        <f>LOOKUP(9E+307,--MID(D1704,1,{1,2,3,4,5}))</f>
        <v>2.5</v>
      </c>
      <c r="B1704">
        <f>VLOOKUP(MID(D1704,LOOKUP(2,1/ISNUMBER(-MID(D1704,1,{1,2,3,4,5})),{1,2,3,4,5})+1,9),'Hue codes'!$A$1:$B$10,2,FALSE)</f>
        <v>40</v>
      </c>
      <c r="C1704">
        <f t="shared" si="26"/>
        <v>42.5</v>
      </c>
      <c r="D1704" t="s">
        <v>37</v>
      </c>
      <c r="E1704">
        <v>6</v>
      </c>
      <c r="F1704">
        <v>2</v>
      </c>
      <c r="G1704">
        <v>0.3039</v>
      </c>
      <c r="H1704">
        <v>0.34370000000000001</v>
      </c>
      <c r="I1704">
        <v>30.05</v>
      </c>
    </row>
    <row r="1705" spans="1:9" x14ac:dyDescent="0.3">
      <c r="A1705">
        <f>LOOKUP(9E+307,--MID(D1705,1,{1,2,3,4,5}))</f>
        <v>2.5</v>
      </c>
      <c r="B1705">
        <f>VLOOKUP(MID(D1705,LOOKUP(2,1/ISNUMBER(-MID(D1705,1,{1,2,3,4,5})),{1,2,3,4,5})+1,9),'Hue codes'!$A$1:$B$10,2,FALSE)</f>
        <v>40</v>
      </c>
      <c r="C1705">
        <f t="shared" si="26"/>
        <v>42.5</v>
      </c>
      <c r="D1705" t="s">
        <v>37</v>
      </c>
      <c r="E1705">
        <v>6</v>
      </c>
      <c r="F1705">
        <v>4</v>
      </c>
      <c r="G1705">
        <v>0.29670000000000002</v>
      </c>
      <c r="H1705">
        <v>0.3695</v>
      </c>
      <c r="I1705">
        <v>30.05</v>
      </c>
    </row>
    <row r="1706" spans="1:9" x14ac:dyDescent="0.3">
      <c r="A1706">
        <f>LOOKUP(9E+307,--MID(D1706,1,{1,2,3,4,5}))</f>
        <v>2.5</v>
      </c>
      <c r="B1706">
        <f>VLOOKUP(MID(D1706,LOOKUP(2,1/ISNUMBER(-MID(D1706,1,{1,2,3,4,5})),{1,2,3,4,5})+1,9),'Hue codes'!$A$1:$B$10,2,FALSE)</f>
        <v>40</v>
      </c>
      <c r="C1706">
        <f t="shared" si="26"/>
        <v>42.5</v>
      </c>
      <c r="D1706" t="s">
        <v>37</v>
      </c>
      <c r="E1706">
        <v>6</v>
      </c>
      <c r="F1706">
        <v>6</v>
      </c>
      <c r="G1706">
        <v>0.28920000000000001</v>
      </c>
      <c r="H1706">
        <v>0.39629999999999999</v>
      </c>
      <c r="I1706">
        <v>30.05</v>
      </c>
    </row>
    <row r="1707" spans="1:9" x14ac:dyDescent="0.3">
      <c r="A1707">
        <f>LOOKUP(9E+307,--MID(D1707,1,{1,2,3,4,5}))</f>
        <v>2.5</v>
      </c>
      <c r="B1707">
        <f>VLOOKUP(MID(D1707,LOOKUP(2,1/ISNUMBER(-MID(D1707,1,{1,2,3,4,5})),{1,2,3,4,5})+1,9),'Hue codes'!$A$1:$B$10,2,FALSE)</f>
        <v>40</v>
      </c>
      <c r="C1707">
        <f t="shared" si="26"/>
        <v>42.5</v>
      </c>
      <c r="D1707" t="s">
        <v>37</v>
      </c>
      <c r="E1707">
        <v>6</v>
      </c>
      <c r="F1707">
        <v>8</v>
      </c>
      <c r="G1707">
        <v>0.27989999999999998</v>
      </c>
      <c r="H1707">
        <v>0.4239</v>
      </c>
      <c r="I1707">
        <v>30.05</v>
      </c>
    </row>
    <row r="1708" spans="1:9" x14ac:dyDescent="0.3">
      <c r="A1708">
        <f>LOOKUP(9E+307,--MID(D1708,1,{1,2,3,4,5}))</f>
        <v>2.5</v>
      </c>
      <c r="B1708">
        <f>VLOOKUP(MID(D1708,LOOKUP(2,1/ISNUMBER(-MID(D1708,1,{1,2,3,4,5})),{1,2,3,4,5})+1,9),'Hue codes'!$A$1:$B$10,2,FALSE)</f>
        <v>40</v>
      </c>
      <c r="C1708">
        <f t="shared" si="26"/>
        <v>42.5</v>
      </c>
      <c r="D1708" t="s">
        <v>37</v>
      </c>
      <c r="E1708">
        <v>6</v>
      </c>
      <c r="F1708">
        <v>10</v>
      </c>
      <c r="G1708">
        <v>0.26900000000000002</v>
      </c>
      <c r="H1708">
        <v>0.45300000000000001</v>
      </c>
      <c r="I1708">
        <v>30.05</v>
      </c>
    </row>
    <row r="1709" spans="1:9" x14ac:dyDescent="0.3">
      <c r="A1709">
        <f>LOOKUP(9E+307,--MID(D1709,1,{1,2,3,4,5}))</f>
        <v>2.5</v>
      </c>
      <c r="B1709">
        <f>VLOOKUP(MID(D1709,LOOKUP(2,1/ISNUMBER(-MID(D1709,1,{1,2,3,4,5})),{1,2,3,4,5})+1,9),'Hue codes'!$A$1:$B$10,2,FALSE)</f>
        <v>40</v>
      </c>
      <c r="C1709">
        <f t="shared" si="26"/>
        <v>42.5</v>
      </c>
      <c r="D1709" t="s">
        <v>37</v>
      </c>
      <c r="E1709">
        <v>6</v>
      </c>
      <c r="F1709">
        <v>12</v>
      </c>
      <c r="G1709">
        <v>0.25740000000000002</v>
      </c>
      <c r="H1709">
        <v>0.48139999999999999</v>
      </c>
      <c r="I1709">
        <v>30.05</v>
      </c>
    </row>
    <row r="1710" spans="1:9" x14ac:dyDescent="0.3">
      <c r="A1710">
        <f>LOOKUP(9E+307,--MID(D1710,1,{1,2,3,4,5}))</f>
        <v>2.5</v>
      </c>
      <c r="B1710">
        <f>VLOOKUP(MID(D1710,LOOKUP(2,1/ISNUMBER(-MID(D1710,1,{1,2,3,4,5})),{1,2,3,4,5})+1,9),'Hue codes'!$A$1:$B$10,2,FALSE)</f>
        <v>40</v>
      </c>
      <c r="C1710">
        <f t="shared" si="26"/>
        <v>42.5</v>
      </c>
      <c r="D1710" t="s">
        <v>37</v>
      </c>
      <c r="E1710">
        <v>6</v>
      </c>
      <c r="F1710">
        <v>14</v>
      </c>
      <c r="G1710">
        <v>0.24260000000000001</v>
      </c>
      <c r="H1710">
        <v>0.51329999999999998</v>
      </c>
      <c r="I1710">
        <v>30.05</v>
      </c>
    </row>
    <row r="1711" spans="1:9" x14ac:dyDescent="0.3">
      <c r="A1711">
        <f>LOOKUP(9E+307,--MID(D1711,1,{1,2,3,4,5}))</f>
        <v>2.5</v>
      </c>
      <c r="B1711">
        <f>VLOOKUP(MID(D1711,LOOKUP(2,1/ISNUMBER(-MID(D1711,1,{1,2,3,4,5})),{1,2,3,4,5})+1,9),'Hue codes'!$A$1:$B$10,2,FALSE)</f>
        <v>40</v>
      </c>
      <c r="C1711">
        <f t="shared" si="26"/>
        <v>42.5</v>
      </c>
      <c r="D1711" t="s">
        <v>37</v>
      </c>
      <c r="E1711">
        <v>6</v>
      </c>
      <c r="F1711">
        <v>16</v>
      </c>
      <c r="G1711">
        <v>0.2278</v>
      </c>
      <c r="H1711">
        <v>0.54300000000000004</v>
      </c>
      <c r="I1711">
        <v>30.05</v>
      </c>
    </row>
    <row r="1712" spans="1:9" x14ac:dyDescent="0.3">
      <c r="A1712">
        <f>LOOKUP(9E+307,--MID(D1712,1,{1,2,3,4,5}))</f>
        <v>2.5</v>
      </c>
      <c r="B1712">
        <f>VLOOKUP(MID(D1712,LOOKUP(2,1/ISNUMBER(-MID(D1712,1,{1,2,3,4,5})),{1,2,3,4,5})+1,9),'Hue codes'!$A$1:$B$10,2,FALSE)</f>
        <v>40</v>
      </c>
      <c r="C1712">
        <f t="shared" si="26"/>
        <v>42.5</v>
      </c>
      <c r="D1712" t="s">
        <v>37</v>
      </c>
      <c r="E1712">
        <v>6</v>
      </c>
      <c r="F1712">
        <v>18</v>
      </c>
      <c r="G1712">
        <v>0.2102</v>
      </c>
      <c r="H1712">
        <v>0.57369999999999999</v>
      </c>
      <c r="I1712">
        <v>30.05</v>
      </c>
    </row>
    <row r="1713" spans="1:9" x14ac:dyDescent="0.3">
      <c r="A1713">
        <f>LOOKUP(9E+307,--MID(D1713,1,{1,2,3,4,5}))</f>
        <v>2.5</v>
      </c>
      <c r="B1713">
        <f>VLOOKUP(MID(D1713,LOOKUP(2,1/ISNUMBER(-MID(D1713,1,{1,2,3,4,5})),{1,2,3,4,5})+1,9),'Hue codes'!$A$1:$B$10,2,FALSE)</f>
        <v>40</v>
      </c>
      <c r="C1713">
        <f t="shared" si="26"/>
        <v>42.5</v>
      </c>
      <c r="D1713" t="s">
        <v>37</v>
      </c>
      <c r="E1713">
        <v>6</v>
      </c>
      <c r="F1713">
        <v>20</v>
      </c>
      <c r="G1713">
        <v>0.19220000000000001</v>
      </c>
      <c r="H1713">
        <v>0.60350000000000004</v>
      </c>
      <c r="I1713">
        <v>30.05</v>
      </c>
    </row>
    <row r="1714" spans="1:9" x14ac:dyDescent="0.3">
      <c r="A1714">
        <f>LOOKUP(9E+307,--MID(D1714,1,{1,2,3,4,5}))</f>
        <v>2.5</v>
      </c>
      <c r="B1714">
        <f>VLOOKUP(MID(D1714,LOOKUP(2,1/ISNUMBER(-MID(D1714,1,{1,2,3,4,5})),{1,2,3,4,5})+1,9),'Hue codes'!$A$1:$B$10,2,FALSE)</f>
        <v>40</v>
      </c>
      <c r="C1714">
        <f t="shared" si="26"/>
        <v>42.5</v>
      </c>
      <c r="D1714" t="s">
        <v>37</v>
      </c>
      <c r="E1714">
        <v>6</v>
      </c>
      <c r="F1714">
        <v>22</v>
      </c>
      <c r="G1714">
        <v>0.1739</v>
      </c>
      <c r="H1714">
        <v>0.63180000000000003</v>
      </c>
      <c r="I1714">
        <v>30.05</v>
      </c>
    </row>
    <row r="1715" spans="1:9" x14ac:dyDescent="0.3">
      <c r="A1715">
        <f>LOOKUP(9E+307,--MID(D1715,1,{1,2,3,4,5}))</f>
        <v>2.5</v>
      </c>
      <c r="B1715">
        <f>VLOOKUP(MID(D1715,LOOKUP(2,1/ISNUMBER(-MID(D1715,1,{1,2,3,4,5})),{1,2,3,4,5})+1,9),'Hue codes'!$A$1:$B$10,2,FALSE)</f>
        <v>40</v>
      </c>
      <c r="C1715">
        <f t="shared" si="26"/>
        <v>42.5</v>
      </c>
      <c r="D1715" t="s">
        <v>37</v>
      </c>
      <c r="E1715">
        <v>6</v>
      </c>
      <c r="F1715">
        <v>24</v>
      </c>
      <c r="G1715">
        <v>0.15359999999999999</v>
      </c>
      <c r="H1715">
        <v>0.66049999999999998</v>
      </c>
      <c r="I1715">
        <v>30.05</v>
      </c>
    </row>
    <row r="1716" spans="1:9" x14ac:dyDescent="0.3">
      <c r="A1716">
        <f>LOOKUP(9E+307,--MID(D1716,1,{1,2,3,4,5}))</f>
        <v>2.5</v>
      </c>
      <c r="B1716">
        <f>VLOOKUP(MID(D1716,LOOKUP(2,1/ISNUMBER(-MID(D1716,1,{1,2,3,4,5})),{1,2,3,4,5})+1,9),'Hue codes'!$A$1:$B$10,2,FALSE)</f>
        <v>40</v>
      </c>
      <c r="C1716">
        <f t="shared" si="26"/>
        <v>42.5</v>
      </c>
      <c r="D1716" t="s">
        <v>37</v>
      </c>
      <c r="E1716">
        <v>6</v>
      </c>
      <c r="F1716">
        <v>26</v>
      </c>
      <c r="G1716">
        <v>0.13400000000000001</v>
      </c>
      <c r="H1716">
        <v>0.68710000000000004</v>
      </c>
      <c r="I1716">
        <v>30.05</v>
      </c>
    </row>
    <row r="1717" spans="1:9" x14ac:dyDescent="0.3">
      <c r="A1717">
        <f>LOOKUP(9E+307,--MID(D1717,1,{1,2,3,4,5}))</f>
        <v>2.5</v>
      </c>
      <c r="B1717">
        <f>VLOOKUP(MID(D1717,LOOKUP(2,1/ISNUMBER(-MID(D1717,1,{1,2,3,4,5})),{1,2,3,4,5})+1,9),'Hue codes'!$A$1:$B$10,2,FALSE)</f>
        <v>40</v>
      </c>
      <c r="C1717">
        <f t="shared" si="26"/>
        <v>42.5</v>
      </c>
      <c r="D1717" t="s">
        <v>37</v>
      </c>
      <c r="E1717">
        <v>6</v>
      </c>
      <c r="F1717">
        <v>28</v>
      </c>
      <c r="G1717">
        <v>0.1145</v>
      </c>
      <c r="H1717">
        <v>0.71220000000000006</v>
      </c>
      <c r="I1717">
        <v>30.05</v>
      </c>
    </row>
    <row r="1718" spans="1:9" x14ac:dyDescent="0.3">
      <c r="A1718">
        <f>LOOKUP(9E+307,--MID(D1718,1,{1,2,3,4,5}))</f>
        <v>5</v>
      </c>
      <c r="B1718">
        <f>VLOOKUP(MID(D1718,LOOKUP(2,1/ISNUMBER(-MID(D1718,1,{1,2,3,4,5})),{1,2,3,4,5})+1,9),'Hue codes'!$A$1:$B$10,2,FALSE)</f>
        <v>40</v>
      </c>
      <c r="C1718">
        <f t="shared" si="26"/>
        <v>45</v>
      </c>
      <c r="D1718" t="s">
        <v>38</v>
      </c>
      <c r="E1718">
        <v>6</v>
      </c>
      <c r="F1718">
        <v>2</v>
      </c>
      <c r="G1718">
        <v>0.29880000000000001</v>
      </c>
      <c r="H1718">
        <v>0.3382</v>
      </c>
      <c r="I1718">
        <v>30.05</v>
      </c>
    </row>
    <row r="1719" spans="1:9" x14ac:dyDescent="0.3">
      <c r="A1719">
        <f>LOOKUP(9E+307,--MID(D1719,1,{1,2,3,4,5}))</f>
        <v>5</v>
      </c>
      <c r="B1719">
        <f>VLOOKUP(MID(D1719,LOOKUP(2,1/ISNUMBER(-MID(D1719,1,{1,2,3,4,5})),{1,2,3,4,5})+1,9),'Hue codes'!$A$1:$B$10,2,FALSE)</f>
        <v>40</v>
      </c>
      <c r="C1719">
        <f t="shared" si="26"/>
        <v>45</v>
      </c>
      <c r="D1719" t="s">
        <v>38</v>
      </c>
      <c r="E1719">
        <v>6</v>
      </c>
      <c r="F1719">
        <v>4</v>
      </c>
      <c r="G1719">
        <v>0.2868</v>
      </c>
      <c r="H1719">
        <v>0.35949999999999999</v>
      </c>
      <c r="I1719">
        <v>30.05</v>
      </c>
    </row>
    <row r="1720" spans="1:9" x14ac:dyDescent="0.3">
      <c r="A1720">
        <f>LOOKUP(9E+307,--MID(D1720,1,{1,2,3,4,5}))</f>
        <v>5</v>
      </c>
      <c r="B1720">
        <f>VLOOKUP(MID(D1720,LOOKUP(2,1/ISNUMBER(-MID(D1720,1,{1,2,3,4,5})),{1,2,3,4,5})+1,9),'Hue codes'!$A$1:$B$10,2,FALSE)</f>
        <v>40</v>
      </c>
      <c r="C1720">
        <f t="shared" si="26"/>
        <v>45</v>
      </c>
      <c r="D1720" t="s">
        <v>38</v>
      </c>
      <c r="E1720">
        <v>6</v>
      </c>
      <c r="F1720">
        <v>6</v>
      </c>
      <c r="G1720">
        <v>0.27479999999999999</v>
      </c>
      <c r="H1720">
        <v>0.3795</v>
      </c>
      <c r="I1720">
        <v>30.05</v>
      </c>
    </row>
    <row r="1721" spans="1:9" x14ac:dyDescent="0.3">
      <c r="A1721">
        <f>LOOKUP(9E+307,--MID(D1721,1,{1,2,3,4,5}))</f>
        <v>5</v>
      </c>
      <c r="B1721">
        <f>VLOOKUP(MID(D1721,LOOKUP(2,1/ISNUMBER(-MID(D1721,1,{1,2,3,4,5})),{1,2,3,4,5})+1,9),'Hue codes'!$A$1:$B$10,2,FALSE)</f>
        <v>40</v>
      </c>
      <c r="C1721">
        <f t="shared" si="26"/>
        <v>45</v>
      </c>
      <c r="D1721" t="s">
        <v>38</v>
      </c>
      <c r="E1721">
        <v>6</v>
      </c>
      <c r="F1721">
        <v>8</v>
      </c>
      <c r="G1721">
        <v>0.26119999999999999</v>
      </c>
      <c r="H1721">
        <v>0.39900000000000002</v>
      </c>
      <c r="I1721">
        <v>30.05</v>
      </c>
    </row>
    <row r="1722" spans="1:9" x14ac:dyDescent="0.3">
      <c r="A1722">
        <f>LOOKUP(9E+307,--MID(D1722,1,{1,2,3,4,5}))</f>
        <v>5</v>
      </c>
      <c r="B1722">
        <f>VLOOKUP(MID(D1722,LOOKUP(2,1/ISNUMBER(-MID(D1722,1,{1,2,3,4,5})),{1,2,3,4,5})+1,9),'Hue codes'!$A$1:$B$10,2,FALSE)</f>
        <v>40</v>
      </c>
      <c r="C1722">
        <f t="shared" si="26"/>
        <v>45</v>
      </c>
      <c r="D1722" t="s">
        <v>38</v>
      </c>
      <c r="E1722">
        <v>6</v>
      </c>
      <c r="F1722">
        <v>10</v>
      </c>
      <c r="G1722">
        <v>0.24660000000000001</v>
      </c>
      <c r="H1722">
        <v>0.41810000000000003</v>
      </c>
      <c r="I1722">
        <v>30.05</v>
      </c>
    </row>
    <row r="1723" spans="1:9" x14ac:dyDescent="0.3">
      <c r="A1723">
        <f>LOOKUP(9E+307,--MID(D1723,1,{1,2,3,4,5}))</f>
        <v>5</v>
      </c>
      <c r="B1723">
        <f>VLOOKUP(MID(D1723,LOOKUP(2,1/ISNUMBER(-MID(D1723,1,{1,2,3,4,5})),{1,2,3,4,5})+1,9),'Hue codes'!$A$1:$B$10,2,FALSE)</f>
        <v>40</v>
      </c>
      <c r="C1723">
        <f t="shared" si="26"/>
        <v>45</v>
      </c>
      <c r="D1723" t="s">
        <v>38</v>
      </c>
      <c r="E1723">
        <v>6</v>
      </c>
      <c r="F1723">
        <v>12</v>
      </c>
      <c r="G1723">
        <v>0.2293</v>
      </c>
      <c r="H1723">
        <v>0.439</v>
      </c>
      <c r="I1723">
        <v>30.05</v>
      </c>
    </row>
    <row r="1724" spans="1:9" x14ac:dyDescent="0.3">
      <c r="A1724">
        <f>LOOKUP(9E+307,--MID(D1724,1,{1,2,3,4,5}))</f>
        <v>5</v>
      </c>
      <c r="B1724">
        <f>VLOOKUP(MID(D1724,LOOKUP(2,1/ISNUMBER(-MID(D1724,1,{1,2,3,4,5})),{1,2,3,4,5})+1,9),'Hue codes'!$A$1:$B$10,2,FALSE)</f>
        <v>40</v>
      </c>
      <c r="C1724">
        <f t="shared" si="26"/>
        <v>45</v>
      </c>
      <c r="D1724" t="s">
        <v>38</v>
      </c>
      <c r="E1724">
        <v>6</v>
      </c>
      <c r="F1724">
        <v>14</v>
      </c>
      <c r="G1724">
        <v>0.21299999999999999</v>
      </c>
      <c r="H1724">
        <v>0.45710000000000001</v>
      </c>
      <c r="I1724">
        <v>30.05</v>
      </c>
    </row>
    <row r="1725" spans="1:9" x14ac:dyDescent="0.3">
      <c r="A1725">
        <f>LOOKUP(9E+307,--MID(D1725,1,{1,2,3,4,5}))</f>
        <v>5</v>
      </c>
      <c r="B1725">
        <f>VLOOKUP(MID(D1725,LOOKUP(2,1/ISNUMBER(-MID(D1725,1,{1,2,3,4,5})),{1,2,3,4,5})+1,9),'Hue codes'!$A$1:$B$10,2,FALSE)</f>
        <v>40</v>
      </c>
      <c r="C1725">
        <f t="shared" si="26"/>
        <v>45</v>
      </c>
      <c r="D1725" t="s">
        <v>38</v>
      </c>
      <c r="E1725">
        <v>6</v>
      </c>
      <c r="F1725">
        <v>16</v>
      </c>
      <c r="G1725">
        <v>0.19600000000000001</v>
      </c>
      <c r="H1725">
        <v>0.47510000000000002</v>
      </c>
      <c r="I1725">
        <v>30.05</v>
      </c>
    </row>
    <row r="1726" spans="1:9" x14ac:dyDescent="0.3">
      <c r="A1726">
        <f>LOOKUP(9E+307,--MID(D1726,1,{1,2,3,4,5}))</f>
        <v>5</v>
      </c>
      <c r="B1726">
        <f>VLOOKUP(MID(D1726,LOOKUP(2,1/ISNUMBER(-MID(D1726,1,{1,2,3,4,5})),{1,2,3,4,5})+1,9),'Hue codes'!$A$1:$B$10,2,FALSE)</f>
        <v>40</v>
      </c>
      <c r="C1726">
        <f t="shared" si="26"/>
        <v>45</v>
      </c>
      <c r="D1726" t="s">
        <v>38</v>
      </c>
      <c r="E1726">
        <v>6</v>
      </c>
      <c r="F1726">
        <v>18</v>
      </c>
      <c r="G1726">
        <v>0.17849999999999999</v>
      </c>
      <c r="H1726">
        <v>0.4924</v>
      </c>
      <c r="I1726">
        <v>30.05</v>
      </c>
    </row>
    <row r="1727" spans="1:9" x14ac:dyDescent="0.3">
      <c r="A1727">
        <f>LOOKUP(9E+307,--MID(D1727,1,{1,2,3,4,5}))</f>
        <v>5</v>
      </c>
      <c r="B1727">
        <f>VLOOKUP(MID(D1727,LOOKUP(2,1/ISNUMBER(-MID(D1727,1,{1,2,3,4,5})),{1,2,3,4,5})+1,9),'Hue codes'!$A$1:$B$10,2,FALSE)</f>
        <v>40</v>
      </c>
      <c r="C1727">
        <f t="shared" si="26"/>
        <v>45</v>
      </c>
      <c r="D1727" t="s">
        <v>38</v>
      </c>
      <c r="E1727">
        <v>6</v>
      </c>
      <c r="F1727">
        <v>20</v>
      </c>
      <c r="G1727">
        <v>0.16089999999999999</v>
      </c>
      <c r="H1727">
        <v>0.5091</v>
      </c>
      <c r="I1727">
        <v>30.05</v>
      </c>
    </row>
    <row r="1728" spans="1:9" x14ac:dyDescent="0.3">
      <c r="A1728">
        <f>LOOKUP(9E+307,--MID(D1728,1,{1,2,3,4,5}))</f>
        <v>5</v>
      </c>
      <c r="B1728">
        <f>VLOOKUP(MID(D1728,LOOKUP(2,1/ISNUMBER(-MID(D1728,1,{1,2,3,4,5})),{1,2,3,4,5})+1,9),'Hue codes'!$A$1:$B$10,2,FALSE)</f>
        <v>40</v>
      </c>
      <c r="C1728">
        <f t="shared" si="26"/>
        <v>45</v>
      </c>
      <c r="D1728" t="s">
        <v>38</v>
      </c>
      <c r="E1728">
        <v>6</v>
      </c>
      <c r="F1728">
        <v>22</v>
      </c>
      <c r="G1728">
        <v>0.14319999999999999</v>
      </c>
      <c r="H1728">
        <v>0.5252</v>
      </c>
      <c r="I1728">
        <v>30.05</v>
      </c>
    </row>
    <row r="1729" spans="1:9" x14ac:dyDescent="0.3">
      <c r="A1729">
        <f>LOOKUP(9E+307,--MID(D1729,1,{1,2,3,4,5}))</f>
        <v>5</v>
      </c>
      <c r="B1729">
        <f>VLOOKUP(MID(D1729,LOOKUP(2,1/ISNUMBER(-MID(D1729,1,{1,2,3,4,5})),{1,2,3,4,5})+1,9),'Hue codes'!$A$1:$B$10,2,FALSE)</f>
        <v>40</v>
      </c>
      <c r="C1729">
        <f t="shared" si="26"/>
        <v>45</v>
      </c>
      <c r="D1729" t="s">
        <v>38</v>
      </c>
      <c r="E1729">
        <v>6</v>
      </c>
      <c r="F1729">
        <v>24</v>
      </c>
      <c r="G1729">
        <v>0.12520000000000001</v>
      </c>
      <c r="H1729">
        <v>0.54079999999999995</v>
      </c>
      <c r="I1729">
        <v>30.05</v>
      </c>
    </row>
    <row r="1730" spans="1:9" x14ac:dyDescent="0.3">
      <c r="A1730">
        <f>LOOKUP(9E+307,--MID(D1730,1,{1,2,3,4,5}))</f>
        <v>5</v>
      </c>
      <c r="B1730">
        <f>VLOOKUP(MID(D1730,LOOKUP(2,1/ISNUMBER(-MID(D1730,1,{1,2,3,4,5})),{1,2,3,4,5})+1,9),'Hue codes'!$A$1:$B$10,2,FALSE)</f>
        <v>40</v>
      </c>
      <c r="C1730">
        <f t="shared" si="26"/>
        <v>45</v>
      </c>
      <c r="D1730" t="s">
        <v>38</v>
      </c>
      <c r="E1730">
        <v>6</v>
      </c>
      <c r="F1730">
        <v>26</v>
      </c>
      <c r="G1730">
        <v>0.1079</v>
      </c>
      <c r="H1730">
        <v>0.55600000000000005</v>
      </c>
      <c r="I1730">
        <v>30.05</v>
      </c>
    </row>
    <row r="1731" spans="1:9" x14ac:dyDescent="0.3">
      <c r="A1731">
        <f>LOOKUP(9E+307,--MID(D1731,1,{1,2,3,4,5}))</f>
        <v>5</v>
      </c>
      <c r="B1731">
        <f>VLOOKUP(MID(D1731,LOOKUP(2,1/ISNUMBER(-MID(D1731,1,{1,2,3,4,5})),{1,2,3,4,5})+1,9),'Hue codes'!$A$1:$B$10,2,FALSE)</f>
        <v>40</v>
      </c>
      <c r="C1731">
        <f t="shared" ref="C1731:C1794" si="27">IF(A1731+B1731=100,0,A1731+B1731)</f>
        <v>45</v>
      </c>
      <c r="D1731" t="s">
        <v>38</v>
      </c>
      <c r="E1731">
        <v>6</v>
      </c>
      <c r="F1731">
        <v>28</v>
      </c>
      <c r="G1731">
        <v>9.0800000000000006E-2</v>
      </c>
      <c r="H1731">
        <v>0.56950000000000001</v>
      </c>
      <c r="I1731">
        <v>30.05</v>
      </c>
    </row>
    <row r="1732" spans="1:9" x14ac:dyDescent="0.3">
      <c r="A1732">
        <f>LOOKUP(9E+307,--MID(D1732,1,{1,2,3,4,5}))</f>
        <v>7.5</v>
      </c>
      <c r="B1732">
        <f>VLOOKUP(MID(D1732,LOOKUP(2,1/ISNUMBER(-MID(D1732,1,{1,2,3,4,5})),{1,2,3,4,5})+1,9),'Hue codes'!$A$1:$B$10,2,FALSE)</f>
        <v>40</v>
      </c>
      <c r="C1732">
        <f t="shared" si="27"/>
        <v>47.5</v>
      </c>
      <c r="D1732" t="s">
        <v>39</v>
      </c>
      <c r="E1732">
        <v>6</v>
      </c>
      <c r="F1732">
        <v>2</v>
      </c>
      <c r="G1732">
        <v>0.29580000000000001</v>
      </c>
      <c r="H1732">
        <v>0.33439999999999998</v>
      </c>
      <c r="I1732">
        <v>30.05</v>
      </c>
    </row>
    <row r="1733" spans="1:9" x14ac:dyDescent="0.3">
      <c r="A1733">
        <f>LOOKUP(9E+307,--MID(D1733,1,{1,2,3,4,5}))</f>
        <v>7.5</v>
      </c>
      <c r="B1733">
        <f>VLOOKUP(MID(D1733,LOOKUP(2,1/ISNUMBER(-MID(D1733,1,{1,2,3,4,5})),{1,2,3,4,5})+1,9),'Hue codes'!$A$1:$B$10,2,FALSE)</f>
        <v>40</v>
      </c>
      <c r="C1733">
        <f t="shared" si="27"/>
        <v>47.5</v>
      </c>
      <c r="D1733" t="s">
        <v>39</v>
      </c>
      <c r="E1733">
        <v>6</v>
      </c>
      <c r="F1733">
        <v>4</v>
      </c>
      <c r="G1733">
        <v>0.28070000000000001</v>
      </c>
      <c r="H1733">
        <v>0.35220000000000001</v>
      </c>
      <c r="I1733">
        <v>30.05</v>
      </c>
    </row>
    <row r="1734" spans="1:9" x14ac:dyDescent="0.3">
      <c r="A1734">
        <f>LOOKUP(9E+307,--MID(D1734,1,{1,2,3,4,5}))</f>
        <v>7.5</v>
      </c>
      <c r="B1734">
        <f>VLOOKUP(MID(D1734,LOOKUP(2,1/ISNUMBER(-MID(D1734,1,{1,2,3,4,5})),{1,2,3,4,5})+1,9),'Hue codes'!$A$1:$B$10,2,FALSE)</f>
        <v>40</v>
      </c>
      <c r="C1734">
        <f t="shared" si="27"/>
        <v>47.5</v>
      </c>
      <c r="D1734" t="s">
        <v>39</v>
      </c>
      <c r="E1734">
        <v>6</v>
      </c>
      <c r="F1734">
        <v>6</v>
      </c>
      <c r="G1734">
        <v>0.26619999999999999</v>
      </c>
      <c r="H1734">
        <v>0.36720000000000003</v>
      </c>
      <c r="I1734">
        <v>30.05</v>
      </c>
    </row>
    <row r="1735" spans="1:9" x14ac:dyDescent="0.3">
      <c r="A1735">
        <f>LOOKUP(9E+307,--MID(D1735,1,{1,2,3,4,5}))</f>
        <v>7.5</v>
      </c>
      <c r="B1735">
        <f>VLOOKUP(MID(D1735,LOOKUP(2,1/ISNUMBER(-MID(D1735,1,{1,2,3,4,5})),{1,2,3,4,5})+1,9),'Hue codes'!$A$1:$B$10,2,FALSE)</f>
        <v>40</v>
      </c>
      <c r="C1735">
        <f t="shared" si="27"/>
        <v>47.5</v>
      </c>
      <c r="D1735" t="s">
        <v>39</v>
      </c>
      <c r="E1735">
        <v>6</v>
      </c>
      <c r="F1735">
        <v>8</v>
      </c>
      <c r="G1735">
        <v>0.251</v>
      </c>
      <c r="H1735">
        <v>0.38290000000000002</v>
      </c>
      <c r="I1735">
        <v>30.05</v>
      </c>
    </row>
    <row r="1736" spans="1:9" x14ac:dyDescent="0.3">
      <c r="A1736">
        <f>LOOKUP(9E+307,--MID(D1736,1,{1,2,3,4,5}))</f>
        <v>7.5</v>
      </c>
      <c r="B1736">
        <f>VLOOKUP(MID(D1736,LOOKUP(2,1/ISNUMBER(-MID(D1736,1,{1,2,3,4,5})),{1,2,3,4,5})+1,9),'Hue codes'!$A$1:$B$10,2,FALSE)</f>
        <v>40</v>
      </c>
      <c r="C1736">
        <f t="shared" si="27"/>
        <v>47.5</v>
      </c>
      <c r="D1736" t="s">
        <v>39</v>
      </c>
      <c r="E1736">
        <v>6</v>
      </c>
      <c r="F1736">
        <v>10</v>
      </c>
      <c r="G1736">
        <v>0.23499999999999999</v>
      </c>
      <c r="H1736">
        <v>0.39789999999999998</v>
      </c>
      <c r="I1736">
        <v>30.05</v>
      </c>
    </row>
    <row r="1737" spans="1:9" x14ac:dyDescent="0.3">
      <c r="A1737">
        <f>LOOKUP(9E+307,--MID(D1737,1,{1,2,3,4,5}))</f>
        <v>7.5</v>
      </c>
      <c r="B1737">
        <f>VLOOKUP(MID(D1737,LOOKUP(2,1/ISNUMBER(-MID(D1737,1,{1,2,3,4,5})),{1,2,3,4,5})+1,9),'Hue codes'!$A$1:$B$10,2,FALSE)</f>
        <v>40</v>
      </c>
      <c r="C1737">
        <f t="shared" si="27"/>
        <v>47.5</v>
      </c>
      <c r="D1737" t="s">
        <v>39</v>
      </c>
      <c r="E1737">
        <v>6</v>
      </c>
      <c r="F1737">
        <v>12</v>
      </c>
      <c r="G1737">
        <v>0.21709999999999999</v>
      </c>
      <c r="H1737">
        <v>0.4138</v>
      </c>
      <c r="I1737">
        <v>30.05</v>
      </c>
    </row>
    <row r="1738" spans="1:9" x14ac:dyDescent="0.3">
      <c r="A1738">
        <f>LOOKUP(9E+307,--MID(D1738,1,{1,2,3,4,5}))</f>
        <v>7.5</v>
      </c>
      <c r="B1738">
        <f>VLOOKUP(MID(D1738,LOOKUP(2,1/ISNUMBER(-MID(D1738,1,{1,2,3,4,5})),{1,2,3,4,5})+1,9),'Hue codes'!$A$1:$B$10,2,FALSE)</f>
        <v>40</v>
      </c>
      <c r="C1738">
        <f t="shared" si="27"/>
        <v>47.5</v>
      </c>
      <c r="D1738" t="s">
        <v>39</v>
      </c>
      <c r="E1738">
        <v>6</v>
      </c>
      <c r="F1738">
        <v>14</v>
      </c>
      <c r="G1738">
        <v>0.2001</v>
      </c>
      <c r="H1738">
        <v>0.42780000000000001</v>
      </c>
      <c r="I1738">
        <v>30.05</v>
      </c>
    </row>
    <row r="1739" spans="1:9" x14ac:dyDescent="0.3">
      <c r="A1739">
        <f>LOOKUP(9E+307,--MID(D1739,1,{1,2,3,4,5}))</f>
        <v>7.5</v>
      </c>
      <c r="B1739">
        <f>VLOOKUP(MID(D1739,LOOKUP(2,1/ISNUMBER(-MID(D1739,1,{1,2,3,4,5})),{1,2,3,4,5})+1,9),'Hue codes'!$A$1:$B$10,2,FALSE)</f>
        <v>40</v>
      </c>
      <c r="C1739">
        <f t="shared" si="27"/>
        <v>47.5</v>
      </c>
      <c r="D1739" t="s">
        <v>39</v>
      </c>
      <c r="E1739">
        <v>6</v>
      </c>
      <c r="F1739">
        <v>16</v>
      </c>
      <c r="G1739">
        <v>0.1832</v>
      </c>
      <c r="H1739">
        <v>0.44140000000000001</v>
      </c>
      <c r="I1739">
        <v>30.05</v>
      </c>
    </row>
    <row r="1740" spans="1:9" x14ac:dyDescent="0.3">
      <c r="A1740">
        <f>LOOKUP(9E+307,--MID(D1740,1,{1,2,3,4,5}))</f>
        <v>7.5</v>
      </c>
      <c r="B1740">
        <f>VLOOKUP(MID(D1740,LOOKUP(2,1/ISNUMBER(-MID(D1740,1,{1,2,3,4,5})),{1,2,3,4,5})+1,9),'Hue codes'!$A$1:$B$10,2,FALSE)</f>
        <v>40</v>
      </c>
      <c r="C1740">
        <f t="shared" si="27"/>
        <v>47.5</v>
      </c>
      <c r="D1740" t="s">
        <v>39</v>
      </c>
      <c r="E1740">
        <v>6</v>
      </c>
      <c r="F1740">
        <v>18</v>
      </c>
      <c r="G1740">
        <v>0.16539999999999999</v>
      </c>
      <c r="H1740">
        <v>0.4551</v>
      </c>
      <c r="I1740">
        <v>30.05</v>
      </c>
    </row>
    <row r="1741" spans="1:9" x14ac:dyDescent="0.3">
      <c r="A1741">
        <f>LOOKUP(9E+307,--MID(D1741,1,{1,2,3,4,5}))</f>
        <v>7.5</v>
      </c>
      <c r="B1741">
        <f>VLOOKUP(MID(D1741,LOOKUP(2,1/ISNUMBER(-MID(D1741,1,{1,2,3,4,5})),{1,2,3,4,5})+1,9),'Hue codes'!$A$1:$B$10,2,FALSE)</f>
        <v>40</v>
      </c>
      <c r="C1741">
        <f t="shared" si="27"/>
        <v>47.5</v>
      </c>
      <c r="D1741" t="s">
        <v>39</v>
      </c>
      <c r="E1741">
        <v>6</v>
      </c>
      <c r="F1741">
        <v>20</v>
      </c>
      <c r="G1741">
        <v>0.14849999999999999</v>
      </c>
      <c r="H1741">
        <v>0.4677</v>
      </c>
      <c r="I1741">
        <v>30.05</v>
      </c>
    </row>
    <row r="1742" spans="1:9" x14ac:dyDescent="0.3">
      <c r="A1742">
        <f>LOOKUP(9E+307,--MID(D1742,1,{1,2,3,4,5}))</f>
        <v>7.5</v>
      </c>
      <c r="B1742">
        <f>VLOOKUP(MID(D1742,LOOKUP(2,1/ISNUMBER(-MID(D1742,1,{1,2,3,4,5})),{1,2,3,4,5})+1,9),'Hue codes'!$A$1:$B$10,2,FALSE)</f>
        <v>40</v>
      </c>
      <c r="C1742">
        <f t="shared" si="27"/>
        <v>47.5</v>
      </c>
      <c r="D1742" t="s">
        <v>39</v>
      </c>
      <c r="E1742">
        <v>6</v>
      </c>
      <c r="F1742">
        <v>22</v>
      </c>
      <c r="G1742">
        <v>0.13250000000000001</v>
      </c>
      <c r="H1742">
        <v>0.47949999999999998</v>
      </c>
      <c r="I1742">
        <v>30.05</v>
      </c>
    </row>
    <row r="1743" spans="1:9" x14ac:dyDescent="0.3">
      <c r="A1743">
        <f>LOOKUP(9E+307,--MID(D1743,1,{1,2,3,4,5}))</f>
        <v>7.5</v>
      </c>
      <c r="B1743">
        <f>VLOOKUP(MID(D1743,LOOKUP(2,1/ISNUMBER(-MID(D1743,1,{1,2,3,4,5})),{1,2,3,4,5})+1,9),'Hue codes'!$A$1:$B$10,2,FALSE)</f>
        <v>40</v>
      </c>
      <c r="C1743">
        <f t="shared" si="27"/>
        <v>47.5</v>
      </c>
      <c r="D1743" t="s">
        <v>39</v>
      </c>
      <c r="E1743">
        <v>6</v>
      </c>
      <c r="F1743">
        <v>24</v>
      </c>
      <c r="G1743">
        <v>0.1159</v>
      </c>
      <c r="H1743">
        <v>0.49099999999999999</v>
      </c>
      <c r="I1743">
        <v>30.05</v>
      </c>
    </row>
    <row r="1744" spans="1:9" x14ac:dyDescent="0.3">
      <c r="A1744">
        <f>LOOKUP(9E+307,--MID(D1744,1,{1,2,3,4,5}))</f>
        <v>7.5</v>
      </c>
      <c r="B1744">
        <f>VLOOKUP(MID(D1744,LOOKUP(2,1/ISNUMBER(-MID(D1744,1,{1,2,3,4,5})),{1,2,3,4,5})+1,9),'Hue codes'!$A$1:$B$10,2,FALSE)</f>
        <v>40</v>
      </c>
      <c r="C1744">
        <f t="shared" si="27"/>
        <v>47.5</v>
      </c>
      <c r="D1744" t="s">
        <v>39</v>
      </c>
      <c r="E1744">
        <v>6</v>
      </c>
      <c r="F1744">
        <v>26</v>
      </c>
      <c r="G1744">
        <v>0.10100000000000001</v>
      </c>
      <c r="H1744">
        <v>0.50180000000000002</v>
      </c>
      <c r="I1744">
        <v>30.05</v>
      </c>
    </row>
    <row r="1745" spans="1:9" x14ac:dyDescent="0.3">
      <c r="A1745">
        <f>LOOKUP(9E+307,--MID(D1745,1,{1,2,3,4,5}))</f>
        <v>7.5</v>
      </c>
      <c r="B1745">
        <f>VLOOKUP(MID(D1745,LOOKUP(2,1/ISNUMBER(-MID(D1745,1,{1,2,3,4,5})),{1,2,3,4,5})+1,9),'Hue codes'!$A$1:$B$10,2,FALSE)</f>
        <v>40</v>
      </c>
      <c r="C1745">
        <f t="shared" si="27"/>
        <v>47.5</v>
      </c>
      <c r="D1745" t="s">
        <v>39</v>
      </c>
      <c r="E1745">
        <v>6</v>
      </c>
      <c r="F1745">
        <v>28</v>
      </c>
      <c r="G1745">
        <v>8.5800000000000001E-2</v>
      </c>
      <c r="H1745">
        <v>0.51270000000000004</v>
      </c>
      <c r="I1745">
        <v>30.05</v>
      </c>
    </row>
    <row r="1746" spans="1:9" x14ac:dyDescent="0.3">
      <c r="A1746">
        <f>LOOKUP(9E+307,--MID(D1746,1,{1,2,3,4,5}))</f>
        <v>10</v>
      </c>
      <c r="B1746">
        <f>VLOOKUP(MID(D1746,LOOKUP(2,1/ISNUMBER(-MID(D1746,1,{1,2,3,4,5})),{1,2,3,4,5})+1,9),'Hue codes'!$A$1:$B$10,2,FALSE)</f>
        <v>40</v>
      </c>
      <c r="C1746">
        <f t="shared" si="27"/>
        <v>50</v>
      </c>
      <c r="D1746" t="s">
        <v>40</v>
      </c>
      <c r="E1746">
        <v>6</v>
      </c>
      <c r="F1746">
        <v>2</v>
      </c>
      <c r="G1746">
        <v>0.29289999999999999</v>
      </c>
      <c r="H1746">
        <v>0.33029999999999998</v>
      </c>
      <c r="I1746">
        <v>30.05</v>
      </c>
    </row>
    <row r="1747" spans="1:9" x14ac:dyDescent="0.3">
      <c r="A1747">
        <f>LOOKUP(9E+307,--MID(D1747,1,{1,2,3,4,5}))</f>
        <v>10</v>
      </c>
      <c r="B1747">
        <f>VLOOKUP(MID(D1747,LOOKUP(2,1/ISNUMBER(-MID(D1747,1,{1,2,3,4,5})),{1,2,3,4,5})+1,9),'Hue codes'!$A$1:$B$10,2,FALSE)</f>
        <v>40</v>
      </c>
      <c r="C1747">
        <f t="shared" si="27"/>
        <v>50</v>
      </c>
      <c r="D1747" t="s">
        <v>40</v>
      </c>
      <c r="E1747">
        <v>6</v>
      </c>
      <c r="F1747">
        <v>4</v>
      </c>
      <c r="G1747">
        <v>0.27489999999999998</v>
      </c>
      <c r="H1747">
        <v>0.34429999999999999</v>
      </c>
      <c r="I1747">
        <v>30.05</v>
      </c>
    </row>
    <row r="1748" spans="1:9" x14ac:dyDescent="0.3">
      <c r="A1748">
        <f>LOOKUP(9E+307,--MID(D1748,1,{1,2,3,4,5}))</f>
        <v>10</v>
      </c>
      <c r="B1748">
        <f>VLOOKUP(MID(D1748,LOOKUP(2,1/ISNUMBER(-MID(D1748,1,{1,2,3,4,5})),{1,2,3,4,5})+1,9),'Hue codes'!$A$1:$B$10,2,FALSE)</f>
        <v>40</v>
      </c>
      <c r="C1748">
        <f t="shared" si="27"/>
        <v>50</v>
      </c>
      <c r="D1748" t="s">
        <v>40</v>
      </c>
      <c r="E1748">
        <v>6</v>
      </c>
      <c r="F1748">
        <v>6</v>
      </c>
      <c r="G1748">
        <v>0.2591</v>
      </c>
      <c r="H1748">
        <v>0.35580000000000001</v>
      </c>
      <c r="I1748">
        <v>30.05</v>
      </c>
    </row>
    <row r="1749" spans="1:9" x14ac:dyDescent="0.3">
      <c r="A1749">
        <f>LOOKUP(9E+307,--MID(D1749,1,{1,2,3,4,5}))</f>
        <v>10</v>
      </c>
      <c r="B1749">
        <f>VLOOKUP(MID(D1749,LOOKUP(2,1/ISNUMBER(-MID(D1749,1,{1,2,3,4,5})),{1,2,3,4,5})+1,9),'Hue codes'!$A$1:$B$10,2,FALSE)</f>
        <v>40</v>
      </c>
      <c r="C1749">
        <f t="shared" si="27"/>
        <v>50</v>
      </c>
      <c r="D1749" t="s">
        <v>40</v>
      </c>
      <c r="E1749">
        <v>6</v>
      </c>
      <c r="F1749">
        <v>8</v>
      </c>
      <c r="G1749">
        <v>0.24199999999999999</v>
      </c>
      <c r="H1749">
        <v>0.3679</v>
      </c>
      <c r="I1749">
        <v>30.05</v>
      </c>
    </row>
    <row r="1750" spans="1:9" x14ac:dyDescent="0.3">
      <c r="A1750">
        <f>LOOKUP(9E+307,--MID(D1750,1,{1,2,3,4,5}))</f>
        <v>10</v>
      </c>
      <c r="B1750">
        <f>VLOOKUP(MID(D1750,LOOKUP(2,1/ISNUMBER(-MID(D1750,1,{1,2,3,4,5})),{1,2,3,4,5})+1,9),'Hue codes'!$A$1:$B$10,2,FALSE)</f>
        <v>40</v>
      </c>
      <c r="C1750">
        <f t="shared" si="27"/>
        <v>50</v>
      </c>
      <c r="D1750" t="s">
        <v>40</v>
      </c>
      <c r="E1750">
        <v>6</v>
      </c>
      <c r="F1750">
        <v>10</v>
      </c>
      <c r="G1750">
        <v>0.22470000000000001</v>
      </c>
      <c r="H1750">
        <v>0.37959999999999999</v>
      </c>
      <c r="I1750">
        <v>30.05</v>
      </c>
    </row>
    <row r="1751" spans="1:9" x14ac:dyDescent="0.3">
      <c r="A1751">
        <f>LOOKUP(9E+307,--MID(D1751,1,{1,2,3,4,5}))</f>
        <v>10</v>
      </c>
      <c r="B1751">
        <f>VLOOKUP(MID(D1751,LOOKUP(2,1/ISNUMBER(-MID(D1751,1,{1,2,3,4,5})),{1,2,3,4,5})+1,9),'Hue codes'!$A$1:$B$10,2,FALSE)</f>
        <v>40</v>
      </c>
      <c r="C1751">
        <f t="shared" si="27"/>
        <v>50</v>
      </c>
      <c r="D1751" t="s">
        <v>40</v>
      </c>
      <c r="E1751">
        <v>6</v>
      </c>
      <c r="F1751">
        <v>12</v>
      </c>
      <c r="G1751">
        <v>0.20599999999999999</v>
      </c>
      <c r="H1751">
        <v>0.39140000000000003</v>
      </c>
      <c r="I1751">
        <v>30.05</v>
      </c>
    </row>
    <row r="1752" spans="1:9" x14ac:dyDescent="0.3">
      <c r="A1752">
        <f>LOOKUP(9E+307,--MID(D1752,1,{1,2,3,4,5}))</f>
        <v>10</v>
      </c>
      <c r="B1752">
        <f>VLOOKUP(MID(D1752,LOOKUP(2,1/ISNUMBER(-MID(D1752,1,{1,2,3,4,5})),{1,2,3,4,5})+1,9),'Hue codes'!$A$1:$B$10,2,FALSE)</f>
        <v>40</v>
      </c>
      <c r="C1752">
        <f t="shared" si="27"/>
        <v>50</v>
      </c>
      <c r="D1752" t="s">
        <v>40</v>
      </c>
      <c r="E1752">
        <v>6</v>
      </c>
      <c r="F1752">
        <v>14</v>
      </c>
      <c r="G1752">
        <v>0.1895</v>
      </c>
      <c r="H1752">
        <v>0.40150000000000002</v>
      </c>
      <c r="I1752">
        <v>30.05</v>
      </c>
    </row>
    <row r="1753" spans="1:9" x14ac:dyDescent="0.3">
      <c r="A1753">
        <f>LOOKUP(9E+307,--MID(D1753,1,{1,2,3,4,5}))</f>
        <v>10</v>
      </c>
      <c r="B1753">
        <f>VLOOKUP(MID(D1753,LOOKUP(2,1/ISNUMBER(-MID(D1753,1,{1,2,3,4,5})),{1,2,3,4,5})+1,9),'Hue codes'!$A$1:$B$10,2,FALSE)</f>
        <v>40</v>
      </c>
      <c r="C1753">
        <f t="shared" si="27"/>
        <v>50</v>
      </c>
      <c r="D1753" t="s">
        <v>40</v>
      </c>
      <c r="E1753">
        <v>6</v>
      </c>
      <c r="F1753">
        <v>16</v>
      </c>
      <c r="G1753">
        <v>0.17219999999999999</v>
      </c>
      <c r="H1753">
        <v>0.4113</v>
      </c>
      <c r="I1753">
        <v>30.05</v>
      </c>
    </row>
    <row r="1754" spans="1:9" x14ac:dyDescent="0.3">
      <c r="A1754">
        <f>LOOKUP(9E+307,--MID(D1754,1,{1,2,3,4,5}))</f>
        <v>10</v>
      </c>
      <c r="B1754">
        <f>VLOOKUP(MID(D1754,LOOKUP(2,1/ISNUMBER(-MID(D1754,1,{1,2,3,4,5})),{1,2,3,4,5})+1,9),'Hue codes'!$A$1:$B$10,2,FALSE)</f>
        <v>40</v>
      </c>
      <c r="C1754">
        <f t="shared" si="27"/>
        <v>50</v>
      </c>
      <c r="D1754" t="s">
        <v>40</v>
      </c>
      <c r="E1754">
        <v>6</v>
      </c>
      <c r="F1754">
        <v>18</v>
      </c>
      <c r="G1754">
        <v>0.15509999999999999</v>
      </c>
      <c r="H1754">
        <v>0.42080000000000001</v>
      </c>
      <c r="I1754">
        <v>30.05</v>
      </c>
    </row>
    <row r="1755" spans="1:9" x14ac:dyDescent="0.3">
      <c r="A1755">
        <f>LOOKUP(9E+307,--MID(D1755,1,{1,2,3,4,5}))</f>
        <v>10</v>
      </c>
      <c r="B1755">
        <f>VLOOKUP(MID(D1755,LOOKUP(2,1/ISNUMBER(-MID(D1755,1,{1,2,3,4,5})),{1,2,3,4,5})+1,9),'Hue codes'!$A$1:$B$10,2,FALSE)</f>
        <v>40</v>
      </c>
      <c r="C1755">
        <f t="shared" si="27"/>
        <v>50</v>
      </c>
      <c r="D1755" t="s">
        <v>40</v>
      </c>
      <c r="E1755">
        <v>6</v>
      </c>
      <c r="F1755">
        <v>20</v>
      </c>
      <c r="G1755">
        <v>0.13819999999999999</v>
      </c>
      <c r="H1755">
        <v>0.4299</v>
      </c>
      <c r="I1755">
        <v>30.05</v>
      </c>
    </row>
    <row r="1756" spans="1:9" x14ac:dyDescent="0.3">
      <c r="A1756">
        <f>LOOKUP(9E+307,--MID(D1756,1,{1,2,3,4,5}))</f>
        <v>10</v>
      </c>
      <c r="B1756">
        <f>VLOOKUP(MID(D1756,LOOKUP(2,1/ISNUMBER(-MID(D1756,1,{1,2,3,4,5})),{1,2,3,4,5})+1,9),'Hue codes'!$A$1:$B$10,2,FALSE)</f>
        <v>40</v>
      </c>
      <c r="C1756">
        <f t="shared" si="27"/>
        <v>50</v>
      </c>
      <c r="D1756" t="s">
        <v>40</v>
      </c>
      <c r="E1756">
        <v>6</v>
      </c>
      <c r="F1756">
        <v>22</v>
      </c>
      <c r="G1756">
        <v>0.123</v>
      </c>
      <c r="H1756">
        <v>0.43780000000000002</v>
      </c>
      <c r="I1756">
        <v>30.05</v>
      </c>
    </row>
    <row r="1757" spans="1:9" x14ac:dyDescent="0.3">
      <c r="A1757">
        <f>LOOKUP(9E+307,--MID(D1757,1,{1,2,3,4,5}))</f>
        <v>10</v>
      </c>
      <c r="B1757">
        <f>VLOOKUP(MID(D1757,LOOKUP(2,1/ISNUMBER(-MID(D1757,1,{1,2,3,4,5})),{1,2,3,4,5})+1,9),'Hue codes'!$A$1:$B$10,2,FALSE)</f>
        <v>40</v>
      </c>
      <c r="C1757">
        <f t="shared" si="27"/>
        <v>50</v>
      </c>
      <c r="D1757" t="s">
        <v>40</v>
      </c>
      <c r="E1757">
        <v>6</v>
      </c>
      <c r="F1757">
        <v>24</v>
      </c>
      <c r="G1757">
        <v>0.107</v>
      </c>
      <c r="H1757">
        <v>0.44579999999999997</v>
      </c>
      <c r="I1757">
        <v>30.05</v>
      </c>
    </row>
    <row r="1758" spans="1:9" x14ac:dyDescent="0.3">
      <c r="A1758">
        <f>LOOKUP(9E+307,--MID(D1758,1,{1,2,3,4,5}))</f>
        <v>10</v>
      </c>
      <c r="B1758">
        <f>VLOOKUP(MID(D1758,LOOKUP(2,1/ISNUMBER(-MID(D1758,1,{1,2,3,4,5})),{1,2,3,4,5})+1,9),'Hue codes'!$A$1:$B$10,2,FALSE)</f>
        <v>40</v>
      </c>
      <c r="C1758">
        <f t="shared" si="27"/>
        <v>50</v>
      </c>
      <c r="D1758" t="s">
        <v>40</v>
      </c>
      <c r="E1758">
        <v>6</v>
      </c>
      <c r="F1758">
        <v>26</v>
      </c>
      <c r="G1758">
        <v>9.4100000000000003E-2</v>
      </c>
      <c r="H1758">
        <v>0.45200000000000001</v>
      </c>
      <c r="I1758">
        <v>30.05</v>
      </c>
    </row>
    <row r="1759" spans="1:9" x14ac:dyDescent="0.3">
      <c r="A1759">
        <f>LOOKUP(9E+307,--MID(D1759,1,{1,2,3,4,5}))</f>
        <v>2.5</v>
      </c>
      <c r="B1759">
        <f>VLOOKUP(MID(D1759,LOOKUP(2,1/ISNUMBER(-MID(D1759,1,{1,2,3,4,5})),{1,2,3,4,5})+1,9),'Hue codes'!$A$1:$B$10,2,FALSE)</f>
        <v>50</v>
      </c>
      <c r="C1759">
        <f t="shared" si="27"/>
        <v>52.5</v>
      </c>
      <c r="D1759" t="s">
        <v>41</v>
      </c>
      <c r="E1759">
        <v>6</v>
      </c>
      <c r="F1759">
        <v>2</v>
      </c>
      <c r="G1759">
        <v>0.29020000000000001</v>
      </c>
      <c r="H1759">
        <v>0.32679999999999998</v>
      </c>
      <c r="I1759">
        <v>30.05</v>
      </c>
    </row>
    <row r="1760" spans="1:9" x14ac:dyDescent="0.3">
      <c r="A1760">
        <f>LOOKUP(9E+307,--MID(D1760,1,{1,2,3,4,5}))</f>
        <v>2.5</v>
      </c>
      <c r="B1760">
        <f>VLOOKUP(MID(D1760,LOOKUP(2,1/ISNUMBER(-MID(D1760,1,{1,2,3,4,5})),{1,2,3,4,5})+1,9),'Hue codes'!$A$1:$B$10,2,FALSE)</f>
        <v>50</v>
      </c>
      <c r="C1760">
        <f t="shared" si="27"/>
        <v>52.5</v>
      </c>
      <c r="D1760" t="s">
        <v>41</v>
      </c>
      <c r="E1760">
        <v>6</v>
      </c>
      <c r="F1760">
        <v>4</v>
      </c>
      <c r="G1760">
        <v>0.2702</v>
      </c>
      <c r="H1760">
        <v>0.33689999999999998</v>
      </c>
      <c r="I1760">
        <v>30.05</v>
      </c>
    </row>
    <row r="1761" spans="1:9" x14ac:dyDescent="0.3">
      <c r="A1761">
        <f>LOOKUP(9E+307,--MID(D1761,1,{1,2,3,4,5}))</f>
        <v>2.5</v>
      </c>
      <c r="B1761">
        <f>VLOOKUP(MID(D1761,LOOKUP(2,1/ISNUMBER(-MID(D1761,1,{1,2,3,4,5})),{1,2,3,4,5})+1,9),'Hue codes'!$A$1:$B$10,2,FALSE)</f>
        <v>50</v>
      </c>
      <c r="C1761">
        <f t="shared" si="27"/>
        <v>52.5</v>
      </c>
      <c r="D1761" t="s">
        <v>41</v>
      </c>
      <c r="E1761">
        <v>6</v>
      </c>
      <c r="F1761">
        <v>6</v>
      </c>
      <c r="G1761">
        <v>0.25259999999999999</v>
      </c>
      <c r="H1761">
        <v>0.3448</v>
      </c>
      <c r="I1761">
        <v>30.05</v>
      </c>
    </row>
    <row r="1762" spans="1:9" x14ac:dyDescent="0.3">
      <c r="A1762">
        <f>LOOKUP(9E+307,--MID(D1762,1,{1,2,3,4,5}))</f>
        <v>2.5</v>
      </c>
      <c r="B1762">
        <f>VLOOKUP(MID(D1762,LOOKUP(2,1/ISNUMBER(-MID(D1762,1,{1,2,3,4,5})),{1,2,3,4,5})+1,9),'Hue codes'!$A$1:$B$10,2,FALSE)</f>
        <v>50</v>
      </c>
      <c r="C1762">
        <f t="shared" si="27"/>
        <v>52.5</v>
      </c>
      <c r="D1762" t="s">
        <v>41</v>
      </c>
      <c r="E1762">
        <v>6</v>
      </c>
      <c r="F1762">
        <v>8</v>
      </c>
      <c r="G1762">
        <v>0.23319999999999999</v>
      </c>
      <c r="H1762">
        <v>0.35220000000000001</v>
      </c>
      <c r="I1762">
        <v>30.05</v>
      </c>
    </row>
    <row r="1763" spans="1:9" x14ac:dyDescent="0.3">
      <c r="A1763">
        <f>LOOKUP(9E+307,--MID(D1763,1,{1,2,3,4,5}))</f>
        <v>2.5</v>
      </c>
      <c r="B1763">
        <f>VLOOKUP(MID(D1763,LOOKUP(2,1/ISNUMBER(-MID(D1763,1,{1,2,3,4,5})),{1,2,3,4,5})+1,9),'Hue codes'!$A$1:$B$10,2,FALSE)</f>
        <v>50</v>
      </c>
      <c r="C1763">
        <f t="shared" si="27"/>
        <v>52.5</v>
      </c>
      <c r="D1763" t="s">
        <v>41</v>
      </c>
      <c r="E1763">
        <v>6</v>
      </c>
      <c r="F1763">
        <v>10</v>
      </c>
      <c r="G1763">
        <v>0.21479999999999999</v>
      </c>
      <c r="H1763">
        <v>0.3584</v>
      </c>
      <c r="I1763">
        <v>30.05</v>
      </c>
    </row>
    <row r="1764" spans="1:9" x14ac:dyDescent="0.3">
      <c r="A1764">
        <f>LOOKUP(9E+307,--MID(D1764,1,{1,2,3,4,5}))</f>
        <v>2.5</v>
      </c>
      <c r="B1764">
        <f>VLOOKUP(MID(D1764,LOOKUP(2,1/ISNUMBER(-MID(D1764,1,{1,2,3,4,5})),{1,2,3,4,5})+1,9),'Hue codes'!$A$1:$B$10,2,FALSE)</f>
        <v>50</v>
      </c>
      <c r="C1764">
        <f t="shared" si="27"/>
        <v>52.5</v>
      </c>
      <c r="D1764" t="s">
        <v>41</v>
      </c>
      <c r="E1764">
        <v>6</v>
      </c>
      <c r="F1764">
        <v>12</v>
      </c>
      <c r="G1764">
        <v>0.19539999999999999</v>
      </c>
      <c r="H1764">
        <v>0.36449999999999999</v>
      </c>
      <c r="I1764">
        <v>30.05</v>
      </c>
    </row>
    <row r="1765" spans="1:9" x14ac:dyDescent="0.3">
      <c r="A1765">
        <f>LOOKUP(9E+307,--MID(D1765,1,{1,2,3,4,5}))</f>
        <v>2.5</v>
      </c>
      <c r="B1765">
        <f>VLOOKUP(MID(D1765,LOOKUP(2,1/ISNUMBER(-MID(D1765,1,{1,2,3,4,5})),{1,2,3,4,5})+1,9),'Hue codes'!$A$1:$B$10,2,FALSE)</f>
        <v>50</v>
      </c>
      <c r="C1765">
        <f t="shared" si="27"/>
        <v>52.5</v>
      </c>
      <c r="D1765" t="s">
        <v>41</v>
      </c>
      <c r="E1765">
        <v>6</v>
      </c>
      <c r="F1765">
        <v>14</v>
      </c>
      <c r="G1765">
        <v>0.1779</v>
      </c>
      <c r="H1765">
        <v>0.36990000000000001</v>
      </c>
      <c r="I1765">
        <v>30.05</v>
      </c>
    </row>
    <row r="1766" spans="1:9" x14ac:dyDescent="0.3">
      <c r="A1766">
        <f>LOOKUP(9E+307,--MID(D1766,1,{1,2,3,4,5}))</f>
        <v>2.5</v>
      </c>
      <c r="B1766">
        <f>VLOOKUP(MID(D1766,LOOKUP(2,1/ISNUMBER(-MID(D1766,1,{1,2,3,4,5})),{1,2,3,4,5})+1,9),'Hue codes'!$A$1:$B$10,2,FALSE)</f>
        <v>50</v>
      </c>
      <c r="C1766">
        <f t="shared" si="27"/>
        <v>52.5</v>
      </c>
      <c r="D1766" t="s">
        <v>41</v>
      </c>
      <c r="E1766">
        <v>6</v>
      </c>
      <c r="F1766">
        <v>16</v>
      </c>
      <c r="G1766">
        <v>0.16</v>
      </c>
      <c r="H1766">
        <v>0.37480000000000002</v>
      </c>
      <c r="I1766">
        <v>30.05</v>
      </c>
    </row>
    <row r="1767" spans="1:9" x14ac:dyDescent="0.3">
      <c r="A1767">
        <f>LOOKUP(9E+307,--MID(D1767,1,{1,2,3,4,5}))</f>
        <v>2.5</v>
      </c>
      <c r="B1767">
        <f>VLOOKUP(MID(D1767,LOOKUP(2,1/ISNUMBER(-MID(D1767,1,{1,2,3,4,5})),{1,2,3,4,5})+1,9),'Hue codes'!$A$1:$B$10,2,FALSE)</f>
        <v>50</v>
      </c>
      <c r="C1767">
        <f t="shared" si="27"/>
        <v>52.5</v>
      </c>
      <c r="D1767" t="s">
        <v>41</v>
      </c>
      <c r="E1767">
        <v>6</v>
      </c>
      <c r="F1767">
        <v>18</v>
      </c>
      <c r="G1767">
        <v>0.14280000000000001</v>
      </c>
      <c r="H1767">
        <v>0.379</v>
      </c>
      <c r="I1767">
        <v>30.05</v>
      </c>
    </row>
    <row r="1768" spans="1:9" x14ac:dyDescent="0.3">
      <c r="A1768">
        <f>LOOKUP(9E+307,--MID(D1768,1,{1,2,3,4,5}))</f>
        <v>2.5</v>
      </c>
      <c r="B1768">
        <f>VLOOKUP(MID(D1768,LOOKUP(2,1/ISNUMBER(-MID(D1768,1,{1,2,3,4,5})),{1,2,3,4,5})+1,9),'Hue codes'!$A$1:$B$10,2,FALSE)</f>
        <v>50</v>
      </c>
      <c r="C1768">
        <f t="shared" si="27"/>
        <v>52.5</v>
      </c>
      <c r="D1768" t="s">
        <v>41</v>
      </c>
      <c r="E1768">
        <v>6</v>
      </c>
      <c r="F1768">
        <v>20</v>
      </c>
      <c r="G1768">
        <v>0.12690000000000001</v>
      </c>
      <c r="H1768">
        <v>0.38290000000000002</v>
      </c>
      <c r="I1768">
        <v>30.05</v>
      </c>
    </row>
    <row r="1769" spans="1:9" x14ac:dyDescent="0.3">
      <c r="A1769">
        <f>LOOKUP(9E+307,--MID(D1769,1,{1,2,3,4,5}))</f>
        <v>2.5</v>
      </c>
      <c r="B1769">
        <f>VLOOKUP(MID(D1769,LOOKUP(2,1/ISNUMBER(-MID(D1769,1,{1,2,3,4,5})),{1,2,3,4,5})+1,9),'Hue codes'!$A$1:$B$10,2,FALSE)</f>
        <v>50</v>
      </c>
      <c r="C1769">
        <f t="shared" si="27"/>
        <v>52.5</v>
      </c>
      <c r="D1769" t="s">
        <v>41</v>
      </c>
      <c r="E1769">
        <v>6</v>
      </c>
      <c r="F1769">
        <v>22</v>
      </c>
      <c r="G1769">
        <v>0.112</v>
      </c>
      <c r="H1769">
        <v>0.38600000000000001</v>
      </c>
      <c r="I1769">
        <v>30.05</v>
      </c>
    </row>
    <row r="1770" spans="1:9" x14ac:dyDescent="0.3">
      <c r="A1770">
        <f>LOOKUP(9E+307,--MID(D1770,1,{1,2,3,4,5}))</f>
        <v>5</v>
      </c>
      <c r="B1770">
        <f>VLOOKUP(MID(D1770,LOOKUP(2,1/ISNUMBER(-MID(D1770,1,{1,2,3,4,5})),{1,2,3,4,5})+1,9),'Hue codes'!$A$1:$B$10,2,FALSE)</f>
        <v>50</v>
      </c>
      <c r="C1770">
        <f t="shared" si="27"/>
        <v>55</v>
      </c>
      <c r="D1770" t="s">
        <v>42</v>
      </c>
      <c r="E1770">
        <v>6</v>
      </c>
      <c r="F1770">
        <v>2</v>
      </c>
      <c r="G1770">
        <v>0.28720000000000001</v>
      </c>
      <c r="H1770">
        <v>0.32190000000000002</v>
      </c>
      <c r="I1770">
        <v>30.05</v>
      </c>
    </row>
    <row r="1771" spans="1:9" x14ac:dyDescent="0.3">
      <c r="A1771">
        <f>LOOKUP(9E+307,--MID(D1771,1,{1,2,3,4,5}))</f>
        <v>5</v>
      </c>
      <c r="B1771">
        <f>VLOOKUP(MID(D1771,LOOKUP(2,1/ISNUMBER(-MID(D1771,1,{1,2,3,4,5})),{1,2,3,4,5})+1,9),'Hue codes'!$A$1:$B$10,2,FALSE)</f>
        <v>50</v>
      </c>
      <c r="C1771">
        <f t="shared" si="27"/>
        <v>55</v>
      </c>
      <c r="D1771" t="s">
        <v>42</v>
      </c>
      <c r="E1771">
        <v>6</v>
      </c>
      <c r="F1771">
        <v>4</v>
      </c>
      <c r="G1771">
        <v>0.26479999999999998</v>
      </c>
      <c r="H1771">
        <v>0.32619999999999999</v>
      </c>
      <c r="I1771">
        <v>30.05</v>
      </c>
    </row>
    <row r="1772" spans="1:9" x14ac:dyDescent="0.3">
      <c r="A1772">
        <f>LOOKUP(9E+307,--MID(D1772,1,{1,2,3,4,5}))</f>
        <v>5</v>
      </c>
      <c r="B1772">
        <f>VLOOKUP(MID(D1772,LOOKUP(2,1/ISNUMBER(-MID(D1772,1,{1,2,3,4,5})),{1,2,3,4,5})+1,9),'Hue codes'!$A$1:$B$10,2,FALSE)</f>
        <v>50</v>
      </c>
      <c r="C1772">
        <f t="shared" si="27"/>
        <v>55</v>
      </c>
      <c r="D1772" t="s">
        <v>42</v>
      </c>
      <c r="E1772">
        <v>6</v>
      </c>
      <c r="F1772">
        <v>6</v>
      </c>
      <c r="G1772">
        <v>0.24410000000000001</v>
      </c>
      <c r="H1772">
        <v>0.32900000000000001</v>
      </c>
      <c r="I1772">
        <v>30.05</v>
      </c>
    </row>
    <row r="1773" spans="1:9" x14ac:dyDescent="0.3">
      <c r="A1773">
        <f>LOOKUP(9E+307,--MID(D1773,1,{1,2,3,4,5}))</f>
        <v>5</v>
      </c>
      <c r="B1773">
        <f>VLOOKUP(MID(D1773,LOOKUP(2,1/ISNUMBER(-MID(D1773,1,{1,2,3,4,5})),{1,2,3,4,5})+1,9),'Hue codes'!$A$1:$B$10,2,FALSE)</f>
        <v>50</v>
      </c>
      <c r="C1773">
        <f t="shared" si="27"/>
        <v>55</v>
      </c>
      <c r="D1773" t="s">
        <v>42</v>
      </c>
      <c r="E1773">
        <v>6</v>
      </c>
      <c r="F1773">
        <v>8</v>
      </c>
      <c r="G1773">
        <v>0.22359999999999999</v>
      </c>
      <c r="H1773">
        <v>0.33110000000000001</v>
      </c>
      <c r="I1773">
        <v>30.05</v>
      </c>
    </row>
    <row r="1774" spans="1:9" x14ac:dyDescent="0.3">
      <c r="A1774">
        <f>LOOKUP(9E+307,--MID(D1774,1,{1,2,3,4,5}))</f>
        <v>5</v>
      </c>
      <c r="B1774">
        <f>VLOOKUP(MID(D1774,LOOKUP(2,1/ISNUMBER(-MID(D1774,1,{1,2,3,4,5})),{1,2,3,4,5})+1,9),'Hue codes'!$A$1:$B$10,2,FALSE)</f>
        <v>50</v>
      </c>
      <c r="C1774">
        <f t="shared" si="27"/>
        <v>55</v>
      </c>
      <c r="D1774" t="s">
        <v>42</v>
      </c>
      <c r="E1774">
        <v>6</v>
      </c>
      <c r="F1774">
        <v>10</v>
      </c>
      <c r="G1774">
        <v>0.20369999999999999</v>
      </c>
      <c r="H1774">
        <v>0.33289999999999997</v>
      </c>
      <c r="I1774">
        <v>30.05</v>
      </c>
    </row>
    <row r="1775" spans="1:9" x14ac:dyDescent="0.3">
      <c r="A1775">
        <f>LOOKUP(9E+307,--MID(D1775,1,{1,2,3,4,5}))</f>
        <v>5</v>
      </c>
      <c r="B1775">
        <f>VLOOKUP(MID(D1775,LOOKUP(2,1/ISNUMBER(-MID(D1775,1,{1,2,3,4,5})),{1,2,3,4,5})+1,9),'Hue codes'!$A$1:$B$10,2,FALSE)</f>
        <v>50</v>
      </c>
      <c r="C1775">
        <f t="shared" si="27"/>
        <v>55</v>
      </c>
      <c r="D1775" t="s">
        <v>42</v>
      </c>
      <c r="E1775">
        <v>6</v>
      </c>
      <c r="F1775">
        <v>12</v>
      </c>
      <c r="G1775">
        <v>0.18440000000000001</v>
      </c>
      <c r="H1775">
        <v>0.3337</v>
      </c>
      <c r="I1775">
        <v>30.05</v>
      </c>
    </row>
    <row r="1776" spans="1:9" x14ac:dyDescent="0.3">
      <c r="A1776">
        <f>LOOKUP(9E+307,--MID(D1776,1,{1,2,3,4,5}))</f>
        <v>5</v>
      </c>
      <c r="B1776">
        <f>VLOOKUP(MID(D1776,LOOKUP(2,1/ISNUMBER(-MID(D1776,1,{1,2,3,4,5})),{1,2,3,4,5})+1,9),'Hue codes'!$A$1:$B$10,2,FALSE)</f>
        <v>50</v>
      </c>
      <c r="C1776">
        <f t="shared" si="27"/>
        <v>55</v>
      </c>
      <c r="D1776" t="s">
        <v>42</v>
      </c>
      <c r="E1776">
        <v>6</v>
      </c>
      <c r="F1776">
        <v>14</v>
      </c>
      <c r="G1776">
        <v>0.16619999999999999</v>
      </c>
      <c r="H1776">
        <v>0.33429999999999999</v>
      </c>
      <c r="I1776">
        <v>30.05</v>
      </c>
    </row>
    <row r="1777" spans="1:9" x14ac:dyDescent="0.3">
      <c r="A1777">
        <f>LOOKUP(9E+307,--MID(D1777,1,{1,2,3,4,5}))</f>
        <v>5</v>
      </c>
      <c r="B1777">
        <f>VLOOKUP(MID(D1777,LOOKUP(2,1/ISNUMBER(-MID(D1777,1,{1,2,3,4,5})),{1,2,3,4,5})+1,9),'Hue codes'!$A$1:$B$10,2,FALSE)</f>
        <v>50</v>
      </c>
      <c r="C1777">
        <f t="shared" si="27"/>
        <v>55</v>
      </c>
      <c r="D1777" t="s">
        <v>42</v>
      </c>
      <c r="E1777">
        <v>6</v>
      </c>
      <c r="F1777">
        <v>16</v>
      </c>
      <c r="G1777">
        <v>0.14910000000000001</v>
      </c>
      <c r="H1777">
        <v>0.33450000000000002</v>
      </c>
      <c r="I1777">
        <v>30.05</v>
      </c>
    </row>
    <row r="1778" spans="1:9" x14ac:dyDescent="0.3">
      <c r="A1778">
        <f>LOOKUP(9E+307,--MID(D1778,1,{1,2,3,4,5}))</f>
        <v>5</v>
      </c>
      <c r="B1778">
        <f>VLOOKUP(MID(D1778,LOOKUP(2,1/ISNUMBER(-MID(D1778,1,{1,2,3,4,5})),{1,2,3,4,5})+1,9),'Hue codes'!$A$1:$B$10,2,FALSE)</f>
        <v>50</v>
      </c>
      <c r="C1778">
        <f t="shared" si="27"/>
        <v>55</v>
      </c>
      <c r="D1778" t="s">
        <v>42</v>
      </c>
      <c r="E1778">
        <v>6</v>
      </c>
      <c r="F1778">
        <v>18</v>
      </c>
      <c r="G1778">
        <v>0.13250000000000001</v>
      </c>
      <c r="H1778">
        <v>0.33450000000000002</v>
      </c>
      <c r="I1778">
        <v>30.05</v>
      </c>
    </row>
    <row r="1779" spans="1:9" x14ac:dyDescent="0.3">
      <c r="A1779">
        <f>LOOKUP(9E+307,--MID(D1779,1,{1,2,3,4,5}))</f>
        <v>5</v>
      </c>
      <c r="B1779">
        <f>VLOOKUP(MID(D1779,LOOKUP(2,1/ISNUMBER(-MID(D1779,1,{1,2,3,4,5})),{1,2,3,4,5})+1,9),'Hue codes'!$A$1:$B$10,2,FALSE)</f>
        <v>50</v>
      </c>
      <c r="C1779">
        <f t="shared" si="27"/>
        <v>55</v>
      </c>
      <c r="D1779" t="s">
        <v>42</v>
      </c>
      <c r="E1779">
        <v>6</v>
      </c>
      <c r="F1779">
        <v>20</v>
      </c>
      <c r="G1779">
        <v>0.1168</v>
      </c>
      <c r="H1779">
        <v>0.33439999999999998</v>
      </c>
      <c r="I1779">
        <v>30.05</v>
      </c>
    </row>
    <row r="1780" spans="1:9" x14ac:dyDescent="0.3">
      <c r="A1780">
        <f>LOOKUP(9E+307,--MID(D1780,1,{1,2,3,4,5}))</f>
        <v>7.5</v>
      </c>
      <c r="B1780">
        <f>VLOOKUP(MID(D1780,LOOKUP(2,1/ISNUMBER(-MID(D1780,1,{1,2,3,4,5})),{1,2,3,4,5})+1,9),'Hue codes'!$A$1:$B$10,2,FALSE)</f>
        <v>50</v>
      </c>
      <c r="C1780">
        <f t="shared" si="27"/>
        <v>57.5</v>
      </c>
      <c r="D1780" t="s">
        <v>43</v>
      </c>
      <c r="E1780">
        <v>6</v>
      </c>
      <c r="F1780">
        <v>2</v>
      </c>
      <c r="G1780">
        <v>0.28489999999999999</v>
      </c>
      <c r="H1780">
        <v>0.31719999999999998</v>
      </c>
      <c r="I1780">
        <v>30.05</v>
      </c>
    </row>
    <row r="1781" spans="1:9" x14ac:dyDescent="0.3">
      <c r="A1781">
        <f>LOOKUP(9E+307,--MID(D1781,1,{1,2,3,4,5}))</f>
        <v>7.5</v>
      </c>
      <c r="B1781">
        <f>VLOOKUP(MID(D1781,LOOKUP(2,1/ISNUMBER(-MID(D1781,1,{1,2,3,4,5})),{1,2,3,4,5})+1,9),'Hue codes'!$A$1:$B$10,2,FALSE)</f>
        <v>50</v>
      </c>
      <c r="C1781">
        <f t="shared" si="27"/>
        <v>57.5</v>
      </c>
      <c r="D1781" t="s">
        <v>43</v>
      </c>
      <c r="E1781">
        <v>6</v>
      </c>
      <c r="F1781">
        <v>4</v>
      </c>
      <c r="G1781">
        <v>0.26040000000000002</v>
      </c>
      <c r="H1781">
        <v>0.31690000000000002</v>
      </c>
      <c r="I1781">
        <v>30.05</v>
      </c>
    </row>
    <row r="1782" spans="1:9" x14ac:dyDescent="0.3">
      <c r="A1782">
        <f>LOOKUP(9E+307,--MID(D1782,1,{1,2,3,4,5}))</f>
        <v>7.5</v>
      </c>
      <c r="B1782">
        <f>VLOOKUP(MID(D1782,LOOKUP(2,1/ISNUMBER(-MID(D1782,1,{1,2,3,4,5})),{1,2,3,4,5})+1,9),'Hue codes'!$A$1:$B$10,2,FALSE)</f>
        <v>50</v>
      </c>
      <c r="C1782">
        <f t="shared" si="27"/>
        <v>57.5</v>
      </c>
      <c r="D1782" t="s">
        <v>43</v>
      </c>
      <c r="E1782">
        <v>6</v>
      </c>
      <c r="F1782">
        <v>6</v>
      </c>
      <c r="G1782">
        <v>0.2384</v>
      </c>
      <c r="H1782">
        <v>0.3155</v>
      </c>
      <c r="I1782">
        <v>30.05</v>
      </c>
    </row>
    <row r="1783" spans="1:9" x14ac:dyDescent="0.3">
      <c r="A1783">
        <f>LOOKUP(9E+307,--MID(D1783,1,{1,2,3,4,5}))</f>
        <v>7.5</v>
      </c>
      <c r="B1783">
        <f>VLOOKUP(MID(D1783,LOOKUP(2,1/ISNUMBER(-MID(D1783,1,{1,2,3,4,5})),{1,2,3,4,5})+1,9),'Hue codes'!$A$1:$B$10,2,FALSE)</f>
        <v>50</v>
      </c>
      <c r="C1783">
        <f t="shared" si="27"/>
        <v>57.5</v>
      </c>
      <c r="D1783" t="s">
        <v>43</v>
      </c>
      <c r="E1783">
        <v>6</v>
      </c>
      <c r="F1783">
        <v>8</v>
      </c>
      <c r="G1783">
        <v>0.21709999999999999</v>
      </c>
      <c r="H1783">
        <v>0.31380000000000002</v>
      </c>
      <c r="I1783">
        <v>30.05</v>
      </c>
    </row>
    <row r="1784" spans="1:9" x14ac:dyDescent="0.3">
      <c r="A1784">
        <f>LOOKUP(9E+307,--MID(D1784,1,{1,2,3,4,5}))</f>
        <v>7.5</v>
      </c>
      <c r="B1784">
        <f>VLOOKUP(MID(D1784,LOOKUP(2,1/ISNUMBER(-MID(D1784,1,{1,2,3,4,5})),{1,2,3,4,5})+1,9),'Hue codes'!$A$1:$B$10,2,FALSE)</f>
        <v>50</v>
      </c>
      <c r="C1784">
        <f t="shared" si="27"/>
        <v>57.5</v>
      </c>
      <c r="D1784" t="s">
        <v>43</v>
      </c>
      <c r="E1784">
        <v>6</v>
      </c>
      <c r="F1784">
        <v>10</v>
      </c>
      <c r="G1784">
        <v>0.1961</v>
      </c>
      <c r="H1784">
        <v>0.311</v>
      </c>
      <c r="I1784">
        <v>30.05</v>
      </c>
    </row>
    <row r="1785" spans="1:9" x14ac:dyDescent="0.3">
      <c r="A1785">
        <f>LOOKUP(9E+307,--MID(D1785,1,{1,2,3,4,5}))</f>
        <v>7.5</v>
      </c>
      <c r="B1785">
        <f>VLOOKUP(MID(D1785,LOOKUP(2,1/ISNUMBER(-MID(D1785,1,{1,2,3,4,5})),{1,2,3,4,5})+1,9),'Hue codes'!$A$1:$B$10,2,FALSE)</f>
        <v>50</v>
      </c>
      <c r="C1785">
        <f t="shared" si="27"/>
        <v>57.5</v>
      </c>
      <c r="D1785" t="s">
        <v>43</v>
      </c>
      <c r="E1785">
        <v>6</v>
      </c>
      <c r="F1785">
        <v>12</v>
      </c>
      <c r="G1785">
        <v>0.1762</v>
      </c>
      <c r="H1785">
        <v>0.30809999999999998</v>
      </c>
      <c r="I1785">
        <v>30.05</v>
      </c>
    </row>
    <row r="1786" spans="1:9" x14ac:dyDescent="0.3">
      <c r="A1786">
        <f>LOOKUP(9E+307,--MID(D1786,1,{1,2,3,4,5}))</f>
        <v>7.5</v>
      </c>
      <c r="B1786">
        <f>VLOOKUP(MID(D1786,LOOKUP(2,1/ISNUMBER(-MID(D1786,1,{1,2,3,4,5})),{1,2,3,4,5})+1,9),'Hue codes'!$A$1:$B$10,2,FALSE)</f>
        <v>50</v>
      </c>
      <c r="C1786">
        <f t="shared" si="27"/>
        <v>57.5</v>
      </c>
      <c r="D1786" t="s">
        <v>43</v>
      </c>
      <c r="E1786">
        <v>6</v>
      </c>
      <c r="F1786">
        <v>14</v>
      </c>
      <c r="G1786">
        <v>0.1585</v>
      </c>
      <c r="H1786">
        <v>0.30520000000000003</v>
      </c>
      <c r="I1786">
        <v>30.05</v>
      </c>
    </row>
    <row r="1787" spans="1:9" x14ac:dyDescent="0.3">
      <c r="A1787">
        <f>LOOKUP(9E+307,--MID(D1787,1,{1,2,3,4,5}))</f>
        <v>7.5</v>
      </c>
      <c r="B1787">
        <f>VLOOKUP(MID(D1787,LOOKUP(2,1/ISNUMBER(-MID(D1787,1,{1,2,3,4,5})),{1,2,3,4,5})+1,9),'Hue codes'!$A$1:$B$10,2,FALSE)</f>
        <v>50</v>
      </c>
      <c r="C1787">
        <f t="shared" si="27"/>
        <v>57.5</v>
      </c>
      <c r="D1787" t="s">
        <v>43</v>
      </c>
      <c r="E1787">
        <v>6</v>
      </c>
      <c r="F1787">
        <v>16</v>
      </c>
      <c r="G1787">
        <v>0.14080000000000001</v>
      </c>
      <c r="H1787">
        <v>0.30170000000000002</v>
      </c>
      <c r="I1787">
        <v>30.05</v>
      </c>
    </row>
    <row r="1788" spans="1:9" x14ac:dyDescent="0.3">
      <c r="A1788">
        <f>LOOKUP(9E+307,--MID(D1788,1,{1,2,3,4,5}))</f>
        <v>7.5</v>
      </c>
      <c r="B1788">
        <f>VLOOKUP(MID(D1788,LOOKUP(2,1/ISNUMBER(-MID(D1788,1,{1,2,3,4,5})),{1,2,3,4,5})+1,9),'Hue codes'!$A$1:$B$10,2,FALSE)</f>
        <v>50</v>
      </c>
      <c r="C1788">
        <f t="shared" si="27"/>
        <v>57.5</v>
      </c>
      <c r="D1788" t="s">
        <v>43</v>
      </c>
      <c r="E1788">
        <v>6</v>
      </c>
      <c r="F1788">
        <v>18</v>
      </c>
      <c r="G1788">
        <v>0.12479999999999999</v>
      </c>
      <c r="H1788">
        <v>0.29809999999999998</v>
      </c>
      <c r="I1788">
        <v>30.05</v>
      </c>
    </row>
    <row r="1789" spans="1:9" x14ac:dyDescent="0.3">
      <c r="A1789">
        <f>LOOKUP(9E+307,--MID(D1789,1,{1,2,3,4,5}))</f>
        <v>10</v>
      </c>
      <c r="B1789">
        <f>VLOOKUP(MID(D1789,LOOKUP(2,1/ISNUMBER(-MID(D1789,1,{1,2,3,4,5})),{1,2,3,4,5})+1,9),'Hue codes'!$A$1:$B$10,2,FALSE)</f>
        <v>50</v>
      </c>
      <c r="C1789">
        <f t="shared" si="27"/>
        <v>60</v>
      </c>
      <c r="D1789" t="s">
        <v>44</v>
      </c>
      <c r="E1789">
        <v>6</v>
      </c>
      <c r="F1789">
        <v>2</v>
      </c>
      <c r="G1789">
        <v>0.28370000000000001</v>
      </c>
      <c r="H1789">
        <v>0.31319999999999998</v>
      </c>
      <c r="I1789">
        <v>30.05</v>
      </c>
    </row>
    <row r="1790" spans="1:9" x14ac:dyDescent="0.3">
      <c r="A1790">
        <f>LOOKUP(9E+307,--MID(D1790,1,{1,2,3,4,5}))</f>
        <v>10</v>
      </c>
      <c r="B1790">
        <f>VLOOKUP(MID(D1790,LOOKUP(2,1/ISNUMBER(-MID(D1790,1,{1,2,3,4,5})),{1,2,3,4,5})+1,9),'Hue codes'!$A$1:$B$10,2,FALSE)</f>
        <v>50</v>
      </c>
      <c r="C1790">
        <f t="shared" si="27"/>
        <v>60</v>
      </c>
      <c r="D1790" t="s">
        <v>44</v>
      </c>
      <c r="E1790">
        <v>6</v>
      </c>
      <c r="F1790">
        <v>4</v>
      </c>
      <c r="G1790">
        <v>0.25779999999999997</v>
      </c>
      <c r="H1790">
        <v>0.30780000000000002</v>
      </c>
      <c r="I1790">
        <v>30.05</v>
      </c>
    </row>
    <row r="1791" spans="1:9" x14ac:dyDescent="0.3">
      <c r="A1791">
        <f>LOOKUP(9E+307,--MID(D1791,1,{1,2,3,4,5}))</f>
        <v>10</v>
      </c>
      <c r="B1791">
        <f>VLOOKUP(MID(D1791,LOOKUP(2,1/ISNUMBER(-MID(D1791,1,{1,2,3,4,5})),{1,2,3,4,5})+1,9),'Hue codes'!$A$1:$B$10,2,FALSE)</f>
        <v>50</v>
      </c>
      <c r="C1791">
        <f t="shared" si="27"/>
        <v>60</v>
      </c>
      <c r="D1791" t="s">
        <v>44</v>
      </c>
      <c r="E1791">
        <v>6</v>
      </c>
      <c r="F1791">
        <v>6</v>
      </c>
      <c r="G1791">
        <v>0.23350000000000001</v>
      </c>
      <c r="H1791">
        <v>0.30149999999999999</v>
      </c>
      <c r="I1791">
        <v>30.05</v>
      </c>
    </row>
    <row r="1792" spans="1:9" x14ac:dyDescent="0.3">
      <c r="A1792">
        <f>LOOKUP(9E+307,--MID(D1792,1,{1,2,3,4,5}))</f>
        <v>10</v>
      </c>
      <c r="B1792">
        <f>VLOOKUP(MID(D1792,LOOKUP(2,1/ISNUMBER(-MID(D1792,1,{1,2,3,4,5})),{1,2,3,4,5})+1,9),'Hue codes'!$A$1:$B$10,2,FALSE)</f>
        <v>50</v>
      </c>
      <c r="C1792">
        <f t="shared" si="27"/>
        <v>60</v>
      </c>
      <c r="D1792" t="s">
        <v>44</v>
      </c>
      <c r="E1792">
        <v>6</v>
      </c>
      <c r="F1792">
        <v>8</v>
      </c>
      <c r="G1792">
        <v>0.21160000000000001</v>
      </c>
      <c r="H1792">
        <v>0.29499999999999998</v>
      </c>
      <c r="I1792">
        <v>30.05</v>
      </c>
    </row>
    <row r="1793" spans="1:9" x14ac:dyDescent="0.3">
      <c r="A1793">
        <f>LOOKUP(9E+307,--MID(D1793,1,{1,2,3,4,5}))</f>
        <v>10</v>
      </c>
      <c r="B1793">
        <f>VLOOKUP(MID(D1793,LOOKUP(2,1/ISNUMBER(-MID(D1793,1,{1,2,3,4,5})),{1,2,3,4,5})+1,9),'Hue codes'!$A$1:$B$10,2,FALSE)</f>
        <v>50</v>
      </c>
      <c r="C1793">
        <f t="shared" si="27"/>
        <v>60</v>
      </c>
      <c r="D1793" t="s">
        <v>44</v>
      </c>
      <c r="E1793">
        <v>6</v>
      </c>
      <c r="F1793">
        <v>10</v>
      </c>
      <c r="G1793">
        <v>0.19089999999999999</v>
      </c>
      <c r="H1793">
        <v>0.28810000000000002</v>
      </c>
      <c r="I1793">
        <v>30.05</v>
      </c>
    </row>
    <row r="1794" spans="1:9" x14ac:dyDescent="0.3">
      <c r="A1794">
        <f>LOOKUP(9E+307,--MID(D1794,1,{1,2,3,4,5}))</f>
        <v>10</v>
      </c>
      <c r="B1794">
        <f>VLOOKUP(MID(D1794,LOOKUP(2,1/ISNUMBER(-MID(D1794,1,{1,2,3,4,5})),{1,2,3,4,5})+1,9),'Hue codes'!$A$1:$B$10,2,FALSE)</f>
        <v>50</v>
      </c>
      <c r="C1794">
        <f t="shared" si="27"/>
        <v>60</v>
      </c>
      <c r="D1794" t="s">
        <v>44</v>
      </c>
      <c r="E1794">
        <v>6</v>
      </c>
      <c r="F1794">
        <v>12</v>
      </c>
      <c r="G1794">
        <v>0.16980000000000001</v>
      </c>
      <c r="H1794">
        <v>0.2802</v>
      </c>
      <c r="I1794">
        <v>30.05</v>
      </c>
    </row>
    <row r="1795" spans="1:9" x14ac:dyDescent="0.3">
      <c r="A1795">
        <f>LOOKUP(9E+307,--MID(D1795,1,{1,2,3,4,5}))</f>
        <v>10</v>
      </c>
      <c r="B1795">
        <f>VLOOKUP(MID(D1795,LOOKUP(2,1/ISNUMBER(-MID(D1795,1,{1,2,3,4,5})),{1,2,3,4,5})+1,9),'Hue codes'!$A$1:$B$10,2,FALSE)</f>
        <v>50</v>
      </c>
      <c r="C1795">
        <f t="shared" ref="C1795:C1858" si="28">IF(A1795+B1795=100,0,A1795+B1795)</f>
        <v>60</v>
      </c>
      <c r="D1795" t="s">
        <v>44</v>
      </c>
      <c r="E1795">
        <v>6</v>
      </c>
      <c r="F1795">
        <v>14</v>
      </c>
      <c r="G1795">
        <v>0.15179999999999999</v>
      </c>
      <c r="H1795">
        <v>0.27289999999999998</v>
      </c>
      <c r="I1795">
        <v>30.05</v>
      </c>
    </row>
    <row r="1796" spans="1:9" x14ac:dyDescent="0.3">
      <c r="A1796">
        <f>LOOKUP(9E+307,--MID(D1796,1,{1,2,3,4,5}))</f>
        <v>10</v>
      </c>
      <c r="B1796">
        <f>VLOOKUP(MID(D1796,LOOKUP(2,1/ISNUMBER(-MID(D1796,1,{1,2,3,4,5})),{1,2,3,4,5})+1,9),'Hue codes'!$A$1:$B$10,2,FALSE)</f>
        <v>50</v>
      </c>
      <c r="C1796">
        <f t="shared" si="28"/>
        <v>60</v>
      </c>
      <c r="D1796" t="s">
        <v>44</v>
      </c>
      <c r="E1796">
        <v>6</v>
      </c>
      <c r="F1796">
        <v>16</v>
      </c>
      <c r="G1796">
        <v>0.13370000000000001</v>
      </c>
      <c r="H1796">
        <v>0.2651</v>
      </c>
      <c r="I1796">
        <v>30.05</v>
      </c>
    </row>
    <row r="1797" spans="1:9" x14ac:dyDescent="0.3">
      <c r="A1797">
        <f>LOOKUP(9E+307,--MID(D1797,1,{1,2,3,4,5}))</f>
        <v>10</v>
      </c>
      <c r="B1797">
        <f>VLOOKUP(MID(D1797,LOOKUP(2,1/ISNUMBER(-MID(D1797,1,{1,2,3,4,5})),{1,2,3,4,5})+1,9),'Hue codes'!$A$1:$B$10,2,FALSE)</f>
        <v>50</v>
      </c>
      <c r="C1797">
        <f t="shared" si="28"/>
        <v>60</v>
      </c>
      <c r="D1797" t="s">
        <v>44</v>
      </c>
      <c r="E1797">
        <v>6</v>
      </c>
      <c r="F1797">
        <v>18</v>
      </c>
      <c r="G1797">
        <v>0.1181</v>
      </c>
      <c r="H1797">
        <v>0.2581</v>
      </c>
      <c r="I1797">
        <v>30.05</v>
      </c>
    </row>
    <row r="1798" spans="1:9" x14ac:dyDescent="0.3">
      <c r="A1798">
        <f>LOOKUP(9E+307,--MID(D1798,1,{1,2,3,4,5}))</f>
        <v>2.5</v>
      </c>
      <c r="B1798">
        <f>VLOOKUP(MID(D1798,LOOKUP(2,1/ISNUMBER(-MID(D1798,1,{1,2,3,4,5})),{1,2,3,4,5})+1,9),'Hue codes'!$A$1:$B$10,2,FALSE)</f>
        <v>60</v>
      </c>
      <c r="C1798">
        <f t="shared" si="28"/>
        <v>62.5</v>
      </c>
      <c r="D1798" t="s">
        <v>45</v>
      </c>
      <c r="E1798">
        <v>6</v>
      </c>
      <c r="F1798">
        <v>2</v>
      </c>
      <c r="G1798">
        <v>0.28349999999999997</v>
      </c>
      <c r="H1798">
        <v>0.30969999999999998</v>
      </c>
      <c r="I1798">
        <v>30.05</v>
      </c>
    </row>
    <row r="1799" spans="1:9" x14ac:dyDescent="0.3">
      <c r="A1799">
        <f>LOOKUP(9E+307,--MID(D1799,1,{1,2,3,4,5}))</f>
        <v>2.5</v>
      </c>
      <c r="B1799">
        <f>VLOOKUP(MID(D1799,LOOKUP(2,1/ISNUMBER(-MID(D1799,1,{1,2,3,4,5})),{1,2,3,4,5})+1,9),'Hue codes'!$A$1:$B$10,2,FALSE)</f>
        <v>60</v>
      </c>
      <c r="C1799">
        <f t="shared" si="28"/>
        <v>62.5</v>
      </c>
      <c r="D1799" t="s">
        <v>45</v>
      </c>
      <c r="E1799">
        <v>6</v>
      </c>
      <c r="F1799">
        <v>4</v>
      </c>
      <c r="G1799">
        <v>0.2571</v>
      </c>
      <c r="H1799">
        <v>0.30080000000000001</v>
      </c>
      <c r="I1799">
        <v>30.05</v>
      </c>
    </row>
    <row r="1800" spans="1:9" x14ac:dyDescent="0.3">
      <c r="A1800">
        <f>LOOKUP(9E+307,--MID(D1800,1,{1,2,3,4,5}))</f>
        <v>2.5</v>
      </c>
      <c r="B1800">
        <f>VLOOKUP(MID(D1800,LOOKUP(2,1/ISNUMBER(-MID(D1800,1,{1,2,3,4,5})),{1,2,3,4,5})+1,9),'Hue codes'!$A$1:$B$10,2,FALSE)</f>
        <v>60</v>
      </c>
      <c r="C1800">
        <f t="shared" si="28"/>
        <v>62.5</v>
      </c>
      <c r="D1800" t="s">
        <v>45</v>
      </c>
      <c r="E1800">
        <v>6</v>
      </c>
      <c r="F1800">
        <v>6</v>
      </c>
      <c r="G1800">
        <v>0.23119999999999999</v>
      </c>
      <c r="H1800">
        <v>0.28989999999999999</v>
      </c>
      <c r="I1800">
        <v>30.05</v>
      </c>
    </row>
    <row r="1801" spans="1:9" x14ac:dyDescent="0.3">
      <c r="A1801">
        <f>LOOKUP(9E+307,--MID(D1801,1,{1,2,3,4,5}))</f>
        <v>2.5</v>
      </c>
      <c r="B1801">
        <f>VLOOKUP(MID(D1801,LOOKUP(2,1/ISNUMBER(-MID(D1801,1,{1,2,3,4,5})),{1,2,3,4,5})+1,9),'Hue codes'!$A$1:$B$10,2,FALSE)</f>
        <v>60</v>
      </c>
      <c r="C1801">
        <f t="shared" si="28"/>
        <v>62.5</v>
      </c>
      <c r="D1801" t="s">
        <v>45</v>
      </c>
      <c r="E1801">
        <v>6</v>
      </c>
      <c r="F1801">
        <v>8</v>
      </c>
      <c r="G1801">
        <v>0.20799999999999999</v>
      </c>
      <c r="H1801">
        <v>0.27889999999999998</v>
      </c>
      <c r="I1801">
        <v>30.05</v>
      </c>
    </row>
    <row r="1802" spans="1:9" x14ac:dyDescent="0.3">
      <c r="A1802">
        <f>LOOKUP(9E+307,--MID(D1802,1,{1,2,3,4,5}))</f>
        <v>2.5</v>
      </c>
      <c r="B1802">
        <f>VLOOKUP(MID(D1802,LOOKUP(2,1/ISNUMBER(-MID(D1802,1,{1,2,3,4,5})),{1,2,3,4,5})+1,9),'Hue codes'!$A$1:$B$10,2,FALSE)</f>
        <v>60</v>
      </c>
      <c r="C1802">
        <f t="shared" si="28"/>
        <v>62.5</v>
      </c>
      <c r="D1802" t="s">
        <v>45</v>
      </c>
      <c r="E1802">
        <v>6</v>
      </c>
      <c r="F1802">
        <v>10</v>
      </c>
      <c r="G1802">
        <v>0.18790000000000001</v>
      </c>
      <c r="H1802">
        <v>0.26819999999999999</v>
      </c>
      <c r="I1802">
        <v>30.05</v>
      </c>
    </row>
    <row r="1803" spans="1:9" x14ac:dyDescent="0.3">
      <c r="A1803">
        <f>LOOKUP(9E+307,--MID(D1803,1,{1,2,3,4,5}))</f>
        <v>2.5</v>
      </c>
      <c r="B1803">
        <f>VLOOKUP(MID(D1803,LOOKUP(2,1/ISNUMBER(-MID(D1803,1,{1,2,3,4,5})),{1,2,3,4,5})+1,9),'Hue codes'!$A$1:$B$10,2,FALSE)</f>
        <v>60</v>
      </c>
      <c r="C1803">
        <f t="shared" si="28"/>
        <v>62.5</v>
      </c>
      <c r="D1803" t="s">
        <v>45</v>
      </c>
      <c r="E1803">
        <v>6</v>
      </c>
      <c r="F1803">
        <v>12</v>
      </c>
      <c r="G1803">
        <v>0.16600000000000001</v>
      </c>
      <c r="H1803">
        <v>0.25609999999999999</v>
      </c>
      <c r="I1803">
        <v>30.05</v>
      </c>
    </row>
    <row r="1804" spans="1:9" x14ac:dyDescent="0.3">
      <c r="A1804">
        <f>LOOKUP(9E+307,--MID(D1804,1,{1,2,3,4,5}))</f>
        <v>2.5</v>
      </c>
      <c r="B1804">
        <f>VLOOKUP(MID(D1804,LOOKUP(2,1/ISNUMBER(-MID(D1804,1,{1,2,3,4,5})),{1,2,3,4,5})+1,9),'Hue codes'!$A$1:$B$10,2,FALSE)</f>
        <v>60</v>
      </c>
      <c r="C1804">
        <f t="shared" si="28"/>
        <v>62.5</v>
      </c>
      <c r="D1804" t="s">
        <v>45</v>
      </c>
      <c r="E1804">
        <v>6</v>
      </c>
      <c r="F1804">
        <v>14</v>
      </c>
      <c r="G1804">
        <v>0.14799999999999999</v>
      </c>
      <c r="H1804">
        <v>0.24590000000000001</v>
      </c>
      <c r="I1804">
        <v>30.05</v>
      </c>
    </row>
    <row r="1805" spans="1:9" x14ac:dyDescent="0.3">
      <c r="A1805">
        <f>LOOKUP(9E+307,--MID(D1805,1,{1,2,3,4,5}))</f>
        <v>2.5</v>
      </c>
      <c r="B1805">
        <f>VLOOKUP(MID(D1805,LOOKUP(2,1/ISNUMBER(-MID(D1805,1,{1,2,3,4,5})),{1,2,3,4,5})+1,9),'Hue codes'!$A$1:$B$10,2,FALSE)</f>
        <v>60</v>
      </c>
      <c r="C1805">
        <f t="shared" si="28"/>
        <v>62.5</v>
      </c>
      <c r="D1805" t="s">
        <v>45</v>
      </c>
      <c r="E1805">
        <v>6</v>
      </c>
      <c r="F1805">
        <v>16</v>
      </c>
      <c r="G1805">
        <v>0.12939999999999999</v>
      </c>
      <c r="H1805">
        <v>0.23480000000000001</v>
      </c>
      <c r="I1805">
        <v>30.05</v>
      </c>
    </row>
    <row r="1806" spans="1:9" x14ac:dyDescent="0.3">
      <c r="A1806">
        <f>LOOKUP(9E+307,--MID(D1806,1,{1,2,3,4,5}))</f>
        <v>5</v>
      </c>
      <c r="B1806">
        <f>VLOOKUP(MID(D1806,LOOKUP(2,1/ISNUMBER(-MID(D1806,1,{1,2,3,4,5})),{1,2,3,4,5})+1,9),'Hue codes'!$A$1:$B$10,2,FALSE)</f>
        <v>60</v>
      </c>
      <c r="C1806">
        <f t="shared" si="28"/>
        <v>65</v>
      </c>
      <c r="D1806" t="s">
        <v>46</v>
      </c>
      <c r="E1806">
        <v>6</v>
      </c>
      <c r="F1806">
        <v>2</v>
      </c>
      <c r="G1806">
        <v>0.28420000000000001</v>
      </c>
      <c r="H1806">
        <v>0.30630000000000002</v>
      </c>
      <c r="I1806">
        <v>30.05</v>
      </c>
    </row>
    <row r="1807" spans="1:9" x14ac:dyDescent="0.3">
      <c r="A1807">
        <f>LOOKUP(9E+307,--MID(D1807,1,{1,2,3,4,5}))</f>
        <v>5</v>
      </c>
      <c r="B1807">
        <f>VLOOKUP(MID(D1807,LOOKUP(2,1/ISNUMBER(-MID(D1807,1,{1,2,3,4,5})),{1,2,3,4,5})+1,9),'Hue codes'!$A$1:$B$10,2,FALSE)</f>
        <v>60</v>
      </c>
      <c r="C1807">
        <f t="shared" si="28"/>
        <v>65</v>
      </c>
      <c r="D1807" t="s">
        <v>46</v>
      </c>
      <c r="E1807">
        <v>6</v>
      </c>
      <c r="F1807">
        <v>4</v>
      </c>
      <c r="G1807">
        <v>0.25790000000000002</v>
      </c>
      <c r="H1807">
        <v>0.29380000000000001</v>
      </c>
      <c r="I1807">
        <v>30.05</v>
      </c>
    </row>
    <row r="1808" spans="1:9" x14ac:dyDescent="0.3">
      <c r="A1808">
        <f>LOOKUP(9E+307,--MID(D1808,1,{1,2,3,4,5}))</f>
        <v>5</v>
      </c>
      <c r="B1808">
        <f>VLOOKUP(MID(D1808,LOOKUP(2,1/ISNUMBER(-MID(D1808,1,{1,2,3,4,5})),{1,2,3,4,5})+1,9),'Hue codes'!$A$1:$B$10,2,FALSE)</f>
        <v>60</v>
      </c>
      <c r="C1808">
        <f t="shared" si="28"/>
        <v>65</v>
      </c>
      <c r="D1808" t="s">
        <v>46</v>
      </c>
      <c r="E1808">
        <v>6</v>
      </c>
      <c r="F1808">
        <v>6</v>
      </c>
      <c r="G1808">
        <v>0.23200000000000001</v>
      </c>
      <c r="H1808">
        <v>0.27889999999999998</v>
      </c>
      <c r="I1808">
        <v>30.05</v>
      </c>
    </row>
    <row r="1809" spans="1:9" x14ac:dyDescent="0.3">
      <c r="A1809">
        <f>LOOKUP(9E+307,--MID(D1809,1,{1,2,3,4,5}))</f>
        <v>5</v>
      </c>
      <c r="B1809">
        <f>VLOOKUP(MID(D1809,LOOKUP(2,1/ISNUMBER(-MID(D1809,1,{1,2,3,4,5})),{1,2,3,4,5})+1,9),'Hue codes'!$A$1:$B$10,2,FALSE)</f>
        <v>60</v>
      </c>
      <c r="C1809">
        <f t="shared" si="28"/>
        <v>65</v>
      </c>
      <c r="D1809" t="s">
        <v>46</v>
      </c>
      <c r="E1809">
        <v>6</v>
      </c>
      <c r="F1809">
        <v>8</v>
      </c>
      <c r="G1809">
        <v>0.20880000000000001</v>
      </c>
      <c r="H1809">
        <v>0.26350000000000001</v>
      </c>
      <c r="I1809">
        <v>30.05</v>
      </c>
    </row>
    <row r="1810" spans="1:9" x14ac:dyDescent="0.3">
      <c r="A1810">
        <f>LOOKUP(9E+307,--MID(D1810,1,{1,2,3,4,5}))</f>
        <v>5</v>
      </c>
      <c r="B1810">
        <f>VLOOKUP(MID(D1810,LOOKUP(2,1/ISNUMBER(-MID(D1810,1,{1,2,3,4,5})),{1,2,3,4,5})+1,9),'Hue codes'!$A$1:$B$10,2,FALSE)</f>
        <v>60</v>
      </c>
      <c r="C1810">
        <f t="shared" si="28"/>
        <v>65</v>
      </c>
      <c r="D1810" t="s">
        <v>46</v>
      </c>
      <c r="E1810">
        <v>6</v>
      </c>
      <c r="F1810">
        <v>10</v>
      </c>
      <c r="G1810">
        <v>0.1883</v>
      </c>
      <c r="H1810">
        <v>0.2487</v>
      </c>
      <c r="I1810">
        <v>30.05</v>
      </c>
    </row>
    <row r="1811" spans="1:9" x14ac:dyDescent="0.3">
      <c r="A1811">
        <f>LOOKUP(9E+307,--MID(D1811,1,{1,2,3,4,5}))</f>
        <v>5</v>
      </c>
      <c r="B1811">
        <f>VLOOKUP(MID(D1811,LOOKUP(2,1/ISNUMBER(-MID(D1811,1,{1,2,3,4,5})),{1,2,3,4,5})+1,9),'Hue codes'!$A$1:$B$10,2,FALSE)</f>
        <v>60</v>
      </c>
      <c r="C1811">
        <f t="shared" si="28"/>
        <v>65</v>
      </c>
      <c r="D1811" t="s">
        <v>46</v>
      </c>
      <c r="E1811">
        <v>6</v>
      </c>
      <c r="F1811">
        <v>12</v>
      </c>
      <c r="G1811">
        <v>0.16850000000000001</v>
      </c>
      <c r="H1811">
        <v>0.2339</v>
      </c>
      <c r="I1811">
        <v>30.05</v>
      </c>
    </row>
    <row r="1812" spans="1:9" x14ac:dyDescent="0.3">
      <c r="A1812">
        <f>LOOKUP(9E+307,--MID(D1812,1,{1,2,3,4,5}))</f>
        <v>5</v>
      </c>
      <c r="B1812">
        <f>VLOOKUP(MID(D1812,LOOKUP(2,1/ISNUMBER(-MID(D1812,1,{1,2,3,4,5})),{1,2,3,4,5})+1,9),'Hue codes'!$A$1:$B$10,2,FALSE)</f>
        <v>60</v>
      </c>
      <c r="C1812">
        <f t="shared" si="28"/>
        <v>65</v>
      </c>
      <c r="D1812" t="s">
        <v>46</v>
      </c>
      <c r="E1812">
        <v>6</v>
      </c>
      <c r="F1812">
        <v>14</v>
      </c>
      <c r="G1812">
        <v>0.14960000000000001</v>
      </c>
      <c r="H1812">
        <v>0.21929999999999999</v>
      </c>
      <c r="I1812">
        <v>30.05</v>
      </c>
    </row>
    <row r="1813" spans="1:9" x14ac:dyDescent="0.3">
      <c r="A1813">
        <f>LOOKUP(9E+307,--MID(D1813,1,{1,2,3,4,5}))</f>
        <v>5</v>
      </c>
      <c r="B1813">
        <f>VLOOKUP(MID(D1813,LOOKUP(2,1/ISNUMBER(-MID(D1813,1,{1,2,3,4,5})),{1,2,3,4,5})+1,9),'Hue codes'!$A$1:$B$10,2,FALSE)</f>
        <v>60</v>
      </c>
      <c r="C1813">
        <f t="shared" si="28"/>
        <v>65</v>
      </c>
      <c r="D1813" t="s">
        <v>46</v>
      </c>
      <c r="E1813">
        <v>6</v>
      </c>
      <c r="F1813">
        <v>16</v>
      </c>
      <c r="G1813">
        <v>0.13100000000000001</v>
      </c>
      <c r="H1813">
        <v>0.20480000000000001</v>
      </c>
      <c r="I1813">
        <v>30.05</v>
      </c>
    </row>
    <row r="1814" spans="1:9" x14ac:dyDescent="0.3">
      <c r="A1814">
        <f>LOOKUP(9E+307,--MID(D1814,1,{1,2,3,4,5}))</f>
        <v>7.5</v>
      </c>
      <c r="B1814">
        <f>VLOOKUP(MID(D1814,LOOKUP(2,1/ISNUMBER(-MID(D1814,1,{1,2,3,4,5})),{1,2,3,4,5})+1,9),'Hue codes'!$A$1:$B$10,2,FALSE)</f>
        <v>60</v>
      </c>
      <c r="C1814">
        <f t="shared" si="28"/>
        <v>67.5</v>
      </c>
      <c r="D1814" t="s">
        <v>47</v>
      </c>
      <c r="E1814">
        <v>6</v>
      </c>
      <c r="F1814">
        <v>2</v>
      </c>
      <c r="G1814">
        <v>0.28539999999999999</v>
      </c>
      <c r="H1814">
        <v>0.30370000000000003</v>
      </c>
      <c r="I1814">
        <v>30.05</v>
      </c>
    </row>
    <row r="1815" spans="1:9" x14ac:dyDescent="0.3">
      <c r="A1815">
        <f>LOOKUP(9E+307,--MID(D1815,1,{1,2,3,4,5}))</f>
        <v>7.5</v>
      </c>
      <c r="B1815">
        <f>VLOOKUP(MID(D1815,LOOKUP(2,1/ISNUMBER(-MID(D1815,1,{1,2,3,4,5})),{1,2,3,4,5})+1,9),'Hue codes'!$A$1:$B$10,2,FALSE)</f>
        <v>60</v>
      </c>
      <c r="C1815">
        <f t="shared" si="28"/>
        <v>67.5</v>
      </c>
      <c r="D1815" t="s">
        <v>47</v>
      </c>
      <c r="E1815">
        <v>6</v>
      </c>
      <c r="F1815">
        <v>4</v>
      </c>
      <c r="G1815">
        <v>0.26019999999999999</v>
      </c>
      <c r="H1815">
        <v>0.28810000000000002</v>
      </c>
      <c r="I1815">
        <v>30.05</v>
      </c>
    </row>
    <row r="1816" spans="1:9" x14ac:dyDescent="0.3">
      <c r="A1816">
        <f>LOOKUP(9E+307,--MID(D1816,1,{1,2,3,4,5}))</f>
        <v>7.5</v>
      </c>
      <c r="B1816">
        <f>VLOOKUP(MID(D1816,LOOKUP(2,1/ISNUMBER(-MID(D1816,1,{1,2,3,4,5})),{1,2,3,4,5})+1,9),'Hue codes'!$A$1:$B$10,2,FALSE)</f>
        <v>60</v>
      </c>
      <c r="C1816">
        <f t="shared" si="28"/>
        <v>67.5</v>
      </c>
      <c r="D1816" t="s">
        <v>47</v>
      </c>
      <c r="E1816">
        <v>6</v>
      </c>
      <c r="F1816">
        <v>6</v>
      </c>
      <c r="G1816">
        <v>0.23519999999999999</v>
      </c>
      <c r="H1816">
        <v>0.27079999999999999</v>
      </c>
      <c r="I1816">
        <v>30.05</v>
      </c>
    </row>
    <row r="1817" spans="1:9" x14ac:dyDescent="0.3">
      <c r="A1817">
        <f>LOOKUP(9E+307,--MID(D1817,1,{1,2,3,4,5}))</f>
        <v>7.5</v>
      </c>
      <c r="B1817">
        <f>VLOOKUP(MID(D1817,LOOKUP(2,1/ISNUMBER(-MID(D1817,1,{1,2,3,4,5})),{1,2,3,4,5})+1,9),'Hue codes'!$A$1:$B$10,2,FALSE)</f>
        <v>60</v>
      </c>
      <c r="C1817">
        <f t="shared" si="28"/>
        <v>67.5</v>
      </c>
      <c r="D1817" t="s">
        <v>47</v>
      </c>
      <c r="E1817">
        <v>6</v>
      </c>
      <c r="F1817">
        <v>8</v>
      </c>
      <c r="G1817">
        <v>0.2132</v>
      </c>
      <c r="H1817">
        <v>0.25369999999999998</v>
      </c>
      <c r="I1817">
        <v>30.05</v>
      </c>
    </row>
    <row r="1818" spans="1:9" x14ac:dyDescent="0.3">
      <c r="A1818">
        <f>LOOKUP(9E+307,--MID(D1818,1,{1,2,3,4,5}))</f>
        <v>7.5</v>
      </c>
      <c r="B1818">
        <f>VLOOKUP(MID(D1818,LOOKUP(2,1/ISNUMBER(-MID(D1818,1,{1,2,3,4,5})),{1,2,3,4,5})+1,9),'Hue codes'!$A$1:$B$10,2,FALSE)</f>
        <v>60</v>
      </c>
      <c r="C1818">
        <f t="shared" si="28"/>
        <v>67.5</v>
      </c>
      <c r="D1818" t="s">
        <v>47</v>
      </c>
      <c r="E1818">
        <v>6</v>
      </c>
      <c r="F1818">
        <v>10</v>
      </c>
      <c r="G1818">
        <v>0.19339999999999999</v>
      </c>
      <c r="H1818">
        <v>0.2374</v>
      </c>
      <c r="I1818">
        <v>30.05</v>
      </c>
    </row>
    <row r="1819" spans="1:9" x14ac:dyDescent="0.3">
      <c r="A1819">
        <f>LOOKUP(9E+307,--MID(D1819,1,{1,2,3,4,5}))</f>
        <v>7.5</v>
      </c>
      <c r="B1819">
        <f>VLOOKUP(MID(D1819,LOOKUP(2,1/ISNUMBER(-MID(D1819,1,{1,2,3,4,5})),{1,2,3,4,5})+1,9),'Hue codes'!$A$1:$B$10,2,FALSE)</f>
        <v>60</v>
      </c>
      <c r="C1819">
        <f t="shared" si="28"/>
        <v>67.5</v>
      </c>
      <c r="D1819" t="s">
        <v>47</v>
      </c>
      <c r="E1819">
        <v>6</v>
      </c>
      <c r="F1819">
        <v>12</v>
      </c>
      <c r="G1819">
        <v>0.1734</v>
      </c>
      <c r="H1819">
        <v>0.2203</v>
      </c>
      <c r="I1819">
        <v>30.05</v>
      </c>
    </row>
    <row r="1820" spans="1:9" x14ac:dyDescent="0.3">
      <c r="A1820">
        <f>LOOKUP(9E+307,--MID(D1820,1,{1,2,3,4,5}))</f>
        <v>7.5</v>
      </c>
      <c r="B1820">
        <f>VLOOKUP(MID(D1820,LOOKUP(2,1/ISNUMBER(-MID(D1820,1,{1,2,3,4,5})),{1,2,3,4,5})+1,9),'Hue codes'!$A$1:$B$10,2,FALSE)</f>
        <v>60</v>
      </c>
      <c r="C1820">
        <f t="shared" si="28"/>
        <v>67.5</v>
      </c>
      <c r="D1820" t="s">
        <v>47</v>
      </c>
      <c r="E1820">
        <v>6</v>
      </c>
      <c r="F1820">
        <v>14</v>
      </c>
      <c r="G1820">
        <v>0.15559999999999999</v>
      </c>
      <c r="H1820">
        <v>0.20430000000000001</v>
      </c>
      <c r="I1820">
        <v>30.05</v>
      </c>
    </row>
    <row r="1821" spans="1:9" x14ac:dyDescent="0.3">
      <c r="A1821">
        <f>LOOKUP(9E+307,--MID(D1821,1,{1,2,3,4,5}))</f>
        <v>7.5</v>
      </c>
      <c r="B1821">
        <f>VLOOKUP(MID(D1821,LOOKUP(2,1/ISNUMBER(-MID(D1821,1,{1,2,3,4,5})),{1,2,3,4,5})+1,9),'Hue codes'!$A$1:$B$10,2,FALSE)</f>
        <v>60</v>
      </c>
      <c r="C1821">
        <f t="shared" si="28"/>
        <v>67.5</v>
      </c>
      <c r="D1821" t="s">
        <v>47</v>
      </c>
      <c r="E1821">
        <v>6</v>
      </c>
      <c r="F1821">
        <v>16</v>
      </c>
      <c r="G1821">
        <v>0.1376</v>
      </c>
      <c r="H1821">
        <v>0.18790000000000001</v>
      </c>
      <c r="I1821">
        <v>30.05</v>
      </c>
    </row>
    <row r="1822" spans="1:9" x14ac:dyDescent="0.3">
      <c r="A1822">
        <f>LOOKUP(9E+307,--MID(D1822,1,{1,2,3,4,5}))</f>
        <v>10</v>
      </c>
      <c r="B1822">
        <f>VLOOKUP(MID(D1822,LOOKUP(2,1/ISNUMBER(-MID(D1822,1,{1,2,3,4,5})),{1,2,3,4,5})+1,9),'Hue codes'!$A$1:$B$10,2,FALSE)</f>
        <v>60</v>
      </c>
      <c r="C1822">
        <f t="shared" si="28"/>
        <v>70</v>
      </c>
      <c r="D1822" t="s">
        <v>48</v>
      </c>
      <c r="E1822">
        <v>6</v>
      </c>
      <c r="F1822">
        <v>2</v>
      </c>
      <c r="G1822">
        <v>0.28710000000000002</v>
      </c>
      <c r="H1822">
        <v>0.30120000000000002</v>
      </c>
      <c r="I1822">
        <v>30.05</v>
      </c>
    </row>
    <row r="1823" spans="1:9" x14ac:dyDescent="0.3">
      <c r="A1823">
        <f>LOOKUP(9E+307,--MID(D1823,1,{1,2,3,4,5}))</f>
        <v>10</v>
      </c>
      <c r="B1823">
        <f>VLOOKUP(MID(D1823,LOOKUP(2,1/ISNUMBER(-MID(D1823,1,{1,2,3,4,5})),{1,2,3,4,5})+1,9),'Hue codes'!$A$1:$B$10,2,FALSE)</f>
        <v>60</v>
      </c>
      <c r="C1823">
        <f t="shared" si="28"/>
        <v>70</v>
      </c>
      <c r="D1823" t="s">
        <v>48</v>
      </c>
      <c r="E1823">
        <v>6</v>
      </c>
      <c r="F1823">
        <v>4</v>
      </c>
      <c r="G1823">
        <v>0.26369999999999999</v>
      </c>
      <c r="H1823">
        <v>0.28399999999999997</v>
      </c>
      <c r="I1823">
        <v>30.05</v>
      </c>
    </row>
    <row r="1824" spans="1:9" x14ac:dyDescent="0.3">
      <c r="A1824">
        <f>LOOKUP(9E+307,--MID(D1824,1,{1,2,3,4,5}))</f>
        <v>10</v>
      </c>
      <c r="B1824">
        <f>VLOOKUP(MID(D1824,LOOKUP(2,1/ISNUMBER(-MID(D1824,1,{1,2,3,4,5})),{1,2,3,4,5})+1,9),'Hue codes'!$A$1:$B$10,2,FALSE)</f>
        <v>60</v>
      </c>
      <c r="C1824">
        <f t="shared" si="28"/>
        <v>70</v>
      </c>
      <c r="D1824" t="s">
        <v>48</v>
      </c>
      <c r="E1824">
        <v>6</v>
      </c>
      <c r="F1824">
        <v>6</v>
      </c>
      <c r="G1824">
        <v>0.2399</v>
      </c>
      <c r="H1824">
        <v>0.26500000000000001</v>
      </c>
      <c r="I1824">
        <v>30.05</v>
      </c>
    </row>
    <row r="1825" spans="1:9" x14ac:dyDescent="0.3">
      <c r="A1825">
        <f>LOOKUP(9E+307,--MID(D1825,1,{1,2,3,4,5}))</f>
        <v>10</v>
      </c>
      <c r="B1825">
        <f>VLOOKUP(MID(D1825,LOOKUP(2,1/ISNUMBER(-MID(D1825,1,{1,2,3,4,5})),{1,2,3,4,5})+1,9),'Hue codes'!$A$1:$B$10,2,FALSE)</f>
        <v>60</v>
      </c>
      <c r="C1825">
        <f t="shared" si="28"/>
        <v>70</v>
      </c>
      <c r="D1825" t="s">
        <v>48</v>
      </c>
      <c r="E1825">
        <v>6</v>
      </c>
      <c r="F1825">
        <v>8</v>
      </c>
      <c r="G1825">
        <v>0.21890000000000001</v>
      </c>
      <c r="H1825">
        <v>0.24679999999999999</v>
      </c>
      <c r="I1825">
        <v>30.05</v>
      </c>
    </row>
    <row r="1826" spans="1:9" x14ac:dyDescent="0.3">
      <c r="A1826">
        <f>LOOKUP(9E+307,--MID(D1826,1,{1,2,3,4,5}))</f>
        <v>10</v>
      </c>
      <c r="B1826">
        <f>VLOOKUP(MID(D1826,LOOKUP(2,1/ISNUMBER(-MID(D1826,1,{1,2,3,4,5})),{1,2,3,4,5})+1,9),'Hue codes'!$A$1:$B$10,2,FALSE)</f>
        <v>60</v>
      </c>
      <c r="C1826">
        <f t="shared" si="28"/>
        <v>70</v>
      </c>
      <c r="D1826" t="s">
        <v>48</v>
      </c>
      <c r="E1826">
        <v>6</v>
      </c>
      <c r="F1826">
        <v>10</v>
      </c>
      <c r="G1826">
        <v>0.2</v>
      </c>
      <c r="H1826">
        <v>0.2298</v>
      </c>
      <c r="I1826">
        <v>30.05</v>
      </c>
    </row>
    <row r="1827" spans="1:9" x14ac:dyDescent="0.3">
      <c r="A1827">
        <f>LOOKUP(9E+307,--MID(D1827,1,{1,2,3,4,5}))</f>
        <v>10</v>
      </c>
      <c r="B1827">
        <f>VLOOKUP(MID(D1827,LOOKUP(2,1/ISNUMBER(-MID(D1827,1,{1,2,3,4,5})),{1,2,3,4,5})+1,9),'Hue codes'!$A$1:$B$10,2,FALSE)</f>
        <v>60</v>
      </c>
      <c r="C1827">
        <f t="shared" si="28"/>
        <v>70</v>
      </c>
      <c r="D1827" t="s">
        <v>48</v>
      </c>
      <c r="E1827">
        <v>6</v>
      </c>
      <c r="F1827">
        <v>12</v>
      </c>
      <c r="G1827">
        <v>0.18029999999999999</v>
      </c>
      <c r="H1827">
        <v>0.2114</v>
      </c>
      <c r="I1827">
        <v>30.05</v>
      </c>
    </row>
    <row r="1828" spans="1:9" x14ac:dyDescent="0.3">
      <c r="A1828">
        <f>LOOKUP(9E+307,--MID(D1828,1,{1,2,3,4,5}))</f>
        <v>10</v>
      </c>
      <c r="B1828">
        <f>VLOOKUP(MID(D1828,LOOKUP(2,1/ISNUMBER(-MID(D1828,1,{1,2,3,4,5})),{1,2,3,4,5})+1,9),'Hue codes'!$A$1:$B$10,2,FALSE)</f>
        <v>60</v>
      </c>
      <c r="C1828">
        <f t="shared" si="28"/>
        <v>70</v>
      </c>
      <c r="D1828" t="s">
        <v>48</v>
      </c>
      <c r="E1828">
        <v>6</v>
      </c>
      <c r="F1828">
        <v>14</v>
      </c>
      <c r="G1828">
        <v>0.16289999999999999</v>
      </c>
      <c r="H1828">
        <v>0.19470000000000001</v>
      </c>
      <c r="I1828">
        <v>30.05</v>
      </c>
    </row>
    <row r="1829" spans="1:9" x14ac:dyDescent="0.3">
      <c r="A1829">
        <f>LOOKUP(9E+307,--MID(D1829,1,{1,2,3,4,5}))</f>
        <v>10</v>
      </c>
      <c r="B1829">
        <f>VLOOKUP(MID(D1829,LOOKUP(2,1/ISNUMBER(-MID(D1829,1,{1,2,3,4,5})),{1,2,3,4,5})+1,9),'Hue codes'!$A$1:$B$10,2,FALSE)</f>
        <v>60</v>
      </c>
      <c r="C1829">
        <f t="shared" si="28"/>
        <v>70</v>
      </c>
      <c r="D1829" t="s">
        <v>48</v>
      </c>
      <c r="E1829">
        <v>6</v>
      </c>
      <c r="F1829">
        <v>16</v>
      </c>
      <c r="G1829">
        <v>0.1454</v>
      </c>
      <c r="H1829">
        <v>0.17780000000000001</v>
      </c>
      <c r="I1829">
        <v>30.05</v>
      </c>
    </row>
    <row r="1830" spans="1:9" x14ac:dyDescent="0.3">
      <c r="A1830">
        <f>LOOKUP(9E+307,--MID(D1830,1,{1,2,3,4,5}))</f>
        <v>2.5</v>
      </c>
      <c r="B1830">
        <f>VLOOKUP(MID(D1830,LOOKUP(2,1/ISNUMBER(-MID(D1830,1,{1,2,3,4,5})),{1,2,3,4,5})+1,9),'Hue codes'!$A$1:$B$10,2,FALSE)</f>
        <v>70</v>
      </c>
      <c r="C1830">
        <f t="shared" si="28"/>
        <v>72.5</v>
      </c>
      <c r="D1830" t="s">
        <v>49</v>
      </c>
      <c r="E1830">
        <v>6</v>
      </c>
      <c r="F1830">
        <v>2</v>
      </c>
      <c r="G1830">
        <v>0.28970000000000001</v>
      </c>
      <c r="H1830">
        <v>0.29909999999999998</v>
      </c>
      <c r="I1830">
        <v>30.05</v>
      </c>
    </row>
    <row r="1831" spans="1:9" x14ac:dyDescent="0.3">
      <c r="A1831">
        <f>LOOKUP(9E+307,--MID(D1831,1,{1,2,3,4,5}))</f>
        <v>2.5</v>
      </c>
      <c r="B1831">
        <f>VLOOKUP(MID(D1831,LOOKUP(2,1/ISNUMBER(-MID(D1831,1,{1,2,3,4,5})),{1,2,3,4,5})+1,9),'Hue codes'!$A$1:$B$10,2,FALSE)</f>
        <v>70</v>
      </c>
      <c r="C1831">
        <f t="shared" si="28"/>
        <v>72.5</v>
      </c>
      <c r="D1831" t="s">
        <v>49</v>
      </c>
      <c r="E1831">
        <v>6</v>
      </c>
      <c r="F1831">
        <v>4</v>
      </c>
      <c r="G1831">
        <v>0.26840000000000003</v>
      </c>
      <c r="H1831">
        <v>0.28039999999999998</v>
      </c>
      <c r="I1831">
        <v>30.05</v>
      </c>
    </row>
    <row r="1832" spans="1:9" x14ac:dyDescent="0.3">
      <c r="A1832">
        <f>LOOKUP(9E+307,--MID(D1832,1,{1,2,3,4,5}))</f>
        <v>2.5</v>
      </c>
      <c r="B1832">
        <f>VLOOKUP(MID(D1832,LOOKUP(2,1/ISNUMBER(-MID(D1832,1,{1,2,3,4,5})),{1,2,3,4,5})+1,9),'Hue codes'!$A$1:$B$10,2,FALSE)</f>
        <v>70</v>
      </c>
      <c r="C1832">
        <f t="shared" si="28"/>
        <v>72.5</v>
      </c>
      <c r="D1832" t="s">
        <v>49</v>
      </c>
      <c r="E1832">
        <v>6</v>
      </c>
      <c r="F1832">
        <v>6</v>
      </c>
      <c r="G1832">
        <v>0.2465</v>
      </c>
      <c r="H1832">
        <v>0.25990000000000002</v>
      </c>
      <c r="I1832">
        <v>30.05</v>
      </c>
    </row>
    <row r="1833" spans="1:9" x14ac:dyDescent="0.3">
      <c r="A1833">
        <f>LOOKUP(9E+307,--MID(D1833,1,{1,2,3,4,5}))</f>
        <v>2.5</v>
      </c>
      <c r="B1833">
        <f>VLOOKUP(MID(D1833,LOOKUP(2,1/ISNUMBER(-MID(D1833,1,{1,2,3,4,5})),{1,2,3,4,5})+1,9),'Hue codes'!$A$1:$B$10,2,FALSE)</f>
        <v>70</v>
      </c>
      <c r="C1833">
        <f t="shared" si="28"/>
        <v>72.5</v>
      </c>
      <c r="D1833" t="s">
        <v>49</v>
      </c>
      <c r="E1833">
        <v>6</v>
      </c>
      <c r="F1833">
        <v>8</v>
      </c>
      <c r="G1833">
        <v>0.22739999999999999</v>
      </c>
      <c r="H1833">
        <v>0.24060000000000001</v>
      </c>
      <c r="I1833">
        <v>30.05</v>
      </c>
    </row>
    <row r="1834" spans="1:9" x14ac:dyDescent="0.3">
      <c r="A1834">
        <f>LOOKUP(9E+307,--MID(D1834,1,{1,2,3,4,5}))</f>
        <v>2.5</v>
      </c>
      <c r="B1834">
        <f>VLOOKUP(MID(D1834,LOOKUP(2,1/ISNUMBER(-MID(D1834,1,{1,2,3,4,5})),{1,2,3,4,5})+1,9),'Hue codes'!$A$1:$B$10,2,FALSE)</f>
        <v>70</v>
      </c>
      <c r="C1834">
        <f t="shared" si="28"/>
        <v>72.5</v>
      </c>
      <c r="D1834" t="s">
        <v>49</v>
      </c>
      <c r="E1834">
        <v>6</v>
      </c>
      <c r="F1834">
        <v>10</v>
      </c>
      <c r="G1834">
        <v>0.20949999999999999</v>
      </c>
      <c r="H1834">
        <v>0.2225</v>
      </c>
      <c r="I1834">
        <v>30.05</v>
      </c>
    </row>
    <row r="1835" spans="1:9" x14ac:dyDescent="0.3">
      <c r="A1835">
        <f>LOOKUP(9E+307,--MID(D1835,1,{1,2,3,4,5}))</f>
        <v>2.5</v>
      </c>
      <c r="B1835">
        <f>VLOOKUP(MID(D1835,LOOKUP(2,1/ISNUMBER(-MID(D1835,1,{1,2,3,4,5})),{1,2,3,4,5})+1,9),'Hue codes'!$A$1:$B$10,2,FALSE)</f>
        <v>70</v>
      </c>
      <c r="C1835">
        <f t="shared" si="28"/>
        <v>72.5</v>
      </c>
      <c r="D1835" t="s">
        <v>49</v>
      </c>
      <c r="E1835">
        <v>6</v>
      </c>
      <c r="F1835">
        <v>12</v>
      </c>
      <c r="G1835">
        <v>0.1913</v>
      </c>
      <c r="H1835">
        <v>0.20380000000000001</v>
      </c>
      <c r="I1835">
        <v>30.05</v>
      </c>
    </row>
    <row r="1836" spans="1:9" x14ac:dyDescent="0.3">
      <c r="A1836">
        <f>LOOKUP(9E+307,--MID(D1836,1,{1,2,3,4,5}))</f>
        <v>2.5</v>
      </c>
      <c r="B1836">
        <f>VLOOKUP(MID(D1836,LOOKUP(2,1/ISNUMBER(-MID(D1836,1,{1,2,3,4,5})),{1,2,3,4,5})+1,9),'Hue codes'!$A$1:$B$10,2,FALSE)</f>
        <v>70</v>
      </c>
      <c r="C1836">
        <f t="shared" si="28"/>
        <v>72.5</v>
      </c>
      <c r="D1836" t="s">
        <v>49</v>
      </c>
      <c r="E1836">
        <v>6</v>
      </c>
      <c r="F1836">
        <v>14</v>
      </c>
      <c r="G1836">
        <v>0.1754</v>
      </c>
      <c r="H1836">
        <v>0.18679999999999999</v>
      </c>
      <c r="I1836">
        <v>30.05</v>
      </c>
    </row>
    <row r="1837" spans="1:9" x14ac:dyDescent="0.3">
      <c r="A1837">
        <f>LOOKUP(9E+307,--MID(D1837,1,{1,2,3,4,5}))</f>
        <v>5</v>
      </c>
      <c r="B1837">
        <f>VLOOKUP(MID(D1837,LOOKUP(2,1/ISNUMBER(-MID(D1837,1,{1,2,3,4,5})),{1,2,3,4,5})+1,9),'Hue codes'!$A$1:$B$10,2,FALSE)</f>
        <v>70</v>
      </c>
      <c r="C1837">
        <f t="shared" si="28"/>
        <v>75</v>
      </c>
      <c r="D1837" t="s">
        <v>50</v>
      </c>
      <c r="E1837">
        <v>6</v>
      </c>
      <c r="F1837">
        <v>2</v>
      </c>
      <c r="G1837">
        <v>0.2923</v>
      </c>
      <c r="H1837">
        <v>0.29780000000000001</v>
      </c>
      <c r="I1837">
        <v>30.05</v>
      </c>
    </row>
    <row r="1838" spans="1:9" x14ac:dyDescent="0.3">
      <c r="A1838">
        <f>LOOKUP(9E+307,--MID(D1838,1,{1,2,3,4,5}))</f>
        <v>5</v>
      </c>
      <c r="B1838">
        <f>VLOOKUP(MID(D1838,LOOKUP(2,1/ISNUMBER(-MID(D1838,1,{1,2,3,4,5})),{1,2,3,4,5})+1,9),'Hue codes'!$A$1:$B$10,2,FALSE)</f>
        <v>70</v>
      </c>
      <c r="C1838">
        <f t="shared" si="28"/>
        <v>75</v>
      </c>
      <c r="D1838" t="s">
        <v>50</v>
      </c>
      <c r="E1838">
        <v>6</v>
      </c>
      <c r="F1838">
        <v>4</v>
      </c>
      <c r="G1838">
        <v>0.27339999999999998</v>
      </c>
      <c r="H1838">
        <v>0.27779999999999999</v>
      </c>
      <c r="I1838">
        <v>30.05</v>
      </c>
    </row>
    <row r="1839" spans="1:9" x14ac:dyDescent="0.3">
      <c r="A1839">
        <f>LOOKUP(9E+307,--MID(D1839,1,{1,2,3,4,5}))</f>
        <v>5</v>
      </c>
      <c r="B1839">
        <f>VLOOKUP(MID(D1839,LOOKUP(2,1/ISNUMBER(-MID(D1839,1,{1,2,3,4,5})),{1,2,3,4,5})+1,9),'Hue codes'!$A$1:$B$10,2,FALSE)</f>
        <v>70</v>
      </c>
      <c r="C1839">
        <f t="shared" si="28"/>
        <v>75</v>
      </c>
      <c r="D1839" t="s">
        <v>50</v>
      </c>
      <c r="E1839">
        <v>6</v>
      </c>
      <c r="F1839">
        <v>6</v>
      </c>
      <c r="G1839">
        <v>0.25330000000000003</v>
      </c>
      <c r="H1839">
        <v>0.25580000000000003</v>
      </c>
      <c r="I1839">
        <v>30.05</v>
      </c>
    </row>
    <row r="1840" spans="1:9" x14ac:dyDescent="0.3">
      <c r="A1840">
        <f>LOOKUP(9E+307,--MID(D1840,1,{1,2,3,4,5}))</f>
        <v>5</v>
      </c>
      <c r="B1840">
        <f>VLOOKUP(MID(D1840,LOOKUP(2,1/ISNUMBER(-MID(D1840,1,{1,2,3,4,5})),{1,2,3,4,5})+1,9),'Hue codes'!$A$1:$B$10,2,FALSE)</f>
        <v>70</v>
      </c>
      <c r="C1840">
        <f t="shared" si="28"/>
        <v>75</v>
      </c>
      <c r="D1840" t="s">
        <v>50</v>
      </c>
      <c r="E1840">
        <v>6</v>
      </c>
      <c r="F1840">
        <v>8</v>
      </c>
      <c r="G1840">
        <v>0.23599999999999999</v>
      </c>
      <c r="H1840">
        <v>0.23649999999999999</v>
      </c>
      <c r="I1840">
        <v>30.05</v>
      </c>
    </row>
    <row r="1841" spans="1:9" x14ac:dyDescent="0.3">
      <c r="A1841">
        <f>LOOKUP(9E+307,--MID(D1841,1,{1,2,3,4,5}))</f>
        <v>5</v>
      </c>
      <c r="B1841">
        <f>VLOOKUP(MID(D1841,LOOKUP(2,1/ISNUMBER(-MID(D1841,1,{1,2,3,4,5})),{1,2,3,4,5})+1,9),'Hue codes'!$A$1:$B$10,2,FALSE)</f>
        <v>70</v>
      </c>
      <c r="C1841">
        <f t="shared" si="28"/>
        <v>75</v>
      </c>
      <c r="D1841" t="s">
        <v>50</v>
      </c>
      <c r="E1841">
        <v>6</v>
      </c>
      <c r="F1841">
        <v>10</v>
      </c>
      <c r="G1841">
        <v>0.21970000000000001</v>
      </c>
      <c r="H1841">
        <v>0.21879999999999999</v>
      </c>
      <c r="I1841">
        <v>30.05</v>
      </c>
    </row>
    <row r="1842" spans="1:9" x14ac:dyDescent="0.3">
      <c r="A1842">
        <f>LOOKUP(9E+307,--MID(D1842,1,{1,2,3,4,5}))</f>
        <v>5</v>
      </c>
      <c r="B1842">
        <f>VLOOKUP(MID(D1842,LOOKUP(2,1/ISNUMBER(-MID(D1842,1,{1,2,3,4,5})),{1,2,3,4,5})+1,9),'Hue codes'!$A$1:$B$10,2,FALSE)</f>
        <v>70</v>
      </c>
      <c r="C1842">
        <f t="shared" si="28"/>
        <v>75</v>
      </c>
      <c r="D1842" t="s">
        <v>50</v>
      </c>
      <c r="E1842">
        <v>6</v>
      </c>
      <c r="F1842">
        <v>12</v>
      </c>
      <c r="G1842">
        <v>0.2026</v>
      </c>
      <c r="H1842">
        <v>0.19989999999999999</v>
      </c>
      <c r="I1842">
        <v>30.05</v>
      </c>
    </row>
    <row r="1843" spans="1:9" x14ac:dyDescent="0.3">
      <c r="A1843">
        <f>LOOKUP(9E+307,--MID(D1843,1,{1,2,3,4,5}))</f>
        <v>5</v>
      </c>
      <c r="B1843">
        <f>VLOOKUP(MID(D1843,LOOKUP(2,1/ISNUMBER(-MID(D1843,1,{1,2,3,4,5})),{1,2,3,4,5})+1,9),'Hue codes'!$A$1:$B$10,2,FALSE)</f>
        <v>70</v>
      </c>
      <c r="C1843">
        <f t="shared" si="28"/>
        <v>75</v>
      </c>
      <c r="D1843" t="s">
        <v>50</v>
      </c>
      <c r="E1843">
        <v>6</v>
      </c>
      <c r="F1843">
        <v>14</v>
      </c>
      <c r="G1843">
        <v>0.18729999999999999</v>
      </c>
      <c r="H1843">
        <v>0.1822</v>
      </c>
      <c r="I1843">
        <v>30.05</v>
      </c>
    </row>
    <row r="1844" spans="1:9" x14ac:dyDescent="0.3">
      <c r="A1844">
        <f>LOOKUP(9E+307,--MID(D1844,1,{1,2,3,4,5}))</f>
        <v>7.5</v>
      </c>
      <c r="B1844">
        <f>VLOOKUP(MID(D1844,LOOKUP(2,1/ISNUMBER(-MID(D1844,1,{1,2,3,4,5})),{1,2,3,4,5})+1,9),'Hue codes'!$A$1:$B$10,2,FALSE)</f>
        <v>70</v>
      </c>
      <c r="C1844">
        <f t="shared" si="28"/>
        <v>77.5</v>
      </c>
      <c r="D1844" t="s">
        <v>51</v>
      </c>
      <c r="E1844">
        <v>6</v>
      </c>
      <c r="F1844">
        <v>2</v>
      </c>
      <c r="G1844">
        <v>0.29549999999999998</v>
      </c>
      <c r="H1844">
        <v>0.29630000000000001</v>
      </c>
      <c r="I1844">
        <v>30.05</v>
      </c>
    </row>
    <row r="1845" spans="1:9" x14ac:dyDescent="0.3">
      <c r="A1845">
        <f>LOOKUP(9E+307,--MID(D1845,1,{1,2,3,4,5}))</f>
        <v>7.5</v>
      </c>
      <c r="B1845">
        <f>VLOOKUP(MID(D1845,LOOKUP(2,1/ISNUMBER(-MID(D1845,1,{1,2,3,4,5})),{1,2,3,4,5})+1,9),'Hue codes'!$A$1:$B$10,2,FALSE)</f>
        <v>70</v>
      </c>
      <c r="C1845">
        <f t="shared" si="28"/>
        <v>77.5</v>
      </c>
      <c r="D1845" t="s">
        <v>51</v>
      </c>
      <c r="E1845">
        <v>6</v>
      </c>
      <c r="F1845">
        <v>4</v>
      </c>
      <c r="G1845">
        <v>0.27979999999999999</v>
      </c>
      <c r="H1845">
        <v>0.2752</v>
      </c>
      <c r="I1845">
        <v>30.05</v>
      </c>
    </row>
    <row r="1846" spans="1:9" x14ac:dyDescent="0.3">
      <c r="A1846">
        <f>LOOKUP(9E+307,--MID(D1846,1,{1,2,3,4,5}))</f>
        <v>7.5</v>
      </c>
      <c r="B1846">
        <f>VLOOKUP(MID(D1846,LOOKUP(2,1/ISNUMBER(-MID(D1846,1,{1,2,3,4,5})),{1,2,3,4,5})+1,9),'Hue codes'!$A$1:$B$10,2,FALSE)</f>
        <v>70</v>
      </c>
      <c r="C1846">
        <f t="shared" si="28"/>
        <v>77.5</v>
      </c>
      <c r="D1846" t="s">
        <v>51</v>
      </c>
      <c r="E1846">
        <v>6</v>
      </c>
      <c r="F1846">
        <v>6</v>
      </c>
      <c r="G1846">
        <v>0.26379999999999998</v>
      </c>
      <c r="H1846">
        <v>0.25309999999999999</v>
      </c>
      <c r="I1846">
        <v>30.05</v>
      </c>
    </row>
    <row r="1847" spans="1:9" x14ac:dyDescent="0.3">
      <c r="A1847">
        <f>LOOKUP(9E+307,--MID(D1847,1,{1,2,3,4,5}))</f>
        <v>7.5</v>
      </c>
      <c r="B1847">
        <f>VLOOKUP(MID(D1847,LOOKUP(2,1/ISNUMBER(-MID(D1847,1,{1,2,3,4,5})),{1,2,3,4,5})+1,9),'Hue codes'!$A$1:$B$10,2,FALSE)</f>
        <v>70</v>
      </c>
      <c r="C1847">
        <f t="shared" si="28"/>
        <v>77.5</v>
      </c>
      <c r="D1847" t="s">
        <v>51</v>
      </c>
      <c r="E1847">
        <v>6</v>
      </c>
      <c r="F1847">
        <v>8</v>
      </c>
      <c r="G1847">
        <v>0.2505</v>
      </c>
      <c r="H1847">
        <v>0.23469999999999999</v>
      </c>
      <c r="I1847">
        <v>30.05</v>
      </c>
    </row>
    <row r="1848" spans="1:9" x14ac:dyDescent="0.3">
      <c r="A1848">
        <f>LOOKUP(9E+307,--MID(D1848,1,{1,2,3,4,5}))</f>
        <v>7.5</v>
      </c>
      <c r="B1848">
        <f>VLOOKUP(MID(D1848,LOOKUP(2,1/ISNUMBER(-MID(D1848,1,{1,2,3,4,5})),{1,2,3,4,5})+1,9),'Hue codes'!$A$1:$B$10,2,FALSE)</f>
        <v>70</v>
      </c>
      <c r="C1848">
        <f t="shared" si="28"/>
        <v>77.5</v>
      </c>
      <c r="D1848" t="s">
        <v>51</v>
      </c>
      <c r="E1848">
        <v>6</v>
      </c>
      <c r="F1848">
        <v>10</v>
      </c>
      <c r="G1848">
        <v>0.23780000000000001</v>
      </c>
      <c r="H1848">
        <v>0.21679999999999999</v>
      </c>
      <c r="I1848">
        <v>30.05</v>
      </c>
    </row>
    <row r="1849" spans="1:9" x14ac:dyDescent="0.3">
      <c r="A1849">
        <f>LOOKUP(9E+307,--MID(D1849,1,{1,2,3,4,5}))</f>
        <v>7.5</v>
      </c>
      <c r="B1849">
        <f>VLOOKUP(MID(D1849,LOOKUP(2,1/ISNUMBER(-MID(D1849,1,{1,2,3,4,5})),{1,2,3,4,5})+1,9),'Hue codes'!$A$1:$B$10,2,FALSE)</f>
        <v>70</v>
      </c>
      <c r="C1849">
        <f t="shared" si="28"/>
        <v>77.5</v>
      </c>
      <c r="D1849" t="s">
        <v>51</v>
      </c>
      <c r="E1849">
        <v>6</v>
      </c>
      <c r="F1849">
        <v>12</v>
      </c>
      <c r="G1849">
        <v>0.22409999999999999</v>
      </c>
      <c r="H1849">
        <v>0.19750000000000001</v>
      </c>
      <c r="I1849">
        <v>30.05</v>
      </c>
    </row>
    <row r="1850" spans="1:9" x14ac:dyDescent="0.3">
      <c r="A1850">
        <f>LOOKUP(9E+307,--MID(D1850,1,{1,2,3,4,5}))</f>
        <v>7.5</v>
      </c>
      <c r="B1850">
        <f>VLOOKUP(MID(D1850,LOOKUP(2,1/ISNUMBER(-MID(D1850,1,{1,2,3,4,5})),{1,2,3,4,5})+1,9),'Hue codes'!$A$1:$B$10,2,FALSE)</f>
        <v>70</v>
      </c>
      <c r="C1850">
        <f t="shared" si="28"/>
        <v>77.5</v>
      </c>
      <c r="D1850" t="s">
        <v>51</v>
      </c>
      <c r="E1850">
        <v>6</v>
      </c>
      <c r="F1850">
        <v>14</v>
      </c>
      <c r="G1850">
        <v>0.21190000000000001</v>
      </c>
      <c r="H1850">
        <v>0.1799</v>
      </c>
      <c r="I1850">
        <v>30.05</v>
      </c>
    </row>
    <row r="1851" spans="1:9" x14ac:dyDescent="0.3">
      <c r="A1851">
        <f>LOOKUP(9E+307,--MID(D1851,1,{1,2,3,4,5}))</f>
        <v>10</v>
      </c>
      <c r="B1851">
        <f>VLOOKUP(MID(D1851,LOOKUP(2,1/ISNUMBER(-MID(D1851,1,{1,2,3,4,5})),{1,2,3,4,5})+1,9),'Hue codes'!$A$1:$B$10,2,FALSE)</f>
        <v>70</v>
      </c>
      <c r="C1851">
        <f t="shared" si="28"/>
        <v>80</v>
      </c>
      <c r="D1851" t="s">
        <v>52</v>
      </c>
      <c r="E1851">
        <v>6</v>
      </c>
      <c r="F1851">
        <v>2</v>
      </c>
      <c r="G1851">
        <v>0.29880000000000001</v>
      </c>
      <c r="H1851">
        <v>0.29609999999999997</v>
      </c>
      <c r="I1851">
        <v>30.05</v>
      </c>
    </row>
    <row r="1852" spans="1:9" x14ac:dyDescent="0.3">
      <c r="A1852">
        <f>LOOKUP(9E+307,--MID(D1852,1,{1,2,3,4,5}))</f>
        <v>10</v>
      </c>
      <c r="B1852">
        <f>VLOOKUP(MID(D1852,LOOKUP(2,1/ISNUMBER(-MID(D1852,1,{1,2,3,4,5})),{1,2,3,4,5})+1,9),'Hue codes'!$A$1:$B$10,2,FALSE)</f>
        <v>70</v>
      </c>
      <c r="C1852">
        <f t="shared" si="28"/>
        <v>80</v>
      </c>
      <c r="D1852" t="s">
        <v>52</v>
      </c>
      <c r="E1852">
        <v>6</v>
      </c>
      <c r="F1852">
        <v>4</v>
      </c>
      <c r="G1852">
        <v>0.2863</v>
      </c>
      <c r="H1852">
        <v>0.2747</v>
      </c>
      <c r="I1852">
        <v>30.05</v>
      </c>
    </row>
    <row r="1853" spans="1:9" x14ac:dyDescent="0.3">
      <c r="A1853">
        <f>LOOKUP(9E+307,--MID(D1853,1,{1,2,3,4,5}))</f>
        <v>10</v>
      </c>
      <c r="B1853">
        <f>VLOOKUP(MID(D1853,LOOKUP(2,1/ISNUMBER(-MID(D1853,1,{1,2,3,4,5})),{1,2,3,4,5})+1,9),'Hue codes'!$A$1:$B$10,2,FALSE)</f>
        <v>70</v>
      </c>
      <c r="C1853">
        <f t="shared" si="28"/>
        <v>80</v>
      </c>
      <c r="D1853" t="s">
        <v>52</v>
      </c>
      <c r="E1853">
        <v>6</v>
      </c>
      <c r="F1853">
        <v>6</v>
      </c>
      <c r="G1853">
        <v>0.27400000000000002</v>
      </c>
      <c r="H1853">
        <v>0.25330000000000003</v>
      </c>
      <c r="I1853">
        <v>30.05</v>
      </c>
    </row>
    <row r="1854" spans="1:9" x14ac:dyDescent="0.3">
      <c r="A1854">
        <f>LOOKUP(9E+307,--MID(D1854,1,{1,2,3,4,5}))</f>
        <v>10</v>
      </c>
      <c r="B1854">
        <f>VLOOKUP(MID(D1854,LOOKUP(2,1/ISNUMBER(-MID(D1854,1,{1,2,3,4,5})),{1,2,3,4,5})+1,9),'Hue codes'!$A$1:$B$10,2,FALSE)</f>
        <v>70</v>
      </c>
      <c r="C1854">
        <f t="shared" si="28"/>
        <v>80</v>
      </c>
      <c r="D1854" t="s">
        <v>52</v>
      </c>
      <c r="E1854">
        <v>6</v>
      </c>
      <c r="F1854">
        <v>8</v>
      </c>
      <c r="G1854">
        <v>0.26369999999999999</v>
      </c>
      <c r="H1854">
        <v>0.23519999999999999</v>
      </c>
      <c r="I1854">
        <v>30.05</v>
      </c>
    </row>
    <row r="1855" spans="1:9" x14ac:dyDescent="0.3">
      <c r="A1855">
        <f>LOOKUP(9E+307,--MID(D1855,1,{1,2,3,4,5}))</f>
        <v>10</v>
      </c>
      <c r="B1855">
        <f>VLOOKUP(MID(D1855,LOOKUP(2,1/ISNUMBER(-MID(D1855,1,{1,2,3,4,5})),{1,2,3,4,5})+1,9),'Hue codes'!$A$1:$B$10,2,FALSE)</f>
        <v>70</v>
      </c>
      <c r="C1855">
        <f t="shared" si="28"/>
        <v>80</v>
      </c>
      <c r="D1855" t="s">
        <v>52</v>
      </c>
      <c r="E1855">
        <v>6</v>
      </c>
      <c r="F1855">
        <v>10</v>
      </c>
      <c r="G1855">
        <v>0.254</v>
      </c>
      <c r="H1855">
        <v>0.21759999999999999</v>
      </c>
      <c r="I1855">
        <v>30.05</v>
      </c>
    </row>
    <row r="1856" spans="1:9" x14ac:dyDescent="0.3">
      <c r="A1856">
        <f>LOOKUP(9E+307,--MID(D1856,1,{1,2,3,4,5}))</f>
        <v>10</v>
      </c>
      <c r="B1856">
        <f>VLOOKUP(MID(D1856,LOOKUP(2,1/ISNUMBER(-MID(D1856,1,{1,2,3,4,5})),{1,2,3,4,5})+1,9),'Hue codes'!$A$1:$B$10,2,FALSE)</f>
        <v>70</v>
      </c>
      <c r="C1856">
        <f t="shared" si="28"/>
        <v>80</v>
      </c>
      <c r="D1856" t="s">
        <v>52</v>
      </c>
      <c r="E1856">
        <v>6</v>
      </c>
      <c r="F1856">
        <v>12</v>
      </c>
      <c r="G1856">
        <v>0.24399999999999999</v>
      </c>
      <c r="H1856">
        <v>0.19980000000000001</v>
      </c>
      <c r="I1856">
        <v>30.05</v>
      </c>
    </row>
    <row r="1857" spans="1:9" x14ac:dyDescent="0.3">
      <c r="A1857">
        <f>LOOKUP(9E+307,--MID(D1857,1,{1,2,3,4,5}))</f>
        <v>10</v>
      </c>
      <c r="B1857">
        <f>VLOOKUP(MID(D1857,LOOKUP(2,1/ISNUMBER(-MID(D1857,1,{1,2,3,4,5})),{1,2,3,4,5})+1,9),'Hue codes'!$A$1:$B$10,2,FALSE)</f>
        <v>70</v>
      </c>
      <c r="C1857">
        <f t="shared" si="28"/>
        <v>80</v>
      </c>
      <c r="D1857" t="s">
        <v>52</v>
      </c>
      <c r="E1857">
        <v>6</v>
      </c>
      <c r="F1857">
        <v>14</v>
      </c>
      <c r="G1857">
        <v>0.23519999999999999</v>
      </c>
      <c r="H1857">
        <v>0.18390000000000001</v>
      </c>
      <c r="I1857">
        <v>30.05</v>
      </c>
    </row>
    <row r="1858" spans="1:9" x14ac:dyDescent="0.3">
      <c r="A1858">
        <f>LOOKUP(9E+307,--MID(D1858,1,{1,2,3,4,5}))</f>
        <v>10</v>
      </c>
      <c r="B1858">
        <f>VLOOKUP(MID(D1858,LOOKUP(2,1/ISNUMBER(-MID(D1858,1,{1,2,3,4,5})),{1,2,3,4,5})+1,9),'Hue codes'!$A$1:$B$10,2,FALSE)</f>
        <v>70</v>
      </c>
      <c r="C1858">
        <f t="shared" si="28"/>
        <v>80</v>
      </c>
      <c r="D1858" t="s">
        <v>52</v>
      </c>
      <c r="E1858">
        <v>6</v>
      </c>
      <c r="F1858">
        <v>16</v>
      </c>
      <c r="G1858">
        <v>0.22650000000000001</v>
      </c>
      <c r="H1858">
        <v>0.1671</v>
      </c>
      <c r="I1858">
        <v>30.05</v>
      </c>
    </row>
    <row r="1859" spans="1:9" x14ac:dyDescent="0.3">
      <c r="A1859">
        <f>LOOKUP(9E+307,--MID(D1859,1,{1,2,3,4,5}))</f>
        <v>2.5</v>
      </c>
      <c r="B1859">
        <f>VLOOKUP(MID(D1859,LOOKUP(2,1/ISNUMBER(-MID(D1859,1,{1,2,3,4,5})),{1,2,3,4,5})+1,9),'Hue codes'!$A$1:$B$10,2,FALSE)</f>
        <v>80</v>
      </c>
      <c r="C1859">
        <f t="shared" ref="C1859:C1922" si="29">IF(A1859+B1859=100,0,A1859+B1859)</f>
        <v>82.5</v>
      </c>
      <c r="D1859" t="s">
        <v>53</v>
      </c>
      <c r="E1859">
        <v>6</v>
      </c>
      <c r="F1859">
        <v>2</v>
      </c>
      <c r="G1859">
        <v>0.30159999999999998</v>
      </c>
      <c r="H1859">
        <v>0.29599999999999999</v>
      </c>
      <c r="I1859">
        <v>30.05</v>
      </c>
    </row>
    <row r="1860" spans="1:9" x14ac:dyDescent="0.3">
      <c r="A1860">
        <f>LOOKUP(9E+307,--MID(D1860,1,{1,2,3,4,5}))</f>
        <v>2.5</v>
      </c>
      <c r="B1860">
        <f>VLOOKUP(MID(D1860,LOOKUP(2,1/ISNUMBER(-MID(D1860,1,{1,2,3,4,5})),{1,2,3,4,5})+1,9),'Hue codes'!$A$1:$B$10,2,FALSE)</f>
        <v>80</v>
      </c>
      <c r="C1860">
        <f t="shared" si="29"/>
        <v>82.5</v>
      </c>
      <c r="D1860" t="s">
        <v>53</v>
      </c>
      <c r="E1860">
        <v>6</v>
      </c>
      <c r="F1860">
        <v>4</v>
      </c>
      <c r="G1860">
        <v>0.29320000000000002</v>
      </c>
      <c r="H1860">
        <v>0.27589999999999998</v>
      </c>
      <c r="I1860">
        <v>30.05</v>
      </c>
    </row>
    <row r="1861" spans="1:9" x14ac:dyDescent="0.3">
      <c r="A1861">
        <f>LOOKUP(9E+307,--MID(D1861,1,{1,2,3,4,5}))</f>
        <v>2.5</v>
      </c>
      <c r="B1861">
        <f>VLOOKUP(MID(D1861,LOOKUP(2,1/ISNUMBER(-MID(D1861,1,{1,2,3,4,5})),{1,2,3,4,5})+1,9),'Hue codes'!$A$1:$B$10,2,FALSE)</f>
        <v>80</v>
      </c>
      <c r="C1861">
        <f t="shared" si="29"/>
        <v>82.5</v>
      </c>
      <c r="D1861" t="s">
        <v>53</v>
      </c>
      <c r="E1861">
        <v>6</v>
      </c>
      <c r="F1861">
        <v>6</v>
      </c>
      <c r="G1861">
        <v>0.28420000000000001</v>
      </c>
      <c r="H1861">
        <v>0.255</v>
      </c>
      <c r="I1861">
        <v>30.05</v>
      </c>
    </row>
    <row r="1862" spans="1:9" x14ac:dyDescent="0.3">
      <c r="A1862">
        <f>LOOKUP(9E+307,--MID(D1862,1,{1,2,3,4,5}))</f>
        <v>2.5</v>
      </c>
      <c r="B1862">
        <f>VLOOKUP(MID(D1862,LOOKUP(2,1/ISNUMBER(-MID(D1862,1,{1,2,3,4,5})),{1,2,3,4,5})+1,9),'Hue codes'!$A$1:$B$10,2,FALSE)</f>
        <v>80</v>
      </c>
      <c r="C1862">
        <f t="shared" si="29"/>
        <v>82.5</v>
      </c>
      <c r="D1862" t="s">
        <v>53</v>
      </c>
      <c r="E1862">
        <v>6</v>
      </c>
      <c r="F1862">
        <v>8</v>
      </c>
      <c r="G1862">
        <v>0.27700000000000002</v>
      </c>
      <c r="H1862">
        <v>0.23719999999999999</v>
      </c>
      <c r="I1862">
        <v>30.05</v>
      </c>
    </row>
    <row r="1863" spans="1:9" x14ac:dyDescent="0.3">
      <c r="A1863">
        <f>LOOKUP(9E+307,--MID(D1863,1,{1,2,3,4,5}))</f>
        <v>2.5</v>
      </c>
      <c r="B1863">
        <f>VLOOKUP(MID(D1863,LOOKUP(2,1/ISNUMBER(-MID(D1863,1,{1,2,3,4,5})),{1,2,3,4,5})+1,9),'Hue codes'!$A$1:$B$10,2,FALSE)</f>
        <v>80</v>
      </c>
      <c r="C1863">
        <f t="shared" si="29"/>
        <v>82.5</v>
      </c>
      <c r="D1863" t="s">
        <v>53</v>
      </c>
      <c r="E1863">
        <v>6</v>
      </c>
      <c r="F1863">
        <v>10</v>
      </c>
      <c r="G1863">
        <v>0.27029999999999998</v>
      </c>
      <c r="H1863">
        <v>0.22040000000000001</v>
      </c>
      <c r="I1863">
        <v>30.05</v>
      </c>
    </row>
    <row r="1864" spans="1:9" x14ac:dyDescent="0.3">
      <c r="A1864">
        <f>LOOKUP(9E+307,--MID(D1864,1,{1,2,3,4,5}))</f>
        <v>2.5</v>
      </c>
      <c r="B1864">
        <f>VLOOKUP(MID(D1864,LOOKUP(2,1/ISNUMBER(-MID(D1864,1,{1,2,3,4,5})),{1,2,3,4,5})+1,9),'Hue codes'!$A$1:$B$10,2,FALSE)</f>
        <v>80</v>
      </c>
      <c r="C1864">
        <f t="shared" si="29"/>
        <v>82.5</v>
      </c>
      <c r="D1864" t="s">
        <v>53</v>
      </c>
      <c r="E1864">
        <v>6</v>
      </c>
      <c r="F1864">
        <v>12</v>
      </c>
      <c r="G1864">
        <v>0.26469999999999999</v>
      </c>
      <c r="H1864">
        <v>0.20519999999999999</v>
      </c>
      <c r="I1864">
        <v>30.05</v>
      </c>
    </row>
    <row r="1865" spans="1:9" x14ac:dyDescent="0.3">
      <c r="A1865">
        <f>LOOKUP(9E+307,--MID(D1865,1,{1,2,3,4,5}))</f>
        <v>2.5</v>
      </c>
      <c r="B1865">
        <f>VLOOKUP(MID(D1865,LOOKUP(2,1/ISNUMBER(-MID(D1865,1,{1,2,3,4,5})),{1,2,3,4,5})+1,9),'Hue codes'!$A$1:$B$10,2,FALSE)</f>
        <v>80</v>
      </c>
      <c r="C1865">
        <f t="shared" si="29"/>
        <v>82.5</v>
      </c>
      <c r="D1865" t="s">
        <v>53</v>
      </c>
      <c r="E1865">
        <v>6</v>
      </c>
      <c r="F1865">
        <v>14</v>
      </c>
      <c r="G1865">
        <v>0.25929999999999997</v>
      </c>
      <c r="H1865">
        <v>0.19089999999999999</v>
      </c>
      <c r="I1865">
        <v>30.05</v>
      </c>
    </row>
    <row r="1866" spans="1:9" x14ac:dyDescent="0.3">
      <c r="A1866">
        <f>LOOKUP(9E+307,--MID(D1866,1,{1,2,3,4,5}))</f>
        <v>2.5</v>
      </c>
      <c r="B1866">
        <f>VLOOKUP(MID(D1866,LOOKUP(2,1/ISNUMBER(-MID(D1866,1,{1,2,3,4,5})),{1,2,3,4,5})+1,9),'Hue codes'!$A$1:$B$10,2,FALSE)</f>
        <v>80</v>
      </c>
      <c r="C1866">
        <f t="shared" si="29"/>
        <v>82.5</v>
      </c>
      <c r="D1866" t="s">
        <v>53</v>
      </c>
      <c r="E1866">
        <v>6</v>
      </c>
      <c r="F1866">
        <v>16</v>
      </c>
      <c r="G1866">
        <v>0.25480000000000003</v>
      </c>
      <c r="H1866">
        <v>0.17680000000000001</v>
      </c>
      <c r="I1866">
        <v>30.05</v>
      </c>
    </row>
    <row r="1867" spans="1:9" x14ac:dyDescent="0.3">
      <c r="A1867">
        <f>LOOKUP(9E+307,--MID(D1867,1,{1,2,3,4,5}))</f>
        <v>2.5</v>
      </c>
      <c r="B1867">
        <f>VLOOKUP(MID(D1867,LOOKUP(2,1/ISNUMBER(-MID(D1867,1,{1,2,3,4,5})),{1,2,3,4,5})+1,9),'Hue codes'!$A$1:$B$10,2,FALSE)</f>
        <v>80</v>
      </c>
      <c r="C1867">
        <f t="shared" si="29"/>
        <v>82.5</v>
      </c>
      <c r="D1867" t="s">
        <v>53</v>
      </c>
      <c r="E1867">
        <v>6</v>
      </c>
      <c r="F1867">
        <v>18</v>
      </c>
      <c r="G1867">
        <v>0.25040000000000001</v>
      </c>
      <c r="H1867">
        <v>0.1658</v>
      </c>
      <c r="I1867">
        <v>30.05</v>
      </c>
    </row>
    <row r="1868" spans="1:9" x14ac:dyDescent="0.3">
      <c r="A1868">
        <f>LOOKUP(9E+307,--MID(D1868,1,{1,2,3,4,5}))</f>
        <v>5</v>
      </c>
      <c r="B1868">
        <f>VLOOKUP(MID(D1868,LOOKUP(2,1/ISNUMBER(-MID(D1868,1,{1,2,3,4,5})),{1,2,3,4,5})+1,9),'Hue codes'!$A$1:$B$10,2,FALSE)</f>
        <v>80</v>
      </c>
      <c r="C1868">
        <f t="shared" si="29"/>
        <v>85</v>
      </c>
      <c r="D1868" t="s">
        <v>54</v>
      </c>
      <c r="E1868">
        <v>6</v>
      </c>
      <c r="F1868">
        <v>2</v>
      </c>
      <c r="G1868">
        <v>0.30499999999999999</v>
      </c>
      <c r="H1868">
        <v>0.29670000000000002</v>
      </c>
      <c r="I1868">
        <v>30.05</v>
      </c>
    </row>
    <row r="1869" spans="1:9" x14ac:dyDescent="0.3">
      <c r="A1869">
        <f>LOOKUP(9E+307,--MID(D1869,1,{1,2,3,4,5}))</f>
        <v>5</v>
      </c>
      <c r="B1869">
        <f>VLOOKUP(MID(D1869,LOOKUP(2,1/ISNUMBER(-MID(D1869,1,{1,2,3,4,5})),{1,2,3,4,5})+1,9),'Hue codes'!$A$1:$B$10,2,FALSE)</f>
        <v>80</v>
      </c>
      <c r="C1869">
        <f t="shared" si="29"/>
        <v>85</v>
      </c>
      <c r="D1869" t="s">
        <v>54</v>
      </c>
      <c r="E1869">
        <v>6</v>
      </c>
      <c r="F1869">
        <v>4</v>
      </c>
      <c r="G1869">
        <v>0.30009999999999998</v>
      </c>
      <c r="H1869">
        <v>0.27779999999999999</v>
      </c>
      <c r="I1869">
        <v>30.05</v>
      </c>
    </row>
    <row r="1870" spans="1:9" x14ac:dyDescent="0.3">
      <c r="A1870">
        <f>LOOKUP(9E+307,--MID(D1870,1,{1,2,3,4,5}))</f>
        <v>5</v>
      </c>
      <c r="B1870">
        <f>VLOOKUP(MID(D1870,LOOKUP(2,1/ISNUMBER(-MID(D1870,1,{1,2,3,4,5})),{1,2,3,4,5})+1,9),'Hue codes'!$A$1:$B$10,2,FALSE)</f>
        <v>80</v>
      </c>
      <c r="C1870">
        <f t="shared" si="29"/>
        <v>85</v>
      </c>
      <c r="D1870" t="s">
        <v>54</v>
      </c>
      <c r="E1870">
        <v>6</v>
      </c>
      <c r="F1870">
        <v>6</v>
      </c>
      <c r="G1870">
        <v>0.29499999999999998</v>
      </c>
      <c r="H1870">
        <v>0.25850000000000001</v>
      </c>
      <c r="I1870">
        <v>30.05</v>
      </c>
    </row>
    <row r="1871" spans="1:9" x14ac:dyDescent="0.3">
      <c r="A1871">
        <f>LOOKUP(9E+307,--MID(D1871,1,{1,2,3,4,5}))</f>
        <v>5</v>
      </c>
      <c r="B1871">
        <f>VLOOKUP(MID(D1871,LOOKUP(2,1/ISNUMBER(-MID(D1871,1,{1,2,3,4,5})),{1,2,3,4,5})+1,9),'Hue codes'!$A$1:$B$10,2,FALSE)</f>
        <v>80</v>
      </c>
      <c r="C1871">
        <f t="shared" si="29"/>
        <v>85</v>
      </c>
      <c r="D1871" t="s">
        <v>54</v>
      </c>
      <c r="E1871">
        <v>6</v>
      </c>
      <c r="F1871">
        <v>8</v>
      </c>
      <c r="G1871">
        <v>0.29049999999999998</v>
      </c>
      <c r="H1871">
        <v>0.24210000000000001</v>
      </c>
      <c r="I1871">
        <v>30.05</v>
      </c>
    </row>
    <row r="1872" spans="1:9" x14ac:dyDescent="0.3">
      <c r="A1872">
        <f>LOOKUP(9E+307,--MID(D1872,1,{1,2,3,4,5}))</f>
        <v>5</v>
      </c>
      <c r="B1872">
        <f>VLOOKUP(MID(D1872,LOOKUP(2,1/ISNUMBER(-MID(D1872,1,{1,2,3,4,5})),{1,2,3,4,5})+1,9),'Hue codes'!$A$1:$B$10,2,FALSE)</f>
        <v>80</v>
      </c>
      <c r="C1872">
        <f t="shared" si="29"/>
        <v>85</v>
      </c>
      <c r="D1872" t="s">
        <v>54</v>
      </c>
      <c r="E1872">
        <v>6</v>
      </c>
      <c r="F1872">
        <v>10</v>
      </c>
      <c r="G1872">
        <v>0.28620000000000001</v>
      </c>
      <c r="H1872">
        <v>0.22600000000000001</v>
      </c>
      <c r="I1872">
        <v>30.05</v>
      </c>
    </row>
    <row r="1873" spans="1:9" x14ac:dyDescent="0.3">
      <c r="A1873">
        <f>LOOKUP(9E+307,--MID(D1873,1,{1,2,3,4,5}))</f>
        <v>5</v>
      </c>
      <c r="B1873">
        <f>VLOOKUP(MID(D1873,LOOKUP(2,1/ISNUMBER(-MID(D1873,1,{1,2,3,4,5})),{1,2,3,4,5})+1,9),'Hue codes'!$A$1:$B$10,2,FALSE)</f>
        <v>80</v>
      </c>
      <c r="C1873">
        <f t="shared" si="29"/>
        <v>85</v>
      </c>
      <c r="D1873" t="s">
        <v>54</v>
      </c>
      <c r="E1873">
        <v>6</v>
      </c>
      <c r="F1873">
        <v>12</v>
      </c>
      <c r="G1873">
        <v>0.28289999999999998</v>
      </c>
      <c r="H1873">
        <v>0.21210000000000001</v>
      </c>
      <c r="I1873">
        <v>30.05</v>
      </c>
    </row>
    <row r="1874" spans="1:9" x14ac:dyDescent="0.3">
      <c r="A1874">
        <f>LOOKUP(9E+307,--MID(D1874,1,{1,2,3,4,5}))</f>
        <v>5</v>
      </c>
      <c r="B1874">
        <f>VLOOKUP(MID(D1874,LOOKUP(2,1/ISNUMBER(-MID(D1874,1,{1,2,3,4,5})),{1,2,3,4,5})+1,9),'Hue codes'!$A$1:$B$10,2,FALSE)</f>
        <v>80</v>
      </c>
      <c r="C1874">
        <f t="shared" si="29"/>
        <v>85</v>
      </c>
      <c r="D1874" t="s">
        <v>54</v>
      </c>
      <c r="E1874">
        <v>6</v>
      </c>
      <c r="F1874">
        <v>14</v>
      </c>
      <c r="G1874">
        <v>0.27939999999999998</v>
      </c>
      <c r="H1874">
        <v>0.19789999999999999</v>
      </c>
      <c r="I1874">
        <v>30.05</v>
      </c>
    </row>
    <row r="1875" spans="1:9" x14ac:dyDescent="0.3">
      <c r="A1875">
        <f>LOOKUP(9E+307,--MID(D1875,1,{1,2,3,4,5}))</f>
        <v>5</v>
      </c>
      <c r="B1875">
        <f>VLOOKUP(MID(D1875,LOOKUP(2,1/ISNUMBER(-MID(D1875,1,{1,2,3,4,5})),{1,2,3,4,5})+1,9),'Hue codes'!$A$1:$B$10,2,FALSE)</f>
        <v>80</v>
      </c>
      <c r="C1875">
        <f t="shared" si="29"/>
        <v>85</v>
      </c>
      <c r="D1875" t="s">
        <v>54</v>
      </c>
      <c r="E1875">
        <v>6</v>
      </c>
      <c r="F1875">
        <v>16</v>
      </c>
      <c r="G1875">
        <v>0.27610000000000001</v>
      </c>
      <c r="H1875">
        <v>0.1852</v>
      </c>
      <c r="I1875">
        <v>30.05</v>
      </c>
    </row>
    <row r="1876" spans="1:9" x14ac:dyDescent="0.3">
      <c r="A1876">
        <f>LOOKUP(9E+307,--MID(D1876,1,{1,2,3,4,5}))</f>
        <v>5</v>
      </c>
      <c r="B1876">
        <f>VLOOKUP(MID(D1876,LOOKUP(2,1/ISNUMBER(-MID(D1876,1,{1,2,3,4,5})),{1,2,3,4,5})+1,9),'Hue codes'!$A$1:$B$10,2,FALSE)</f>
        <v>80</v>
      </c>
      <c r="C1876">
        <f t="shared" si="29"/>
        <v>85</v>
      </c>
      <c r="D1876" t="s">
        <v>54</v>
      </c>
      <c r="E1876">
        <v>6</v>
      </c>
      <c r="F1876">
        <v>18</v>
      </c>
      <c r="G1876">
        <v>0.27310000000000001</v>
      </c>
      <c r="H1876">
        <v>0.17380000000000001</v>
      </c>
      <c r="I1876">
        <v>30.05</v>
      </c>
    </row>
    <row r="1877" spans="1:9" x14ac:dyDescent="0.3">
      <c r="A1877">
        <f>LOOKUP(9E+307,--MID(D1877,1,{1,2,3,4,5}))</f>
        <v>5</v>
      </c>
      <c r="B1877">
        <f>VLOOKUP(MID(D1877,LOOKUP(2,1/ISNUMBER(-MID(D1877,1,{1,2,3,4,5})),{1,2,3,4,5})+1,9),'Hue codes'!$A$1:$B$10,2,FALSE)</f>
        <v>80</v>
      </c>
      <c r="C1877">
        <f t="shared" si="29"/>
        <v>85</v>
      </c>
      <c r="D1877" t="s">
        <v>54</v>
      </c>
      <c r="E1877">
        <v>6</v>
      </c>
      <c r="F1877">
        <v>20</v>
      </c>
      <c r="G1877">
        <v>0.2702</v>
      </c>
      <c r="H1877">
        <v>0.16209999999999999</v>
      </c>
      <c r="I1877">
        <v>30.05</v>
      </c>
    </row>
    <row r="1878" spans="1:9" x14ac:dyDescent="0.3">
      <c r="A1878">
        <f>LOOKUP(9E+307,--MID(D1878,1,{1,2,3,4,5}))</f>
        <v>7.5</v>
      </c>
      <c r="B1878">
        <f>VLOOKUP(MID(D1878,LOOKUP(2,1/ISNUMBER(-MID(D1878,1,{1,2,3,4,5})),{1,2,3,4,5})+1,9),'Hue codes'!$A$1:$B$10,2,FALSE)</f>
        <v>80</v>
      </c>
      <c r="C1878">
        <f t="shared" si="29"/>
        <v>87.5</v>
      </c>
      <c r="D1878" t="s">
        <v>55</v>
      </c>
      <c r="E1878">
        <v>6</v>
      </c>
      <c r="F1878">
        <v>2</v>
      </c>
      <c r="G1878">
        <v>0.31069999999999998</v>
      </c>
      <c r="H1878">
        <v>0.29930000000000001</v>
      </c>
      <c r="I1878">
        <v>30.05</v>
      </c>
    </row>
    <row r="1879" spans="1:9" x14ac:dyDescent="0.3">
      <c r="A1879">
        <f>LOOKUP(9E+307,--MID(D1879,1,{1,2,3,4,5}))</f>
        <v>7.5</v>
      </c>
      <c r="B1879">
        <f>VLOOKUP(MID(D1879,LOOKUP(2,1/ISNUMBER(-MID(D1879,1,{1,2,3,4,5})),{1,2,3,4,5})+1,9),'Hue codes'!$A$1:$B$10,2,FALSE)</f>
        <v>80</v>
      </c>
      <c r="C1879">
        <f t="shared" si="29"/>
        <v>87.5</v>
      </c>
      <c r="D1879" t="s">
        <v>55</v>
      </c>
      <c r="E1879">
        <v>6</v>
      </c>
      <c r="F1879">
        <v>4</v>
      </c>
      <c r="G1879">
        <v>0.31069999999999998</v>
      </c>
      <c r="H1879">
        <v>0.28310000000000002</v>
      </c>
      <c r="I1879">
        <v>30.05</v>
      </c>
    </row>
    <row r="1880" spans="1:9" x14ac:dyDescent="0.3">
      <c r="A1880">
        <f>LOOKUP(9E+307,--MID(D1880,1,{1,2,3,4,5}))</f>
        <v>7.5</v>
      </c>
      <c r="B1880">
        <f>VLOOKUP(MID(D1880,LOOKUP(2,1/ISNUMBER(-MID(D1880,1,{1,2,3,4,5})),{1,2,3,4,5})+1,9),'Hue codes'!$A$1:$B$10,2,FALSE)</f>
        <v>80</v>
      </c>
      <c r="C1880">
        <f t="shared" si="29"/>
        <v>87.5</v>
      </c>
      <c r="D1880" t="s">
        <v>55</v>
      </c>
      <c r="E1880">
        <v>6</v>
      </c>
      <c r="F1880">
        <v>6</v>
      </c>
      <c r="G1880">
        <v>0.31009999999999999</v>
      </c>
      <c r="H1880">
        <v>0.26500000000000001</v>
      </c>
      <c r="I1880">
        <v>30.05</v>
      </c>
    </row>
    <row r="1881" spans="1:9" x14ac:dyDescent="0.3">
      <c r="A1881">
        <f>LOOKUP(9E+307,--MID(D1881,1,{1,2,3,4,5}))</f>
        <v>7.5</v>
      </c>
      <c r="B1881">
        <f>VLOOKUP(MID(D1881,LOOKUP(2,1/ISNUMBER(-MID(D1881,1,{1,2,3,4,5})),{1,2,3,4,5})+1,9),'Hue codes'!$A$1:$B$10,2,FALSE)</f>
        <v>80</v>
      </c>
      <c r="C1881">
        <f t="shared" si="29"/>
        <v>87.5</v>
      </c>
      <c r="D1881" t="s">
        <v>55</v>
      </c>
      <c r="E1881">
        <v>6</v>
      </c>
      <c r="F1881">
        <v>8</v>
      </c>
      <c r="G1881">
        <v>0.30990000000000001</v>
      </c>
      <c r="H1881">
        <v>0.25019999999999998</v>
      </c>
      <c r="I1881">
        <v>30.05</v>
      </c>
    </row>
    <row r="1882" spans="1:9" x14ac:dyDescent="0.3">
      <c r="A1882">
        <f>LOOKUP(9E+307,--MID(D1882,1,{1,2,3,4,5}))</f>
        <v>7.5</v>
      </c>
      <c r="B1882">
        <f>VLOOKUP(MID(D1882,LOOKUP(2,1/ISNUMBER(-MID(D1882,1,{1,2,3,4,5})),{1,2,3,4,5})+1,9),'Hue codes'!$A$1:$B$10,2,FALSE)</f>
        <v>80</v>
      </c>
      <c r="C1882">
        <f t="shared" si="29"/>
        <v>87.5</v>
      </c>
      <c r="D1882" t="s">
        <v>55</v>
      </c>
      <c r="E1882">
        <v>6</v>
      </c>
      <c r="F1882">
        <v>10</v>
      </c>
      <c r="G1882">
        <v>0.30919999999999997</v>
      </c>
      <c r="H1882">
        <v>0.23499999999999999</v>
      </c>
      <c r="I1882">
        <v>30.05</v>
      </c>
    </row>
    <row r="1883" spans="1:9" x14ac:dyDescent="0.3">
      <c r="A1883">
        <f>LOOKUP(9E+307,--MID(D1883,1,{1,2,3,4,5}))</f>
        <v>7.5</v>
      </c>
      <c r="B1883">
        <f>VLOOKUP(MID(D1883,LOOKUP(2,1/ISNUMBER(-MID(D1883,1,{1,2,3,4,5})),{1,2,3,4,5})+1,9),'Hue codes'!$A$1:$B$10,2,FALSE)</f>
        <v>80</v>
      </c>
      <c r="C1883">
        <f t="shared" si="29"/>
        <v>87.5</v>
      </c>
      <c r="D1883" t="s">
        <v>55</v>
      </c>
      <c r="E1883">
        <v>6</v>
      </c>
      <c r="F1883">
        <v>12</v>
      </c>
      <c r="G1883">
        <v>0.309</v>
      </c>
      <c r="H1883">
        <v>0.22220000000000001</v>
      </c>
      <c r="I1883">
        <v>30.05</v>
      </c>
    </row>
    <row r="1884" spans="1:9" x14ac:dyDescent="0.3">
      <c r="A1884">
        <f>LOOKUP(9E+307,--MID(D1884,1,{1,2,3,4,5}))</f>
        <v>7.5</v>
      </c>
      <c r="B1884">
        <f>VLOOKUP(MID(D1884,LOOKUP(2,1/ISNUMBER(-MID(D1884,1,{1,2,3,4,5})),{1,2,3,4,5})+1,9),'Hue codes'!$A$1:$B$10,2,FALSE)</f>
        <v>80</v>
      </c>
      <c r="C1884">
        <f t="shared" si="29"/>
        <v>87.5</v>
      </c>
      <c r="D1884" t="s">
        <v>55</v>
      </c>
      <c r="E1884">
        <v>6</v>
      </c>
      <c r="F1884">
        <v>14</v>
      </c>
      <c r="G1884">
        <v>0.30840000000000001</v>
      </c>
      <c r="H1884">
        <v>0.20949999999999999</v>
      </c>
      <c r="I1884">
        <v>30.05</v>
      </c>
    </row>
    <row r="1885" spans="1:9" x14ac:dyDescent="0.3">
      <c r="A1885">
        <f>LOOKUP(9E+307,--MID(D1885,1,{1,2,3,4,5}))</f>
        <v>7.5</v>
      </c>
      <c r="B1885">
        <f>VLOOKUP(MID(D1885,LOOKUP(2,1/ISNUMBER(-MID(D1885,1,{1,2,3,4,5})),{1,2,3,4,5})+1,9),'Hue codes'!$A$1:$B$10,2,FALSE)</f>
        <v>80</v>
      </c>
      <c r="C1885">
        <f t="shared" si="29"/>
        <v>87.5</v>
      </c>
      <c r="D1885" t="s">
        <v>55</v>
      </c>
      <c r="E1885">
        <v>6</v>
      </c>
      <c r="F1885">
        <v>16</v>
      </c>
      <c r="G1885">
        <v>0.308</v>
      </c>
      <c r="H1885">
        <v>0.1976</v>
      </c>
      <c r="I1885">
        <v>30.05</v>
      </c>
    </row>
    <row r="1886" spans="1:9" x14ac:dyDescent="0.3">
      <c r="A1886">
        <f>LOOKUP(9E+307,--MID(D1886,1,{1,2,3,4,5}))</f>
        <v>7.5</v>
      </c>
      <c r="B1886">
        <f>VLOOKUP(MID(D1886,LOOKUP(2,1/ISNUMBER(-MID(D1886,1,{1,2,3,4,5})),{1,2,3,4,5})+1,9),'Hue codes'!$A$1:$B$10,2,FALSE)</f>
        <v>80</v>
      </c>
      <c r="C1886">
        <f t="shared" si="29"/>
        <v>87.5</v>
      </c>
      <c r="D1886" t="s">
        <v>55</v>
      </c>
      <c r="E1886">
        <v>6</v>
      </c>
      <c r="F1886">
        <v>18</v>
      </c>
      <c r="G1886">
        <v>0.3075</v>
      </c>
      <c r="H1886">
        <v>0.187</v>
      </c>
      <c r="I1886">
        <v>30.05</v>
      </c>
    </row>
    <row r="1887" spans="1:9" x14ac:dyDescent="0.3">
      <c r="A1887">
        <f>LOOKUP(9E+307,--MID(D1887,1,{1,2,3,4,5}))</f>
        <v>7.5</v>
      </c>
      <c r="B1887">
        <f>VLOOKUP(MID(D1887,LOOKUP(2,1/ISNUMBER(-MID(D1887,1,{1,2,3,4,5})),{1,2,3,4,5})+1,9),'Hue codes'!$A$1:$B$10,2,FALSE)</f>
        <v>80</v>
      </c>
      <c r="C1887">
        <f t="shared" si="29"/>
        <v>87.5</v>
      </c>
      <c r="D1887" t="s">
        <v>55</v>
      </c>
      <c r="E1887">
        <v>6</v>
      </c>
      <c r="F1887">
        <v>20</v>
      </c>
      <c r="G1887">
        <v>0.30690000000000001</v>
      </c>
      <c r="H1887">
        <v>0.17449999999999999</v>
      </c>
      <c r="I1887">
        <v>30.05</v>
      </c>
    </row>
    <row r="1888" spans="1:9" x14ac:dyDescent="0.3">
      <c r="A1888">
        <f>LOOKUP(9E+307,--MID(D1888,1,{1,2,3,4,5}))</f>
        <v>7.5</v>
      </c>
      <c r="B1888">
        <f>VLOOKUP(MID(D1888,LOOKUP(2,1/ISNUMBER(-MID(D1888,1,{1,2,3,4,5})),{1,2,3,4,5})+1,9),'Hue codes'!$A$1:$B$10,2,FALSE)</f>
        <v>80</v>
      </c>
      <c r="C1888">
        <f t="shared" si="29"/>
        <v>87.5</v>
      </c>
      <c r="D1888" t="s">
        <v>55</v>
      </c>
      <c r="E1888">
        <v>6</v>
      </c>
      <c r="F1888">
        <v>22</v>
      </c>
      <c r="G1888">
        <v>0.30620000000000003</v>
      </c>
      <c r="H1888">
        <v>0.1638</v>
      </c>
      <c r="I1888">
        <v>30.05</v>
      </c>
    </row>
    <row r="1889" spans="1:9" x14ac:dyDescent="0.3">
      <c r="A1889">
        <f>LOOKUP(9E+307,--MID(D1889,1,{1,2,3,4,5}))</f>
        <v>7.5</v>
      </c>
      <c r="B1889">
        <f>VLOOKUP(MID(D1889,LOOKUP(2,1/ISNUMBER(-MID(D1889,1,{1,2,3,4,5})),{1,2,3,4,5})+1,9),'Hue codes'!$A$1:$B$10,2,FALSE)</f>
        <v>80</v>
      </c>
      <c r="C1889">
        <f t="shared" si="29"/>
        <v>87.5</v>
      </c>
      <c r="D1889" t="s">
        <v>55</v>
      </c>
      <c r="E1889">
        <v>6</v>
      </c>
      <c r="F1889">
        <v>24</v>
      </c>
      <c r="G1889">
        <v>0.30580000000000002</v>
      </c>
      <c r="H1889">
        <v>0.1547</v>
      </c>
      <c r="I1889">
        <v>30.05</v>
      </c>
    </row>
    <row r="1890" spans="1:9" x14ac:dyDescent="0.3">
      <c r="A1890">
        <f>LOOKUP(9E+307,--MID(D1890,1,{1,2,3,4,5}))</f>
        <v>10</v>
      </c>
      <c r="B1890">
        <f>VLOOKUP(MID(D1890,LOOKUP(2,1/ISNUMBER(-MID(D1890,1,{1,2,3,4,5})),{1,2,3,4,5})+1,9),'Hue codes'!$A$1:$B$10,2,FALSE)</f>
        <v>80</v>
      </c>
      <c r="C1890">
        <f t="shared" si="29"/>
        <v>90</v>
      </c>
      <c r="D1890" t="s">
        <v>56</v>
      </c>
      <c r="E1890">
        <v>6</v>
      </c>
      <c r="F1890">
        <v>2</v>
      </c>
      <c r="G1890">
        <v>0.31459999999999999</v>
      </c>
      <c r="H1890">
        <v>0.30180000000000001</v>
      </c>
      <c r="I1890">
        <v>30.05</v>
      </c>
    </row>
    <row r="1891" spans="1:9" x14ac:dyDescent="0.3">
      <c r="A1891">
        <f>LOOKUP(9E+307,--MID(D1891,1,{1,2,3,4,5}))</f>
        <v>10</v>
      </c>
      <c r="B1891">
        <f>VLOOKUP(MID(D1891,LOOKUP(2,1/ISNUMBER(-MID(D1891,1,{1,2,3,4,5})),{1,2,3,4,5})+1,9),'Hue codes'!$A$1:$B$10,2,FALSE)</f>
        <v>80</v>
      </c>
      <c r="C1891">
        <f t="shared" si="29"/>
        <v>90</v>
      </c>
      <c r="D1891" t="s">
        <v>56</v>
      </c>
      <c r="E1891">
        <v>6</v>
      </c>
      <c r="F1891">
        <v>4</v>
      </c>
      <c r="G1891">
        <v>0.31809999999999999</v>
      </c>
      <c r="H1891">
        <v>0.28710000000000002</v>
      </c>
      <c r="I1891">
        <v>30.05</v>
      </c>
    </row>
    <row r="1892" spans="1:9" x14ac:dyDescent="0.3">
      <c r="A1892">
        <f>LOOKUP(9E+307,--MID(D1892,1,{1,2,3,4,5}))</f>
        <v>10</v>
      </c>
      <c r="B1892">
        <f>VLOOKUP(MID(D1892,LOOKUP(2,1/ISNUMBER(-MID(D1892,1,{1,2,3,4,5})),{1,2,3,4,5})+1,9),'Hue codes'!$A$1:$B$10,2,FALSE)</f>
        <v>80</v>
      </c>
      <c r="C1892">
        <f t="shared" si="29"/>
        <v>90</v>
      </c>
      <c r="D1892" t="s">
        <v>56</v>
      </c>
      <c r="E1892">
        <v>6</v>
      </c>
      <c r="F1892">
        <v>6</v>
      </c>
      <c r="G1892">
        <v>0.3226</v>
      </c>
      <c r="H1892">
        <v>0.27160000000000001</v>
      </c>
      <c r="I1892">
        <v>30.05</v>
      </c>
    </row>
    <row r="1893" spans="1:9" x14ac:dyDescent="0.3">
      <c r="A1893">
        <f>LOOKUP(9E+307,--MID(D1893,1,{1,2,3,4,5}))</f>
        <v>10</v>
      </c>
      <c r="B1893">
        <f>VLOOKUP(MID(D1893,LOOKUP(2,1/ISNUMBER(-MID(D1893,1,{1,2,3,4,5})),{1,2,3,4,5})+1,9),'Hue codes'!$A$1:$B$10,2,FALSE)</f>
        <v>80</v>
      </c>
      <c r="C1893">
        <f t="shared" si="29"/>
        <v>90</v>
      </c>
      <c r="D1893" t="s">
        <v>56</v>
      </c>
      <c r="E1893">
        <v>6</v>
      </c>
      <c r="F1893">
        <v>8</v>
      </c>
      <c r="G1893">
        <v>0.32590000000000002</v>
      </c>
      <c r="H1893">
        <v>0.25840000000000002</v>
      </c>
      <c r="I1893">
        <v>30.05</v>
      </c>
    </row>
    <row r="1894" spans="1:9" x14ac:dyDescent="0.3">
      <c r="A1894">
        <f>LOOKUP(9E+307,--MID(D1894,1,{1,2,3,4,5}))</f>
        <v>10</v>
      </c>
      <c r="B1894">
        <f>VLOOKUP(MID(D1894,LOOKUP(2,1/ISNUMBER(-MID(D1894,1,{1,2,3,4,5})),{1,2,3,4,5})+1,9),'Hue codes'!$A$1:$B$10,2,FALSE)</f>
        <v>80</v>
      </c>
      <c r="C1894">
        <f t="shared" si="29"/>
        <v>90</v>
      </c>
      <c r="D1894" t="s">
        <v>56</v>
      </c>
      <c r="E1894">
        <v>6</v>
      </c>
      <c r="F1894">
        <v>10</v>
      </c>
      <c r="G1894">
        <v>0.32929999999999998</v>
      </c>
      <c r="H1894">
        <v>0.245</v>
      </c>
      <c r="I1894">
        <v>30.05</v>
      </c>
    </row>
    <row r="1895" spans="1:9" x14ac:dyDescent="0.3">
      <c r="A1895">
        <f>LOOKUP(9E+307,--MID(D1895,1,{1,2,3,4,5}))</f>
        <v>10</v>
      </c>
      <c r="B1895">
        <f>VLOOKUP(MID(D1895,LOOKUP(2,1/ISNUMBER(-MID(D1895,1,{1,2,3,4,5})),{1,2,3,4,5})+1,9),'Hue codes'!$A$1:$B$10,2,FALSE)</f>
        <v>80</v>
      </c>
      <c r="C1895">
        <f t="shared" si="29"/>
        <v>90</v>
      </c>
      <c r="D1895" t="s">
        <v>56</v>
      </c>
      <c r="E1895">
        <v>6</v>
      </c>
      <c r="F1895">
        <v>12</v>
      </c>
      <c r="G1895">
        <v>0.33210000000000001</v>
      </c>
      <c r="H1895">
        <v>0.2329</v>
      </c>
      <c r="I1895">
        <v>30.05</v>
      </c>
    </row>
    <row r="1896" spans="1:9" x14ac:dyDescent="0.3">
      <c r="A1896">
        <f>LOOKUP(9E+307,--MID(D1896,1,{1,2,3,4,5}))</f>
        <v>10</v>
      </c>
      <c r="B1896">
        <f>VLOOKUP(MID(D1896,LOOKUP(2,1/ISNUMBER(-MID(D1896,1,{1,2,3,4,5})),{1,2,3,4,5})+1,9),'Hue codes'!$A$1:$B$10,2,FALSE)</f>
        <v>80</v>
      </c>
      <c r="C1896">
        <f t="shared" si="29"/>
        <v>90</v>
      </c>
      <c r="D1896" t="s">
        <v>56</v>
      </c>
      <c r="E1896">
        <v>6</v>
      </c>
      <c r="F1896">
        <v>14</v>
      </c>
      <c r="G1896">
        <v>0.33489999999999998</v>
      </c>
      <c r="H1896">
        <v>0.2203</v>
      </c>
      <c r="I1896">
        <v>30.05</v>
      </c>
    </row>
    <row r="1897" spans="1:9" x14ac:dyDescent="0.3">
      <c r="A1897">
        <f>LOOKUP(9E+307,--MID(D1897,1,{1,2,3,4,5}))</f>
        <v>10</v>
      </c>
      <c r="B1897">
        <f>VLOOKUP(MID(D1897,LOOKUP(2,1/ISNUMBER(-MID(D1897,1,{1,2,3,4,5})),{1,2,3,4,5})+1,9),'Hue codes'!$A$1:$B$10,2,FALSE)</f>
        <v>80</v>
      </c>
      <c r="C1897">
        <f t="shared" si="29"/>
        <v>90</v>
      </c>
      <c r="D1897" t="s">
        <v>56</v>
      </c>
      <c r="E1897">
        <v>6</v>
      </c>
      <c r="F1897">
        <v>16</v>
      </c>
      <c r="G1897">
        <v>0.33700000000000002</v>
      </c>
      <c r="H1897">
        <v>0.20949999999999999</v>
      </c>
      <c r="I1897">
        <v>30.05</v>
      </c>
    </row>
    <row r="1898" spans="1:9" x14ac:dyDescent="0.3">
      <c r="A1898">
        <f>LOOKUP(9E+307,--MID(D1898,1,{1,2,3,4,5}))</f>
        <v>10</v>
      </c>
      <c r="B1898">
        <f>VLOOKUP(MID(D1898,LOOKUP(2,1/ISNUMBER(-MID(D1898,1,{1,2,3,4,5})),{1,2,3,4,5})+1,9),'Hue codes'!$A$1:$B$10,2,FALSE)</f>
        <v>80</v>
      </c>
      <c r="C1898">
        <f t="shared" si="29"/>
        <v>90</v>
      </c>
      <c r="D1898" t="s">
        <v>56</v>
      </c>
      <c r="E1898">
        <v>6</v>
      </c>
      <c r="F1898">
        <v>18</v>
      </c>
      <c r="G1898">
        <v>0.33879999999999999</v>
      </c>
      <c r="H1898">
        <v>0.19950000000000001</v>
      </c>
      <c r="I1898">
        <v>30.05</v>
      </c>
    </row>
    <row r="1899" spans="1:9" x14ac:dyDescent="0.3">
      <c r="A1899">
        <f>LOOKUP(9E+307,--MID(D1899,1,{1,2,3,4,5}))</f>
        <v>10</v>
      </c>
      <c r="B1899">
        <f>VLOOKUP(MID(D1899,LOOKUP(2,1/ISNUMBER(-MID(D1899,1,{1,2,3,4,5})),{1,2,3,4,5})+1,9),'Hue codes'!$A$1:$B$10,2,FALSE)</f>
        <v>80</v>
      </c>
      <c r="C1899">
        <f t="shared" si="29"/>
        <v>90</v>
      </c>
      <c r="D1899" t="s">
        <v>56</v>
      </c>
      <c r="E1899">
        <v>6</v>
      </c>
      <c r="F1899">
        <v>20</v>
      </c>
      <c r="G1899">
        <v>0.34089999999999998</v>
      </c>
      <c r="H1899">
        <v>0.18820000000000001</v>
      </c>
      <c r="I1899">
        <v>30.05</v>
      </c>
    </row>
    <row r="1900" spans="1:9" x14ac:dyDescent="0.3">
      <c r="A1900">
        <f>LOOKUP(9E+307,--MID(D1900,1,{1,2,3,4,5}))</f>
        <v>10</v>
      </c>
      <c r="B1900">
        <f>VLOOKUP(MID(D1900,LOOKUP(2,1/ISNUMBER(-MID(D1900,1,{1,2,3,4,5})),{1,2,3,4,5})+1,9),'Hue codes'!$A$1:$B$10,2,FALSE)</f>
        <v>80</v>
      </c>
      <c r="C1900">
        <f t="shared" si="29"/>
        <v>90</v>
      </c>
      <c r="D1900" t="s">
        <v>56</v>
      </c>
      <c r="E1900">
        <v>6</v>
      </c>
      <c r="F1900">
        <v>22</v>
      </c>
      <c r="G1900">
        <v>0.34260000000000002</v>
      </c>
      <c r="H1900">
        <v>0.17849999999999999</v>
      </c>
      <c r="I1900">
        <v>30.05</v>
      </c>
    </row>
    <row r="1901" spans="1:9" x14ac:dyDescent="0.3">
      <c r="A1901">
        <f>LOOKUP(9E+307,--MID(D1901,1,{1,2,3,4,5}))</f>
        <v>10</v>
      </c>
      <c r="B1901">
        <f>VLOOKUP(MID(D1901,LOOKUP(2,1/ISNUMBER(-MID(D1901,1,{1,2,3,4,5})),{1,2,3,4,5})+1,9),'Hue codes'!$A$1:$B$10,2,FALSE)</f>
        <v>80</v>
      </c>
      <c r="C1901">
        <f t="shared" si="29"/>
        <v>90</v>
      </c>
      <c r="D1901" t="s">
        <v>56</v>
      </c>
      <c r="E1901">
        <v>6</v>
      </c>
      <c r="F1901">
        <v>24</v>
      </c>
      <c r="G1901">
        <v>0.34410000000000002</v>
      </c>
      <c r="H1901">
        <v>0.16980000000000001</v>
      </c>
      <c r="I1901">
        <v>30.05</v>
      </c>
    </row>
    <row r="1902" spans="1:9" x14ac:dyDescent="0.3">
      <c r="A1902">
        <f>LOOKUP(9E+307,--MID(D1902,1,{1,2,3,4,5}))</f>
        <v>10</v>
      </c>
      <c r="B1902">
        <f>VLOOKUP(MID(D1902,LOOKUP(2,1/ISNUMBER(-MID(D1902,1,{1,2,3,4,5})),{1,2,3,4,5})+1,9),'Hue codes'!$A$1:$B$10,2,FALSE)</f>
        <v>80</v>
      </c>
      <c r="C1902">
        <f t="shared" si="29"/>
        <v>90</v>
      </c>
      <c r="D1902" t="s">
        <v>56</v>
      </c>
      <c r="E1902">
        <v>6</v>
      </c>
      <c r="F1902">
        <v>26</v>
      </c>
      <c r="G1902">
        <v>0.34570000000000001</v>
      </c>
      <c r="H1902">
        <v>0.16039999999999999</v>
      </c>
      <c r="I1902">
        <v>30.05</v>
      </c>
    </row>
    <row r="1903" spans="1:9" x14ac:dyDescent="0.3">
      <c r="A1903">
        <f>LOOKUP(9E+307,--MID(D1903,1,{1,2,3,4,5}))</f>
        <v>2.5</v>
      </c>
      <c r="B1903">
        <f>VLOOKUP(MID(D1903,LOOKUP(2,1/ISNUMBER(-MID(D1903,1,{1,2,3,4,5})),{1,2,3,4,5})+1,9),'Hue codes'!$A$1:$B$10,2,FALSE)</f>
        <v>90</v>
      </c>
      <c r="C1903">
        <f t="shared" si="29"/>
        <v>92.5</v>
      </c>
      <c r="D1903" t="s">
        <v>57</v>
      </c>
      <c r="E1903">
        <v>6</v>
      </c>
      <c r="F1903">
        <v>2</v>
      </c>
      <c r="G1903">
        <v>0.31879999999999997</v>
      </c>
      <c r="H1903">
        <v>0.30480000000000002</v>
      </c>
      <c r="I1903">
        <v>30.05</v>
      </c>
    </row>
    <row r="1904" spans="1:9" x14ac:dyDescent="0.3">
      <c r="A1904">
        <f>LOOKUP(9E+307,--MID(D1904,1,{1,2,3,4,5}))</f>
        <v>2.5</v>
      </c>
      <c r="B1904">
        <f>VLOOKUP(MID(D1904,LOOKUP(2,1/ISNUMBER(-MID(D1904,1,{1,2,3,4,5})),{1,2,3,4,5})+1,9),'Hue codes'!$A$1:$B$10,2,FALSE)</f>
        <v>90</v>
      </c>
      <c r="C1904">
        <f t="shared" si="29"/>
        <v>92.5</v>
      </c>
      <c r="D1904" t="s">
        <v>57</v>
      </c>
      <c r="E1904">
        <v>6</v>
      </c>
      <c r="F1904">
        <v>4</v>
      </c>
      <c r="G1904">
        <v>0.32719999999999999</v>
      </c>
      <c r="H1904">
        <v>0.29289999999999999</v>
      </c>
      <c r="I1904">
        <v>30.05</v>
      </c>
    </row>
    <row r="1905" spans="1:9" x14ac:dyDescent="0.3">
      <c r="A1905">
        <f>LOOKUP(9E+307,--MID(D1905,1,{1,2,3,4,5}))</f>
        <v>2.5</v>
      </c>
      <c r="B1905">
        <f>VLOOKUP(MID(D1905,LOOKUP(2,1/ISNUMBER(-MID(D1905,1,{1,2,3,4,5})),{1,2,3,4,5})+1,9),'Hue codes'!$A$1:$B$10,2,FALSE)</f>
        <v>90</v>
      </c>
      <c r="C1905">
        <f t="shared" si="29"/>
        <v>92.5</v>
      </c>
      <c r="D1905" t="s">
        <v>57</v>
      </c>
      <c r="E1905">
        <v>6</v>
      </c>
      <c r="F1905">
        <v>6</v>
      </c>
      <c r="G1905">
        <v>0.3362</v>
      </c>
      <c r="H1905">
        <v>0.27989999999999998</v>
      </c>
      <c r="I1905">
        <v>30.05</v>
      </c>
    </row>
    <row r="1906" spans="1:9" x14ac:dyDescent="0.3">
      <c r="A1906">
        <f>LOOKUP(9E+307,--MID(D1906,1,{1,2,3,4,5}))</f>
        <v>2.5</v>
      </c>
      <c r="B1906">
        <f>VLOOKUP(MID(D1906,LOOKUP(2,1/ISNUMBER(-MID(D1906,1,{1,2,3,4,5})),{1,2,3,4,5})+1,9),'Hue codes'!$A$1:$B$10,2,FALSE)</f>
        <v>90</v>
      </c>
      <c r="C1906">
        <f t="shared" si="29"/>
        <v>92.5</v>
      </c>
      <c r="D1906" t="s">
        <v>57</v>
      </c>
      <c r="E1906">
        <v>6</v>
      </c>
      <c r="F1906">
        <v>8</v>
      </c>
      <c r="G1906">
        <v>0.34370000000000001</v>
      </c>
      <c r="H1906">
        <v>0.26879999999999998</v>
      </c>
      <c r="I1906">
        <v>30.05</v>
      </c>
    </row>
    <row r="1907" spans="1:9" x14ac:dyDescent="0.3">
      <c r="A1907">
        <f>LOOKUP(9E+307,--MID(D1907,1,{1,2,3,4,5}))</f>
        <v>2.5</v>
      </c>
      <c r="B1907">
        <f>VLOOKUP(MID(D1907,LOOKUP(2,1/ISNUMBER(-MID(D1907,1,{1,2,3,4,5})),{1,2,3,4,5})+1,9),'Hue codes'!$A$1:$B$10,2,FALSE)</f>
        <v>90</v>
      </c>
      <c r="C1907">
        <f t="shared" si="29"/>
        <v>92.5</v>
      </c>
      <c r="D1907" t="s">
        <v>57</v>
      </c>
      <c r="E1907">
        <v>6</v>
      </c>
      <c r="F1907">
        <v>10</v>
      </c>
      <c r="G1907">
        <v>0.35089999999999999</v>
      </c>
      <c r="H1907">
        <v>0.25779999999999997</v>
      </c>
      <c r="I1907">
        <v>30.05</v>
      </c>
    </row>
    <row r="1908" spans="1:9" x14ac:dyDescent="0.3">
      <c r="A1908">
        <f>LOOKUP(9E+307,--MID(D1908,1,{1,2,3,4,5}))</f>
        <v>2.5</v>
      </c>
      <c r="B1908">
        <f>VLOOKUP(MID(D1908,LOOKUP(2,1/ISNUMBER(-MID(D1908,1,{1,2,3,4,5})),{1,2,3,4,5})+1,9),'Hue codes'!$A$1:$B$10,2,FALSE)</f>
        <v>90</v>
      </c>
      <c r="C1908">
        <f t="shared" si="29"/>
        <v>92.5</v>
      </c>
      <c r="D1908" t="s">
        <v>57</v>
      </c>
      <c r="E1908">
        <v>6</v>
      </c>
      <c r="F1908">
        <v>12</v>
      </c>
      <c r="G1908">
        <v>0.35820000000000002</v>
      </c>
      <c r="H1908">
        <v>0.2462</v>
      </c>
      <c r="I1908">
        <v>30.05</v>
      </c>
    </row>
    <row r="1909" spans="1:9" x14ac:dyDescent="0.3">
      <c r="A1909">
        <f>LOOKUP(9E+307,--MID(D1909,1,{1,2,3,4,5}))</f>
        <v>2.5</v>
      </c>
      <c r="B1909">
        <f>VLOOKUP(MID(D1909,LOOKUP(2,1/ISNUMBER(-MID(D1909,1,{1,2,3,4,5})),{1,2,3,4,5})+1,9),'Hue codes'!$A$1:$B$10,2,FALSE)</f>
        <v>90</v>
      </c>
      <c r="C1909">
        <f t="shared" si="29"/>
        <v>92.5</v>
      </c>
      <c r="D1909" t="s">
        <v>57</v>
      </c>
      <c r="E1909">
        <v>6</v>
      </c>
      <c r="F1909">
        <v>14</v>
      </c>
      <c r="G1909">
        <v>0.36520000000000002</v>
      </c>
      <c r="H1909">
        <v>0.23549999999999999</v>
      </c>
      <c r="I1909">
        <v>30.05</v>
      </c>
    </row>
    <row r="1910" spans="1:9" x14ac:dyDescent="0.3">
      <c r="A1910">
        <f>LOOKUP(9E+307,--MID(D1910,1,{1,2,3,4,5}))</f>
        <v>2.5</v>
      </c>
      <c r="B1910">
        <f>VLOOKUP(MID(D1910,LOOKUP(2,1/ISNUMBER(-MID(D1910,1,{1,2,3,4,5})),{1,2,3,4,5})+1,9),'Hue codes'!$A$1:$B$10,2,FALSE)</f>
        <v>90</v>
      </c>
      <c r="C1910">
        <f t="shared" si="29"/>
        <v>92.5</v>
      </c>
      <c r="D1910" t="s">
        <v>57</v>
      </c>
      <c r="E1910">
        <v>6</v>
      </c>
      <c r="F1910">
        <v>16</v>
      </c>
      <c r="G1910">
        <v>0.37180000000000002</v>
      </c>
      <c r="H1910">
        <v>0.22509999999999999</v>
      </c>
      <c r="I1910">
        <v>30.05</v>
      </c>
    </row>
    <row r="1911" spans="1:9" x14ac:dyDescent="0.3">
      <c r="A1911">
        <f>LOOKUP(9E+307,--MID(D1911,1,{1,2,3,4,5}))</f>
        <v>2.5</v>
      </c>
      <c r="B1911">
        <f>VLOOKUP(MID(D1911,LOOKUP(2,1/ISNUMBER(-MID(D1911,1,{1,2,3,4,5})),{1,2,3,4,5})+1,9),'Hue codes'!$A$1:$B$10,2,FALSE)</f>
        <v>90</v>
      </c>
      <c r="C1911">
        <f t="shared" si="29"/>
        <v>92.5</v>
      </c>
      <c r="D1911" t="s">
        <v>57</v>
      </c>
      <c r="E1911">
        <v>6</v>
      </c>
      <c r="F1911">
        <v>18</v>
      </c>
      <c r="G1911">
        <v>0.37730000000000002</v>
      </c>
      <c r="H1911">
        <v>0.21579999999999999</v>
      </c>
      <c r="I1911">
        <v>30.05</v>
      </c>
    </row>
    <row r="1912" spans="1:9" x14ac:dyDescent="0.3">
      <c r="A1912">
        <f>LOOKUP(9E+307,--MID(D1912,1,{1,2,3,4,5}))</f>
        <v>2.5</v>
      </c>
      <c r="B1912">
        <f>VLOOKUP(MID(D1912,LOOKUP(2,1/ISNUMBER(-MID(D1912,1,{1,2,3,4,5})),{1,2,3,4,5})+1,9),'Hue codes'!$A$1:$B$10,2,FALSE)</f>
        <v>90</v>
      </c>
      <c r="C1912">
        <f t="shared" si="29"/>
        <v>92.5</v>
      </c>
      <c r="D1912" t="s">
        <v>57</v>
      </c>
      <c r="E1912">
        <v>6</v>
      </c>
      <c r="F1912">
        <v>20</v>
      </c>
      <c r="G1912">
        <v>0.38329999999999997</v>
      </c>
      <c r="H1912">
        <v>0.2056</v>
      </c>
      <c r="I1912">
        <v>30.05</v>
      </c>
    </row>
    <row r="1913" spans="1:9" x14ac:dyDescent="0.3">
      <c r="A1913">
        <f>LOOKUP(9E+307,--MID(D1913,1,{1,2,3,4,5}))</f>
        <v>2.5</v>
      </c>
      <c r="B1913">
        <f>VLOOKUP(MID(D1913,LOOKUP(2,1/ISNUMBER(-MID(D1913,1,{1,2,3,4,5})),{1,2,3,4,5})+1,9),'Hue codes'!$A$1:$B$10,2,FALSE)</f>
        <v>90</v>
      </c>
      <c r="C1913">
        <f t="shared" si="29"/>
        <v>92.5</v>
      </c>
      <c r="D1913" t="s">
        <v>57</v>
      </c>
      <c r="E1913">
        <v>6</v>
      </c>
      <c r="F1913">
        <v>22</v>
      </c>
      <c r="G1913">
        <v>0.38769999999999999</v>
      </c>
      <c r="H1913">
        <v>0.1978</v>
      </c>
      <c r="I1913">
        <v>30.05</v>
      </c>
    </row>
    <row r="1914" spans="1:9" x14ac:dyDescent="0.3">
      <c r="A1914">
        <f>LOOKUP(9E+307,--MID(D1914,1,{1,2,3,4,5}))</f>
        <v>2.5</v>
      </c>
      <c r="B1914">
        <f>VLOOKUP(MID(D1914,LOOKUP(2,1/ISNUMBER(-MID(D1914,1,{1,2,3,4,5})),{1,2,3,4,5})+1,9),'Hue codes'!$A$1:$B$10,2,FALSE)</f>
        <v>90</v>
      </c>
      <c r="C1914">
        <f t="shared" si="29"/>
        <v>92.5</v>
      </c>
      <c r="D1914" t="s">
        <v>57</v>
      </c>
      <c r="E1914">
        <v>6</v>
      </c>
      <c r="F1914">
        <v>24</v>
      </c>
      <c r="G1914">
        <v>0.39269999999999999</v>
      </c>
      <c r="H1914">
        <v>0.18920000000000001</v>
      </c>
      <c r="I1914">
        <v>30.05</v>
      </c>
    </row>
    <row r="1915" spans="1:9" x14ac:dyDescent="0.3">
      <c r="A1915">
        <f>LOOKUP(9E+307,--MID(D1915,1,{1,2,3,4,5}))</f>
        <v>5</v>
      </c>
      <c r="B1915">
        <f>VLOOKUP(MID(D1915,LOOKUP(2,1/ISNUMBER(-MID(D1915,1,{1,2,3,4,5})),{1,2,3,4,5})+1,9),'Hue codes'!$A$1:$B$10,2,FALSE)</f>
        <v>90</v>
      </c>
      <c r="C1915">
        <f t="shared" si="29"/>
        <v>95</v>
      </c>
      <c r="D1915" t="s">
        <v>58</v>
      </c>
      <c r="E1915">
        <v>6</v>
      </c>
      <c r="F1915">
        <v>2</v>
      </c>
      <c r="G1915">
        <v>0.32319999999999999</v>
      </c>
      <c r="H1915">
        <v>0.3085</v>
      </c>
      <c r="I1915">
        <v>30.05</v>
      </c>
    </row>
    <row r="1916" spans="1:9" x14ac:dyDescent="0.3">
      <c r="A1916">
        <f>LOOKUP(9E+307,--MID(D1916,1,{1,2,3,4,5}))</f>
        <v>5</v>
      </c>
      <c r="B1916">
        <f>VLOOKUP(MID(D1916,LOOKUP(2,1/ISNUMBER(-MID(D1916,1,{1,2,3,4,5})),{1,2,3,4,5})+1,9),'Hue codes'!$A$1:$B$10,2,FALSE)</f>
        <v>90</v>
      </c>
      <c r="C1916">
        <f t="shared" si="29"/>
        <v>95</v>
      </c>
      <c r="D1916" t="s">
        <v>58</v>
      </c>
      <c r="E1916">
        <v>6</v>
      </c>
      <c r="F1916">
        <v>4</v>
      </c>
      <c r="G1916">
        <v>0.33710000000000001</v>
      </c>
      <c r="H1916">
        <v>0.30009999999999998</v>
      </c>
      <c r="I1916">
        <v>30.05</v>
      </c>
    </row>
    <row r="1917" spans="1:9" x14ac:dyDescent="0.3">
      <c r="A1917">
        <f>LOOKUP(9E+307,--MID(D1917,1,{1,2,3,4,5}))</f>
        <v>5</v>
      </c>
      <c r="B1917">
        <f>VLOOKUP(MID(D1917,LOOKUP(2,1/ISNUMBER(-MID(D1917,1,{1,2,3,4,5})),{1,2,3,4,5})+1,9),'Hue codes'!$A$1:$B$10,2,FALSE)</f>
        <v>90</v>
      </c>
      <c r="C1917">
        <f t="shared" si="29"/>
        <v>95</v>
      </c>
      <c r="D1917" t="s">
        <v>58</v>
      </c>
      <c r="E1917">
        <v>6</v>
      </c>
      <c r="F1917">
        <v>6</v>
      </c>
      <c r="G1917">
        <v>0.35199999999999998</v>
      </c>
      <c r="H1917">
        <v>0.29039999999999999</v>
      </c>
      <c r="I1917">
        <v>30.05</v>
      </c>
    </row>
    <row r="1918" spans="1:9" x14ac:dyDescent="0.3">
      <c r="A1918">
        <f>LOOKUP(9E+307,--MID(D1918,1,{1,2,3,4,5}))</f>
        <v>5</v>
      </c>
      <c r="B1918">
        <f>VLOOKUP(MID(D1918,LOOKUP(2,1/ISNUMBER(-MID(D1918,1,{1,2,3,4,5})),{1,2,3,4,5})+1,9),'Hue codes'!$A$1:$B$10,2,FALSE)</f>
        <v>90</v>
      </c>
      <c r="C1918">
        <f t="shared" si="29"/>
        <v>95</v>
      </c>
      <c r="D1918" t="s">
        <v>58</v>
      </c>
      <c r="E1918">
        <v>6</v>
      </c>
      <c r="F1918">
        <v>8</v>
      </c>
      <c r="G1918">
        <v>0.36480000000000001</v>
      </c>
      <c r="H1918">
        <v>0.28199999999999997</v>
      </c>
      <c r="I1918">
        <v>30.05</v>
      </c>
    </row>
    <row r="1919" spans="1:9" x14ac:dyDescent="0.3">
      <c r="A1919">
        <f>LOOKUP(9E+307,--MID(D1919,1,{1,2,3,4,5}))</f>
        <v>5</v>
      </c>
      <c r="B1919">
        <f>VLOOKUP(MID(D1919,LOOKUP(2,1/ISNUMBER(-MID(D1919,1,{1,2,3,4,5})),{1,2,3,4,5})+1,9),'Hue codes'!$A$1:$B$10,2,FALSE)</f>
        <v>90</v>
      </c>
      <c r="C1919">
        <f t="shared" si="29"/>
        <v>95</v>
      </c>
      <c r="D1919" t="s">
        <v>58</v>
      </c>
      <c r="E1919">
        <v>6</v>
      </c>
      <c r="F1919">
        <v>10</v>
      </c>
      <c r="G1919">
        <v>0.37690000000000001</v>
      </c>
      <c r="H1919">
        <v>0.27379999999999999</v>
      </c>
      <c r="I1919">
        <v>30.05</v>
      </c>
    </row>
    <row r="1920" spans="1:9" x14ac:dyDescent="0.3">
      <c r="A1920">
        <f>LOOKUP(9E+307,--MID(D1920,1,{1,2,3,4,5}))</f>
        <v>5</v>
      </c>
      <c r="B1920">
        <f>VLOOKUP(MID(D1920,LOOKUP(2,1/ISNUMBER(-MID(D1920,1,{1,2,3,4,5})),{1,2,3,4,5})+1,9),'Hue codes'!$A$1:$B$10,2,FALSE)</f>
        <v>90</v>
      </c>
      <c r="C1920">
        <f t="shared" si="29"/>
        <v>95</v>
      </c>
      <c r="D1920" t="s">
        <v>58</v>
      </c>
      <c r="E1920">
        <v>6</v>
      </c>
      <c r="F1920">
        <v>12</v>
      </c>
      <c r="G1920">
        <v>0.39</v>
      </c>
      <c r="H1920">
        <v>0.2646</v>
      </c>
      <c r="I1920">
        <v>30.05</v>
      </c>
    </row>
    <row r="1921" spans="1:9" x14ac:dyDescent="0.3">
      <c r="A1921">
        <f>LOOKUP(9E+307,--MID(D1921,1,{1,2,3,4,5}))</f>
        <v>5</v>
      </c>
      <c r="B1921">
        <f>VLOOKUP(MID(D1921,LOOKUP(2,1/ISNUMBER(-MID(D1921,1,{1,2,3,4,5})),{1,2,3,4,5})+1,9),'Hue codes'!$A$1:$B$10,2,FALSE)</f>
        <v>90</v>
      </c>
      <c r="C1921">
        <f t="shared" si="29"/>
        <v>95</v>
      </c>
      <c r="D1921" t="s">
        <v>58</v>
      </c>
      <c r="E1921">
        <v>6</v>
      </c>
      <c r="F1921">
        <v>14</v>
      </c>
      <c r="G1921">
        <v>0.40229999999999999</v>
      </c>
      <c r="H1921">
        <v>0.25519999999999998</v>
      </c>
      <c r="I1921">
        <v>30.05</v>
      </c>
    </row>
    <row r="1922" spans="1:9" x14ac:dyDescent="0.3">
      <c r="A1922">
        <f>LOOKUP(9E+307,--MID(D1922,1,{1,2,3,4,5}))</f>
        <v>5</v>
      </c>
      <c r="B1922">
        <f>VLOOKUP(MID(D1922,LOOKUP(2,1/ISNUMBER(-MID(D1922,1,{1,2,3,4,5})),{1,2,3,4,5})+1,9),'Hue codes'!$A$1:$B$10,2,FALSE)</f>
        <v>90</v>
      </c>
      <c r="C1922">
        <f t="shared" si="29"/>
        <v>95</v>
      </c>
      <c r="D1922" t="s">
        <v>58</v>
      </c>
      <c r="E1922">
        <v>6</v>
      </c>
      <c r="F1922">
        <v>16</v>
      </c>
      <c r="G1922">
        <v>0.41360000000000002</v>
      </c>
      <c r="H1922">
        <v>0.2467</v>
      </c>
      <c r="I1922">
        <v>30.05</v>
      </c>
    </row>
    <row r="1923" spans="1:9" x14ac:dyDescent="0.3">
      <c r="A1923">
        <f>LOOKUP(9E+307,--MID(D1923,1,{1,2,3,4,5}))</f>
        <v>5</v>
      </c>
      <c r="B1923">
        <f>VLOOKUP(MID(D1923,LOOKUP(2,1/ISNUMBER(-MID(D1923,1,{1,2,3,4,5})),{1,2,3,4,5})+1,9),'Hue codes'!$A$1:$B$10,2,FALSE)</f>
        <v>90</v>
      </c>
      <c r="C1923">
        <f t="shared" ref="C1923:C1986" si="30">IF(A1923+B1923=100,0,A1923+B1923)</f>
        <v>95</v>
      </c>
      <c r="D1923" t="s">
        <v>58</v>
      </c>
      <c r="E1923">
        <v>6</v>
      </c>
      <c r="F1923">
        <v>18</v>
      </c>
      <c r="G1923">
        <v>0.42449999999999999</v>
      </c>
      <c r="H1923">
        <v>0.2382</v>
      </c>
      <c r="I1923">
        <v>30.05</v>
      </c>
    </row>
    <row r="1924" spans="1:9" x14ac:dyDescent="0.3">
      <c r="A1924">
        <f>LOOKUP(9E+307,--MID(D1924,1,{1,2,3,4,5}))</f>
        <v>5</v>
      </c>
      <c r="B1924">
        <f>VLOOKUP(MID(D1924,LOOKUP(2,1/ISNUMBER(-MID(D1924,1,{1,2,3,4,5})),{1,2,3,4,5})+1,9),'Hue codes'!$A$1:$B$10,2,FALSE)</f>
        <v>90</v>
      </c>
      <c r="C1924">
        <f t="shared" si="30"/>
        <v>95</v>
      </c>
      <c r="D1924" t="s">
        <v>58</v>
      </c>
      <c r="E1924">
        <v>6</v>
      </c>
      <c r="F1924">
        <v>20</v>
      </c>
      <c r="G1924">
        <v>0.43680000000000002</v>
      </c>
      <c r="H1924">
        <v>0.2283</v>
      </c>
      <c r="I1924">
        <v>30.05</v>
      </c>
    </row>
    <row r="1925" spans="1:9" x14ac:dyDescent="0.3">
      <c r="A1925">
        <f>LOOKUP(9E+307,--MID(D1925,1,{1,2,3,4,5}))</f>
        <v>5</v>
      </c>
      <c r="B1925">
        <f>VLOOKUP(MID(D1925,LOOKUP(2,1/ISNUMBER(-MID(D1925,1,{1,2,3,4,5})),{1,2,3,4,5})+1,9),'Hue codes'!$A$1:$B$10,2,FALSE)</f>
        <v>90</v>
      </c>
      <c r="C1925">
        <f t="shared" si="30"/>
        <v>95</v>
      </c>
      <c r="D1925" t="s">
        <v>58</v>
      </c>
      <c r="E1925">
        <v>6</v>
      </c>
      <c r="F1925">
        <v>22</v>
      </c>
      <c r="G1925">
        <v>0.44490000000000002</v>
      </c>
      <c r="H1925">
        <v>0.22189999999999999</v>
      </c>
      <c r="I1925">
        <v>30.05</v>
      </c>
    </row>
    <row r="1926" spans="1:9" x14ac:dyDescent="0.3">
      <c r="A1926">
        <f>LOOKUP(9E+307,--MID(D1926,1,{1,2,3,4,5}))</f>
        <v>7.5</v>
      </c>
      <c r="B1926">
        <f>VLOOKUP(MID(D1926,LOOKUP(2,1/ISNUMBER(-MID(D1926,1,{1,2,3,4,5})),{1,2,3,4,5})+1,9),'Hue codes'!$A$1:$B$10,2,FALSE)</f>
        <v>90</v>
      </c>
      <c r="C1926">
        <f t="shared" si="30"/>
        <v>97.5</v>
      </c>
      <c r="D1926" t="s">
        <v>59</v>
      </c>
      <c r="E1926">
        <v>6</v>
      </c>
      <c r="F1926">
        <v>2</v>
      </c>
      <c r="G1926">
        <v>0.3261</v>
      </c>
      <c r="H1926">
        <v>0.31130000000000002</v>
      </c>
      <c r="I1926">
        <v>30.05</v>
      </c>
    </row>
    <row r="1927" spans="1:9" x14ac:dyDescent="0.3">
      <c r="A1927">
        <f>LOOKUP(9E+307,--MID(D1927,1,{1,2,3,4,5}))</f>
        <v>7.5</v>
      </c>
      <c r="B1927">
        <f>VLOOKUP(MID(D1927,LOOKUP(2,1/ISNUMBER(-MID(D1927,1,{1,2,3,4,5})),{1,2,3,4,5})+1,9),'Hue codes'!$A$1:$B$10,2,FALSE)</f>
        <v>90</v>
      </c>
      <c r="C1927">
        <f t="shared" si="30"/>
        <v>97.5</v>
      </c>
      <c r="D1927" t="s">
        <v>59</v>
      </c>
      <c r="E1927">
        <v>6</v>
      </c>
      <c r="F1927">
        <v>4</v>
      </c>
      <c r="G1927">
        <v>0.34389999999999998</v>
      </c>
      <c r="H1927">
        <v>0.30559999999999998</v>
      </c>
      <c r="I1927">
        <v>30.05</v>
      </c>
    </row>
    <row r="1928" spans="1:9" x14ac:dyDescent="0.3">
      <c r="A1928">
        <f>LOOKUP(9E+307,--MID(D1928,1,{1,2,3,4,5}))</f>
        <v>7.5</v>
      </c>
      <c r="B1928">
        <f>VLOOKUP(MID(D1928,LOOKUP(2,1/ISNUMBER(-MID(D1928,1,{1,2,3,4,5})),{1,2,3,4,5})+1,9),'Hue codes'!$A$1:$B$10,2,FALSE)</f>
        <v>90</v>
      </c>
      <c r="C1928">
        <f t="shared" si="30"/>
        <v>97.5</v>
      </c>
      <c r="D1928" t="s">
        <v>59</v>
      </c>
      <c r="E1928">
        <v>6</v>
      </c>
      <c r="F1928">
        <v>6</v>
      </c>
      <c r="G1928">
        <v>0.36349999999999999</v>
      </c>
      <c r="H1928">
        <v>0.29870000000000002</v>
      </c>
      <c r="I1928">
        <v>30.05</v>
      </c>
    </row>
    <row r="1929" spans="1:9" x14ac:dyDescent="0.3">
      <c r="A1929">
        <f>LOOKUP(9E+307,--MID(D1929,1,{1,2,3,4,5}))</f>
        <v>7.5</v>
      </c>
      <c r="B1929">
        <f>VLOOKUP(MID(D1929,LOOKUP(2,1/ISNUMBER(-MID(D1929,1,{1,2,3,4,5})),{1,2,3,4,5})+1,9),'Hue codes'!$A$1:$B$10,2,FALSE)</f>
        <v>90</v>
      </c>
      <c r="C1929">
        <f t="shared" si="30"/>
        <v>97.5</v>
      </c>
      <c r="D1929" t="s">
        <v>59</v>
      </c>
      <c r="E1929">
        <v>6</v>
      </c>
      <c r="F1929">
        <v>8</v>
      </c>
      <c r="G1929">
        <v>0.37909999999999999</v>
      </c>
      <c r="H1929">
        <v>0.29289999999999999</v>
      </c>
      <c r="I1929">
        <v>30.05</v>
      </c>
    </row>
    <row r="1930" spans="1:9" x14ac:dyDescent="0.3">
      <c r="A1930">
        <f>LOOKUP(9E+307,--MID(D1930,1,{1,2,3,4,5}))</f>
        <v>7.5</v>
      </c>
      <c r="B1930">
        <f>VLOOKUP(MID(D1930,LOOKUP(2,1/ISNUMBER(-MID(D1930,1,{1,2,3,4,5})),{1,2,3,4,5})+1,9),'Hue codes'!$A$1:$B$10,2,FALSE)</f>
        <v>90</v>
      </c>
      <c r="C1930">
        <f t="shared" si="30"/>
        <v>97.5</v>
      </c>
      <c r="D1930" t="s">
        <v>59</v>
      </c>
      <c r="E1930">
        <v>6</v>
      </c>
      <c r="F1930">
        <v>10</v>
      </c>
      <c r="G1930">
        <v>0.39600000000000002</v>
      </c>
      <c r="H1930">
        <v>0.28599999999999998</v>
      </c>
      <c r="I1930">
        <v>30.05</v>
      </c>
    </row>
    <row r="1931" spans="1:9" x14ac:dyDescent="0.3">
      <c r="A1931">
        <f>LOOKUP(9E+307,--MID(D1931,1,{1,2,3,4,5}))</f>
        <v>7.5</v>
      </c>
      <c r="B1931">
        <f>VLOOKUP(MID(D1931,LOOKUP(2,1/ISNUMBER(-MID(D1931,1,{1,2,3,4,5})),{1,2,3,4,5})+1,9),'Hue codes'!$A$1:$B$10,2,FALSE)</f>
        <v>90</v>
      </c>
      <c r="C1931">
        <f t="shared" si="30"/>
        <v>97.5</v>
      </c>
      <c r="D1931" t="s">
        <v>59</v>
      </c>
      <c r="E1931">
        <v>6</v>
      </c>
      <c r="F1931">
        <v>12</v>
      </c>
      <c r="G1931">
        <v>0.41249999999999998</v>
      </c>
      <c r="H1931">
        <v>0.27839999999999998</v>
      </c>
      <c r="I1931">
        <v>30.05</v>
      </c>
    </row>
    <row r="1932" spans="1:9" x14ac:dyDescent="0.3">
      <c r="A1932">
        <f>LOOKUP(9E+307,--MID(D1932,1,{1,2,3,4,5}))</f>
        <v>7.5</v>
      </c>
      <c r="B1932">
        <f>VLOOKUP(MID(D1932,LOOKUP(2,1/ISNUMBER(-MID(D1932,1,{1,2,3,4,5})),{1,2,3,4,5})+1,9),'Hue codes'!$A$1:$B$10,2,FALSE)</f>
        <v>90</v>
      </c>
      <c r="C1932">
        <f t="shared" si="30"/>
        <v>97.5</v>
      </c>
      <c r="D1932" t="s">
        <v>59</v>
      </c>
      <c r="E1932">
        <v>6</v>
      </c>
      <c r="F1932">
        <v>14</v>
      </c>
      <c r="G1932">
        <v>0.42849999999999999</v>
      </c>
      <c r="H1932">
        <v>0.27050000000000002</v>
      </c>
      <c r="I1932">
        <v>30.05</v>
      </c>
    </row>
    <row r="1933" spans="1:9" x14ac:dyDescent="0.3">
      <c r="A1933">
        <f>LOOKUP(9E+307,--MID(D1933,1,{1,2,3,4,5}))</f>
        <v>7.5</v>
      </c>
      <c r="B1933">
        <f>VLOOKUP(MID(D1933,LOOKUP(2,1/ISNUMBER(-MID(D1933,1,{1,2,3,4,5})),{1,2,3,4,5})+1,9),'Hue codes'!$A$1:$B$10,2,FALSE)</f>
        <v>90</v>
      </c>
      <c r="C1933">
        <f t="shared" si="30"/>
        <v>97.5</v>
      </c>
      <c r="D1933" t="s">
        <v>59</v>
      </c>
      <c r="E1933">
        <v>6</v>
      </c>
      <c r="F1933">
        <v>16</v>
      </c>
      <c r="G1933">
        <v>0.44479999999999997</v>
      </c>
      <c r="H1933">
        <v>0.26219999999999999</v>
      </c>
      <c r="I1933">
        <v>30.05</v>
      </c>
    </row>
    <row r="1934" spans="1:9" x14ac:dyDescent="0.3">
      <c r="A1934">
        <f>LOOKUP(9E+307,--MID(D1934,1,{1,2,3,4,5}))</f>
        <v>7.5</v>
      </c>
      <c r="B1934">
        <f>VLOOKUP(MID(D1934,LOOKUP(2,1/ISNUMBER(-MID(D1934,1,{1,2,3,4,5})),{1,2,3,4,5})+1,9),'Hue codes'!$A$1:$B$10,2,FALSE)</f>
        <v>90</v>
      </c>
      <c r="C1934">
        <f t="shared" si="30"/>
        <v>97.5</v>
      </c>
      <c r="D1934" t="s">
        <v>59</v>
      </c>
      <c r="E1934">
        <v>6</v>
      </c>
      <c r="F1934">
        <v>18</v>
      </c>
      <c r="G1934">
        <v>0.45810000000000001</v>
      </c>
      <c r="H1934">
        <v>0.25490000000000002</v>
      </c>
      <c r="I1934">
        <v>30.05</v>
      </c>
    </row>
    <row r="1935" spans="1:9" x14ac:dyDescent="0.3">
      <c r="A1935">
        <f>LOOKUP(9E+307,--MID(D1935,1,{1,2,3,4,5}))</f>
        <v>7.5</v>
      </c>
      <c r="B1935">
        <f>VLOOKUP(MID(D1935,LOOKUP(2,1/ISNUMBER(-MID(D1935,1,{1,2,3,4,5})),{1,2,3,4,5})+1,9),'Hue codes'!$A$1:$B$10,2,FALSE)</f>
        <v>90</v>
      </c>
      <c r="C1935">
        <f t="shared" si="30"/>
        <v>97.5</v>
      </c>
      <c r="D1935" t="s">
        <v>59</v>
      </c>
      <c r="E1935">
        <v>6</v>
      </c>
      <c r="F1935">
        <v>20</v>
      </c>
      <c r="G1935">
        <v>0.47349999999999998</v>
      </c>
      <c r="H1935">
        <v>0.24640000000000001</v>
      </c>
      <c r="I1935">
        <v>30.05</v>
      </c>
    </row>
    <row r="1936" spans="1:9" x14ac:dyDescent="0.3">
      <c r="A1936">
        <f>LOOKUP(9E+307,--MID(D1936,1,{1,2,3,4,5}))</f>
        <v>10</v>
      </c>
      <c r="B1936">
        <f>VLOOKUP(MID(D1936,LOOKUP(2,1/ISNUMBER(-MID(D1936,1,{1,2,3,4,5})),{1,2,3,4,5})+1,9),'Hue codes'!$A$1:$B$10,2,FALSE)</f>
        <v>90</v>
      </c>
      <c r="C1936">
        <f t="shared" si="30"/>
        <v>0</v>
      </c>
      <c r="D1936" t="s">
        <v>20</v>
      </c>
      <c r="E1936">
        <v>7</v>
      </c>
      <c r="F1936">
        <v>2</v>
      </c>
      <c r="G1936">
        <v>0.32579999999999998</v>
      </c>
      <c r="H1936">
        <v>0.31480000000000002</v>
      </c>
      <c r="I1936">
        <v>43.06</v>
      </c>
    </row>
    <row r="1937" spans="1:9" x14ac:dyDescent="0.3">
      <c r="A1937">
        <f>LOOKUP(9E+307,--MID(D1937,1,{1,2,3,4,5}))</f>
        <v>10</v>
      </c>
      <c r="B1937">
        <f>VLOOKUP(MID(D1937,LOOKUP(2,1/ISNUMBER(-MID(D1937,1,{1,2,3,4,5})),{1,2,3,4,5})+1,9),'Hue codes'!$A$1:$B$10,2,FALSE)</f>
        <v>90</v>
      </c>
      <c r="C1937">
        <f t="shared" si="30"/>
        <v>0</v>
      </c>
      <c r="D1937" t="s">
        <v>20</v>
      </c>
      <c r="E1937">
        <v>7</v>
      </c>
      <c r="F1937">
        <v>4</v>
      </c>
      <c r="G1937">
        <v>0.34460000000000002</v>
      </c>
      <c r="H1937">
        <v>0.3125</v>
      </c>
      <c r="I1937">
        <v>43.06</v>
      </c>
    </row>
    <row r="1938" spans="1:9" x14ac:dyDescent="0.3">
      <c r="A1938">
        <f>LOOKUP(9E+307,--MID(D1938,1,{1,2,3,4,5}))</f>
        <v>10</v>
      </c>
      <c r="B1938">
        <f>VLOOKUP(MID(D1938,LOOKUP(2,1/ISNUMBER(-MID(D1938,1,{1,2,3,4,5})),{1,2,3,4,5})+1,9),'Hue codes'!$A$1:$B$10,2,FALSE)</f>
        <v>90</v>
      </c>
      <c r="C1938">
        <f t="shared" si="30"/>
        <v>0</v>
      </c>
      <c r="D1938" t="s">
        <v>20</v>
      </c>
      <c r="E1938">
        <v>7</v>
      </c>
      <c r="F1938">
        <v>6</v>
      </c>
      <c r="G1938">
        <v>0.36480000000000001</v>
      </c>
      <c r="H1938">
        <v>0.30980000000000002</v>
      </c>
      <c r="I1938">
        <v>43.06</v>
      </c>
    </row>
    <row r="1939" spans="1:9" x14ac:dyDescent="0.3">
      <c r="A1939">
        <f>LOOKUP(9E+307,--MID(D1939,1,{1,2,3,4,5}))</f>
        <v>10</v>
      </c>
      <c r="B1939">
        <f>VLOOKUP(MID(D1939,LOOKUP(2,1/ISNUMBER(-MID(D1939,1,{1,2,3,4,5})),{1,2,3,4,5})+1,9),'Hue codes'!$A$1:$B$10,2,FALSE)</f>
        <v>90</v>
      </c>
      <c r="C1939">
        <f t="shared" si="30"/>
        <v>0</v>
      </c>
      <c r="D1939" t="s">
        <v>20</v>
      </c>
      <c r="E1939">
        <v>7</v>
      </c>
      <c r="F1939">
        <v>8</v>
      </c>
      <c r="G1939">
        <v>0.3851</v>
      </c>
      <c r="H1939">
        <v>0.30669999999999997</v>
      </c>
      <c r="I1939">
        <v>43.06</v>
      </c>
    </row>
    <row r="1940" spans="1:9" x14ac:dyDescent="0.3">
      <c r="A1940">
        <f>LOOKUP(9E+307,--MID(D1940,1,{1,2,3,4,5}))</f>
        <v>10</v>
      </c>
      <c r="B1940">
        <f>VLOOKUP(MID(D1940,LOOKUP(2,1/ISNUMBER(-MID(D1940,1,{1,2,3,4,5})),{1,2,3,4,5})+1,9),'Hue codes'!$A$1:$B$10,2,FALSE)</f>
        <v>90</v>
      </c>
      <c r="C1940">
        <f t="shared" si="30"/>
        <v>0</v>
      </c>
      <c r="D1940" t="s">
        <v>20</v>
      </c>
      <c r="E1940">
        <v>7</v>
      </c>
      <c r="F1940">
        <v>10</v>
      </c>
      <c r="G1940">
        <v>0.40400000000000003</v>
      </c>
      <c r="H1940">
        <v>0.30299999999999999</v>
      </c>
      <c r="I1940">
        <v>43.06</v>
      </c>
    </row>
    <row r="1941" spans="1:9" x14ac:dyDescent="0.3">
      <c r="A1941">
        <f>LOOKUP(9E+307,--MID(D1941,1,{1,2,3,4,5}))</f>
        <v>10</v>
      </c>
      <c r="B1941">
        <f>VLOOKUP(MID(D1941,LOOKUP(2,1/ISNUMBER(-MID(D1941,1,{1,2,3,4,5})),{1,2,3,4,5})+1,9),'Hue codes'!$A$1:$B$10,2,FALSE)</f>
        <v>90</v>
      </c>
      <c r="C1941">
        <f t="shared" si="30"/>
        <v>0</v>
      </c>
      <c r="D1941" t="s">
        <v>20</v>
      </c>
      <c r="E1941">
        <v>7</v>
      </c>
      <c r="F1941">
        <v>12</v>
      </c>
      <c r="G1941">
        <v>0.42599999999999999</v>
      </c>
      <c r="H1941">
        <v>0.29799999999999999</v>
      </c>
      <c r="I1941">
        <v>43.06</v>
      </c>
    </row>
    <row r="1942" spans="1:9" x14ac:dyDescent="0.3">
      <c r="A1942">
        <f>LOOKUP(9E+307,--MID(D1942,1,{1,2,3,4,5}))</f>
        <v>10</v>
      </c>
      <c r="B1942">
        <f>VLOOKUP(MID(D1942,LOOKUP(2,1/ISNUMBER(-MID(D1942,1,{1,2,3,4,5})),{1,2,3,4,5})+1,9),'Hue codes'!$A$1:$B$10,2,FALSE)</f>
        <v>90</v>
      </c>
      <c r="C1942">
        <f t="shared" si="30"/>
        <v>0</v>
      </c>
      <c r="D1942" t="s">
        <v>20</v>
      </c>
      <c r="E1942">
        <v>7</v>
      </c>
      <c r="F1942">
        <v>14</v>
      </c>
      <c r="G1942">
        <v>0.4456</v>
      </c>
      <c r="H1942">
        <v>0.29310000000000003</v>
      </c>
      <c r="I1942">
        <v>43.06</v>
      </c>
    </row>
    <row r="1943" spans="1:9" x14ac:dyDescent="0.3">
      <c r="A1943">
        <f>LOOKUP(9E+307,--MID(D1943,1,{1,2,3,4,5}))</f>
        <v>10</v>
      </c>
      <c r="B1943">
        <f>VLOOKUP(MID(D1943,LOOKUP(2,1/ISNUMBER(-MID(D1943,1,{1,2,3,4,5})),{1,2,3,4,5})+1,9),'Hue codes'!$A$1:$B$10,2,FALSE)</f>
        <v>90</v>
      </c>
      <c r="C1943">
        <f t="shared" si="30"/>
        <v>0</v>
      </c>
      <c r="D1943" t="s">
        <v>20</v>
      </c>
      <c r="E1943">
        <v>7</v>
      </c>
      <c r="F1943">
        <v>16</v>
      </c>
      <c r="G1943">
        <v>0.46479999999999999</v>
      </c>
      <c r="H1943">
        <v>0.2878</v>
      </c>
      <c r="I1943">
        <v>43.06</v>
      </c>
    </row>
    <row r="1944" spans="1:9" x14ac:dyDescent="0.3">
      <c r="A1944">
        <f>LOOKUP(9E+307,--MID(D1944,1,{1,2,3,4,5}))</f>
        <v>2.5</v>
      </c>
      <c r="B1944">
        <f>VLOOKUP(MID(D1944,LOOKUP(2,1/ISNUMBER(-MID(D1944,1,{1,2,3,4,5})),{1,2,3,4,5})+1,9),'Hue codes'!$A$1:$B$10,2,FALSE)</f>
        <v>0</v>
      </c>
      <c r="C1944">
        <f t="shared" si="30"/>
        <v>2.5</v>
      </c>
      <c r="D1944" t="s">
        <v>21</v>
      </c>
      <c r="E1944">
        <v>7</v>
      </c>
      <c r="F1944">
        <v>2</v>
      </c>
      <c r="G1944">
        <v>0.32840000000000003</v>
      </c>
      <c r="H1944">
        <v>0.317</v>
      </c>
      <c r="I1944">
        <v>43.06</v>
      </c>
    </row>
    <row r="1945" spans="1:9" x14ac:dyDescent="0.3">
      <c r="A1945">
        <f>LOOKUP(9E+307,--MID(D1945,1,{1,2,3,4,5}))</f>
        <v>2.5</v>
      </c>
      <c r="B1945">
        <f>VLOOKUP(MID(D1945,LOOKUP(2,1/ISNUMBER(-MID(D1945,1,{1,2,3,4,5})),{1,2,3,4,5})+1,9),'Hue codes'!$A$1:$B$10,2,FALSE)</f>
        <v>0</v>
      </c>
      <c r="C1945">
        <f t="shared" si="30"/>
        <v>2.5</v>
      </c>
      <c r="D1945" t="s">
        <v>21</v>
      </c>
      <c r="E1945">
        <v>7</v>
      </c>
      <c r="F1945">
        <v>4</v>
      </c>
      <c r="G1945">
        <v>0.34989999999999999</v>
      </c>
      <c r="H1945">
        <v>0.31709999999999999</v>
      </c>
      <c r="I1945">
        <v>43.06</v>
      </c>
    </row>
    <row r="1946" spans="1:9" x14ac:dyDescent="0.3">
      <c r="A1946">
        <f>LOOKUP(9E+307,--MID(D1946,1,{1,2,3,4,5}))</f>
        <v>2.5</v>
      </c>
      <c r="B1946">
        <f>VLOOKUP(MID(D1946,LOOKUP(2,1/ISNUMBER(-MID(D1946,1,{1,2,3,4,5})),{1,2,3,4,5})+1,9),'Hue codes'!$A$1:$B$10,2,FALSE)</f>
        <v>0</v>
      </c>
      <c r="C1946">
        <f t="shared" si="30"/>
        <v>2.5</v>
      </c>
      <c r="D1946" t="s">
        <v>21</v>
      </c>
      <c r="E1946">
        <v>7</v>
      </c>
      <c r="F1946">
        <v>6</v>
      </c>
      <c r="G1946">
        <v>0.37280000000000002</v>
      </c>
      <c r="H1946">
        <v>0.317</v>
      </c>
      <c r="I1946">
        <v>43.06</v>
      </c>
    </row>
    <row r="1947" spans="1:9" x14ac:dyDescent="0.3">
      <c r="A1947">
        <f>LOOKUP(9E+307,--MID(D1947,1,{1,2,3,4,5}))</f>
        <v>2.5</v>
      </c>
      <c r="B1947">
        <f>VLOOKUP(MID(D1947,LOOKUP(2,1/ISNUMBER(-MID(D1947,1,{1,2,3,4,5})),{1,2,3,4,5})+1,9),'Hue codes'!$A$1:$B$10,2,FALSE)</f>
        <v>0</v>
      </c>
      <c r="C1947">
        <f t="shared" si="30"/>
        <v>2.5</v>
      </c>
      <c r="D1947" t="s">
        <v>21</v>
      </c>
      <c r="E1947">
        <v>7</v>
      </c>
      <c r="F1947">
        <v>8</v>
      </c>
      <c r="G1947">
        <v>0.39610000000000001</v>
      </c>
      <c r="H1947">
        <v>0.316</v>
      </c>
      <c r="I1947">
        <v>43.06</v>
      </c>
    </row>
    <row r="1948" spans="1:9" x14ac:dyDescent="0.3">
      <c r="A1948">
        <f>LOOKUP(9E+307,--MID(D1948,1,{1,2,3,4,5}))</f>
        <v>2.5</v>
      </c>
      <c r="B1948">
        <f>VLOOKUP(MID(D1948,LOOKUP(2,1/ISNUMBER(-MID(D1948,1,{1,2,3,4,5})),{1,2,3,4,5})+1,9),'Hue codes'!$A$1:$B$10,2,FALSE)</f>
        <v>0</v>
      </c>
      <c r="C1948">
        <f t="shared" si="30"/>
        <v>2.5</v>
      </c>
      <c r="D1948" t="s">
        <v>21</v>
      </c>
      <c r="E1948">
        <v>7</v>
      </c>
      <c r="F1948">
        <v>10</v>
      </c>
      <c r="G1948">
        <v>0.41830000000000001</v>
      </c>
      <c r="H1948">
        <v>0.31440000000000001</v>
      </c>
      <c r="I1948">
        <v>43.06</v>
      </c>
    </row>
    <row r="1949" spans="1:9" x14ac:dyDescent="0.3">
      <c r="A1949">
        <f>LOOKUP(9E+307,--MID(D1949,1,{1,2,3,4,5}))</f>
        <v>2.5</v>
      </c>
      <c r="B1949">
        <f>VLOOKUP(MID(D1949,LOOKUP(2,1/ISNUMBER(-MID(D1949,1,{1,2,3,4,5})),{1,2,3,4,5})+1,9),'Hue codes'!$A$1:$B$10,2,FALSE)</f>
        <v>0</v>
      </c>
      <c r="C1949">
        <f t="shared" si="30"/>
        <v>2.5</v>
      </c>
      <c r="D1949" t="s">
        <v>21</v>
      </c>
      <c r="E1949">
        <v>7</v>
      </c>
      <c r="F1949">
        <v>12</v>
      </c>
      <c r="G1949">
        <v>0.44350000000000001</v>
      </c>
      <c r="H1949">
        <v>0.31190000000000001</v>
      </c>
      <c r="I1949">
        <v>43.06</v>
      </c>
    </row>
    <row r="1950" spans="1:9" x14ac:dyDescent="0.3">
      <c r="A1950">
        <f>LOOKUP(9E+307,--MID(D1950,1,{1,2,3,4,5}))</f>
        <v>2.5</v>
      </c>
      <c r="B1950">
        <f>VLOOKUP(MID(D1950,LOOKUP(2,1/ISNUMBER(-MID(D1950,1,{1,2,3,4,5})),{1,2,3,4,5})+1,9),'Hue codes'!$A$1:$B$10,2,FALSE)</f>
        <v>0</v>
      </c>
      <c r="C1950">
        <f t="shared" si="30"/>
        <v>2.5</v>
      </c>
      <c r="D1950" t="s">
        <v>21</v>
      </c>
      <c r="E1950">
        <v>7</v>
      </c>
      <c r="F1950">
        <v>14</v>
      </c>
      <c r="G1950">
        <v>0.46600000000000003</v>
      </c>
      <c r="H1950">
        <v>0.30819999999999997</v>
      </c>
      <c r="I1950">
        <v>43.06</v>
      </c>
    </row>
    <row r="1951" spans="1:9" x14ac:dyDescent="0.3">
      <c r="A1951">
        <f>LOOKUP(9E+307,--MID(D1951,1,{1,2,3,4,5}))</f>
        <v>2.5</v>
      </c>
      <c r="B1951">
        <f>VLOOKUP(MID(D1951,LOOKUP(2,1/ISNUMBER(-MID(D1951,1,{1,2,3,4,5})),{1,2,3,4,5})+1,9),'Hue codes'!$A$1:$B$10,2,FALSE)</f>
        <v>0</v>
      </c>
      <c r="C1951">
        <f t="shared" si="30"/>
        <v>2.5</v>
      </c>
      <c r="D1951" t="s">
        <v>21</v>
      </c>
      <c r="E1951">
        <v>7</v>
      </c>
      <c r="F1951">
        <v>16</v>
      </c>
      <c r="G1951">
        <v>0.48849999999999999</v>
      </c>
      <c r="H1951">
        <v>0.3039</v>
      </c>
      <c r="I1951">
        <v>43.06</v>
      </c>
    </row>
    <row r="1952" spans="1:9" x14ac:dyDescent="0.3">
      <c r="A1952">
        <f>LOOKUP(9E+307,--MID(D1952,1,{1,2,3,4,5}))</f>
        <v>5</v>
      </c>
      <c r="B1952">
        <f>VLOOKUP(MID(D1952,LOOKUP(2,1/ISNUMBER(-MID(D1952,1,{1,2,3,4,5})),{1,2,3,4,5})+1,9),'Hue codes'!$A$1:$B$10,2,FALSE)</f>
        <v>0</v>
      </c>
      <c r="C1952">
        <f t="shared" si="30"/>
        <v>5</v>
      </c>
      <c r="D1952" t="s">
        <v>22</v>
      </c>
      <c r="E1952">
        <v>7</v>
      </c>
      <c r="F1952">
        <v>2</v>
      </c>
      <c r="G1952">
        <v>0.3306</v>
      </c>
      <c r="H1952">
        <v>0.31900000000000001</v>
      </c>
      <c r="I1952">
        <v>43.06</v>
      </c>
    </row>
    <row r="1953" spans="1:9" x14ac:dyDescent="0.3">
      <c r="A1953">
        <f>LOOKUP(9E+307,--MID(D1953,1,{1,2,3,4,5}))</f>
        <v>5</v>
      </c>
      <c r="B1953">
        <f>VLOOKUP(MID(D1953,LOOKUP(2,1/ISNUMBER(-MID(D1953,1,{1,2,3,4,5})),{1,2,3,4,5})+1,9),'Hue codes'!$A$1:$B$10,2,FALSE)</f>
        <v>0</v>
      </c>
      <c r="C1953">
        <f t="shared" si="30"/>
        <v>5</v>
      </c>
      <c r="D1953" t="s">
        <v>22</v>
      </c>
      <c r="E1953">
        <v>7</v>
      </c>
      <c r="F1953">
        <v>4</v>
      </c>
      <c r="G1953">
        <v>0.35520000000000002</v>
      </c>
      <c r="H1953">
        <v>0.32219999999999999</v>
      </c>
      <c r="I1953">
        <v>43.06</v>
      </c>
    </row>
    <row r="1954" spans="1:9" x14ac:dyDescent="0.3">
      <c r="A1954">
        <f>LOOKUP(9E+307,--MID(D1954,1,{1,2,3,4,5}))</f>
        <v>5</v>
      </c>
      <c r="B1954">
        <f>VLOOKUP(MID(D1954,LOOKUP(2,1/ISNUMBER(-MID(D1954,1,{1,2,3,4,5})),{1,2,3,4,5})+1,9),'Hue codes'!$A$1:$B$10,2,FALSE)</f>
        <v>0</v>
      </c>
      <c r="C1954">
        <f t="shared" si="30"/>
        <v>5</v>
      </c>
      <c r="D1954" t="s">
        <v>22</v>
      </c>
      <c r="E1954">
        <v>7</v>
      </c>
      <c r="F1954">
        <v>6</v>
      </c>
      <c r="G1954">
        <v>0.3805</v>
      </c>
      <c r="H1954">
        <v>0.32440000000000002</v>
      </c>
      <c r="I1954">
        <v>43.06</v>
      </c>
    </row>
    <row r="1955" spans="1:9" x14ac:dyDescent="0.3">
      <c r="A1955">
        <f>LOOKUP(9E+307,--MID(D1955,1,{1,2,3,4,5}))</f>
        <v>5</v>
      </c>
      <c r="B1955">
        <f>VLOOKUP(MID(D1955,LOOKUP(2,1/ISNUMBER(-MID(D1955,1,{1,2,3,4,5})),{1,2,3,4,5})+1,9),'Hue codes'!$A$1:$B$10,2,FALSE)</f>
        <v>0</v>
      </c>
      <c r="C1955">
        <f t="shared" si="30"/>
        <v>5</v>
      </c>
      <c r="D1955" t="s">
        <v>22</v>
      </c>
      <c r="E1955">
        <v>7</v>
      </c>
      <c r="F1955">
        <v>8</v>
      </c>
      <c r="G1955">
        <v>0.40670000000000001</v>
      </c>
      <c r="H1955">
        <v>0.3256</v>
      </c>
      <c r="I1955">
        <v>43.06</v>
      </c>
    </row>
    <row r="1956" spans="1:9" x14ac:dyDescent="0.3">
      <c r="A1956">
        <f>LOOKUP(9E+307,--MID(D1956,1,{1,2,3,4,5}))</f>
        <v>5</v>
      </c>
      <c r="B1956">
        <f>VLOOKUP(MID(D1956,LOOKUP(2,1/ISNUMBER(-MID(D1956,1,{1,2,3,4,5})),{1,2,3,4,5})+1,9),'Hue codes'!$A$1:$B$10,2,FALSE)</f>
        <v>0</v>
      </c>
      <c r="C1956">
        <f t="shared" si="30"/>
        <v>5</v>
      </c>
      <c r="D1956" t="s">
        <v>22</v>
      </c>
      <c r="E1956">
        <v>7</v>
      </c>
      <c r="F1956">
        <v>10</v>
      </c>
      <c r="G1956">
        <v>0.432</v>
      </c>
      <c r="H1956">
        <v>0.32600000000000001</v>
      </c>
      <c r="I1956">
        <v>43.06</v>
      </c>
    </row>
    <row r="1957" spans="1:9" x14ac:dyDescent="0.3">
      <c r="A1957">
        <f>LOOKUP(9E+307,--MID(D1957,1,{1,2,3,4,5}))</f>
        <v>5</v>
      </c>
      <c r="B1957">
        <f>VLOOKUP(MID(D1957,LOOKUP(2,1/ISNUMBER(-MID(D1957,1,{1,2,3,4,5})),{1,2,3,4,5})+1,9),'Hue codes'!$A$1:$B$10,2,FALSE)</f>
        <v>0</v>
      </c>
      <c r="C1957">
        <f t="shared" si="30"/>
        <v>5</v>
      </c>
      <c r="D1957" t="s">
        <v>22</v>
      </c>
      <c r="E1957">
        <v>7</v>
      </c>
      <c r="F1957">
        <v>12</v>
      </c>
      <c r="G1957">
        <v>0.45950000000000002</v>
      </c>
      <c r="H1957">
        <v>0.32519999999999999</v>
      </c>
      <c r="I1957">
        <v>43.06</v>
      </c>
    </row>
    <row r="1958" spans="1:9" x14ac:dyDescent="0.3">
      <c r="A1958">
        <f>LOOKUP(9E+307,--MID(D1958,1,{1,2,3,4,5}))</f>
        <v>5</v>
      </c>
      <c r="B1958">
        <f>VLOOKUP(MID(D1958,LOOKUP(2,1/ISNUMBER(-MID(D1958,1,{1,2,3,4,5})),{1,2,3,4,5})+1,9),'Hue codes'!$A$1:$B$10,2,FALSE)</f>
        <v>0</v>
      </c>
      <c r="C1958">
        <f t="shared" si="30"/>
        <v>5</v>
      </c>
      <c r="D1958" t="s">
        <v>22</v>
      </c>
      <c r="E1958">
        <v>7</v>
      </c>
      <c r="F1958">
        <v>14</v>
      </c>
      <c r="G1958">
        <v>0.48480000000000001</v>
      </c>
      <c r="H1958">
        <v>0.32379999999999998</v>
      </c>
      <c r="I1958">
        <v>43.06</v>
      </c>
    </row>
    <row r="1959" spans="1:9" x14ac:dyDescent="0.3">
      <c r="A1959">
        <f>LOOKUP(9E+307,--MID(D1959,1,{1,2,3,4,5}))</f>
        <v>7.5</v>
      </c>
      <c r="B1959">
        <f>VLOOKUP(MID(D1959,LOOKUP(2,1/ISNUMBER(-MID(D1959,1,{1,2,3,4,5})),{1,2,3,4,5})+1,9),'Hue codes'!$A$1:$B$10,2,FALSE)</f>
        <v>0</v>
      </c>
      <c r="C1959">
        <f t="shared" si="30"/>
        <v>7.5</v>
      </c>
      <c r="D1959" t="s">
        <v>23</v>
      </c>
      <c r="E1959">
        <v>7</v>
      </c>
      <c r="F1959">
        <v>2</v>
      </c>
      <c r="G1959">
        <v>0.33350000000000002</v>
      </c>
      <c r="H1959">
        <v>0.32200000000000001</v>
      </c>
      <c r="I1959">
        <v>43.06</v>
      </c>
    </row>
    <row r="1960" spans="1:9" x14ac:dyDescent="0.3">
      <c r="A1960">
        <f>LOOKUP(9E+307,--MID(D1960,1,{1,2,3,4,5}))</f>
        <v>7.5</v>
      </c>
      <c r="B1960">
        <f>VLOOKUP(MID(D1960,LOOKUP(2,1/ISNUMBER(-MID(D1960,1,{1,2,3,4,5})),{1,2,3,4,5})+1,9),'Hue codes'!$A$1:$B$10,2,FALSE)</f>
        <v>0</v>
      </c>
      <c r="C1960">
        <f t="shared" si="30"/>
        <v>7.5</v>
      </c>
      <c r="D1960" t="s">
        <v>23</v>
      </c>
      <c r="E1960">
        <v>7</v>
      </c>
      <c r="F1960">
        <v>4</v>
      </c>
      <c r="G1960">
        <v>0.36109999999999998</v>
      </c>
      <c r="H1960">
        <v>0.32819999999999999</v>
      </c>
      <c r="I1960">
        <v>43.06</v>
      </c>
    </row>
    <row r="1961" spans="1:9" x14ac:dyDescent="0.3">
      <c r="A1961">
        <f>LOOKUP(9E+307,--MID(D1961,1,{1,2,3,4,5}))</f>
        <v>7.5</v>
      </c>
      <c r="B1961">
        <f>VLOOKUP(MID(D1961,LOOKUP(2,1/ISNUMBER(-MID(D1961,1,{1,2,3,4,5})),{1,2,3,4,5})+1,9),'Hue codes'!$A$1:$B$10,2,FALSE)</f>
        <v>0</v>
      </c>
      <c r="C1961">
        <f t="shared" si="30"/>
        <v>7.5</v>
      </c>
      <c r="D1961" t="s">
        <v>23</v>
      </c>
      <c r="E1961">
        <v>7</v>
      </c>
      <c r="F1961">
        <v>6</v>
      </c>
      <c r="G1961">
        <v>0.38879999999999998</v>
      </c>
      <c r="H1961">
        <v>0.33360000000000001</v>
      </c>
      <c r="I1961">
        <v>43.06</v>
      </c>
    </row>
    <row r="1962" spans="1:9" x14ac:dyDescent="0.3">
      <c r="A1962">
        <f>LOOKUP(9E+307,--MID(D1962,1,{1,2,3,4,5}))</f>
        <v>7.5</v>
      </c>
      <c r="B1962">
        <f>VLOOKUP(MID(D1962,LOOKUP(2,1/ISNUMBER(-MID(D1962,1,{1,2,3,4,5})),{1,2,3,4,5})+1,9),'Hue codes'!$A$1:$B$10,2,FALSE)</f>
        <v>0</v>
      </c>
      <c r="C1962">
        <f t="shared" si="30"/>
        <v>7.5</v>
      </c>
      <c r="D1962" t="s">
        <v>23</v>
      </c>
      <c r="E1962">
        <v>7</v>
      </c>
      <c r="F1962">
        <v>8</v>
      </c>
      <c r="G1962">
        <v>0.41959999999999997</v>
      </c>
      <c r="H1962">
        <v>0.3382</v>
      </c>
      <c r="I1962">
        <v>43.06</v>
      </c>
    </row>
    <row r="1963" spans="1:9" x14ac:dyDescent="0.3">
      <c r="A1963">
        <f>LOOKUP(9E+307,--MID(D1963,1,{1,2,3,4,5}))</f>
        <v>7.5</v>
      </c>
      <c r="B1963">
        <f>VLOOKUP(MID(D1963,LOOKUP(2,1/ISNUMBER(-MID(D1963,1,{1,2,3,4,5})),{1,2,3,4,5})+1,9),'Hue codes'!$A$1:$B$10,2,FALSE)</f>
        <v>0</v>
      </c>
      <c r="C1963">
        <f t="shared" si="30"/>
        <v>7.5</v>
      </c>
      <c r="D1963" t="s">
        <v>23</v>
      </c>
      <c r="E1963">
        <v>7</v>
      </c>
      <c r="F1963">
        <v>10</v>
      </c>
      <c r="G1963">
        <v>0.44700000000000001</v>
      </c>
      <c r="H1963">
        <v>0.34129999999999999</v>
      </c>
      <c r="I1963">
        <v>43.06</v>
      </c>
    </row>
    <row r="1964" spans="1:9" x14ac:dyDescent="0.3">
      <c r="A1964">
        <f>LOOKUP(9E+307,--MID(D1964,1,{1,2,3,4,5}))</f>
        <v>7.5</v>
      </c>
      <c r="B1964">
        <f>VLOOKUP(MID(D1964,LOOKUP(2,1/ISNUMBER(-MID(D1964,1,{1,2,3,4,5})),{1,2,3,4,5})+1,9),'Hue codes'!$A$1:$B$10,2,FALSE)</f>
        <v>0</v>
      </c>
      <c r="C1964">
        <f t="shared" si="30"/>
        <v>7.5</v>
      </c>
      <c r="D1964" t="s">
        <v>23</v>
      </c>
      <c r="E1964">
        <v>7</v>
      </c>
      <c r="F1964">
        <v>12</v>
      </c>
      <c r="G1964">
        <v>0.47770000000000001</v>
      </c>
      <c r="H1964">
        <v>0.34350000000000003</v>
      </c>
      <c r="I1964">
        <v>43.06</v>
      </c>
    </row>
    <row r="1965" spans="1:9" x14ac:dyDescent="0.3">
      <c r="A1965">
        <f>LOOKUP(9E+307,--MID(D1965,1,{1,2,3,4,5}))</f>
        <v>7.5</v>
      </c>
      <c r="B1965">
        <f>VLOOKUP(MID(D1965,LOOKUP(2,1/ISNUMBER(-MID(D1965,1,{1,2,3,4,5})),{1,2,3,4,5})+1,9),'Hue codes'!$A$1:$B$10,2,FALSE)</f>
        <v>0</v>
      </c>
      <c r="C1965">
        <f t="shared" si="30"/>
        <v>7.5</v>
      </c>
      <c r="D1965" t="s">
        <v>23</v>
      </c>
      <c r="E1965">
        <v>7</v>
      </c>
      <c r="F1965">
        <v>14</v>
      </c>
      <c r="G1965">
        <v>0.50590000000000002</v>
      </c>
      <c r="H1965">
        <v>0.34499999999999997</v>
      </c>
      <c r="I1965">
        <v>43.06</v>
      </c>
    </row>
    <row r="1966" spans="1:9" x14ac:dyDescent="0.3">
      <c r="A1966">
        <f>LOOKUP(9E+307,--MID(D1966,1,{1,2,3,4,5}))</f>
        <v>7.5</v>
      </c>
      <c r="B1966">
        <f>VLOOKUP(MID(D1966,LOOKUP(2,1/ISNUMBER(-MID(D1966,1,{1,2,3,4,5})),{1,2,3,4,5})+1,9),'Hue codes'!$A$1:$B$10,2,FALSE)</f>
        <v>0</v>
      </c>
      <c r="C1966">
        <f t="shared" si="30"/>
        <v>7.5</v>
      </c>
      <c r="D1966" t="s">
        <v>23</v>
      </c>
      <c r="E1966">
        <v>7</v>
      </c>
      <c r="F1966">
        <v>16</v>
      </c>
      <c r="G1966">
        <v>0.53410000000000002</v>
      </c>
      <c r="H1966">
        <v>0.34520000000000001</v>
      </c>
      <c r="I1966">
        <v>43.06</v>
      </c>
    </row>
    <row r="1967" spans="1:9" x14ac:dyDescent="0.3">
      <c r="A1967">
        <f>LOOKUP(9E+307,--MID(D1967,1,{1,2,3,4,5}))</f>
        <v>10</v>
      </c>
      <c r="B1967">
        <f>VLOOKUP(MID(D1967,LOOKUP(2,1/ISNUMBER(-MID(D1967,1,{1,2,3,4,5})),{1,2,3,4,5})+1,9),'Hue codes'!$A$1:$B$10,2,FALSE)</f>
        <v>0</v>
      </c>
      <c r="C1967">
        <f t="shared" si="30"/>
        <v>10</v>
      </c>
      <c r="D1967" t="s">
        <v>24</v>
      </c>
      <c r="E1967">
        <v>7</v>
      </c>
      <c r="F1967">
        <v>2</v>
      </c>
      <c r="G1967">
        <v>0.33600000000000002</v>
      </c>
      <c r="H1967">
        <v>0.32529999999999998</v>
      </c>
      <c r="I1967">
        <v>43.06</v>
      </c>
    </row>
    <row r="1968" spans="1:9" x14ac:dyDescent="0.3">
      <c r="A1968">
        <f>LOOKUP(9E+307,--MID(D1968,1,{1,2,3,4,5}))</f>
        <v>10</v>
      </c>
      <c r="B1968">
        <f>VLOOKUP(MID(D1968,LOOKUP(2,1/ISNUMBER(-MID(D1968,1,{1,2,3,4,5})),{1,2,3,4,5})+1,9),'Hue codes'!$A$1:$B$10,2,FALSE)</f>
        <v>0</v>
      </c>
      <c r="C1968">
        <f t="shared" si="30"/>
        <v>10</v>
      </c>
      <c r="D1968" t="s">
        <v>24</v>
      </c>
      <c r="E1968">
        <v>7</v>
      </c>
      <c r="F1968">
        <v>4</v>
      </c>
      <c r="G1968">
        <v>0.36709999999999998</v>
      </c>
      <c r="H1968">
        <v>0.33600000000000002</v>
      </c>
      <c r="I1968">
        <v>43.06</v>
      </c>
    </row>
    <row r="1969" spans="1:9" x14ac:dyDescent="0.3">
      <c r="A1969">
        <f>LOOKUP(9E+307,--MID(D1969,1,{1,2,3,4,5}))</f>
        <v>10</v>
      </c>
      <c r="B1969">
        <f>VLOOKUP(MID(D1969,LOOKUP(2,1/ISNUMBER(-MID(D1969,1,{1,2,3,4,5})),{1,2,3,4,5})+1,9),'Hue codes'!$A$1:$B$10,2,FALSE)</f>
        <v>0</v>
      </c>
      <c r="C1969">
        <f t="shared" si="30"/>
        <v>10</v>
      </c>
      <c r="D1969" t="s">
        <v>24</v>
      </c>
      <c r="E1969">
        <v>7</v>
      </c>
      <c r="F1969">
        <v>6</v>
      </c>
      <c r="G1969">
        <v>0.39839999999999998</v>
      </c>
      <c r="H1969">
        <v>0.34520000000000001</v>
      </c>
      <c r="I1969">
        <v>43.06</v>
      </c>
    </row>
    <row r="1970" spans="1:9" x14ac:dyDescent="0.3">
      <c r="A1970">
        <f>LOOKUP(9E+307,--MID(D1970,1,{1,2,3,4,5}))</f>
        <v>10</v>
      </c>
      <c r="B1970">
        <f>VLOOKUP(MID(D1970,LOOKUP(2,1/ISNUMBER(-MID(D1970,1,{1,2,3,4,5})),{1,2,3,4,5})+1,9),'Hue codes'!$A$1:$B$10,2,FALSE)</f>
        <v>0</v>
      </c>
      <c r="C1970">
        <f t="shared" si="30"/>
        <v>10</v>
      </c>
      <c r="D1970" t="s">
        <v>24</v>
      </c>
      <c r="E1970">
        <v>7</v>
      </c>
      <c r="F1970">
        <v>8</v>
      </c>
      <c r="G1970">
        <v>0.43080000000000002</v>
      </c>
      <c r="H1970">
        <v>0.3533</v>
      </c>
      <c r="I1970">
        <v>43.06</v>
      </c>
    </row>
    <row r="1971" spans="1:9" x14ac:dyDescent="0.3">
      <c r="A1971">
        <f>LOOKUP(9E+307,--MID(D1971,1,{1,2,3,4,5}))</f>
        <v>10</v>
      </c>
      <c r="B1971">
        <f>VLOOKUP(MID(D1971,LOOKUP(2,1/ISNUMBER(-MID(D1971,1,{1,2,3,4,5})),{1,2,3,4,5})+1,9),'Hue codes'!$A$1:$B$10,2,FALSE)</f>
        <v>0</v>
      </c>
      <c r="C1971">
        <f t="shared" si="30"/>
        <v>10</v>
      </c>
      <c r="D1971" t="s">
        <v>24</v>
      </c>
      <c r="E1971">
        <v>7</v>
      </c>
      <c r="F1971">
        <v>10</v>
      </c>
      <c r="G1971">
        <v>0.46</v>
      </c>
      <c r="H1971">
        <v>0.35959999999999998</v>
      </c>
      <c r="I1971">
        <v>43.06</v>
      </c>
    </row>
    <row r="1972" spans="1:9" x14ac:dyDescent="0.3">
      <c r="A1972">
        <f>LOOKUP(9E+307,--MID(D1972,1,{1,2,3,4,5}))</f>
        <v>10</v>
      </c>
      <c r="B1972">
        <f>VLOOKUP(MID(D1972,LOOKUP(2,1/ISNUMBER(-MID(D1972,1,{1,2,3,4,5})),{1,2,3,4,5})+1,9),'Hue codes'!$A$1:$B$10,2,FALSE)</f>
        <v>0</v>
      </c>
      <c r="C1972">
        <f t="shared" si="30"/>
        <v>10</v>
      </c>
      <c r="D1972" t="s">
        <v>24</v>
      </c>
      <c r="E1972">
        <v>7</v>
      </c>
      <c r="F1972">
        <v>12</v>
      </c>
      <c r="G1972">
        <v>0.49299999999999999</v>
      </c>
      <c r="H1972">
        <v>0.3659</v>
      </c>
      <c r="I1972">
        <v>43.06</v>
      </c>
    </row>
    <row r="1973" spans="1:9" x14ac:dyDescent="0.3">
      <c r="A1973">
        <f>LOOKUP(9E+307,--MID(D1973,1,{1,2,3,4,5}))</f>
        <v>10</v>
      </c>
      <c r="B1973">
        <f>VLOOKUP(MID(D1973,LOOKUP(2,1/ISNUMBER(-MID(D1973,1,{1,2,3,4,5})),{1,2,3,4,5})+1,9),'Hue codes'!$A$1:$B$10,2,FALSE)</f>
        <v>0</v>
      </c>
      <c r="C1973">
        <f t="shared" si="30"/>
        <v>10</v>
      </c>
      <c r="D1973" t="s">
        <v>24</v>
      </c>
      <c r="E1973">
        <v>7</v>
      </c>
      <c r="F1973">
        <v>14</v>
      </c>
      <c r="G1973">
        <v>0.52339999999999998</v>
      </c>
      <c r="H1973">
        <v>0.37</v>
      </c>
      <c r="I1973">
        <v>43.06</v>
      </c>
    </row>
    <row r="1974" spans="1:9" x14ac:dyDescent="0.3">
      <c r="A1974">
        <f>LOOKUP(9E+307,--MID(D1974,1,{1,2,3,4,5}))</f>
        <v>10</v>
      </c>
      <c r="B1974">
        <f>VLOOKUP(MID(D1974,LOOKUP(2,1/ISNUMBER(-MID(D1974,1,{1,2,3,4,5})),{1,2,3,4,5})+1,9),'Hue codes'!$A$1:$B$10,2,FALSE)</f>
        <v>0</v>
      </c>
      <c r="C1974">
        <f t="shared" si="30"/>
        <v>10</v>
      </c>
      <c r="D1974" t="s">
        <v>24</v>
      </c>
      <c r="E1974">
        <v>7</v>
      </c>
      <c r="F1974">
        <v>16</v>
      </c>
      <c r="G1974">
        <v>0.55189999999999995</v>
      </c>
      <c r="H1974">
        <v>0.37290000000000001</v>
      </c>
      <c r="I1974">
        <v>43.06</v>
      </c>
    </row>
    <row r="1975" spans="1:9" x14ac:dyDescent="0.3">
      <c r="A1975">
        <f>LOOKUP(9E+307,--MID(D1975,1,{1,2,3,4,5}))</f>
        <v>2.5</v>
      </c>
      <c r="B1975">
        <f>VLOOKUP(MID(D1975,LOOKUP(2,1/ISNUMBER(-MID(D1975,1,{1,2,3,4,5})),{1,2,3,4,5})+1,9),'Hue codes'!$A$1:$B$10,2,FALSE)</f>
        <v>10</v>
      </c>
      <c r="C1975">
        <f t="shared" si="30"/>
        <v>12.5</v>
      </c>
      <c r="D1975" t="s">
        <v>25</v>
      </c>
      <c r="E1975">
        <v>7</v>
      </c>
      <c r="F1975">
        <v>2</v>
      </c>
      <c r="G1975">
        <v>0.3392</v>
      </c>
      <c r="H1975">
        <v>0.32979999999999998</v>
      </c>
      <c r="I1975">
        <v>43.06</v>
      </c>
    </row>
    <row r="1976" spans="1:9" x14ac:dyDescent="0.3">
      <c r="A1976">
        <f>LOOKUP(9E+307,--MID(D1976,1,{1,2,3,4,5}))</f>
        <v>2.5</v>
      </c>
      <c r="B1976">
        <f>VLOOKUP(MID(D1976,LOOKUP(2,1/ISNUMBER(-MID(D1976,1,{1,2,3,4,5})),{1,2,3,4,5})+1,9),'Hue codes'!$A$1:$B$10,2,FALSE)</f>
        <v>10</v>
      </c>
      <c r="C1976">
        <f t="shared" si="30"/>
        <v>12.5</v>
      </c>
      <c r="D1976" t="s">
        <v>25</v>
      </c>
      <c r="E1976">
        <v>7</v>
      </c>
      <c r="F1976">
        <v>4</v>
      </c>
      <c r="G1976">
        <v>0.3715</v>
      </c>
      <c r="H1976">
        <v>0.34389999999999998</v>
      </c>
      <c r="I1976">
        <v>43.06</v>
      </c>
    </row>
    <row r="1977" spans="1:9" x14ac:dyDescent="0.3">
      <c r="A1977">
        <f>LOOKUP(9E+307,--MID(D1977,1,{1,2,3,4,5}))</f>
        <v>2.5</v>
      </c>
      <c r="B1977">
        <f>VLOOKUP(MID(D1977,LOOKUP(2,1/ISNUMBER(-MID(D1977,1,{1,2,3,4,5})),{1,2,3,4,5})+1,9),'Hue codes'!$A$1:$B$10,2,FALSE)</f>
        <v>10</v>
      </c>
      <c r="C1977">
        <f t="shared" si="30"/>
        <v>12.5</v>
      </c>
      <c r="D1977" t="s">
        <v>25</v>
      </c>
      <c r="E1977">
        <v>7</v>
      </c>
      <c r="F1977">
        <v>6</v>
      </c>
      <c r="G1977">
        <v>0.40529999999999999</v>
      </c>
      <c r="H1977">
        <v>0.35699999999999998</v>
      </c>
      <c r="I1977">
        <v>43.06</v>
      </c>
    </row>
    <row r="1978" spans="1:9" x14ac:dyDescent="0.3">
      <c r="A1978">
        <f>LOOKUP(9E+307,--MID(D1978,1,{1,2,3,4,5}))</f>
        <v>2.5</v>
      </c>
      <c r="B1978">
        <f>VLOOKUP(MID(D1978,LOOKUP(2,1/ISNUMBER(-MID(D1978,1,{1,2,3,4,5})),{1,2,3,4,5})+1,9),'Hue codes'!$A$1:$B$10,2,FALSE)</f>
        <v>10</v>
      </c>
      <c r="C1978">
        <f t="shared" si="30"/>
        <v>12.5</v>
      </c>
      <c r="D1978" t="s">
        <v>25</v>
      </c>
      <c r="E1978">
        <v>7</v>
      </c>
      <c r="F1978">
        <v>8</v>
      </c>
      <c r="G1978">
        <v>0.43709999999999999</v>
      </c>
      <c r="H1978">
        <v>0.3679</v>
      </c>
      <c r="I1978">
        <v>43.06</v>
      </c>
    </row>
    <row r="1979" spans="1:9" x14ac:dyDescent="0.3">
      <c r="A1979">
        <f>LOOKUP(9E+307,--MID(D1979,1,{1,2,3,4,5}))</f>
        <v>2.5</v>
      </c>
      <c r="B1979">
        <f>VLOOKUP(MID(D1979,LOOKUP(2,1/ISNUMBER(-MID(D1979,1,{1,2,3,4,5})),{1,2,3,4,5})+1,9),'Hue codes'!$A$1:$B$10,2,FALSE)</f>
        <v>10</v>
      </c>
      <c r="C1979">
        <f t="shared" si="30"/>
        <v>12.5</v>
      </c>
      <c r="D1979" t="s">
        <v>25</v>
      </c>
      <c r="E1979">
        <v>7</v>
      </c>
      <c r="F1979">
        <v>10</v>
      </c>
      <c r="G1979">
        <v>0.46710000000000002</v>
      </c>
      <c r="H1979">
        <v>0.37680000000000002</v>
      </c>
      <c r="I1979">
        <v>43.06</v>
      </c>
    </row>
    <row r="1980" spans="1:9" x14ac:dyDescent="0.3">
      <c r="A1980">
        <f>LOOKUP(9E+307,--MID(D1980,1,{1,2,3,4,5}))</f>
        <v>2.5</v>
      </c>
      <c r="B1980">
        <f>VLOOKUP(MID(D1980,LOOKUP(2,1/ISNUMBER(-MID(D1980,1,{1,2,3,4,5})),{1,2,3,4,5})+1,9),'Hue codes'!$A$1:$B$10,2,FALSE)</f>
        <v>10</v>
      </c>
      <c r="C1980">
        <f t="shared" si="30"/>
        <v>12.5</v>
      </c>
      <c r="D1980" t="s">
        <v>25</v>
      </c>
      <c r="E1980">
        <v>7</v>
      </c>
      <c r="F1980">
        <v>12</v>
      </c>
      <c r="G1980">
        <v>0.50009999999999999</v>
      </c>
      <c r="H1980">
        <v>0.3861</v>
      </c>
      <c r="I1980">
        <v>43.06</v>
      </c>
    </row>
    <row r="1981" spans="1:9" x14ac:dyDescent="0.3">
      <c r="A1981">
        <f>LOOKUP(9E+307,--MID(D1981,1,{1,2,3,4,5}))</f>
        <v>2.5</v>
      </c>
      <c r="B1981">
        <f>VLOOKUP(MID(D1981,LOOKUP(2,1/ISNUMBER(-MID(D1981,1,{1,2,3,4,5})),{1,2,3,4,5})+1,9),'Hue codes'!$A$1:$B$10,2,FALSE)</f>
        <v>10</v>
      </c>
      <c r="C1981">
        <f t="shared" si="30"/>
        <v>12.5</v>
      </c>
      <c r="D1981" t="s">
        <v>25</v>
      </c>
      <c r="E1981">
        <v>7</v>
      </c>
      <c r="F1981">
        <v>14</v>
      </c>
      <c r="G1981">
        <v>0.52969999999999995</v>
      </c>
      <c r="H1981">
        <v>0.39379999999999998</v>
      </c>
      <c r="I1981">
        <v>43.06</v>
      </c>
    </row>
    <row r="1982" spans="1:9" x14ac:dyDescent="0.3">
      <c r="A1982">
        <f>LOOKUP(9E+307,--MID(D1982,1,{1,2,3,4,5}))</f>
        <v>2.5</v>
      </c>
      <c r="B1982">
        <f>VLOOKUP(MID(D1982,LOOKUP(2,1/ISNUMBER(-MID(D1982,1,{1,2,3,4,5})),{1,2,3,4,5})+1,9),'Hue codes'!$A$1:$B$10,2,FALSE)</f>
        <v>10</v>
      </c>
      <c r="C1982">
        <f t="shared" si="30"/>
        <v>12.5</v>
      </c>
      <c r="D1982" t="s">
        <v>25</v>
      </c>
      <c r="E1982">
        <v>7</v>
      </c>
      <c r="F1982">
        <v>16</v>
      </c>
      <c r="G1982">
        <v>0.55220000000000002</v>
      </c>
      <c r="H1982">
        <v>0.39889999999999998</v>
      </c>
      <c r="I1982">
        <v>43.06</v>
      </c>
    </row>
    <row r="1983" spans="1:9" x14ac:dyDescent="0.3">
      <c r="A1983">
        <f>LOOKUP(9E+307,--MID(D1983,1,{1,2,3,4,5}))</f>
        <v>2.5</v>
      </c>
      <c r="B1983">
        <f>VLOOKUP(MID(D1983,LOOKUP(2,1/ISNUMBER(-MID(D1983,1,{1,2,3,4,5})),{1,2,3,4,5})+1,9),'Hue codes'!$A$1:$B$10,2,FALSE)</f>
        <v>10</v>
      </c>
      <c r="C1983">
        <f t="shared" si="30"/>
        <v>12.5</v>
      </c>
      <c r="D1983" t="s">
        <v>25</v>
      </c>
      <c r="E1983">
        <v>7</v>
      </c>
      <c r="F1983">
        <v>18</v>
      </c>
      <c r="G1983">
        <v>0.56950000000000001</v>
      </c>
      <c r="H1983">
        <v>0.40239999999999998</v>
      </c>
      <c r="I1983">
        <v>43.06</v>
      </c>
    </row>
    <row r="1984" spans="1:9" x14ac:dyDescent="0.3">
      <c r="A1984">
        <f>LOOKUP(9E+307,--MID(D1984,1,{1,2,3,4,5}))</f>
        <v>2.5</v>
      </c>
      <c r="B1984">
        <f>VLOOKUP(MID(D1984,LOOKUP(2,1/ISNUMBER(-MID(D1984,1,{1,2,3,4,5})),{1,2,3,4,5})+1,9),'Hue codes'!$A$1:$B$10,2,FALSE)</f>
        <v>10</v>
      </c>
      <c r="C1984">
        <f t="shared" si="30"/>
        <v>12.5</v>
      </c>
      <c r="D1984" t="s">
        <v>25</v>
      </c>
      <c r="E1984">
        <v>7</v>
      </c>
      <c r="F1984">
        <v>20</v>
      </c>
      <c r="G1984">
        <v>0.58240000000000003</v>
      </c>
      <c r="H1984">
        <v>0.40460000000000002</v>
      </c>
      <c r="I1984">
        <v>43.06</v>
      </c>
    </row>
    <row r="1985" spans="1:9" x14ac:dyDescent="0.3">
      <c r="A1985">
        <f>LOOKUP(9E+307,--MID(D1985,1,{1,2,3,4,5}))</f>
        <v>5</v>
      </c>
      <c r="B1985">
        <f>VLOOKUP(MID(D1985,LOOKUP(2,1/ISNUMBER(-MID(D1985,1,{1,2,3,4,5})),{1,2,3,4,5})+1,9),'Hue codes'!$A$1:$B$10,2,FALSE)</f>
        <v>10</v>
      </c>
      <c r="C1985">
        <f t="shared" si="30"/>
        <v>15</v>
      </c>
      <c r="D1985" t="s">
        <v>26</v>
      </c>
      <c r="E1985">
        <v>7</v>
      </c>
      <c r="F1985">
        <v>2</v>
      </c>
      <c r="G1985">
        <v>0.34210000000000002</v>
      </c>
      <c r="H1985">
        <v>0.33489999999999998</v>
      </c>
      <c r="I1985">
        <v>43.06</v>
      </c>
    </row>
    <row r="1986" spans="1:9" x14ac:dyDescent="0.3">
      <c r="A1986">
        <f>LOOKUP(9E+307,--MID(D1986,1,{1,2,3,4,5}))</f>
        <v>5</v>
      </c>
      <c r="B1986">
        <f>VLOOKUP(MID(D1986,LOOKUP(2,1/ISNUMBER(-MID(D1986,1,{1,2,3,4,5})),{1,2,3,4,5})+1,9),'Hue codes'!$A$1:$B$10,2,FALSE)</f>
        <v>10</v>
      </c>
      <c r="C1986">
        <f t="shared" si="30"/>
        <v>15</v>
      </c>
      <c r="D1986" t="s">
        <v>26</v>
      </c>
      <c r="E1986">
        <v>7</v>
      </c>
      <c r="F1986">
        <v>4</v>
      </c>
      <c r="G1986">
        <v>0.375</v>
      </c>
      <c r="H1986">
        <v>0.35299999999999998</v>
      </c>
      <c r="I1986">
        <v>43.06</v>
      </c>
    </row>
    <row r="1987" spans="1:9" x14ac:dyDescent="0.3">
      <c r="A1987">
        <f>LOOKUP(9E+307,--MID(D1987,1,{1,2,3,4,5}))</f>
        <v>5</v>
      </c>
      <c r="B1987">
        <f>VLOOKUP(MID(D1987,LOOKUP(2,1/ISNUMBER(-MID(D1987,1,{1,2,3,4,5})),{1,2,3,4,5})+1,9),'Hue codes'!$A$1:$B$10,2,FALSE)</f>
        <v>10</v>
      </c>
      <c r="C1987">
        <f t="shared" ref="C1987:C2050" si="31">IF(A1987+B1987=100,0,A1987+B1987)</f>
        <v>15</v>
      </c>
      <c r="D1987" t="s">
        <v>26</v>
      </c>
      <c r="E1987">
        <v>7</v>
      </c>
      <c r="F1987">
        <v>6</v>
      </c>
      <c r="G1987">
        <v>0.40910000000000002</v>
      </c>
      <c r="H1987">
        <v>0.37009999999999998</v>
      </c>
      <c r="I1987">
        <v>43.06</v>
      </c>
    </row>
    <row r="1988" spans="1:9" x14ac:dyDescent="0.3">
      <c r="A1988">
        <f>LOOKUP(9E+307,--MID(D1988,1,{1,2,3,4,5}))</f>
        <v>5</v>
      </c>
      <c r="B1988">
        <f>VLOOKUP(MID(D1988,LOOKUP(2,1/ISNUMBER(-MID(D1988,1,{1,2,3,4,5})),{1,2,3,4,5})+1,9),'Hue codes'!$A$1:$B$10,2,FALSE)</f>
        <v>10</v>
      </c>
      <c r="C1988">
        <f t="shared" si="31"/>
        <v>15</v>
      </c>
      <c r="D1988" t="s">
        <v>26</v>
      </c>
      <c r="E1988">
        <v>7</v>
      </c>
      <c r="F1988">
        <v>8</v>
      </c>
      <c r="G1988">
        <v>0.44019999999999998</v>
      </c>
      <c r="H1988">
        <v>0.38419999999999999</v>
      </c>
      <c r="I1988">
        <v>43.06</v>
      </c>
    </row>
    <row r="1989" spans="1:9" x14ac:dyDescent="0.3">
      <c r="A1989">
        <f>LOOKUP(9E+307,--MID(D1989,1,{1,2,3,4,5}))</f>
        <v>5</v>
      </c>
      <c r="B1989">
        <f>VLOOKUP(MID(D1989,LOOKUP(2,1/ISNUMBER(-MID(D1989,1,{1,2,3,4,5})),{1,2,3,4,5})+1,9),'Hue codes'!$A$1:$B$10,2,FALSE)</f>
        <v>10</v>
      </c>
      <c r="C1989">
        <f t="shared" si="31"/>
        <v>15</v>
      </c>
      <c r="D1989" t="s">
        <v>26</v>
      </c>
      <c r="E1989">
        <v>7</v>
      </c>
      <c r="F1989">
        <v>10</v>
      </c>
      <c r="G1989">
        <v>0.47110000000000002</v>
      </c>
      <c r="H1989">
        <v>0.3972</v>
      </c>
      <c r="I1989">
        <v>43.06</v>
      </c>
    </row>
    <row r="1990" spans="1:9" x14ac:dyDescent="0.3">
      <c r="A1990">
        <f>LOOKUP(9E+307,--MID(D1990,1,{1,2,3,4,5}))</f>
        <v>5</v>
      </c>
      <c r="B1990">
        <f>VLOOKUP(MID(D1990,LOOKUP(2,1/ISNUMBER(-MID(D1990,1,{1,2,3,4,5})),{1,2,3,4,5})+1,9),'Hue codes'!$A$1:$B$10,2,FALSE)</f>
        <v>10</v>
      </c>
      <c r="C1990">
        <f t="shared" si="31"/>
        <v>15</v>
      </c>
      <c r="D1990" t="s">
        <v>26</v>
      </c>
      <c r="E1990">
        <v>7</v>
      </c>
      <c r="F1990">
        <v>12</v>
      </c>
      <c r="G1990">
        <v>0.50070000000000003</v>
      </c>
      <c r="H1990">
        <v>0.40810000000000002</v>
      </c>
      <c r="I1990">
        <v>43.06</v>
      </c>
    </row>
    <row r="1991" spans="1:9" x14ac:dyDescent="0.3">
      <c r="A1991">
        <f>LOOKUP(9E+307,--MID(D1991,1,{1,2,3,4,5}))</f>
        <v>5</v>
      </c>
      <c r="B1991">
        <f>VLOOKUP(MID(D1991,LOOKUP(2,1/ISNUMBER(-MID(D1991,1,{1,2,3,4,5})),{1,2,3,4,5})+1,9),'Hue codes'!$A$1:$B$10,2,FALSE)</f>
        <v>10</v>
      </c>
      <c r="C1991">
        <f t="shared" si="31"/>
        <v>15</v>
      </c>
      <c r="D1991" t="s">
        <v>26</v>
      </c>
      <c r="E1991">
        <v>7</v>
      </c>
      <c r="F1991">
        <v>14</v>
      </c>
      <c r="G1991">
        <v>0.5252</v>
      </c>
      <c r="H1991">
        <v>0.4168</v>
      </c>
      <c r="I1991">
        <v>43.06</v>
      </c>
    </row>
    <row r="1992" spans="1:9" x14ac:dyDescent="0.3">
      <c r="A1992">
        <f>LOOKUP(9E+307,--MID(D1992,1,{1,2,3,4,5}))</f>
        <v>5</v>
      </c>
      <c r="B1992">
        <f>VLOOKUP(MID(D1992,LOOKUP(2,1/ISNUMBER(-MID(D1992,1,{1,2,3,4,5})),{1,2,3,4,5})+1,9),'Hue codes'!$A$1:$B$10,2,FALSE)</f>
        <v>10</v>
      </c>
      <c r="C1992">
        <f t="shared" si="31"/>
        <v>15</v>
      </c>
      <c r="D1992" t="s">
        <v>26</v>
      </c>
      <c r="E1992">
        <v>7</v>
      </c>
      <c r="F1992">
        <v>16</v>
      </c>
      <c r="G1992">
        <v>0.54369999999999996</v>
      </c>
      <c r="H1992">
        <v>0.42280000000000001</v>
      </c>
      <c r="I1992">
        <v>43.06</v>
      </c>
    </row>
    <row r="1993" spans="1:9" x14ac:dyDescent="0.3">
      <c r="A1993">
        <f>LOOKUP(9E+307,--MID(D1993,1,{1,2,3,4,5}))</f>
        <v>5</v>
      </c>
      <c r="B1993">
        <f>VLOOKUP(MID(D1993,LOOKUP(2,1/ISNUMBER(-MID(D1993,1,{1,2,3,4,5})),{1,2,3,4,5})+1,9),'Hue codes'!$A$1:$B$10,2,FALSE)</f>
        <v>10</v>
      </c>
      <c r="C1993">
        <f t="shared" si="31"/>
        <v>15</v>
      </c>
      <c r="D1993" t="s">
        <v>26</v>
      </c>
      <c r="E1993">
        <v>7</v>
      </c>
      <c r="F1993">
        <v>18</v>
      </c>
      <c r="G1993">
        <v>0.55640000000000001</v>
      </c>
      <c r="H1993">
        <v>0.42670000000000002</v>
      </c>
      <c r="I1993">
        <v>43.06</v>
      </c>
    </row>
    <row r="1994" spans="1:9" x14ac:dyDescent="0.3">
      <c r="A1994">
        <f>LOOKUP(9E+307,--MID(D1994,1,{1,2,3,4,5}))</f>
        <v>5</v>
      </c>
      <c r="B1994">
        <f>VLOOKUP(MID(D1994,LOOKUP(2,1/ISNUMBER(-MID(D1994,1,{1,2,3,4,5})),{1,2,3,4,5})+1,9),'Hue codes'!$A$1:$B$10,2,FALSE)</f>
        <v>10</v>
      </c>
      <c r="C1994">
        <f t="shared" si="31"/>
        <v>15</v>
      </c>
      <c r="D1994" t="s">
        <v>26</v>
      </c>
      <c r="E1994">
        <v>7</v>
      </c>
      <c r="F1994">
        <v>20</v>
      </c>
      <c r="G1994">
        <v>0.56569999999999998</v>
      </c>
      <c r="H1994">
        <v>0.42980000000000002</v>
      </c>
      <c r="I1994">
        <v>43.06</v>
      </c>
    </row>
    <row r="1995" spans="1:9" x14ac:dyDescent="0.3">
      <c r="A1995">
        <f>LOOKUP(9E+307,--MID(D1995,1,{1,2,3,4,5}))</f>
        <v>7.5</v>
      </c>
      <c r="B1995">
        <f>VLOOKUP(MID(D1995,LOOKUP(2,1/ISNUMBER(-MID(D1995,1,{1,2,3,4,5})),{1,2,3,4,5})+1,9),'Hue codes'!$A$1:$B$10,2,FALSE)</f>
        <v>10</v>
      </c>
      <c r="C1995">
        <f t="shared" si="31"/>
        <v>17.5</v>
      </c>
      <c r="D1995" t="s">
        <v>27</v>
      </c>
      <c r="E1995">
        <v>7</v>
      </c>
      <c r="F1995">
        <v>2</v>
      </c>
      <c r="G1995">
        <v>0.34370000000000001</v>
      </c>
      <c r="H1995">
        <v>0.3397</v>
      </c>
      <c r="I1995">
        <v>43.06</v>
      </c>
    </row>
    <row r="1996" spans="1:9" x14ac:dyDescent="0.3">
      <c r="A1996">
        <f>LOOKUP(9E+307,--MID(D1996,1,{1,2,3,4,5}))</f>
        <v>7.5</v>
      </c>
      <c r="B1996">
        <f>VLOOKUP(MID(D1996,LOOKUP(2,1/ISNUMBER(-MID(D1996,1,{1,2,3,4,5})),{1,2,3,4,5})+1,9),'Hue codes'!$A$1:$B$10,2,FALSE)</f>
        <v>10</v>
      </c>
      <c r="C1996">
        <f t="shared" si="31"/>
        <v>17.5</v>
      </c>
      <c r="D1996" t="s">
        <v>27</v>
      </c>
      <c r="E1996">
        <v>7</v>
      </c>
      <c r="F1996">
        <v>4</v>
      </c>
      <c r="G1996">
        <v>0.37719999999999998</v>
      </c>
      <c r="H1996">
        <v>0.36130000000000001</v>
      </c>
      <c r="I1996">
        <v>43.06</v>
      </c>
    </row>
    <row r="1997" spans="1:9" x14ac:dyDescent="0.3">
      <c r="A1997">
        <f>LOOKUP(9E+307,--MID(D1997,1,{1,2,3,4,5}))</f>
        <v>7.5</v>
      </c>
      <c r="B1997">
        <f>VLOOKUP(MID(D1997,LOOKUP(2,1/ISNUMBER(-MID(D1997,1,{1,2,3,4,5})),{1,2,3,4,5})+1,9),'Hue codes'!$A$1:$B$10,2,FALSE)</f>
        <v>10</v>
      </c>
      <c r="C1997">
        <f t="shared" si="31"/>
        <v>17.5</v>
      </c>
      <c r="D1997" t="s">
        <v>27</v>
      </c>
      <c r="E1997">
        <v>7</v>
      </c>
      <c r="F1997">
        <v>6</v>
      </c>
      <c r="G1997">
        <v>0.41070000000000001</v>
      </c>
      <c r="H1997">
        <v>0.38200000000000001</v>
      </c>
      <c r="I1997">
        <v>43.06</v>
      </c>
    </row>
    <row r="1998" spans="1:9" x14ac:dyDescent="0.3">
      <c r="A1998">
        <f>LOOKUP(9E+307,--MID(D1998,1,{1,2,3,4,5}))</f>
        <v>7.5</v>
      </c>
      <c r="B1998">
        <f>VLOOKUP(MID(D1998,LOOKUP(2,1/ISNUMBER(-MID(D1998,1,{1,2,3,4,5})),{1,2,3,4,5})+1,9),'Hue codes'!$A$1:$B$10,2,FALSE)</f>
        <v>10</v>
      </c>
      <c r="C1998">
        <f t="shared" si="31"/>
        <v>17.5</v>
      </c>
      <c r="D1998" t="s">
        <v>27</v>
      </c>
      <c r="E1998">
        <v>7</v>
      </c>
      <c r="F1998">
        <v>8</v>
      </c>
      <c r="G1998">
        <v>0.4415</v>
      </c>
      <c r="H1998">
        <v>0.39960000000000001</v>
      </c>
      <c r="I1998">
        <v>43.06</v>
      </c>
    </row>
    <row r="1999" spans="1:9" x14ac:dyDescent="0.3">
      <c r="A1999">
        <f>LOOKUP(9E+307,--MID(D1999,1,{1,2,3,4,5}))</f>
        <v>7.5</v>
      </c>
      <c r="B1999">
        <f>VLOOKUP(MID(D1999,LOOKUP(2,1/ISNUMBER(-MID(D1999,1,{1,2,3,4,5})),{1,2,3,4,5})+1,9),'Hue codes'!$A$1:$B$10,2,FALSE)</f>
        <v>10</v>
      </c>
      <c r="C1999">
        <f t="shared" si="31"/>
        <v>17.5</v>
      </c>
      <c r="D1999" t="s">
        <v>27</v>
      </c>
      <c r="E1999">
        <v>7</v>
      </c>
      <c r="F1999">
        <v>10</v>
      </c>
      <c r="G1999">
        <v>0.47039999999999998</v>
      </c>
      <c r="H1999">
        <v>0.41510000000000002</v>
      </c>
      <c r="I1999">
        <v>43.06</v>
      </c>
    </row>
    <row r="2000" spans="1:9" x14ac:dyDescent="0.3">
      <c r="A2000">
        <f>LOOKUP(9E+307,--MID(D2000,1,{1,2,3,4,5}))</f>
        <v>7.5</v>
      </c>
      <c r="B2000">
        <f>VLOOKUP(MID(D2000,LOOKUP(2,1/ISNUMBER(-MID(D2000,1,{1,2,3,4,5})),{1,2,3,4,5})+1,9),'Hue codes'!$A$1:$B$10,2,FALSE)</f>
        <v>10</v>
      </c>
      <c r="C2000">
        <f t="shared" si="31"/>
        <v>17.5</v>
      </c>
      <c r="D2000" t="s">
        <v>27</v>
      </c>
      <c r="E2000">
        <v>7</v>
      </c>
      <c r="F2000">
        <v>12</v>
      </c>
      <c r="G2000">
        <v>0.497</v>
      </c>
      <c r="H2000">
        <v>0.42820000000000003</v>
      </c>
      <c r="I2000">
        <v>43.06</v>
      </c>
    </row>
    <row r="2001" spans="1:9" x14ac:dyDescent="0.3">
      <c r="A2001">
        <f>LOOKUP(9E+307,--MID(D2001,1,{1,2,3,4,5}))</f>
        <v>7.5</v>
      </c>
      <c r="B2001">
        <f>VLOOKUP(MID(D2001,LOOKUP(2,1/ISNUMBER(-MID(D2001,1,{1,2,3,4,5})),{1,2,3,4,5})+1,9),'Hue codes'!$A$1:$B$10,2,FALSE)</f>
        <v>10</v>
      </c>
      <c r="C2001">
        <f t="shared" si="31"/>
        <v>17.5</v>
      </c>
      <c r="D2001" t="s">
        <v>27</v>
      </c>
      <c r="E2001">
        <v>7</v>
      </c>
      <c r="F2001">
        <v>14</v>
      </c>
      <c r="G2001">
        <v>0.51739999999999997</v>
      </c>
      <c r="H2001">
        <v>0.43809999999999999</v>
      </c>
      <c r="I2001">
        <v>43.06</v>
      </c>
    </row>
    <row r="2002" spans="1:9" x14ac:dyDescent="0.3">
      <c r="A2002">
        <f>LOOKUP(9E+307,--MID(D2002,1,{1,2,3,4,5}))</f>
        <v>7.5</v>
      </c>
      <c r="B2002">
        <f>VLOOKUP(MID(D2002,LOOKUP(2,1/ISNUMBER(-MID(D2002,1,{1,2,3,4,5})),{1,2,3,4,5})+1,9),'Hue codes'!$A$1:$B$10,2,FALSE)</f>
        <v>10</v>
      </c>
      <c r="C2002">
        <f t="shared" si="31"/>
        <v>17.5</v>
      </c>
      <c r="D2002" t="s">
        <v>27</v>
      </c>
      <c r="E2002">
        <v>7</v>
      </c>
      <c r="F2002">
        <v>16</v>
      </c>
      <c r="G2002">
        <v>0.53190000000000004</v>
      </c>
      <c r="H2002">
        <v>0.44490000000000002</v>
      </c>
      <c r="I2002">
        <v>43.06</v>
      </c>
    </row>
    <row r="2003" spans="1:9" x14ac:dyDescent="0.3">
      <c r="A2003">
        <f>LOOKUP(9E+307,--MID(D2003,1,{1,2,3,4,5}))</f>
        <v>7.5</v>
      </c>
      <c r="B2003">
        <f>VLOOKUP(MID(D2003,LOOKUP(2,1/ISNUMBER(-MID(D2003,1,{1,2,3,4,5})),{1,2,3,4,5})+1,9),'Hue codes'!$A$1:$B$10,2,FALSE)</f>
        <v>10</v>
      </c>
      <c r="C2003">
        <f t="shared" si="31"/>
        <v>17.5</v>
      </c>
      <c r="D2003" t="s">
        <v>27</v>
      </c>
      <c r="E2003">
        <v>7</v>
      </c>
      <c r="F2003">
        <v>18</v>
      </c>
      <c r="G2003">
        <v>0.54169999999999996</v>
      </c>
      <c r="H2003">
        <v>0.44919999999999999</v>
      </c>
      <c r="I2003">
        <v>43.06</v>
      </c>
    </row>
    <row r="2004" spans="1:9" x14ac:dyDescent="0.3">
      <c r="A2004">
        <f>LOOKUP(9E+307,--MID(D2004,1,{1,2,3,4,5}))</f>
        <v>10</v>
      </c>
      <c r="B2004">
        <f>VLOOKUP(MID(D2004,LOOKUP(2,1/ISNUMBER(-MID(D2004,1,{1,2,3,4,5})),{1,2,3,4,5})+1,9),'Hue codes'!$A$1:$B$10,2,FALSE)</f>
        <v>10</v>
      </c>
      <c r="C2004">
        <f t="shared" si="31"/>
        <v>20</v>
      </c>
      <c r="D2004" t="s">
        <v>28</v>
      </c>
      <c r="E2004">
        <v>7</v>
      </c>
      <c r="F2004">
        <v>2</v>
      </c>
      <c r="G2004">
        <v>0.34429999999999999</v>
      </c>
      <c r="H2004">
        <v>0.34539999999999998</v>
      </c>
      <c r="I2004">
        <v>43.06</v>
      </c>
    </row>
    <row r="2005" spans="1:9" x14ac:dyDescent="0.3">
      <c r="A2005">
        <f>LOOKUP(9E+307,--MID(D2005,1,{1,2,3,4,5}))</f>
        <v>10</v>
      </c>
      <c r="B2005">
        <f>VLOOKUP(MID(D2005,LOOKUP(2,1/ISNUMBER(-MID(D2005,1,{1,2,3,4,5})),{1,2,3,4,5})+1,9),'Hue codes'!$A$1:$B$10,2,FALSE)</f>
        <v>10</v>
      </c>
      <c r="C2005">
        <f t="shared" si="31"/>
        <v>20</v>
      </c>
      <c r="D2005" t="s">
        <v>28</v>
      </c>
      <c r="E2005">
        <v>7</v>
      </c>
      <c r="F2005">
        <v>4</v>
      </c>
      <c r="G2005">
        <v>0.37780000000000002</v>
      </c>
      <c r="H2005">
        <v>0.37190000000000001</v>
      </c>
      <c r="I2005">
        <v>43.06</v>
      </c>
    </row>
    <row r="2006" spans="1:9" x14ac:dyDescent="0.3">
      <c r="A2006">
        <f>LOOKUP(9E+307,--MID(D2006,1,{1,2,3,4,5}))</f>
        <v>10</v>
      </c>
      <c r="B2006">
        <f>VLOOKUP(MID(D2006,LOOKUP(2,1/ISNUMBER(-MID(D2006,1,{1,2,3,4,5})),{1,2,3,4,5})+1,9),'Hue codes'!$A$1:$B$10,2,FALSE)</f>
        <v>10</v>
      </c>
      <c r="C2006">
        <f t="shared" si="31"/>
        <v>20</v>
      </c>
      <c r="D2006" t="s">
        <v>28</v>
      </c>
      <c r="E2006">
        <v>7</v>
      </c>
      <c r="F2006">
        <v>6</v>
      </c>
      <c r="G2006">
        <v>0.41020000000000001</v>
      </c>
      <c r="H2006">
        <v>0.39600000000000002</v>
      </c>
      <c r="I2006">
        <v>43.06</v>
      </c>
    </row>
    <row r="2007" spans="1:9" x14ac:dyDescent="0.3">
      <c r="A2007">
        <f>LOOKUP(9E+307,--MID(D2007,1,{1,2,3,4,5}))</f>
        <v>10</v>
      </c>
      <c r="B2007">
        <f>VLOOKUP(MID(D2007,LOOKUP(2,1/ISNUMBER(-MID(D2007,1,{1,2,3,4,5})),{1,2,3,4,5})+1,9),'Hue codes'!$A$1:$B$10,2,FALSE)</f>
        <v>10</v>
      </c>
      <c r="C2007">
        <f t="shared" si="31"/>
        <v>20</v>
      </c>
      <c r="D2007" t="s">
        <v>28</v>
      </c>
      <c r="E2007">
        <v>7</v>
      </c>
      <c r="F2007">
        <v>8</v>
      </c>
      <c r="G2007">
        <v>0.43990000000000001</v>
      </c>
      <c r="H2007">
        <v>0.41639999999999999</v>
      </c>
      <c r="I2007">
        <v>43.06</v>
      </c>
    </row>
    <row r="2008" spans="1:9" x14ac:dyDescent="0.3">
      <c r="A2008">
        <f>LOOKUP(9E+307,--MID(D2008,1,{1,2,3,4,5}))</f>
        <v>10</v>
      </c>
      <c r="B2008">
        <f>VLOOKUP(MID(D2008,LOOKUP(2,1/ISNUMBER(-MID(D2008,1,{1,2,3,4,5})),{1,2,3,4,5})+1,9),'Hue codes'!$A$1:$B$10,2,FALSE)</f>
        <v>10</v>
      </c>
      <c r="C2008">
        <f t="shared" si="31"/>
        <v>20</v>
      </c>
      <c r="D2008" t="s">
        <v>28</v>
      </c>
      <c r="E2008">
        <v>7</v>
      </c>
      <c r="F2008">
        <v>10</v>
      </c>
      <c r="G2008">
        <v>0.4667</v>
      </c>
      <c r="H2008">
        <v>0.4335</v>
      </c>
      <c r="I2008">
        <v>43.06</v>
      </c>
    </row>
    <row r="2009" spans="1:9" x14ac:dyDescent="0.3">
      <c r="A2009">
        <f>LOOKUP(9E+307,--MID(D2009,1,{1,2,3,4,5}))</f>
        <v>10</v>
      </c>
      <c r="B2009">
        <f>VLOOKUP(MID(D2009,LOOKUP(2,1/ISNUMBER(-MID(D2009,1,{1,2,3,4,5})),{1,2,3,4,5})+1,9),'Hue codes'!$A$1:$B$10,2,FALSE)</f>
        <v>10</v>
      </c>
      <c r="C2009">
        <f t="shared" si="31"/>
        <v>20</v>
      </c>
      <c r="D2009" t="s">
        <v>28</v>
      </c>
      <c r="E2009">
        <v>7</v>
      </c>
      <c r="F2009">
        <v>12</v>
      </c>
      <c r="G2009">
        <v>0.49</v>
      </c>
      <c r="H2009">
        <v>0.44800000000000001</v>
      </c>
      <c r="I2009">
        <v>43.06</v>
      </c>
    </row>
    <row r="2010" spans="1:9" x14ac:dyDescent="0.3">
      <c r="A2010">
        <f>LOOKUP(9E+307,--MID(D2010,1,{1,2,3,4,5}))</f>
        <v>10</v>
      </c>
      <c r="B2010">
        <f>VLOOKUP(MID(D2010,LOOKUP(2,1/ISNUMBER(-MID(D2010,1,{1,2,3,4,5})),{1,2,3,4,5})+1,9),'Hue codes'!$A$1:$B$10,2,FALSE)</f>
        <v>10</v>
      </c>
      <c r="C2010">
        <f t="shared" si="31"/>
        <v>20</v>
      </c>
      <c r="D2010" t="s">
        <v>28</v>
      </c>
      <c r="E2010">
        <v>7</v>
      </c>
      <c r="F2010">
        <v>14</v>
      </c>
      <c r="G2010">
        <v>0.50739999999999996</v>
      </c>
      <c r="H2010">
        <v>0.45810000000000001</v>
      </c>
      <c r="I2010">
        <v>43.06</v>
      </c>
    </row>
    <row r="2011" spans="1:9" x14ac:dyDescent="0.3">
      <c r="A2011">
        <f>LOOKUP(9E+307,--MID(D2011,1,{1,2,3,4,5}))</f>
        <v>10</v>
      </c>
      <c r="B2011">
        <f>VLOOKUP(MID(D2011,LOOKUP(2,1/ISNUMBER(-MID(D2011,1,{1,2,3,4,5})),{1,2,3,4,5})+1,9),'Hue codes'!$A$1:$B$10,2,FALSE)</f>
        <v>10</v>
      </c>
      <c r="C2011">
        <f t="shared" si="31"/>
        <v>20</v>
      </c>
      <c r="D2011" t="s">
        <v>28</v>
      </c>
      <c r="E2011">
        <v>7</v>
      </c>
      <c r="F2011">
        <v>16</v>
      </c>
      <c r="G2011">
        <v>0.51880000000000004</v>
      </c>
      <c r="H2011">
        <v>0.46500000000000002</v>
      </c>
      <c r="I2011">
        <v>43.06</v>
      </c>
    </row>
    <row r="2012" spans="1:9" x14ac:dyDescent="0.3">
      <c r="A2012">
        <f>LOOKUP(9E+307,--MID(D2012,1,{1,2,3,4,5}))</f>
        <v>10</v>
      </c>
      <c r="B2012">
        <f>VLOOKUP(MID(D2012,LOOKUP(2,1/ISNUMBER(-MID(D2012,1,{1,2,3,4,5})),{1,2,3,4,5})+1,9),'Hue codes'!$A$1:$B$10,2,FALSE)</f>
        <v>10</v>
      </c>
      <c r="C2012">
        <f t="shared" si="31"/>
        <v>20</v>
      </c>
      <c r="D2012" t="s">
        <v>28</v>
      </c>
      <c r="E2012">
        <v>7</v>
      </c>
      <c r="F2012">
        <v>18</v>
      </c>
      <c r="G2012">
        <v>0.52759999999999996</v>
      </c>
      <c r="H2012">
        <v>0.47</v>
      </c>
      <c r="I2012">
        <v>43.06</v>
      </c>
    </row>
    <row r="2013" spans="1:9" x14ac:dyDescent="0.3">
      <c r="A2013">
        <f>LOOKUP(9E+307,--MID(D2013,1,{1,2,3,4,5}))</f>
        <v>2.5</v>
      </c>
      <c r="B2013">
        <f>VLOOKUP(MID(D2013,LOOKUP(2,1/ISNUMBER(-MID(D2013,1,{1,2,3,4,5})),{1,2,3,4,5})+1,9),'Hue codes'!$A$1:$B$10,2,FALSE)</f>
        <v>20</v>
      </c>
      <c r="C2013">
        <f t="shared" si="31"/>
        <v>22.5</v>
      </c>
      <c r="D2013" t="s">
        <v>29</v>
      </c>
      <c r="E2013">
        <v>7</v>
      </c>
      <c r="F2013">
        <v>2</v>
      </c>
      <c r="G2013">
        <v>0.34360000000000002</v>
      </c>
      <c r="H2013">
        <v>0.35070000000000001</v>
      </c>
      <c r="I2013">
        <v>43.06</v>
      </c>
    </row>
    <row r="2014" spans="1:9" x14ac:dyDescent="0.3">
      <c r="A2014">
        <f>LOOKUP(9E+307,--MID(D2014,1,{1,2,3,4,5}))</f>
        <v>2.5</v>
      </c>
      <c r="B2014">
        <f>VLOOKUP(MID(D2014,LOOKUP(2,1/ISNUMBER(-MID(D2014,1,{1,2,3,4,5})),{1,2,3,4,5})+1,9),'Hue codes'!$A$1:$B$10,2,FALSE)</f>
        <v>20</v>
      </c>
      <c r="C2014">
        <f t="shared" si="31"/>
        <v>22.5</v>
      </c>
      <c r="D2014" t="s">
        <v>29</v>
      </c>
      <c r="E2014">
        <v>7</v>
      </c>
      <c r="F2014">
        <v>4</v>
      </c>
      <c r="G2014">
        <v>0.37609999999999999</v>
      </c>
      <c r="H2014">
        <v>0.38</v>
      </c>
      <c r="I2014">
        <v>43.06</v>
      </c>
    </row>
    <row r="2015" spans="1:9" x14ac:dyDescent="0.3">
      <c r="A2015">
        <f>LOOKUP(9E+307,--MID(D2015,1,{1,2,3,4,5}))</f>
        <v>2.5</v>
      </c>
      <c r="B2015">
        <f>VLOOKUP(MID(D2015,LOOKUP(2,1/ISNUMBER(-MID(D2015,1,{1,2,3,4,5})),{1,2,3,4,5})+1,9),'Hue codes'!$A$1:$B$10,2,FALSE)</f>
        <v>20</v>
      </c>
      <c r="C2015">
        <f t="shared" si="31"/>
        <v>22.5</v>
      </c>
      <c r="D2015" t="s">
        <v>29</v>
      </c>
      <c r="E2015">
        <v>7</v>
      </c>
      <c r="F2015">
        <v>6</v>
      </c>
      <c r="G2015">
        <v>0.4073</v>
      </c>
      <c r="H2015">
        <v>0.4073</v>
      </c>
      <c r="I2015">
        <v>43.06</v>
      </c>
    </row>
    <row r="2016" spans="1:9" x14ac:dyDescent="0.3">
      <c r="A2016">
        <f>LOOKUP(9E+307,--MID(D2016,1,{1,2,3,4,5}))</f>
        <v>2.5</v>
      </c>
      <c r="B2016">
        <f>VLOOKUP(MID(D2016,LOOKUP(2,1/ISNUMBER(-MID(D2016,1,{1,2,3,4,5})),{1,2,3,4,5})+1,9),'Hue codes'!$A$1:$B$10,2,FALSE)</f>
        <v>20</v>
      </c>
      <c r="C2016">
        <f t="shared" si="31"/>
        <v>22.5</v>
      </c>
      <c r="D2016" t="s">
        <v>29</v>
      </c>
      <c r="E2016">
        <v>7</v>
      </c>
      <c r="F2016">
        <v>8</v>
      </c>
      <c r="G2016">
        <v>0.43530000000000002</v>
      </c>
      <c r="H2016">
        <v>0.43120000000000003</v>
      </c>
      <c r="I2016">
        <v>43.06</v>
      </c>
    </row>
    <row r="2017" spans="1:9" x14ac:dyDescent="0.3">
      <c r="A2017">
        <f>LOOKUP(9E+307,--MID(D2017,1,{1,2,3,4,5}))</f>
        <v>2.5</v>
      </c>
      <c r="B2017">
        <f>VLOOKUP(MID(D2017,LOOKUP(2,1/ISNUMBER(-MID(D2017,1,{1,2,3,4,5})),{1,2,3,4,5})+1,9),'Hue codes'!$A$1:$B$10,2,FALSE)</f>
        <v>20</v>
      </c>
      <c r="C2017">
        <f t="shared" si="31"/>
        <v>22.5</v>
      </c>
      <c r="D2017" t="s">
        <v>29</v>
      </c>
      <c r="E2017">
        <v>7</v>
      </c>
      <c r="F2017">
        <v>10</v>
      </c>
      <c r="G2017">
        <v>0.46060000000000001</v>
      </c>
      <c r="H2017">
        <v>0.4516</v>
      </c>
      <c r="I2017">
        <v>43.06</v>
      </c>
    </row>
    <row r="2018" spans="1:9" x14ac:dyDescent="0.3">
      <c r="A2018">
        <f>LOOKUP(9E+307,--MID(D2018,1,{1,2,3,4,5}))</f>
        <v>2.5</v>
      </c>
      <c r="B2018">
        <f>VLOOKUP(MID(D2018,LOOKUP(2,1/ISNUMBER(-MID(D2018,1,{1,2,3,4,5})),{1,2,3,4,5})+1,9),'Hue codes'!$A$1:$B$10,2,FALSE)</f>
        <v>20</v>
      </c>
      <c r="C2018">
        <f t="shared" si="31"/>
        <v>22.5</v>
      </c>
      <c r="D2018" t="s">
        <v>29</v>
      </c>
      <c r="E2018">
        <v>7</v>
      </c>
      <c r="F2018">
        <v>12</v>
      </c>
      <c r="G2018">
        <v>0.48060000000000003</v>
      </c>
      <c r="H2018">
        <v>0.46660000000000001</v>
      </c>
      <c r="I2018">
        <v>43.06</v>
      </c>
    </row>
    <row r="2019" spans="1:9" x14ac:dyDescent="0.3">
      <c r="A2019">
        <f>LOOKUP(9E+307,--MID(D2019,1,{1,2,3,4,5}))</f>
        <v>2.5</v>
      </c>
      <c r="B2019">
        <f>VLOOKUP(MID(D2019,LOOKUP(2,1/ISNUMBER(-MID(D2019,1,{1,2,3,4,5})),{1,2,3,4,5})+1,9),'Hue codes'!$A$1:$B$10,2,FALSE)</f>
        <v>20</v>
      </c>
      <c r="C2019">
        <f t="shared" si="31"/>
        <v>22.5</v>
      </c>
      <c r="D2019" t="s">
        <v>29</v>
      </c>
      <c r="E2019">
        <v>7</v>
      </c>
      <c r="F2019">
        <v>14</v>
      </c>
      <c r="G2019">
        <v>0.495</v>
      </c>
      <c r="H2019">
        <v>0.4773</v>
      </c>
      <c r="I2019">
        <v>43.06</v>
      </c>
    </row>
    <row r="2020" spans="1:9" x14ac:dyDescent="0.3">
      <c r="A2020">
        <f>LOOKUP(9E+307,--MID(D2020,1,{1,2,3,4,5}))</f>
        <v>2.5</v>
      </c>
      <c r="B2020">
        <f>VLOOKUP(MID(D2020,LOOKUP(2,1/ISNUMBER(-MID(D2020,1,{1,2,3,4,5})),{1,2,3,4,5})+1,9),'Hue codes'!$A$1:$B$10,2,FALSE)</f>
        <v>20</v>
      </c>
      <c r="C2020">
        <f t="shared" si="31"/>
        <v>22.5</v>
      </c>
      <c r="D2020" t="s">
        <v>29</v>
      </c>
      <c r="E2020">
        <v>7</v>
      </c>
      <c r="F2020">
        <v>16</v>
      </c>
      <c r="G2020">
        <v>0.50490000000000002</v>
      </c>
      <c r="H2020">
        <v>0.48430000000000001</v>
      </c>
      <c r="I2020">
        <v>43.06</v>
      </c>
    </row>
    <row r="2021" spans="1:9" x14ac:dyDescent="0.3">
      <c r="A2021">
        <f>LOOKUP(9E+307,--MID(D2021,1,{1,2,3,4,5}))</f>
        <v>5</v>
      </c>
      <c r="B2021">
        <f>VLOOKUP(MID(D2021,LOOKUP(2,1/ISNUMBER(-MID(D2021,1,{1,2,3,4,5})),{1,2,3,4,5})+1,9),'Hue codes'!$A$1:$B$10,2,FALSE)</f>
        <v>20</v>
      </c>
      <c r="C2021">
        <f t="shared" si="31"/>
        <v>25</v>
      </c>
      <c r="D2021" t="s">
        <v>30</v>
      </c>
      <c r="E2021">
        <v>7</v>
      </c>
      <c r="F2021">
        <v>2</v>
      </c>
      <c r="G2021">
        <v>0.34189999999999998</v>
      </c>
      <c r="H2021">
        <v>0.35399999999999998</v>
      </c>
      <c r="I2021">
        <v>43.06</v>
      </c>
    </row>
    <row r="2022" spans="1:9" x14ac:dyDescent="0.3">
      <c r="A2022">
        <f>LOOKUP(9E+307,--MID(D2022,1,{1,2,3,4,5}))</f>
        <v>5</v>
      </c>
      <c r="B2022">
        <f>VLOOKUP(MID(D2022,LOOKUP(2,1/ISNUMBER(-MID(D2022,1,{1,2,3,4,5})),{1,2,3,4,5})+1,9),'Hue codes'!$A$1:$B$10,2,FALSE)</f>
        <v>20</v>
      </c>
      <c r="C2022">
        <f t="shared" si="31"/>
        <v>25</v>
      </c>
      <c r="D2022" t="s">
        <v>30</v>
      </c>
      <c r="E2022">
        <v>7</v>
      </c>
      <c r="F2022">
        <v>4</v>
      </c>
      <c r="G2022">
        <v>0.37180000000000002</v>
      </c>
      <c r="H2022">
        <v>0.38850000000000001</v>
      </c>
      <c r="I2022">
        <v>43.06</v>
      </c>
    </row>
    <row r="2023" spans="1:9" x14ac:dyDescent="0.3">
      <c r="A2023">
        <f>LOOKUP(9E+307,--MID(D2023,1,{1,2,3,4,5}))</f>
        <v>5</v>
      </c>
      <c r="B2023">
        <f>VLOOKUP(MID(D2023,LOOKUP(2,1/ISNUMBER(-MID(D2023,1,{1,2,3,4,5})),{1,2,3,4,5})+1,9),'Hue codes'!$A$1:$B$10,2,FALSE)</f>
        <v>20</v>
      </c>
      <c r="C2023">
        <f t="shared" si="31"/>
        <v>25</v>
      </c>
      <c r="D2023" t="s">
        <v>30</v>
      </c>
      <c r="E2023">
        <v>7</v>
      </c>
      <c r="F2023">
        <v>6</v>
      </c>
      <c r="G2023">
        <v>0.40089999999999998</v>
      </c>
      <c r="H2023">
        <v>0.41980000000000001</v>
      </c>
      <c r="I2023">
        <v>43.06</v>
      </c>
    </row>
    <row r="2024" spans="1:9" x14ac:dyDescent="0.3">
      <c r="A2024">
        <f>LOOKUP(9E+307,--MID(D2024,1,{1,2,3,4,5}))</f>
        <v>5</v>
      </c>
      <c r="B2024">
        <f>VLOOKUP(MID(D2024,LOOKUP(2,1/ISNUMBER(-MID(D2024,1,{1,2,3,4,5})),{1,2,3,4,5})+1,9),'Hue codes'!$A$1:$B$10,2,FALSE)</f>
        <v>20</v>
      </c>
      <c r="C2024">
        <f t="shared" si="31"/>
        <v>25</v>
      </c>
      <c r="D2024" t="s">
        <v>30</v>
      </c>
      <c r="E2024">
        <v>7</v>
      </c>
      <c r="F2024">
        <v>8</v>
      </c>
      <c r="G2024">
        <v>0.42709999999999998</v>
      </c>
      <c r="H2024">
        <v>0.44619999999999999</v>
      </c>
      <c r="I2024">
        <v>43.06</v>
      </c>
    </row>
    <row r="2025" spans="1:9" x14ac:dyDescent="0.3">
      <c r="A2025">
        <f>LOOKUP(9E+307,--MID(D2025,1,{1,2,3,4,5}))</f>
        <v>5</v>
      </c>
      <c r="B2025">
        <f>VLOOKUP(MID(D2025,LOOKUP(2,1/ISNUMBER(-MID(D2025,1,{1,2,3,4,5})),{1,2,3,4,5})+1,9),'Hue codes'!$A$1:$B$10,2,FALSE)</f>
        <v>20</v>
      </c>
      <c r="C2025">
        <f t="shared" si="31"/>
        <v>25</v>
      </c>
      <c r="D2025" t="s">
        <v>30</v>
      </c>
      <c r="E2025">
        <v>7</v>
      </c>
      <c r="F2025">
        <v>10</v>
      </c>
      <c r="G2025">
        <v>0.45090000000000002</v>
      </c>
      <c r="H2025">
        <v>0.46960000000000002</v>
      </c>
      <c r="I2025">
        <v>43.06</v>
      </c>
    </row>
    <row r="2026" spans="1:9" x14ac:dyDescent="0.3">
      <c r="A2026">
        <f>LOOKUP(9E+307,--MID(D2026,1,{1,2,3,4,5}))</f>
        <v>5</v>
      </c>
      <c r="B2026">
        <f>VLOOKUP(MID(D2026,LOOKUP(2,1/ISNUMBER(-MID(D2026,1,{1,2,3,4,5})),{1,2,3,4,5})+1,9),'Hue codes'!$A$1:$B$10,2,FALSE)</f>
        <v>20</v>
      </c>
      <c r="C2026">
        <f t="shared" si="31"/>
        <v>25</v>
      </c>
      <c r="D2026" t="s">
        <v>30</v>
      </c>
      <c r="E2026">
        <v>7</v>
      </c>
      <c r="F2026">
        <v>12</v>
      </c>
      <c r="G2026">
        <v>0.4677</v>
      </c>
      <c r="H2026">
        <v>0.48570000000000002</v>
      </c>
      <c r="I2026">
        <v>43.06</v>
      </c>
    </row>
    <row r="2027" spans="1:9" x14ac:dyDescent="0.3">
      <c r="A2027">
        <f>LOOKUP(9E+307,--MID(D2027,1,{1,2,3,4,5}))</f>
        <v>5</v>
      </c>
      <c r="B2027">
        <f>VLOOKUP(MID(D2027,LOOKUP(2,1/ISNUMBER(-MID(D2027,1,{1,2,3,4,5})),{1,2,3,4,5})+1,9),'Hue codes'!$A$1:$B$10,2,FALSE)</f>
        <v>20</v>
      </c>
      <c r="C2027">
        <f t="shared" si="31"/>
        <v>25</v>
      </c>
      <c r="D2027" t="s">
        <v>30</v>
      </c>
      <c r="E2027">
        <v>7</v>
      </c>
      <c r="F2027">
        <v>14</v>
      </c>
      <c r="G2027">
        <v>0.47910000000000003</v>
      </c>
      <c r="H2027">
        <v>0.4965</v>
      </c>
      <c r="I2027">
        <v>43.06</v>
      </c>
    </row>
    <row r="2028" spans="1:9" x14ac:dyDescent="0.3">
      <c r="A2028">
        <f>LOOKUP(9E+307,--MID(D2028,1,{1,2,3,4,5}))</f>
        <v>5</v>
      </c>
      <c r="B2028">
        <f>VLOOKUP(MID(D2028,LOOKUP(2,1/ISNUMBER(-MID(D2028,1,{1,2,3,4,5})),{1,2,3,4,5})+1,9),'Hue codes'!$A$1:$B$10,2,FALSE)</f>
        <v>20</v>
      </c>
      <c r="C2028">
        <f t="shared" si="31"/>
        <v>25</v>
      </c>
      <c r="D2028" t="s">
        <v>30</v>
      </c>
      <c r="E2028">
        <v>7</v>
      </c>
      <c r="F2028">
        <v>16</v>
      </c>
      <c r="G2028">
        <v>0.48749999999999999</v>
      </c>
      <c r="H2028">
        <v>0.50470000000000004</v>
      </c>
      <c r="I2028">
        <v>43.06</v>
      </c>
    </row>
    <row r="2029" spans="1:9" x14ac:dyDescent="0.3">
      <c r="A2029">
        <f>LOOKUP(9E+307,--MID(D2029,1,{1,2,3,4,5}))</f>
        <v>7.5</v>
      </c>
      <c r="B2029">
        <f>VLOOKUP(MID(D2029,LOOKUP(2,1/ISNUMBER(-MID(D2029,1,{1,2,3,4,5})),{1,2,3,4,5})+1,9),'Hue codes'!$A$1:$B$10,2,FALSE)</f>
        <v>20</v>
      </c>
      <c r="C2029">
        <f t="shared" si="31"/>
        <v>27.5</v>
      </c>
      <c r="D2029" t="s">
        <v>31</v>
      </c>
      <c r="E2029">
        <v>7</v>
      </c>
      <c r="F2029">
        <v>2</v>
      </c>
      <c r="G2029">
        <v>0.33960000000000001</v>
      </c>
      <c r="H2029">
        <v>0.35580000000000001</v>
      </c>
      <c r="I2029">
        <v>43.06</v>
      </c>
    </row>
    <row r="2030" spans="1:9" x14ac:dyDescent="0.3">
      <c r="A2030">
        <f>LOOKUP(9E+307,--MID(D2030,1,{1,2,3,4,5}))</f>
        <v>7.5</v>
      </c>
      <c r="B2030">
        <f>VLOOKUP(MID(D2030,LOOKUP(2,1/ISNUMBER(-MID(D2030,1,{1,2,3,4,5})),{1,2,3,4,5})+1,9),'Hue codes'!$A$1:$B$10,2,FALSE)</f>
        <v>20</v>
      </c>
      <c r="C2030">
        <f t="shared" si="31"/>
        <v>27.5</v>
      </c>
      <c r="D2030" t="s">
        <v>31</v>
      </c>
      <c r="E2030">
        <v>7</v>
      </c>
      <c r="F2030">
        <v>4</v>
      </c>
      <c r="G2030">
        <v>0.36770000000000003</v>
      </c>
      <c r="H2030">
        <v>0.39250000000000002</v>
      </c>
      <c r="I2030">
        <v>43.06</v>
      </c>
    </row>
    <row r="2031" spans="1:9" x14ac:dyDescent="0.3">
      <c r="A2031">
        <f>LOOKUP(9E+307,--MID(D2031,1,{1,2,3,4,5}))</f>
        <v>7.5</v>
      </c>
      <c r="B2031">
        <f>VLOOKUP(MID(D2031,LOOKUP(2,1/ISNUMBER(-MID(D2031,1,{1,2,3,4,5})),{1,2,3,4,5})+1,9),'Hue codes'!$A$1:$B$10,2,FALSE)</f>
        <v>20</v>
      </c>
      <c r="C2031">
        <f t="shared" si="31"/>
        <v>27.5</v>
      </c>
      <c r="D2031" t="s">
        <v>31</v>
      </c>
      <c r="E2031">
        <v>7</v>
      </c>
      <c r="F2031">
        <v>6</v>
      </c>
      <c r="G2031">
        <v>0.39429999999999998</v>
      </c>
      <c r="H2031">
        <v>0.4264</v>
      </c>
      <c r="I2031">
        <v>43.06</v>
      </c>
    </row>
    <row r="2032" spans="1:9" x14ac:dyDescent="0.3">
      <c r="A2032">
        <f>LOOKUP(9E+307,--MID(D2032,1,{1,2,3,4,5}))</f>
        <v>7.5</v>
      </c>
      <c r="B2032">
        <f>VLOOKUP(MID(D2032,LOOKUP(2,1/ISNUMBER(-MID(D2032,1,{1,2,3,4,5})),{1,2,3,4,5})+1,9),'Hue codes'!$A$1:$B$10,2,FALSE)</f>
        <v>20</v>
      </c>
      <c r="C2032">
        <f t="shared" si="31"/>
        <v>27.5</v>
      </c>
      <c r="D2032" t="s">
        <v>31</v>
      </c>
      <c r="E2032">
        <v>7</v>
      </c>
      <c r="F2032">
        <v>8</v>
      </c>
      <c r="G2032">
        <v>0.41839999999999999</v>
      </c>
      <c r="H2032">
        <v>0.45679999999999998</v>
      </c>
      <c r="I2032">
        <v>43.06</v>
      </c>
    </row>
    <row r="2033" spans="1:9" x14ac:dyDescent="0.3">
      <c r="A2033">
        <f>LOOKUP(9E+307,--MID(D2033,1,{1,2,3,4,5}))</f>
        <v>7.5</v>
      </c>
      <c r="B2033">
        <f>VLOOKUP(MID(D2033,LOOKUP(2,1/ISNUMBER(-MID(D2033,1,{1,2,3,4,5})),{1,2,3,4,5})+1,9),'Hue codes'!$A$1:$B$10,2,FALSE)</f>
        <v>20</v>
      </c>
      <c r="C2033">
        <f t="shared" si="31"/>
        <v>27.5</v>
      </c>
      <c r="D2033" t="s">
        <v>31</v>
      </c>
      <c r="E2033">
        <v>7</v>
      </c>
      <c r="F2033">
        <v>10</v>
      </c>
      <c r="G2033">
        <v>0.44</v>
      </c>
      <c r="H2033">
        <v>0.48299999999999998</v>
      </c>
      <c r="I2033">
        <v>43.06</v>
      </c>
    </row>
    <row r="2034" spans="1:9" x14ac:dyDescent="0.3">
      <c r="A2034">
        <f>LOOKUP(9E+307,--MID(D2034,1,{1,2,3,4,5}))</f>
        <v>7.5</v>
      </c>
      <c r="B2034">
        <f>VLOOKUP(MID(D2034,LOOKUP(2,1/ISNUMBER(-MID(D2034,1,{1,2,3,4,5})),{1,2,3,4,5})+1,9),'Hue codes'!$A$1:$B$10,2,FALSE)</f>
        <v>20</v>
      </c>
      <c r="C2034">
        <f t="shared" si="31"/>
        <v>27.5</v>
      </c>
      <c r="D2034" t="s">
        <v>31</v>
      </c>
      <c r="E2034">
        <v>7</v>
      </c>
      <c r="F2034">
        <v>12</v>
      </c>
      <c r="G2034">
        <v>0.45469999999999999</v>
      </c>
      <c r="H2034">
        <v>0.50049999999999994</v>
      </c>
      <c r="I2034">
        <v>43.06</v>
      </c>
    </row>
    <row r="2035" spans="1:9" x14ac:dyDescent="0.3">
      <c r="A2035">
        <f>LOOKUP(9E+307,--MID(D2035,1,{1,2,3,4,5}))</f>
        <v>7.5</v>
      </c>
      <c r="B2035">
        <f>VLOOKUP(MID(D2035,LOOKUP(2,1/ISNUMBER(-MID(D2035,1,{1,2,3,4,5})),{1,2,3,4,5})+1,9),'Hue codes'!$A$1:$B$10,2,FALSE)</f>
        <v>20</v>
      </c>
      <c r="C2035">
        <f t="shared" si="31"/>
        <v>27.5</v>
      </c>
      <c r="D2035" t="s">
        <v>31</v>
      </c>
      <c r="E2035">
        <v>7</v>
      </c>
      <c r="F2035">
        <v>14</v>
      </c>
      <c r="G2035">
        <v>0.4652</v>
      </c>
      <c r="H2035">
        <v>0.51280000000000003</v>
      </c>
      <c r="I2035">
        <v>43.06</v>
      </c>
    </row>
    <row r="2036" spans="1:9" x14ac:dyDescent="0.3">
      <c r="A2036">
        <f>LOOKUP(9E+307,--MID(D2036,1,{1,2,3,4,5}))</f>
        <v>7.5</v>
      </c>
      <c r="B2036">
        <f>VLOOKUP(MID(D2036,LOOKUP(2,1/ISNUMBER(-MID(D2036,1,{1,2,3,4,5})),{1,2,3,4,5})+1,9),'Hue codes'!$A$1:$B$10,2,FALSE)</f>
        <v>20</v>
      </c>
      <c r="C2036">
        <f t="shared" si="31"/>
        <v>27.5</v>
      </c>
      <c r="D2036" t="s">
        <v>31</v>
      </c>
      <c r="E2036">
        <v>7</v>
      </c>
      <c r="F2036">
        <v>16</v>
      </c>
      <c r="G2036">
        <v>0.4728</v>
      </c>
      <c r="H2036">
        <v>0.52149999999999996</v>
      </c>
      <c r="I2036">
        <v>43.06</v>
      </c>
    </row>
    <row r="2037" spans="1:9" x14ac:dyDescent="0.3">
      <c r="A2037">
        <f>LOOKUP(9E+307,--MID(D2037,1,{1,2,3,4,5}))</f>
        <v>10</v>
      </c>
      <c r="B2037">
        <f>VLOOKUP(MID(D2037,LOOKUP(2,1/ISNUMBER(-MID(D2037,1,{1,2,3,4,5})),{1,2,3,4,5})+1,9),'Hue codes'!$A$1:$B$10,2,FALSE)</f>
        <v>20</v>
      </c>
      <c r="C2037">
        <f t="shared" si="31"/>
        <v>30</v>
      </c>
      <c r="D2037" t="s">
        <v>32</v>
      </c>
      <c r="E2037">
        <v>7</v>
      </c>
      <c r="F2037">
        <v>2</v>
      </c>
      <c r="G2037">
        <v>0.33689999999999998</v>
      </c>
      <c r="H2037">
        <v>0.3569</v>
      </c>
      <c r="I2037">
        <v>43.06</v>
      </c>
    </row>
    <row r="2038" spans="1:9" x14ac:dyDescent="0.3">
      <c r="A2038">
        <f>LOOKUP(9E+307,--MID(D2038,1,{1,2,3,4,5}))</f>
        <v>10</v>
      </c>
      <c r="B2038">
        <f>VLOOKUP(MID(D2038,LOOKUP(2,1/ISNUMBER(-MID(D2038,1,{1,2,3,4,5})),{1,2,3,4,5})+1,9),'Hue codes'!$A$1:$B$10,2,FALSE)</f>
        <v>20</v>
      </c>
      <c r="C2038">
        <f t="shared" si="31"/>
        <v>30</v>
      </c>
      <c r="D2038" t="s">
        <v>32</v>
      </c>
      <c r="E2038">
        <v>7</v>
      </c>
      <c r="F2038">
        <v>4</v>
      </c>
      <c r="G2038">
        <v>0.3624</v>
      </c>
      <c r="H2038">
        <v>0.39510000000000001</v>
      </c>
      <c r="I2038">
        <v>43.06</v>
      </c>
    </row>
    <row r="2039" spans="1:9" x14ac:dyDescent="0.3">
      <c r="A2039">
        <f>LOOKUP(9E+307,--MID(D2039,1,{1,2,3,4,5}))</f>
        <v>10</v>
      </c>
      <c r="B2039">
        <f>VLOOKUP(MID(D2039,LOOKUP(2,1/ISNUMBER(-MID(D2039,1,{1,2,3,4,5})),{1,2,3,4,5})+1,9),'Hue codes'!$A$1:$B$10,2,FALSE)</f>
        <v>20</v>
      </c>
      <c r="C2039">
        <f t="shared" si="31"/>
        <v>30</v>
      </c>
      <c r="D2039" t="s">
        <v>32</v>
      </c>
      <c r="E2039">
        <v>7</v>
      </c>
      <c r="F2039">
        <v>6</v>
      </c>
      <c r="G2039">
        <v>0.38640000000000002</v>
      </c>
      <c r="H2039">
        <v>0.43049999999999999</v>
      </c>
      <c r="I2039">
        <v>43.06</v>
      </c>
    </row>
    <row r="2040" spans="1:9" x14ac:dyDescent="0.3">
      <c r="A2040">
        <f>LOOKUP(9E+307,--MID(D2040,1,{1,2,3,4,5}))</f>
        <v>10</v>
      </c>
      <c r="B2040">
        <f>VLOOKUP(MID(D2040,LOOKUP(2,1/ISNUMBER(-MID(D2040,1,{1,2,3,4,5})),{1,2,3,4,5})+1,9),'Hue codes'!$A$1:$B$10,2,FALSE)</f>
        <v>20</v>
      </c>
      <c r="C2040">
        <f t="shared" si="31"/>
        <v>30</v>
      </c>
      <c r="D2040" t="s">
        <v>32</v>
      </c>
      <c r="E2040">
        <v>7</v>
      </c>
      <c r="F2040">
        <v>8</v>
      </c>
      <c r="G2040">
        <v>0.40899999999999997</v>
      </c>
      <c r="H2040">
        <v>0.46410000000000001</v>
      </c>
      <c r="I2040">
        <v>43.06</v>
      </c>
    </row>
    <row r="2041" spans="1:9" x14ac:dyDescent="0.3">
      <c r="A2041">
        <f>LOOKUP(9E+307,--MID(D2041,1,{1,2,3,4,5}))</f>
        <v>10</v>
      </c>
      <c r="B2041">
        <f>VLOOKUP(MID(D2041,LOOKUP(2,1/ISNUMBER(-MID(D2041,1,{1,2,3,4,5})),{1,2,3,4,5})+1,9),'Hue codes'!$A$1:$B$10,2,FALSE)</f>
        <v>20</v>
      </c>
      <c r="C2041">
        <f t="shared" si="31"/>
        <v>30</v>
      </c>
      <c r="D2041" t="s">
        <v>32</v>
      </c>
      <c r="E2041">
        <v>7</v>
      </c>
      <c r="F2041">
        <v>10</v>
      </c>
      <c r="G2041">
        <v>0.4289</v>
      </c>
      <c r="H2041">
        <v>0.49370000000000003</v>
      </c>
      <c r="I2041">
        <v>43.06</v>
      </c>
    </row>
    <row r="2042" spans="1:9" x14ac:dyDescent="0.3">
      <c r="A2042">
        <f>LOOKUP(9E+307,--MID(D2042,1,{1,2,3,4,5}))</f>
        <v>10</v>
      </c>
      <c r="B2042">
        <f>VLOOKUP(MID(D2042,LOOKUP(2,1/ISNUMBER(-MID(D2042,1,{1,2,3,4,5})),{1,2,3,4,5})+1,9),'Hue codes'!$A$1:$B$10,2,FALSE)</f>
        <v>20</v>
      </c>
      <c r="C2042">
        <f t="shared" si="31"/>
        <v>30</v>
      </c>
      <c r="D2042" t="s">
        <v>32</v>
      </c>
      <c r="E2042">
        <v>7</v>
      </c>
      <c r="F2042">
        <v>12</v>
      </c>
      <c r="G2042">
        <v>0.442</v>
      </c>
      <c r="H2042">
        <v>0.5131</v>
      </c>
      <c r="I2042">
        <v>43.06</v>
      </c>
    </row>
    <row r="2043" spans="1:9" x14ac:dyDescent="0.3">
      <c r="A2043">
        <f>LOOKUP(9E+307,--MID(D2043,1,{1,2,3,4,5}))</f>
        <v>10</v>
      </c>
      <c r="B2043">
        <f>VLOOKUP(MID(D2043,LOOKUP(2,1/ISNUMBER(-MID(D2043,1,{1,2,3,4,5})),{1,2,3,4,5})+1,9),'Hue codes'!$A$1:$B$10,2,FALSE)</f>
        <v>20</v>
      </c>
      <c r="C2043">
        <f t="shared" si="31"/>
        <v>30</v>
      </c>
      <c r="D2043" t="s">
        <v>32</v>
      </c>
      <c r="E2043">
        <v>7</v>
      </c>
      <c r="F2043">
        <v>14</v>
      </c>
      <c r="G2043">
        <v>0.4516</v>
      </c>
      <c r="H2043">
        <v>0.52769999999999995</v>
      </c>
      <c r="I2043">
        <v>43.06</v>
      </c>
    </row>
    <row r="2044" spans="1:9" x14ac:dyDescent="0.3">
      <c r="A2044">
        <f>LOOKUP(9E+307,--MID(D2044,1,{1,2,3,4,5}))</f>
        <v>10</v>
      </c>
      <c r="B2044">
        <f>VLOOKUP(MID(D2044,LOOKUP(2,1/ISNUMBER(-MID(D2044,1,{1,2,3,4,5})),{1,2,3,4,5})+1,9),'Hue codes'!$A$1:$B$10,2,FALSE)</f>
        <v>20</v>
      </c>
      <c r="C2044">
        <f t="shared" si="31"/>
        <v>30</v>
      </c>
      <c r="D2044" t="s">
        <v>32</v>
      </c>
      <c r="E2044">
        <v>7</v>
      </c>
      <c r="F2044">
        <v>16</v>
      </c>
      <c r="G2044">
        <v>0.4582</v>
      </c>
      <c r="H2044">
        <v>0.53749999999999998</v>
      </c>
      <c r="I2044">
        <v>43.06</v>
      </c>
    </row>
    <row r="2045" spans="1:9" x14ac:dyDescent="0.3">
      <c r="A2045">
        <f>LOOKUP(9E+307,--MID(D2045,1,{1,2,3,4,5}))</f>
        <v>2.5</v>
      </c>
      <c r="B2045">
        <f>VLOOKUP(MID(D2045,LOOKUP(2,1/ISNUMBER(-MID(D2045,1,{1,2,3,4,5})),{1,2,3,4,5})+1,9),'Hue codes'!$A$1:$B$10,2,FALSE)</f>
        <v>30</v>
      </c>
      <c r="C2045">
        <f t="shared" si="31"/>
        <v>32.5</v>
      </c>
      <c r="D2045" t="s">
        <v>33</v>
      </c>
      <c r="E2045">
        <v>7</v>
      </c>
      <c r="F2045">
        <v>2</v>
      </c>
      <c r="G2045">
        <v>0.33279999999999998</v>
      </c>
      <c r="H2045">
        <v>0.3569</v>
      </c>
      <c r="I2045">
        <v>43.06</v>
      </c>
    </row>
    <row r="2046" spans="1:9" x14ac:dyDescent="0.3">
      <c r="A2046">
        <f>LOOKUP(9E+307,--MID(D2046,1,{1,2,3,4,5}))</f>
        <v>2.5</v>
      </c>
      <c r="B2046">
        <f>VLOOKUP(MID(D2046,LOOKUP(2,1/ISNUMBER(-MID(D2046,1,{1,2,3,4,5})),{1,2,3,4,5})+1,9),'Hue codes'!$A$1:$B$10,2,FALSE)</f>
        <v>30</v>
      </c>
      <c r="C2046">
        <f t="shared" si="31"/>
        <v>32.5</v>
      </c>
      <c r="D2046" t="s">
        <v>33</v>
      </c>
      <c r="E2046">
        <v>7</v>
      </c>
      <c r="F2046">
        <v>4</v>
      </c>
      <c r="G2046">
        <v>0.35339999999999999</v>
      </c>
      <c r="H2046">
        <v>0.39529999999999998</v>
      </c>
      <c r="I2046">
        <v>43.06</v>
      </c>
    </row>
    <row r="2047" spans="1:9" x14ac:dyDescent="0.3">
      <c r="A2047">
        <f>LOOKUP(9E+307,--MID(D2047,1,{1,2,3,4,5}))</f>
        <v>2.5</v>
      </c>
      <c r="B2047">
        <f>VLOOKUP(MID(D2047,LOOKUP(2,1/ISNUMBER(-MID(D2047,1,{1,2,3,4,5})),{1,2,3,4,5})+1,9),'Hue codes'!$A$1:$B$10,2,FALSE)</f>
        <v>30</v>
      </c>
      <c r="C2047">
        <f t="shared" si="31"/>
        <v>32.5</v>
      </c>
      <c r="D2047" t="s">
        <v>33</v>
      </c>
      <c r="E2047">
        <v>7</v>
      </c>
      <c r="F2047">
        <v>6</v>
      </c>
      <c r="G2047">
        <v>0.37280000000000002</v>
      </c>
      <c r="H2047">
        <v>0.43159999999999998</v>
      </c>
      <c r="I2047">
        <v>43.06</v>
      </c>
    </row>
    <row r="2048" spans="1:9" x14ac:dyDescent="0.3">
      <c r="A2048">
        <f>LOOKUP(9E+307,--MID(D2048,1,{1,2,3,4,5}))</f>
        <v>2.5</v>
      </c>
      <c r="B2048">
        <f>VLOOKUP(MID(D2048,LOOKUP(2,1/ISNUMBER(-MID(D2048,1,{1,2,3,4,5})),{1,2,3,4,5})+1,9),'Hue codes'!$A$1:$B$10,2,FALSE)</f>
        <v>30</v>
      </c>
      <c r="C2048">
        <f t="shared" si="31"/>
        <v>32.5</v>
      </c>
      <c r="D2048" t="s">
        <v>33</v>
      </c>
      <c r="E2048">
        <v>7</v>
      </c>
      <c r="F2048">
        <v>8</v>
      </c>
      <c r="G2048">
        <v>0.39190000000000003</v>
      </c>
      <c r="H2048">
        <v>0.46839999999999998</v>
      </c>
      <c r="I2048">
        <v>43.06</v>
      </c>
    </row>
    <row r="2049" spans="1:9" x14ac:dyDescent="0.3">
      <c r="A2049">
        <f>LOOKUP(9E+307,--MID(D2049,1,{1,2,3,4,5}))</f>
        <v>2.5</v>
      </c>
      <c r="B2049">
        <f>VLOOKUP(MID(D2049,LOOKUP(2,1/ISNUMBER(-MID(D2049,1,{1,2,3,4,5})),{1,2,3,4,5})+1,9),'Hue codes'!$A$1:$B$10,2,FALSE)</f>
        <v>30</v>
      </c>
      <c r="C2049">
        <f t="shared" si="31"/>
        <v>32.5</v>
      </c>
      <c r="D2049" t="s">
        <v>33</v>
      </c>
      <c r="E2049">
        <v>7</v>
      </c>
      <c r="F2049">
        <v>10</v>
      </c>
      <c r="G2049">
        <v>0.40910000000000002</v>
      </c>
      <c r="H2049">
        <v>0.503</v>
      </c>
      <c r="I2049">
        <v>43.06</v>
      </c>
    </row>
    <row r="2050" spans="1:9" x14ac:dyDescent="0.3">
      <c r="A2050">
        <f>LOOKUP(9E+307,--MID(D2050,1,{1,2,3,4,5}))</f>
        <v>2.5</v>
      </c>
      <c r="B2050">
        <f>VLOOKUP(MID(D2050,LOOKUP(2,1/ISNUMBER(-MID(D2050,1,{1,2,3,4,5})),{1,2,3,4,5})+1,9),'Hue codes'!$A$1:$B$10,2,FALSE)</f>
        <v>30</v>
      </c>
      <c r="C2050">
        <f t="shared" si="31"/>
        <v>32.5</v>
      </c>
      <c r="D2050" t="s">
        <v>33</v>
      </c>
      <c r="E2050">
        <v>7</v>
      </c>
      <c r="F2050">
        <v>12</v>
      </c>
      <c r="G2050">
        <v>0.42130000000000001</v>
      </c>
      <c r="H2050">
        <v>0.52700000000000002</v>
      </c>
      <c r="I2050">
        <v>43.06</v>
      </c>
    </row>
    <row r="2051" spans="1:9" x14ac:dyDescent="0.3">
      <c r="A2051">
        <f>LOOKUP(9E+307,--MID(D2051,1,{1,2,3,4,5}))</f>
        <v>2.5</v>
      </c>
      <c r="B2051">
        <f>VLOOKUP(MID(D2051,LOOKUP(2,1/ISNUMBER(-MID(D2051,1,{1,2,3,4,5})),{1,2,3,4,5})+1,9),'Hue codes'!$A$1:$B$10,2,FALSE)</f>
        <v>30</v>
      </c>
      <c r="C2051">
        <f t="shared" ref="C2051:C2114" si="32">IF(A2051+B2051=100,0,A2051+B2051)</f>
        <v>32.5</v>
      </c>
      <c r="D2051" t="s">
        <v>33</v>
      </c>
      <c r="E2051">
        <v>7</v>
      </c>
      <c r="F2051">
        <v>14</v>
      </c>
      <c r="G2051">
        <v>0.43090000000000001</v>
      </c>
      <c r="H2051">
        <v>0.54590000000000005</v>
      </c>
      <c r="I2051">
        <v>43.06</v>
      </c>
    </row>
    <row r="2052" spans="1:9" x14ac:dyDescent="0.3">
      <c r="A2052">
        <f>LOOKUP(9E+307,--MID(D2052,1,{1,2,3,4,5}))</f>
        <v>2.5</v>
      </c>
      <c r="B2052">
        <f>VLOOKUP(MID(D2052,LOOKUP(2,1/ISNUMBER(-MID(D2052,1,{1,2,3,4,5})),{1,2,3,4,5})+1,9),'Hue codes'!$A$1:$B$10,2,FALSE)</f>
        <v>30</v>
      </c>
      <c r="C2052">
        <f t="shared" si="32"/>
        <v>32.5</v>
      </c>
      <c r="D2052" t="s">
        <v>33</v>
      </c>
      <c r="E2052">
        <v>7</v>
      </c>
      <c r="F2052">
        <v>16</v>
      </c>
      <c r="G2052">
        <v>0.43659999999999999</v>
      </c>
      <c r="H2052">
        <v>0.55779999999999996</v>
      </c>
      <c r="I2052">
        <v>43.06</v>
      </c>
    </row>
    <row r="2053" spans="1:9" x14ac:dyDescent="0.3">
      <c r="A2053">
        <f>LOOKUP(9E+307,--MID(D2053,1,{1,2,3,4,5}))</f>
        <v>5</v>
      </c>
      <c r="B2053">
        <f>VLOOKUP(MID(D2053,LOOKUP(2,1/ISNUMBER(-MID(D2053,1,{1,2,3,4,5})),{1,2,3,4,5})+1,9),'Hue codes'!$A$1:$B$10,2,FALSE)</f>
        <v>30</v>
      </c>
      <c r="C2053">
        <f t="shared" si="32"/>
        <v>35</v>
      </c>
      <c r="D2053" t="s">
        <v>34</v>
      </c>
      <c r="E2053">
        <v>7</v>
      </c>
      <c r="F2053">
        <v>2</v>
      </c>
      <c r="G2053">
        <v>0.32840000000000003</v>
      </c>
      <c r="H2053">
        <v>0.35589999999999999</v>
      </c>
      <c r="I2053">
        <v>43.06</v>
      </c>
    </row>
    <row r="2054" spans="1:9" x14ac:dyDescent="0.3">
      <c r="A2054">
        <f>LOOKUP(9E+307,--MID(D2054,1,{1,2,3,4,5}))</f>
        <v>5</v>
      </c>
      <c r="B2054">
        <f>VLOOKUP(MID(D2054,LOOKUP(2,1/ISNUMBER(-MID(D2054,1,{1,2,3,4,5})),{1,2,3,4,5})+1,9),'Hue codes'!$A$1:$B$10,2,FALSE)</f>
        <v>30</v>
      </c>
      <c r="C2054">
        <f t="shared" si="32"/>
        <v>35</v>
      </c>
      <c r="D2054" t="s">
        <v>34</v>
      </c>
      <c r="E2054">
        <v>7</v>
      </c>
      <c r="F2054">
        <v>4</v>
      </c>
      <c r="G2054">
        <v>0.34370000000000001</v>
      </c>
      <c r="H2054">
        <v>0.39290000000000003</v>
      </c>
      <c r="I2054">
        <v>43.06</v>
      </c>
    </row>
    <row r="2055" spans="1:9" x14ac:dyDescent="0.3">
      <c r="A2055">
        <f>LOOKUP(9E+307,--MID(D2055,1,{1,2,3,4,5}))</f>
        <v>5</v>
      </c>
      <c r="B2055">
        <f>VLOOKUP(MID(D2055,LOOKUP(2,1/ISNUMBER(-MID(D2055,1,{1,2,3,4,5})),{1,2,3,4,5})+1,9),'Hue codes'!$A$1:$B$10,2,FALSE)</f>
        <v>30</v>
      </c>
      <c r="C2055">
        <f t="shared" si="32"/>
        <v>35</v>
      </c>
      <c r="D2055" t="s">
        <v>34</v>
      </c>
      <c r="E2055">
        <v>7</v>
      </c>
      <c r="F2055">
        <v>6</v>
      </c>
      <c r="G2055">
        <v>0.35809999999999997</v>
      </c>
      <c r="H2055">
        <v>0.42909999999999998</v>
      </c>
      <c r="I2055">
        <v>43.06</v>
      </c>
    </row>
    <row r="2056" spans="1:9" x14ac:dyDescent="0.3">
      <c r="A2056">
        <f>LOOKUP(9E+307,--MID(D2056,1,{1,2,3,4,5}))</f>
        <v>5</v>
      </c>
      <c r="B2056">
        <f>VLOOKUP(MID(D2056,LOOKUP(2,1/ISNUMBER(-MID(D2056,1,{1,2,3,4,5})),{1,2,3,4,5})+1,9),'Hue codes'!$A$1:$B$10,2,FALSE)</f>
        <v>30</v>
      </c>
      <c r="C2056">
        <f t="shared" si="32"/>
        <v>35</v>
      </c>
      <c r="D2056" t="s">
        <v>34</v>
      </c>
      <c r="E2056">
        <v>7</v>
      </c>
      <c r="F2056">
        <v>8</v>
      </c>
      <c r="G2056">
        <v>0.37219999999999998</v>
      </c>
      <c r="H2056">
        <v>0.46689999999999998</v>
      </c>
      <c r="I2056">
        <v>43.06</v>
      </c>
    </row>
    <row r="2057" spans="1:9" x14ac:dyDescent="0.3">
      <c r="A2057">
        <f>LOOKUP(9E+307,--MID(D2057,1,{1,2,3,4,5}))</f>
        <v>5</v>
      </c>
      <c r="B2057">
        <f>VLOOKUP(MID(D2057,LOOKUP(2,1/ISNUMBER(-MID(D2057,1,{1,2,3,4,5})),{1,2,3,4,5})+1,9),'Hue codes'!$A$1:$B$10,2,FALSE)</f>
        <v>30</v>
      </c>
      <c r="C2057">
        <f t="shared" si="32"/>
        <v>35</v>
      </c>
      <c r="D2057" t="s">
        <v>34</v>
      </c>
      <c r="E2057">
        <v>7</v>
      </c>
      <c r="F2057">
        <v>10</v>
      </c>
      <c r="G2057">
        <v>0.38519999999999999</v>
      </c>
      <c r="H2057">
        <v>0.50509999999999999</v>
      </c>
      <c r="I2057">
        <v>43.06</v>
      </c>
    </row>
    <row r="2058" spans="1:9" x14ac:dyDescent="0.3">
      <c r="A2058">
        <f>LOOKUP(9E+307,--MID(D2058,1,{1,2,3,4,5}))</f>
        <v>5</v>
      </c>
      <c r="B2058">
        <f>VLOOKUP(MID(D2058,LOOKUP(2,1/ISNUMBER(-MID(D2058,1,{1,2,3,4,5})),{1,2,3,4,5})+1,9),'Hue codes'!$A$1:$B$10,2,FALSE)</f>
        <v>30</v>
      </c>
      <c r="C2058">
        <f t="shared" si="32"/>
        <v>35</v>
      </c>
      <c r="D2058" t="s">
        <v>34</v>
      </c>
      <c r="E2058">
        <v>7</v>
      </c>
      <c r="F2058">
        <v>12</v>
      </c>
      <c r="G2058">
        <v>0.39489999999999997</v>
      </c>
      <c r="H2058">
        <v>0.53669999999999995</v>
      </c>
      <c r="I2058">
        <v>43.06</v>
      </c>
    </row>
    <row r="2059" spans="1:9" x14ac:dyDescent="0.3">
      <c r="A2059">
        <f>LOOKUP(9E+307,--MID(D2059,1,{1,2,3,4,5}))</f>
        <v>5</v>
      </c>
      <c r="B2059">
        <f>VLOOKUP(MID(D2059,LOOKUP(2,1/ISNUMBER(-MID(D2059,1,{1,2,3,4,5})),{1,2,3,4,5})+1,9),'Hue codes'!$A$1:$B$10,2,FALSE)</f>
        <v>30</v>
      </c>
      <c r="C2059">
        <f t="shared" si="32"/>
        <v>35</v>
      </c>
      <c r="D2059" t="s">
        <v>34</v>
      </c>
      <c r="E2059">
        <v>7</v>
      </c>
      <c r="F2059">
        <v>14</v>
      </c>
      <c r="G2059">
        <v>0.4027</v>
      </c>
      <c r="H2059">
        <v>0.5615</v>
      </c>
      <c r="I2059">
        <v>43.06</v>
      </c>
    </row>
    <row r="2060" spans="1:9" x14ac:dyDescent="0.3">
      <c r="A2060">
        <f>LOOKUP(9E+307,--MID(D2060,1,{1,2,3,4,5}))</f>
        <v>5</v>
      </c>
      <c r="B2060">
        <f>VLOOKUP(MID(D2060,LOOKUP(2,1/ISNUMBER(-MID(D2060,1,{1,2,3,4,5})),{1,2,3,4,5})+1,9),'Hue codes'!$A$1:$B$10,2,FALSE)</f>
        <v>30</v>
      </c>
      <c r="C2060">
        <f t="shared" si="32"/>
        <v>35</v>
      </c>
      <c r="D2060" t="s">
        <v>34</v>
      </c>
      <c r="E2060">
        <v>7</v>
      </c>
      <c r="F2060">
        <v>16</v>
      </c>
      <c r="G2060">
        <v>0.40760000000000002</v>
      </c>
      <c r="H2060">
        <v>0.57830000000000004</v>
      </c>
      <c r="I2060">
        <v>43.06</v>
      </c>
    </row>
    <row r="2061" spans="1:9" x14ac:dyDescent="0.3">
      <c r="A2061">
        <f>LOOKUP(9E+307,--MID(D2061,1,{1,2,3,4,5}))</f>
        <v>7.5</v>
      </c>
      <c r="B2061">
        <f>VLOOKUP(MID(D2061,LOOKUP(2,1/ISNUMBER(-MID(D2061,1,{1,2,3,4,5})),{1,2,3,4,5})+1,9),'Hue codes'!$A$1:$B$10,2,FALSE)</f>
        <v>30</v>
      </c>
      <c r="C2061">
        <f t="shared" si="32"/>
        <v>37.5</v>
      </c>
      <c r="D2061" t="s">
        <v>35</v>
      </c>
      <c r="E2061">
        <v>7</v>
      </c>
      <c r="F2061">
        <v>2</v>
      </c>
      <c r="G2061">
        <v>0.31900000000000001</v>
      </c>
      <c r="H2061">
        <v>0.35160000000000002</v>
      </c>
      <c r="I2061">
        <v>43.06</v>
      </c>
    </row>
    <row r="2062" spans="1:9" x14ac:dyDescent="0.3">
      <c r="A2062">
        <f>LOOKUP(9E+307,--MID(D2062,1,{1,2,3,4,5}))</f>
        <v>7.5</v>
      </c>
      <c r="B2062">
        <f>VLOOKUP(MID(D2062,LOOKUP(2,1/ISNUMBER(-MID(D2062,1,{1,2,3,4,5})),{1,2,3,4,5})+1,9),'Hue codes'!$A$1:$B$10,2,FALSE)</f>
        <v>30</v>
      </c>
      <c r="C2062">
        <f t="shared" si="32"/>
        <v>37.5</v>
      </c>
      <c r="D2062" t="s">
        <v>35</v>
      </c>
      <c r="E2062">
        <v>7</v>
      </c>
      <c r="F2062">
        <v>4</v>
      </c>
      <c r="G2062">
        <v>0.32669999999999999</v>
      </c>
      <c r="H2062">
        <v>0.38479999999999998</v>
      </c>
      <c r="I2062">
        <v>43.06</v>
      </c>
    </row>
    <row r="2063" spans="1:9" x14ac:dyDescent="0.3">
      <c r="A2063">
        <f>LOOKUP(9E+307,--MID(D2063,1,{1,2,3,4,5}))</f>
        <v>7.5</v>
      </c>
      <c r="B2063">
        <f>VLOOKUP(MID(D2063,LOOKUP(2,1/ISNUMBER(-MID(D2063,1,{1,2,3,4,5})),{1,2,3,4,5})+1,9),'Hue codes'!$A$1:$B$10,2,FALSE)</f>
        <v>30</v>
      </c>
      <c r="C2063">
        <f t="shared" si="32"/>
        <v>37.5</v>
      </c>
      <c r="D2063" t="s">
        <v>35</v>
      </c>
      <c r="E2063">
        <v>7</v>
      </c>
      <c r="F2063">
        <v>6</v>
      </c>
      <c r="G2063">
        <v>0.33410000000000001</v>
      </c>
      <c r="H2063">
        <v>0.41909999999999997</v>
      </c>
      <c r="I2063">
        <v>43.06</v>
      </c>
    </row>
    <row r="2064" spans="1:9" x14ac:dyDescent="0.3">
      <c r="A2064">
        <f>LOOKUP(9E+307,--MID(D2064,1,{1,2,3,4,5}))</f>
        <v>7.5</v>
      </c>
      <c r="B2064">
        <f>VLOOKUP(MID(D2064,LOOKUP(2,1/ISNUMBER(-MID(D2064,1,{1,2,3,4,5})),{1,2,3,4,5})+1,9),'Hue codes'!$A$1:$B$10,2,FALSE)</f>
        <v>30</v>
      </c>
      <c r="C2064">
        <f t="shared" si="32"/>
        <v>37.5</v>
      </c>
      <c r="D2064" t="s">
        <v>35</v>
      </c>
      <c r="E2064">
        <v>7</v>
      </c>
      <c r="F2064">
        <v>8</v>
      </c>
      <c r="G2064">
        <v>0.34060000000000001</v>
      </c>
      <c r="H2064">
        <v>0.45579999999999998</v>
      </c>
      <c r="I2064">
        <v>43.06</v>
      </c>
    </row>
    <row r="2065" spans="1:9" x14ac:dyDescent="0.3">
      <c r="A2065">
        <f>LOOKUP(9E+307,--MID(D2065,1,{1,2,3,4,5}))</f>
        <v>7.5</v>
      </c>
      <c r="B2065">
        <f>VLOOKUP(MID(D2065,LOOKUP(2,1/ISNUMBER(-MID(D2065,1,{1,2,3,4,5})),{1,2,3,4,5})+1,9),'Hue codes'!$A$1:$B$10,2,FALSE)</f>
        <v>30</v>
      </c>
      <c r="C2065">
        <f t="shared" si="32"/>
        <v>37.5</v>
      </c>
      <c r="D2065" t="s">
        <v>35</v>
      </c>
      <c r="E2065">
        <v>7</v>
      </c>
      <c r="F2065">
        <v>10</v>
      </c>
      <c r="G2065">
        <v>0.34610000000000002</v>
      </c>
      <c r="H2065">
        <v>0.495</v>
      </c>
      <c r="I2065">
        <v>43.06</v>
      </c>
    </row>
    <row r="2066" spans="1:9" x14ac:dyDescent="0.3">
      <c r="A2066">
        <f>LOOKUP(9E+307,--MID(D2066,1,{1,2,3,4,5}))</f>
        <v>7.5</v>
      </c>
      <c r="B2066">
        <f>VLOOKUP(MID(D2066,LOOKUP(2,1/ISNUMBER(-MID(D2066,1,{1,2,3,4,5})),{1,2,3,4,5})+1,9),'Hue codes'!$A$1:$B$10,2,FALSE)</f>
        <v>30</v>
      </c>
      <c r="C2066">
        <f t="shared" si="32"/>
        <v>37.5</v>
      </c>
      <c r="D2066" t="s">
        <v>35</v>
      </c>
      <c r="E2066">
        <v>7</v>
      </c>
      <c r="F2066">
        <v>12</v>
      </c>
      <c r="G2066">
        <v>0.35020000000000001</v>
      </c>
      <c r="H2066">
        <v>0.53280000000000005</v>
      </c>
      <c r="I2066">
        <v>43.06</v>
      </c>
    </row>
    <row r="2067" spans="1:9" x14ac:dyDescent="0.3">
      <c r="A2067">
        <f>LOOKUP(9E+307,--MID(D2067,1,{1,2,3,4,5}))</f>
        <v>7.5</v>
      </c>
      <c r="B2067">
        <f>VLOOKUP(MID(D2067,LOOKUP(2,1/ISNUMBER(-MID(D2067,1,{1,2,3,4,5})),{1,2,3,4,5})+1,9),'Hue codes'!$A$1:$B$10,2,FALSE)</f>
        <v>30</v>
      </c>
      <c r="C2067">
        <f t="shared" si="32"/>
        <v>37.5</v>
      </c>
      <c r="D2067" t="s">
        <v>35</v>
      </c>
      <c r="E2067">
        <v>7</v>
      </c>
      <c r="F2067">
        <v>14</v>
      </c>
      <c r="G2067">
        <v>0.35320000000000001</v>
      </c>
      <c r="H2067">
        <v>0.56999999999999995</v>
      </c>
      <c r="I2067">
        <v>43.06</v>
      </c>
    </row>
    <row r="2068" spans="1:9" x14ac:dyDescent="0.3">
      <c r="A2068">
        <f>LOOKUP(9E+307,--MID(D2068,1,{1,2,3,4,5}))</f>
        <v>7.5</v>
      </c>
      <c r="B2068">
        <f>VLOOKUP(MID(D2068,LOOKUP(2,1/ISNUMBER(-MID(D2068,1,{1,2,3,4,5})),{1,2,3,4,5})+1,9),'Hue codes'!$A$1:$B$10,2,FALSE)</f>
        <v>30</v>
      </c>
      <c r="C2068">
        <f t="shared" si="32"/>
        <v>37.5</v>
      </c>
      <c r="D2068" t="s">
        <v>35</v>
      </c>
      <c r="E2068">
        <v>7</v>
      </c>
      <c r="F2068">
        <v>16</v>
      </c>
      <c r="G2068">
        <v>0.35489999999999999</v>
      </c>
      <c r="H2068">
        <v>0.6</v>
      </c>
      <c r="I2068">
        <v>43.06</v>
      </c>
    </row>
    <row r="2069" spans="1:9" x14ac:dyDescent="0.3">
      <c r="A2069">
        <f>LOOKUP(9E+307,--MID(D2069,1,{1,2,3,4,5}))</f>
        <v>7.5</v>
      </c>
      <c r="B2069">
        <f>VLOOKUP(MID(D2069,LOOKUP(2,1/ISNUMBER(-MID(D2069,1,{1,2,3,4,5})),{1,2,3,4,5})+1,9),'Hue codes'!$A$1:$B$10,2,FALSE)</f>
        <v>30</v>
      </c>
      <c r="C2069">
        <f t="shared" si="32"/>
        <v>37.5</v>
      </c>
      <c r="D2069" t="s">
        <v>35</v>
      </c>
      <c r="E2069">
        <v>7</v>
      </c>
      <c r="F2069">
        <v>18</v>
      </c>
      <c r="G2069">
        <v>0.35549999999999998</v>
      </c>
      <c r="H2069">
        <v>0.62419999999999998</v>
      </c>
      <c r="I2069">
        <v>43.06</v>
      </c>
    </row>
    <row r="2070" spans="1:9" x14ac:dyDescent="0.3">
      <c r="A2070">
        <f>LOOKUP(9E+307,--MID(D2070,1,{1,2,3,4,5}))</f>
        <v>10</v>
      </c>
      <c r="B2070">
        <f>VLOOKUP(MID(D2070,LOOKUP(2,1/ISNUMBER(-MID(D2070,1,{1,2,3,4,5})),{1,2,3,4,5})+1,9),'Hue codes'!$A$1:$B$10,2,FALSE)</f>
        <v>30</v>
      </c>
      <c r="C2070">
        <f t="shared" si="32"/>
        <v>40</v>
      </c>
      <c r="D2070" t="s">
        <v>36</v>
      </c>
      <c r="E2070">
        <v>7</v>
      </c>
      <c r="F2070">
        <v>2</v>
      </c>
      <c r="G2070">
        <v>0.31169999999999998</v>
      </c>
      <c r="H2070">
        <v>0.34689999999999999</v>
      </c>
      <c r="I2070">
        <v>43.06</v>
      </c>
    </row>
    <row r="2071" spans="1:9" x14ac:dyDescent="0.3">
      <c r="A2071">
        <f>LOOKUP(9E+307,--MID(D2071,1,{1,2,3,4,5}))</f>
        <v>10</v>
      </c>
      <c r="B2071">
        <f>VLOOKUP(MID(D2071,LOOKUP(2,1/ISNUMBER(-MID(D2071,1,{1,2,3,4,5})),{1,2,3,4,5})+1,9),'Hue codes'!$A$1:$B$10,2,FALSE)</f>
        <v>30</v>
      </c>
      <c r="C2071">
        <f t="shared" si="32"/>
        <v>40</v>
      </c>
      <c r="D2071" t="s">
        <v>36</v>
      </c>
      <c r="E2071">
        <v>7</v>
      </c>
      <c r="F2071">
        <v>4</v>
      </c>
      <c r="G2071">
        <v>0.31330000000000002</v>
      </c>
      <c r="H2071">
        <v>0.37640000000000001</v>
      </c>
      <c r="I2071">
        <v>43.06</v>
      </c>
    </row>
    <row r="2072" spans="1:9" x14ac:dyDescent="0.3">
      <c r="A2072">
        <f>LOOKUP(9E+307,--MID(D2072,1,{1,2,3,4,5}))</f>
        <v>10</v>
      </c>
      <c r="B2072">
        <f>VLOOKUP(MID(D2072,LOOKUP(2,1/ISNUMBER(-MID(D2072,1,{1,2,3,4,5})),{1,2,3,4,5})+1,9),'Hue codes'!$A$1:$B$10,2,FALSE)</f>
        <v>30</v>
      </c>
      <c r="C2072">
        <f t="shared" si="32"/>
        <v>40</v>
      </c>
      <c r="D2072" t="s">
        <v>36</v>
      </c>
      <c r="E2072">
        <v>7</v>
      </c>
      <c r="F2072">
        <v>6</v>
      </c>
      <c r="G2072">
        <v>0.31419999999999998</v>
      </c>
      <c r="H2072">
        <v>0.40579999999999999</v>
      </c>
      <c r="I2072">
        <v>43.06</v>
      </c>
    </row>
    <row r="2073" spans="1:9" x14ac:dyDescent="0.3">
      <c r="A2073">
        <f>LOOKUP(9E+307,--MID(D2073,1,{1,2,3,4,5}))</f>
        <v>10</v>
      </c>
      <c r="B2073">
        <f>VLOOKUP(MID(D2073,LOOKUP(2,1/ISNUMBER(-MID(D2073,1,{1,2,3,4,5})),{1,2,3,4,5})+1,9),'Hue codes'!$A$1:$B$10,2,FALSE)</f>
        <v>30</v>
      </c>
      <c r="C2073">
        <f t="shared" si="32"/>
        <v>40</v>
      </c>
      <c r="D2073" t="s">
        <v>36</v>
      </c>
      <c r="E2073">
        <v>7</v>
      </c>
      <c r="F2073">
        <v>8</v>
      </c>
      <c r="G2073">
        <v>0.314</v>
      </c>
      <c r="H2073">
        <v>0.43869999999999998</v>
      </c>
      <c r="I2073">
        <v>43.06</v>
      </c>
    </row>
    <row r="2074" spans="1:9" x14ac:dyDescent="0.3">
      <c r="A2074">
        <f>LOOKUP(9E+307,--MID(D2074,1,{1,2,3,4,5}))</f>
        <v>10</v>
      </c>
      <c r="B2074">
        <f>VLOOKUP(MID(D2074,LOOKUP(2,1/ISNUMBER(-MID(D2074,1,{1,2,3,4,5})),{1,2,3,4,5})+1,9),'Hue codes'!$A$1:$B$10,2,FALSE)</f>
        <v>30</v>
      </c>
      <c r="C2074">
        <f t="shared" si="32"/>
        <v>40</v>
      </c>
      <c r="D2074" t="s">
        <v>36</v>
      </c>
      <c r="E2074">
        <v>7</v>
      </c>
      <c r="F2074">
        <v>10</v>
      </c>
      <c r="G2074">
        <v>0.31230000000000002</v>
      </c>
      <c r="H2074">
        <v>0.47320000000000001</v>
      </c>
      <c r="I2074">
        <v>43.06</v>
      </c>
    </row>
    <row r="2075" spans="1:9" x14ac:dyDescent="0.3">
      <c r="A2075">
        <f>LOOKUP(9E+307,--MID(D2075,1,{1,2,3,4,5}))</f>
        <v>10</v>
      </c>
      <c r="B2075">
        <f>VLOOKUP(MID(D2075,LOOKUP(2,1/ISNUMBER(-MID(D2075,1,{1,2,3,4,5})),{1,2,3,4,5})+1,9),'Hue codes'!$A$1:$B$10,2,FALSE)</f>
        <v>30</v>
      </c>
      <c r="C2075">
        <f t="shared" si="32"/>
        <v>40</v>
      </c>
      <c r="D2075" t="s">
        <v>36</v>
      </c>
      <c r="E2075">
        <v>7</v>
      </c>
      <c r="F2075">
        <v>12</v>
      </c>
      <c r="G2075">
        <v>0.30919999999999997</v>
      </c>
      <c r="H2075">
        <v>0.50949999999999995</v>
      </c>
      <c r="I2075">
        <v>43.06</v>
      </c>
    </row>
    <row r="2076" spans="1:9" x14ac:dyDescent="0.3">
      <c r="A2076">
        <f>LOOKUP(9E+307,--MID(D2076,1,{1,2,3,4,5}))</f>
        <v>10</v>
      </c>
      <c r="B2076">
        <f>VLOOKUP(MID(D2076,LOOKUP(2,1/ISNUMBER(-MID(D2076,1,{1,2,3,4,5})),{1,2,3,4,5})+1,9),'Hue codes'!$A$1:$B$10,2,FALSE)</f>
        <v>30</v>
      </c>
      <c r="C2076">
        <f t="shared" si="32"/>
        <v>40</v>
      </c>
      <c r="D2076" t="s">
        <v>36</v>
      </c>
      <c r="E2076">
        <v>7</v>
      </c>
      <c r="F2076">
        <v>14</v>
      </c>
      <c r="G2076">
        <v>0.30470000000000003</v>
      </c>
      <c r="H2076">
        <v>0.54579999999999995</v>
      </c>
      <c r="I2076">
        <v>43.06</v>
      </c>
    </row>
    <row r="2077" spans="1:9" x14ac:dyDescent="0.3">
      <c r="A2077">
        <f>LOOKUP(9E+307,--MID(D2077,1,{1,2,3,4,5}))</f>
        <v>10</v>
      </c>
      <c r="B2077">
        <f>VLOOKUP(MID(D2077,LOOKUP(2,1/ISNUMBER(-MID(D2077,1,{1,2,3,4,5})),{1,2,3,4,5})+1,9),'Hue codes'!$A$1:$B$10,2,FALSE)</f>
        <v>30</v>
      </c>
      <c r="C2077">
        <f t="shared" si="32"/>
        <v>40</v>
      </c>
      <c r="D2077" t="s">
        <v>36</v>
      </c>
      <c r="E2077">
        <v>7</v>
      </c>
      <c r="F2077">
        <v>16</v>
      </c>
      <c r="G2077">
        <v>0.29809999999999998</v>
      </c>
      <c r="H2077">
        <v>0.58350000000000002</v>
      </c>
      <c r="I2077">
        <v>43.06</v>
      </c>
    </row>
    <row r="2078" spans="1:9" x14ac:dyDescent="0.3">
      <c r="A2078">
        <f>LOOKUP(9E+307,--MID(D2078,1,{1,2,3,4,5}))</f>
        <v>10</v>
      </c>
      <c r="B2078">
        <f>VLOOKUP(MID(D2078,LOOKUP(2,1/ISNUMBER(-MID(D2078,1,{1,2,3,4,5})),{1,2,3,4,5})+1,9),'Hue codes'!$A$1:$B$10,2,FALSE)</f>
        <v>30</v>
      </c>
      <c r="C2078">
        <f t="shared" si="32"/>
        <v>40</v>
      </c>
      <c r="D2078" t="s">
        <v>36</v>
      </c>
      <c r="E2078">
        <v>7</v>
      </c>
      <c r="F2078">
        <v>18</v>
      </c>
      <c r="G2078">
        <v>0.29049999999999998</v>
      </c>
      <c r="H2078">
        <v>0.61860000000000004</v>
      </c>
      <c r="I2078">
        <v>43.06</v>
      </c>
    </row>
    <row r="2079" spans="1:9" x14ac:dyDescent="0.3">
      <c r="A2079">
        <f>LOOKUP(9E+307,--MID(D2079,1,{1,2,3,4,5}))</f>
        <v>10</v>
      </c>
      <c r="B2079">
        <f>VLOOKUP(MID(D2079,LOOKUP(2,1/ISNUMBER(-MID(D2079,1,{1,2,3,4,5})),{1,2,3,4,5})+1,9),'Hue codes'!$A$1:$B$10,2,FALSE)</f>
        <v>30</v>
      </c>
      <c r="C2079">
        <f t="shared" si="32"/>
        <v>40</v>
      </c>
      <c r="D2079" t="s">
        <v>36</v>
      </c>
      <c r="E2079">
        <v>7</v>
      </c>
      <c r="F2079">
        <v>20</v>
      </c>
      <c r="G2079">
        <v>0.28160000000000002</v>
      </c>
      <c r="H2079">
        <v>0.65629999999999999</v>
      </c>
      <c r="I2079">
        <v>43.06</v>
      </c>
    </row>
    <row r="2080" spans="1:9" x14ac:dyDescent="0.3">
      <c r="A2080">
        <f>LOOKUP(9E+307,--MID(D2080,1,{1,2,3,4,5}))</f>
        <v>10</v>
      </c>
      <c r="B2080">
        <f>VLOOKUP(MID(D2080,LOOKUP(2,1/ISNUMBER(-MID(D2080,1,{1,2,3,4,5})),{1,2,3,4,5})+1,9),'Hue codes'!$A$1:$B$10,2,FALSE)</f>
        <v>30</v>
      </c>
      <c r="C2080">
        <f t="shared" si="32"/>
        <v>40</v>
      </c>
      <c r="D2080" t="s">
        <v>36</v>
      </c>
      <c r="E2080">
        <v>7</v>
      </c>
      <c r="F2080">
        <v>22</v>
      </c>
      <c r="G2080">
        <v>0.27279999999999999</v>
      </c>
      <c r="H2080">
        <v>0.68930000000000002</v>
      </c>
      <c r="I2080">
        <v>43.06</v>
      </c>
    </row>
    <row r="2081" spans="1:9" x14ac:dyDescent="0.3">
      <c r="A2081">
        <f>LOOKUP(9E+307,--MID(D2081,1,{1,2,3,4,5}))</f>
        <v>2.5</v>
      </c>
      <c r="B2081">
        <f>VLOOKUP(MID(D2081,LOOKUP(2,1/ISNUMBER(-MID(D2081,1,{1,2,3,4,5})),{1,2,3,4,5})+1,9),'Hue codes'!$A$1:$B$10,2,FALSE)</f>
        <v>40</v>
      </c>
      <c r="C2081">
        <f t="shared" si="32"/>
        <v>42.5</v>
      </c>
      <c r="D2081" t="s">
        <v>37</v>
      </c>
      <c r="E2081">
        <v>7</v>
      </c>
      <c r="F2081">
        <v>2</v>
      </c>
      <c r="G2081">
        <v>0.30470000000000003</v>
      </c>
      <c r="H2081">
        <v>0.34129999999999999</v>
      </c>
      <c r="I2081">
        <v>43.06</v>
      </c>
    </row>
    <row r="2082" spans="1:9" x14ac:dyDescent="0.3">
      <c r="A2082">
        <f>LOOKUP(9E+307,--MID(D2082,1,{1,2,3,4,5}))</f>
        <v>2.5</v>
      </c>
      <c r="B2082">
        <f>VLOOKUP(MID(D2082,LOOKUP(2,1/ISNUMBER(-MID(D2082,1,{1,2,3,4,5})),{1,2,3,4,5})+1,9),'Hue codes'!$A$1:$B$10,2,FALSE)</f>
        <v>40</v>
      </c>
      <c r="C2082">
        <f t="shared" si="32"/>
        <v>42.5</v>
      </c>
      <c r="D2082" t="s">
        <v>37</v>
      </c>
      <c r="E2082">
        <v>7</v>
      </c>
      <c r="F2082">
        <v>4</v>
      </c>
      <c r="G2082">
        <v>0.29920000000000002</v>
      </c>
      <c r="H2082">
        <v>0.3644</v>
      </c>
      <c r="I2082">
        <v>43.06</v>
      </c>
    </row>
    <row r="2083" spans="1:9" x14ac:dyDescent="0.3">
      <c r="A2083">
        <f>LOOKUP(9E+307,--MID(D2083,1,{1,2,3,4,5}))</f>
        <v>2.5</v>
      </c>
      <c r="B2083">
        <f>VLOOKUP(MID(D2083,LOOKUP(2,1/ISNUMBER(-MID(D2083,1,{1,2,3,4,5})),{1,2,3,4,5})+1,9),'Hue codes'!$A$1:$B$10,2,FALSE)</f>
        <v>40</v>
      </c>
      <c r="C2083">
        <f t="shared" si="32"/>
        <v>42.5</v>
      </c>
      <c r="D2083" t="s">
        <v>37</v>
      </c>
      <c r="E2083">
        <v>7</v>
      </c>
      <c r="F2083">
        <v>6</v>
      </c>
      <c r="G2083">
        <v>0.29330000000000001</v>
      </c>
      <c r="H2083">
        <v>0.38729999999999998</v>
      </c>
      <c r="I2083">
        <v>43.06</v>
      </c>
    </row>
    <row r="2084" spans="1:9" x14ac:dyDescent="0.3">
      <c r="A2084">
        <f>LOOKUP(9E+307,--MID(D2084,1,{1,2,3,4,5}))</f>
        <v>2.5</v>
      </c>
      <c r="B2084">
        <f>VLOOKUP(MID(D2084,LOOKUP(2,1/ISNUMBER(-MID(D2084,1,{1,2,3,4,5})),{1,2,3,4,5})+1,9),'Hue codes'!$A$1:$B$10,2,FALSE)</f>
        <v>40</v>
      </c>
      <c r="C2084">
        <f t="shared" si="32"/>
        <v>42.5</v>
      </c>
      <c r="D2084" t="s">
        <v>37</v>
      </c>
      <c r="E2084">
        <v>7</v>
      </c>
      <c r="F2084">
        <v>8</v>
      </c>
      <c r="G2084">
        <v>0.28610000000000002</v>
      </c>
      <c r="H2084">
        <v>0.41289999999999999</v>
      </c>
      <c r="I2084">
        <v>43.06</v>
      </c>
    </row>
    <row r="2085" spans="1:9" x14ac:dyDescent="0.3">
      <c r="A2085">
        <f>LOOKUP(9E+307,--MID(D2085,1,{1,2,3,4,5}))</f>
        <v>2.5</v>
      </c>
      <c r="B2085">
        <f>VLOOKUP(MID(D2085,LOOKUP(2,1/ISNUMBER(-MID(D2085,1,{1,2,3,4,5})),{1,2,3,4,5})+1,9),'Hue codes'!$A$1:$B$10,2,FALSE)</f>
        <v>40</v>
      </c>
      <c r="C2085">
        <f t="shared" si="32"/>
        <v>42.5</v>
      </c>
      <c r="D2085" t="s">
        <v>37</v>
      </c>
      <c r="E2085">
        <v>7</v>
      </c>
      <c r="F2085">
        <v>10</v>
      </c>
      <c r="G2085">
        <v>0.27750000000000002</v>
      </c>
      <c r="H2085">
        <v>0.4395</v>
      </c>
      <c r="I2085">
        <v>43.06</v>
      </c>
    </row>
    <row r="2086" spans="1:9" x14ac:dyDescent="0.3">
      <c r="A2086">
        <f>LOOKUP(9E+307,--MID(D2086,1,{1,2,3,4,5}))</f>
        <v>2.5</v>
      </c>
      <c r="B2086">
        <f>VLOOKUP(MID(D2086,LOOKUP(2,1/ISNUMBER(-MID(D2086,1,{1,2,3,4,5})),{1,2,3,4,5})+1,9),'Hue codes'!$A$1:$B$10,2,FALSE)</f>
        <v>40</v>
      </c>
      <c r="C2086">
        <f t="shared" si="32"/>
        <v>42.5</v>
      </c>
      <c r="D2086" t="s">
        <v>37</v>
      </c>
      <c r="E2086">
        <v>7</v>
      </c>
      <c r="F2086">
        <v>12</v>
      </c>
      <c r="G2086">
        <v>0.26719999999999999</v>
      </c>
      <c r="H2086">
        <v>0.4667</v>
      </c>
      <c r="I2086">
        <v>43.06</v>
      </c>
    </row>
    <row r="2087" spans="1:9" x14ac:dyDescent="0.3">
      <c r="A2087">
        <f>LOOKUP(9E+307,--MID(D2087,1,{1,2,3,4,5}))</f>
        <v>2.5</v>
      </c>
      <c r="B2087">
        <f>VLOOKUP(MID(D2087,LOOKUP(2,1/ISNUMBER(-MID(D2087,1,{1,2,3,4,5})),{1,2,3,4,5})+1,9),'Hue codes'!$A$1:$B$10,2,FALSE)</f>
        <v>40</v>
      </c>
      <c r="C2087">
        <f t="shared" si="32"/>
        <v>42.5</v>
      </c>
      <c r="D2087" t="s">
        <v>37</v>
      </c>
      <c r="E2087">
        <v>7</v>
      </c>
      <c r="F2087">
        <v>14</v>
      </c>
      <c r="G2087">
        <v>0.25679999999999997</v>
      </c>
      <c r="H2087">
        <v>0.49309999999999998</v>
      </c>
      <c r="I2087">
        <v>43.06</v>
      </c>
    </row>
    <row r="2088" spans="1:9" x14ac:dyDescent="0.3">
      <c r="A2088">
        <f>LOOKUP(9E+307,--MID(D2088,1,{1,2,3,4,5}))</f>
        <v>2.5</v>
      </c>
      <c r="B2088">
        <f>VLOOKUP(MID(D2088,LOOKUP(2,1/ISNUMBER(-MID(D2088,1,{1,2,3,4,5})),{1,2,3,4,5})+1,9),'Hue codes'!$A$1:$B$10,2,FALSE)</f>
        <v>40</v>
      </c>
      <c r="C2088">
        <f t="shared" si="32"/>
        <v>42.5</v>
      </c>
      <c r="D2088" t="s">
        <v>37</v>
      </c>
      <c r="E2088">
        <v>7</v>
      </c>
      <c r="F2088">
        <v>16</v>
      </c>
      <c r="G2088">
        <v>0.24479999999999999</v>
      </c>
      <c r="H2088">
        <v>0.52029999999999998</v>
      </c>
      <c r="I2088">
        <v>43.06</v>
      </c>
    </row>
    <row r="2089" spans="1:9" x14ac:dyDescent="0.3">
      <c r="A2089">
        <f>LOOKUP(9E+307,--MID(D2089,1,{1,2,3,4,5}))</f>
        <v>2.5</v>
      </c>
      <c r="B2089">
        <f>VLOOKUP(MID(D2089,LOOKUP(2,1/ISNUMBER(-MID(D2089,1,{1,2,3,4,5})),{1,2,3,4,5})+1,9),'Hue codes'!$A$1:$B$10,2,FALSE)</f>
        <v>40</v>
      </c>
      <c r="C2089">
        <f t="shared" si="32"/>
        <v>42.5</v>
      </c>
      <c r="D2089" t="s">
        <v>37</v>
      </c>
      <c r="E2089">
        <v>7</v>
      </c>
      <c r="F2089">
        <v>18</v>
      </c>
      <c r="G2089">
        <v>0.23280000000000001</v>
      </c>
      <c r="H2089">
        <v>0.54669999999999996</v>
      </c>
      <c r="I2089">
        <v>43.06</v>
      </c>
    </row>
    <row r="2090" spans="1:9" x14ac:dyDescent="0.3">
      <c r="A2090">
        <f>LOOKUP(9E+307,--MID(D2090,1,{1,2,3,4,5}))</f>
        <v>2.5</v>
      </c>
      <c r="B2090">
        <f>VLOOKUP(MID(D2090,LOOKUP(2,1/ISNUMBER(-MID(D2090,1,{1,2,3,4,5})),{1,2,3,4,5})+1,9),'Hue codes'!$A$1:$B$10,2,FALSE)</f>
        <v>40</v>
      </c>
      <c r="C2090">
        <f t="shared" si="32"/>
        <v>42.5</v>
      </c>
      <c r="D2090" t="s">
        <v>37</v>
      </c>
      <c r="E2090">
        <v>7</v>
      </c>
      <c r="F2090">
        <v>20</v>
      </c>
      <c r="G2090">
        <v>0.21809999999999999</v>
      </c>
      <c r="H2090">
        <v>0.57440000000000002</v>
      </c>
      <c r="I2090">
        <v>43.06</v>
      </c>
    </row>
    <row r="2091" spans="1:9" x14ac:dyDescent="0.3">
      <c r="A2091">
        <f>LOOKUP(9E+307,--MID(D2091,1,{1,2,3,4,5}))</f>
        <v>2.5</v>
      </c>
      <c r="B2091">
        <f>VLOOKUP(MID(D2091,LOOKUP(2,1/ISNUMBER(-MID(D2091,1,{1,2,3,4,5})),{1,2,3,4,5})+1,9),'Hue codes'!$A$1:$B$10,2,FALSE)</f>
        <v>40</v>
      </c>
      <c r="C2091">
        <f t="shared" si="32"/>
        <v>42.5</v>
      </c>
      <c r="D2091" t="s">
        <v>37</v>
      </c>
      <c r="E2091">
        <v>7</v>
      </c>
      <c r="F2091">
        <v>22</v>
      </c>
      <c r="G2091">
        <v>0.2029</v>
      </c>
      <c r="H2091">
        <v>0.60170000000000001</v>
      </c>
      <c r="I2091">
        <v>43.06</v>
      </c>
    </row>
    <row r="2092" spans="1:9" x14ac:dyDescent="0.3">
      <c r="A2092">
        <f>LOOKUP(9E+307,--MID(D2092,1,{1,2,3,4,5}))</f>
        <v>2.5</v>
      </c>
      <c r="B2092">
        <f>VLOOKUP(MID(D2092,LOOKUP(2,1/ISNUMBER(-MID(D2092,1,{1,2,3,4,5})),{1,2,3,4,5})+1,9),'Hue codes'!$A$1:$B$10,2,FALSE)</f>
        <v>40</v>
      </c>
      <c r="C2092">
        <f t="shared" si="32"/>
        <v>42.5</v>
      </c>
      <c r="D2092" t="s">
        <v>37</v>
      </c>
      <c r="E2092">
        <v>7</v>
      </c>
      <c r="F2092">
        <v>24</v>
      </c>
      <c r="G2092">
        <v>0.1875</v>
      </c>
      <c r="H2092">
        <v>0.62649999999999995</v>
      </c>
      <c r="I2092">
        <v>43.06</v>
      </c>
    </row>
    <row r="2093" spans="1:9" x14ac:dyDescent="0.3">
      <c r="A2093">
        <f>LOOKUP(9E+307,--MID(D2093,1,{1,2,3,4,5}))</f>
        <v>2.5</v>
      </c>
      <c r="B2093">
        <f>VLOOKUP(MID(D2093,LOOKUP(2,1/ISNUMBER(-MID(D2093,1,{1,2,3,4,5})),{1,2,3,4,5})+1,9),'Hue codes'!$A$1:$B$10,2,FALSE)</f>
        <v>40</v>
      </c>
      <c r="C2093">
        <f t="shared" si="32"/>
        <v>42.5</v>
      </c>
      <c r="D2093" t="s">
        <v>37</v>
      </c>
      <c r="E2093">
        <v>7</v>
      </c>
      <c r="F2093">
        <v>26</v>
      </c>
      <c r="G2093">
        <v>0.16889999999999999</v>
      </c>
      <c r="H2093">
        <v>0.65490000000000004</v>
      </c>
      <c r="I2093">
        <v>43.06</v>
      </c>
    </row>
    <row r="2094" spans="1:9" x14ac:dyDescent="0.3">
      <c r="A2094">
        <f>LOOKUP(9E+307,--MID(D2094,1,{1,2,3,4,5}))</f>
        <v>5</v>
      </c>
      <c r="B2094">
        <f>VLOOKUP(MID(D2094,LOOKUP(2,1/ISNUMBER(-MID(D2094,1,{1,2,3,4,5})),{1,2,3,4,5})+1,9),'Hue codes'!$A$1:$B$10,2,FALSE)</f>
        <v>40</v>
      </c>
      <c r="C2094">
        <f t="shared" si="32"/>
        <v>45</v>
      </c>
      <c r="D2094" t="s">
        <v>38</v>
      </c>
      <c r="E2094">
        <v>7</v>
      </c>
      <c r="F2094">
        <v>2</v>
      </c>
      <c r="G2094">
        <v>0.30009999999999998</v>
      </c>
      <c r="H2094">
        <v>0.33660000000000001</v>
      </c>
      <c r="I2094">
        <v>43.06</v>
      </c>
    </row>
    <row r="2095" spans="1:9" x14ac:dyDescent="0.3">
      <c r="A2095">
        <f>LOOKUP(9E+307,--MID(D2095,1,{1,2,3,4,5}))</f>
        <v>5</v>
      </c>
      <c r="B2095">
        <f>VLOOKUP(MID(D2095,LOOKUP(2,1/ISNUMBER(-MID(D2095,1,{1,2,3,4,5})),{1,2,3,4,5})+1,9),'Hue codes'!$A$1:$B$10,2,FALSE)</f>
        <v>40</v>
      </c>
      <c r="C2095">
        <f t="shared" si="32"/>
        <v>45</v>
      </c>
      <c r="D2095" t="s">
        <v>38</v>
      </c>
      <c r="E2095">
        <v>7</v>
      </c>
      <c r="F2095">
        <v>4</v>
      </c>
      <c r="G2095">
        <v>0.29020000000000001</v>
      </c>
      <c r="H2095">
        <v>0.3548</v>
      </c>
      <c r="I2095">
        <v>43.06</v>
      </c>
    </row>
    <row r="2096" spans="1:9" x14ac:dyDescent="0.3">
      <c r="A2096">
        <f>LOOKUP(9E+307,--MID(D2096,1,{1,2,3,4,5}))</f>
        <v>5</v>
      </c>
      <c r="B2096">
        <f>VLOOKUP(MID(D2096,LOOKUP(2,1/ISNUMBER(-MID(D2096,1,{1,2,3,4,5})),{1,2,3,4,5})+1,9),'Hue codes'!$A$1:$B$10,2,FALSE)</f>
        <v>40</v>
      </c>
      <c r="C2096">
        <f t="shared" si="32"/>
        <v>45</v>
      </c>
      <c r="D2096" t="s">
        <v>38</v>
      </c>
      <c r="E2096">
        <v>7</v>
      </c>
      <c r="F2096">
        <v>6</v>
      </c>
      <c r="G2096">
        <v>0.28010000000000002</v>
      </c>
      <c r="H2096">
        <v>0.37209999999999999</v>
      </c>
      <c r="I2096">
        <v>43.06</v>
      </c>
    </row>
    <row r="2097" spans="1:9" x14ac:dyDescent="0.3">
      <c r="A2097">
        <f>LOOKUP(9E+307,--MID(D2097,1,{1,2,3,4,5}))</f>
        <v>5</v>
      </c>
      <c r="B2097">
        <f>VLOOKUP(MID(D2097,LOOKUP(2,1/ISNUMBER(-MID(D2097,1,{1,2,3,4,5})),{1,2,3,4,5})+1,9),'Hue codes'!$A$1:$B$10,2,FALSE)</f>
        <v>40</v>
      </c>
      <c r="C2097">
        <f t="shared" si="32"/>
        <v>45</v>
      </c>
      <c r="D2097" t="s">
        <v>38</v>
      </c>
      <c r="E2097">
        <v>7</v>
      </c>
      <c r="F2097">
        <v>8</v>
      </c>
      <c r="G2097">
        <v>0.26869999999999999</v>
      </c>
      <c r="H2097">
        <v>0.3901</v>
      </c>
      <c r="I2097">
        <v>43.06</v>
      </c>
    </row>
    <row r="2098" spans="1:9" x14ac:dyDescent="0.3">
      <c r="A2098">
        <f>LOOKUP(9E+307,--MID(D2098,1,{1,2,3,4,5}))</f>
        <v>5</v>
      </c>
      <c r="B2098">
        <f>VLOOKUP(MID(D2098,LOOKUP(2,1/ISNUMBER(-MID(D2098,1,{1,2,3,4,5})),{1,2,3,4,5})+1,9),'Hue codes'!$A$1:$B$10,2,FALSE)</f>
        <v>40</v>
      </c>
      <c r="C2098">
        <f t="shared" si="32"/>
        <v>45</v>
      </c>
      <c r="D2098" t="s">
        <v>38</v>
      </c>
      <c r="E2098">
        <v>7</v>
      </c>
      <c r="F2098">
        <v>10</v>
      </c>
      <c r="G2098">
        <v>0.25540000000000002</v>
      </c>
      <c r="H2098">
        <v>0.40870000000000001</v>
      </c>
      <c r="I2098">
        <v>43.06</v>
      </c>
    </row>
    <row r="2099" spans="1:9" x14ac:dyDescent="0.3">
      <c r="A2099">
        <f>LOOKUP(9E+307,--MID(D2099,1,{1,2,3,4,5}))</f>
        <v>5</v>
      </c>
      <c r="B2099">
        <f>VLOOKUP(MID(D2099,LOOKUP(2,1/ISNUMBER(-MID(D2099,1,{1,2,3,4,5})),{1,2,3,4,5})+1,9),'Hue codes'!$A$1:$B$10,2,FALSE)</f>
        <v>40</v>
      </c>
      <c r="C2099">
        <f t="shared" si="32"/>
        <v>45</v>
      </c>
      <c r="D2099" t="s">
        <v>38</v>
      </c>
      <c r="E2099">
        <v>7</v>
      </c>
      <c r="F2099">
        <v>12</v>
      </c>
      <c r="G2099">
        <v>0.24160000000000001</v>
      </c>
      <c r="H2099">
        <v>0.42670000000000002</v>
      </c>
      <c r="I2099">
        <v>43.06</v>
      </c>
    </row>
    <row r="2100" spans="1:9" x14ac:dyDescent="0.3">
      <c r="A2100">
        <f>LOOKUP(9E+307,--MID(D2100,1,{1,2,3,4,5}))</f>
        <v>5</v>
      </c>
      <c r="B2100">
        <f>VLOOKUP(MID(D2100,LOOKUP(2,1/ISNUMBER(-MID(D2100,1,{1,2,3,4,5})),{1,2,3,4,5})+1,9),'Hue codes'!$A$1:$B$10,2,FALSE)</f>
        <v>40</v>
      </c>
      <c r="C2100">
        <f t="shared" si="32"/>
        <v>45</v>
      </c>
      <c r="D2100" t="s">
        <v>38</v>
      </c>
      <c r="E2100">
        <v>7</v>
      </c>
      <c r="F2100">
        <v>14</v>
      </c>
      <c r="G2100">
        <v>0.22620000000000001</v>
      </c>
      <c r="H2100">
        <v>0.44500000000000001</v>
      </c>
      <c r="I2100">
        <v>43.06</v>
      </c>
    </row>
    <row r="2101" spans="1:9" x14ac:dyDescent="0.3">
      <c r="A2101">
        <f>LOOKUP(9E+307,--MID(D2101,1,{1,2,3,4,5}))</f>
        <v>5</v>
      </c>
      <c r="B2101">
        <f>VLOOKUP(MID(D2101,LOOKUP(2,1/ISNUMBER(-MID(D2101,1,{1,2,3,4,5})),{1,2,3,4,5})+1,9),'Hue codes'!$A$1:$B$10,2,FALSE)</f>
        <v>40</v>
      </c>
      <c r="C2101">
        <f t="shared" si="32"/>
        <v>45</v>
      </c>
      <c r="D2101" t="s">
        <v>38</v>
      </c>
      <c r="E2101">
        <v>7</v>
      </c>
      <c r="F2101">
        <v>16</v>
      </c>
      <c r="G2101">
        <v>0.21110000000000001</v>
      </c>
      <c r="H2101">
        <v>0.46160000000000001</v>
      </c>
      <c r="I2101">
        <v>43.06</v>
      </c>
    </row>
    <row r="2102" spans="1:9" x14ac:dyDescent="0.3">
      <c r="A2102">
        <f>LOOKUP(9E+307,--MID(D2102,1,{1,2,3,4,5}))</f>
        <v>5</v>
      </c>
      <c r="B2102">
        <f>VLOOKUP(MID(D2102,LOOKUP(2,1/ISNUMBER(-MID(D2102,1,{1,2,3,4,5})),{1,2,3,4,5})+1,9),'Hue codes'!$A$1:$B$10,2,FALSE)</f>
        <v>40</v>
      </c>
      <c r="C2102">
        <f t="shared" si="32"/>
        <v>45</v>
      </c>
      <c r="D2102" t="s">
        <v>38</v>
      </c>
      <c r="E2102">
        <v>7</v>
      </c>
      <c r="F2102">
        <v>18</v>
      </c>
      <c r="G2102">
        <v>0.19670000000000001</v>
      </c>
      <c r="H2102">
        <v>0.47710000000000002</v>
      </c>
      <c r="I2102">
        <v>43.06</v>
      </c>
    </row>
    <row r="2103" spans="1:9" x14ac:dyDescent="0.3">
      <c r="A2103">
        <f>LOOKUP(9E+307,--MID(D2103,1,{1,2,3,4,5}))</f>
        <v>5</v>
      </c>
      <c r="B2103">
        <f>VLOOKUP(MID(D2103,LOOKUP(2,1/ISNUMBER(-MID(D2103,1,{1,2,3,4,5})),{1,2,3,4,5})+1,9),'Hue codes'!$A$1:$B$10,2,FALSE)</f>
        <v>40</v>
      </c>
      <c r="C2103">
        <f t="shared" si="32"/>
        <v>45</v>
      </c>
      <c r="D2103" t="s">
        <v>38</v>
      </c>
      <c r="E2103">
        <v>7</v>
      </c>
      <c r="F2103">
        <v>20</v>
      </c>
      <c r="G2103">
        <v>0.18049999999999999</v>
      </c>
      <c r="H2103">
        <v>0.49330000000000002</v>
      </c>
      <c r="I2103">
        <v>43.06</v>
      </c>
    </row>
    <row r="2104" spans="1:9" x14ac:dyDescent="0.3">
      <c r="A2104">
        <f>LOOKUP(9E+307,--MID(D2104,1,{1,2,3,4,5}))</f>
        <v>5</v>
      </c>
      <c r="B2104">
        <f>VLOOKUP(MID(D2104,LOOKUP(2,1/ISNUMBER(-MID(D2104,1,{1,2,3,4,5})),{1,2,3,4,5})+1,9),'Hue codes'!$A$1:$B$10,2,FALSE)</f>
        <v>40</v>
      </c>
      <c r="C2104">
        <f t="shared" si="32"/>
        <v>45</v>
      </c>
      <c r="D2104" t="s">
        <v>38</v>
      </c>
      <c r="E2104">
        <v>7</v>
      </c>
      <c r="F2104">
        <v>22</v>
      </c>
      <c r="G2104">
        <v>0.16589999999999999</v>
      </c>
      <c r="H2104">
        <v>0.50739999999999996</v>
      </c>
      <c r="I2104">
        <v>43.06</v>
      </c>
    </row>
    <row r="2105" spans="1:9" x14ac:dyDescent="0.3">
      <c r="A2105">
        <f>LOOKUP(9E+307,--MID(D2105,1,{1,2,3,4,5}))</f>
        <v>5</v>
      </c>
      <c r="B2105">
        <f>VLOOKUP(MID(D2105,LOOKUP(2,1/ISNUMBER(-MID(D2105,1,{1,2,3,4,5})),{1,2,3,4,5})+1,9),'Hue codes'!$A$1:$B$10,2,FALSE)</f>
        <v>40</v>
      </c>
      <c r="C2105">
        <f t="shared" si="32"/>
        <v>45</v>
      </c>
      <c r="D2105" t="s">
        <v>38</v>
      </c>
      <c r="E2105">
        <v>7</v>
      </c>
      <c r="F2105">
        <v>24</v>
      </c>
      <c r="G2105">
        <v>0.15210000000000001</v>
      </c>
      <c r="H2105">
        <v>0.52</v>
      </c>
      <c r="I2105">
        <v>43.06</v>
      </c>
    </row>
    <row r="2106" spans="1:9" x14ac:dyDescent="0.3">
      <c r="A2106">
        <f>LOOKUP(9E+307,--MID(D2106,1,{1,2,3,4,5}))</f>
        <v>5</v>
      </c>
      <c r="B2106">
        <f>VLOOKUP(MID(D2106,LOOKUP(2,1/ISNUMBER(-MID(D2106,1,{1,2,3,4,5})),{1,2,3,4,5})+1,9),'Hue codes'!$A$1:$B$10,2,FALSE)</f>
        <v>40</v>
      </c>
      <c r="C2106">
        <f t="shared" si="32"/>
        <v>45</v>
      </c>
      <c r="D2106" t="s">
        <v>38</v>
      </c>
      <c r="E2106">
        <v>7</v>
      </c>
      <c r="F2106">
        <v>26</v>
      </c>
      <c r="G2106">
        <v>0.13969999999999999</v>
      </c>
      <c r="H2106">
        <v>0.53120000000000001</v>
      </c>
      <c r="I2106">
        <v>43.06</v>
      </c>
    </row>
    <row r="2107" spans="1:9" x14ac:dyDescent="0.3">
      <c r="A2107">
        <f>LOOKUP(9E+307,--MID(D2107,1,{1,2,3,4,5}))</f>
        <v>7.5</v>
      </c>
      <c r="B2107">
        <f>VLOOKUP(MID(D2107,LOOKUP(2,1/ISNUMBER(-MID(D2107,1,{1,2,3,4,5})),{1,2,3,4,5})+1,9),'Hue codes'!$A$1:$B$10,2,FALSE)</f>
        <v>40</v>
      </c>
      <c r="C2107">
        <f t="shared" si="32"/>
        <v>47.5</v>
      </c>
      <c r="D2107" t="s">
        <v>39</v>
      </c>
      <c r="E2107">
        <v>7</v>
      </c>
      <c r="F2107">
        <v>2</v>
      </c>
      <c r="G2107">
        <v>0.29720000000000002</v>
      </c>
      <c r="H2107">
        <v>0.33329999999999999</v>
      </c>
      <c r="I2107">
        <v>43.06</v>
      </c>
    </row>
    <row r="2108" spans="1:9" x14ac:dyDescent="0.3">
      <c r="A2108">
        <f>LOOKUP(9E+307,--MID(D2108,1,{1,2,3,4,5}))</f>
        <v>7.5</v>
      </c>
      <c r="B2108">
        <f>VLOOKUP(MID(D2108,LOOKUP(2,1/ISNUMBER(-MID(D2108,1,{1,2,3,4,5})),{1,2,3,4,5})+1,9),'Hue codes'!$A$1:$B$10,2,FALSE)</f>
        <v>40</v>
      </c>
      <c r="C2108">
        <f t="shared" si="32"/>
        <v>47.5</v>
      </c>
      <c r="D2108" t="s">
        <v>39</v>
      </c>
      <c r="E2108">
        <v>7</v>
      </c>
      <c r="F2108">
        <v>4</v>
      </c>
      <c r="G2108">
        <v>0.28499999999999998</v>
      </c>
      <c r="H2108">
        <v>0.34820000000000001</v>
      </c>
      <c r="I2108">
        <v>43.06</v>
      </c>
    </row>
    <row r="2109" spans="1:9" x14ac:dyDescent="0.3">
      <c r="A2109">
        <f>LOOKUP(9E+307,--MID(D2109,1,{1,2,3,4,5}))</f>
        <v>7.5</v>
      </c>
      <c r="B2109">
        <f>VLOOKUP(MID(D2109,LOOKUP(2,1/ISNUMBER(-MID(D2109,1,{1,2,3,4,5})),{1,2,3,4,5})+1,9),'Hue codes'!$A$1:$B$10,2,FALSE)</f>
        <v>40</v>
      </c>
      <c r="C2109">
        <f t="shared" si="32"/>
        <v>47.5</v>
      </c>
      <c r="D2109" t="s">
        <v>39</v>
      </c>
      <c r="E2109">
        <v>7</v>
      </c>
      <c r="F2109">
        <v>6</v>
      </c>
      <c r="G2109">
        <v>0.27279999999999999</v>
      </c>
      <c r="H2109">
        <v>0.36220000000000002</v>
      </c>
      <c r="I2109">
        <v>43.06</v>
      </c>
    </row>
    <row r="2110" spans="1:9" x14ac:dyDescent="0.3">
      <c r="A2110">
        <f>LOOKUP(9E+307,--MID(D2110,1,{1,2,3,4,5}))</f>
        <v>7.5</v>
      </c>
      <c r="B2110">
        <f>VLOOKUP(MID(D2110,LOOKUP(2,1/ISNUMBER(-MID(D2110,1,{1,2,3,4,5})),{1,2,3,4,5})+1,9),'Hue codes'!$A$1:$B$10,2,FALSE)</f>
        <v>40</v>
      </c>
      <c r="C2110">
        <f t="shared" si="32"/>
        <v>47.5</v>
      </c>
      <c r="D2110" t="s">
        <v>39</v>
      </c>
      <c r="E2110">
        <v>7</v>
      </c>
      <c r="F2110">
        <v>8</v>
      </c>
      <c r="G2110">
        <v>0.25950000000000001</v>
      </c>
      <c r="H2110">
        <v>0.37640000000000001</v>
      </c>
      <c r="I2110">
        <v>43.06</v>
      </c>
    </row>
    <row r="2111" spans="1:9" x14ac:dyDescent="0.3">
      <c r="A2111">
        <f>LOOKUP(9E+307,--MID(D2111,1,{1,2,3,4,5}))</f>
        <v>7.5</v>
      </c>
      <c r="B2111">
        <f>VLOOKUP(MID(D2111,LOOKUP(2,1/ISNUMBER(-MID(D2111,1,{1,2,3,4,5})),{1,2,3,4,5})+1,9),'Hue codes'!$A$1:$B$10,2,FALSE)</f>
        <v>40</v>
      </c>
      <c r="C2111">
        <f t="shared" si="32"/>
        <v>47.5</v>
      </c>
      <c r="D2111" t="s">
        <v>39</v>
      </c>
      <c r="E2111">
        <v>7</v>
      </c>
      <c r="F2111">
        <v>10</v>
      </c>
      <c r="G2111">
        <v>0.2445</v>
      </c>
      <c r="H2111">
        <v>0.39140000000000003</v>
      </c>
      <c r="I2111">
        <v>43.06</v>
      </c>
    </row>
    <row r="2112" spans="1:9" x14ac:dyDescent="0.3">
      <c r="A2112">
        <f>LOOKUP(9E+307,--MID(D2112,1,{1,2,3,4,5}))</f>
        <v>7.5</v>
      </c>
      <c r="B2112">
        <f>VLOOKUP(MID(D2112,LOOKUP(2,1/ISNUMBER(-MID(D2112,1,{1,2,3,4,5})),{1,2,3,4,5})+1,9),'Hue codes'!$A$1:$B$10,2,FALSE)</f>
        <v>40</v>
      </c>
      <c r="C2112">
        <f t="shared" si="32"/>
        <v>47.5</v>
      </c>
      <c r="D2112" t="s">
        <v>39</v>
      </c>
      <c r="E2112">
        <v>7</v>
      </c>
      <c r="F2112">
        <v>12</v>
      </c>
      <c r="G2112">
        <v>0.22950000000000001</v>
      </c>
      <c r="H2112">
        <v>0.40579999999999999</v>
      </c>
      <c r="I2112">
        <v>43.06</v>
      </c>
    </row>
    <row r="2113" spans="1:9" x14ac:dyDescent="0.3">
      <c r="A2113">
        <f>LOOKUP(9E+307,--MID(D2113,1,{1,2,3,4,5}))</f>
        <v>7.5</v>
      </c>
      <c r="B2113">
        <f>VLOOKUP(MID(D2113,LOOKUP(2,1/ISNUMBER(-MID(D2113,1,{1,2,3,4,5})),{1,2,3,4,5})+1,9),'Hue codes'!$A$1:$B$10,2,FALSE)</f>
        <v>40</v>
      </c>
      <c r="C2113">
        <f t="shared" si="32"/>
        <v>47.5</v>
      </c>
      <c r="D2113" t="s">
        <v>39</v>
      </c>
      <c r="E2113">
        <v>7</v>
      </c>
      <c r="F2113">
        <v>14</v>
      </c>
      <c r="G2113">
        <v>0.21390000000000001</v>
      </c>
      <c r="H2113">
        <v>0.4199</v>
      </c>
      <c r="I2113">
        <v>43.06</v>
      </c>
    </row>
    <row r="2114" spans="1:9" x14ac:dyDescent="0.3">
      <c r="A2114">
        <f>LOOKUP(9E+307,--MID(D2114,1,{1,2,3,4,5}))</f>
        <v>7.5</v>
      </c>
      <c r="B2114">
        <f>VLOOKUP(MID(D2114,LOOKUP(2,1/ISNUMBER(-MID(D2114,1,{1,2,3,4,5})),{1,2,3,4,5})+1,9),'Hue codes'!$A$1:$B$10,2,FALSE)</f>
        <v>40</v>
      </c>
      <c r="C2114">
        <f t="shared" si="32"/>
        <v>47.5</v>
      </c>
      <c r="D2114" t="s">
        <v>39</v>
      </c>
      <c r="E2114">
        <v>7</v>
      </c>
      <c r="F2114">
        <v>16</v>
      </c>
      <c r="G2114">
        <v>0.19819999999999999</v>
      </c>
      <c r="H2114">
        <v>0.433</v>
      </c>
      <c r="I2114">
        <v>43.06</v>
      </c>
    </row>
    <row r="2115" spans="1:9" x14ac:dyDescent="0.3">
      <c r="A2115">
        <f>LOOKUP(9E+307,--MID(D2115,1,{1,2,3,4,5}))</f>
        <v>7.5</v>
      </c>
      <c r="B2115">
        <f>VLOOKUP(MID(D2115,LOOKUP(2,1/ISNUMBER(-MID(D2115,1,{1,2,3,4,5})),{1,2,3,4,5})+1,9),'Hue codes'!$A$1:$B$10,2,FALSE)</f>
        <v>40</v>
      </c>
      <c r="C2115">
        <f t="shared" ref="C2115:C2178" si="33">IF(A2115+B2115=100,0,A2115+B2115)</f>
        <v>47.5</v>
      </c>
      <c r="D2115" t="s">
        <v>39</v>
      </c>
      <c r="E2115">
        <v>7</v>
      </c>
      <c r="F2115">
        <v>18</v>
      </c>
      <c r="G2115">
        <v>0.18410000000000001</v>
      </c>
      <c r="H2115">
        <v>0.44479999999999997</v>
      </c>
      <c r="I2115">
        <v>43.06</v>
      </c>
    </row>
    <row r="2116" spans="1:9" x14ac:dyDescent="0.3">
      <c r="A2116">
        <f>LOOKUP(9E+307,--MID(D2116,1,{1,2,3,4,5}))</f>
        <v>7.5</v>
      </c>
      <c r="B2116">
        <f>VLOOKUP(MID(D2116,LOOKUP(2,1/ISNUMBER(-MID(D2116,1,{1,2,3,4,5})),{1,2,3,4,5})+1,9),'Hue codes'!$A$1:$B$10,2,FALSE)</f>
        <v>40</v>
      </c>
      <c r="C2116">
        <f t="shared" si="33"/>
        <v>47.5</v>
      </c>
      <c r="D2116" t="s">
        <v>39</v>
      </c>
      <c r="E2116">
        <v>7</v>
      </c>
      <c r="F2116">
        <v>20</v>
      </c>
      <c r="G2116">
        <v>0.16880000000000001</v>
      </c>
      <c r="H2116">
        <v>0.45700000000000002</v>
      </c>
      <c r="I2116">
        <v>43.06</v>
      </c>
    </row>
    <row r="2117" spans="1:9" x14ac:dyDescent="0.3">
      <c r="A2117">
        <f>LOOKUP(9E+307,--MID(D2117,1,{1,2,3,4,5}))</f>
        <v>7.5</v>
      </c>
      <c r="B2117">
        <f>VLOOKUP(MID(D2117,LOOKUP(2,1/ISNUMBER(-MID(D2117,1,{1,2,3,4,5})),{1,2,3,4,5})+1,9),'Hue codes'!$A$1:$B$10,2,FALSE)</f>
        <v>40</v>
      </c>
      <c r="C2117">
        <f t="shared" si="33"/>
        <v>47.5</v>
      </c>
      <c r="D2117" t="s">
        <v>39</v>
      </c>
      <c r="E2117">
        <v>7</v>
      </c>
      <c r="F2117">
        <v>22</v>
      </c>
      <c r="G2117">
        <v>0.15390000000000001</v>
      </c>
      <c r="H2117">
        <v>0.46829999999999999</v>
      </c>
      <c r="I2117">
        <v>43.06</v>
      </c>
    </row>
    <row r="2118" spans="1:9" x14ac:dyDescent="0.3">
      <c r="A2118">
        <f>LOOKUP(9E+307,--MID(D2118,1,{1,2,3,4,5}))</f>
        <v>7.5</v>
      </c>
      <c r="B2118">
        <f>VLOOKUP(MID(D2118,LOOKUP(2,1/ISNUMBER(-MID(D2118,1,{1,2,3,4,5})),{1,2,3,4,5})+1,9),'Hue codes'!$A$1:$B$10,2,FALSE)</f>
        <v>40</v>
      </c>
      <c r="C2118">
        <f t="shared" si="33"/>
        <v>47.5</v>
      </c>
      <c r="D2118" t="s">
        <v>39</v>
      </c>
      <c r="E2118">
        <v>7</v>
      </c>
      <c r="F2118">
        <v>24</v>
      </c>
      <c r="G2118">
        <v>0.14149999999999999</v>
      </c>
      <c r="H2118">
        <v>0.4778</v>
      </c>
      <c r="I2118">
        <v>43.06</v>
      </c>
    </row>
    <row r="2119" spans="1:9" x14ac:dyDescent="0.3">
      <c r="A2119">
        <f>LOOKUP(9E+307,--MID(D2119,1,{1,2,3,4,5}))</f>
        <v>7.5</v>
      </c>
      <c r="B2119">
        <f>VLOOKUP(MID(D2119,LOOKUP(2,1/ISNUMBER(-MID(D2119,1,{1,2,3,4,5})),{1,2,3,4,5})+1,9),'Hue codes'!$A$1:$B$10,2,FALSE)</f>
        <v>40</v>
      </c>
      <c r="C2119">
        <f t="shared" si="33"/>
        <v>47.5</v>
      </c>
      <c r="D2119" t="s">
        <v>39</v>
      </c>
      <c r="E2119">
        <v>7</v>
      </c>
      <c r="F2119">
        <v>26</v>
      </c>
      <c r="G2119">
        <v>0.1303</v>
      </c>
      <c r="H2119">
        <v>0.48580000000000001</v>
      </c>
      <c r="I2119">
        <v>43.06</v>
      </c>
    </row>
    <row r="2120" spans="1:9" x14ac:dyDescent="0.3">
      <c r="A2120">
        <f>LOOKUP(9E+307,--MID(D2120,1,{1,2,3,4,5}))</f>
        <v>10</v>
      </c>
      <c r="B2120">
        <f>VLOOKUP(MID(D2120,LOOKUP(2,1/ISNUMBER(-MID(D2120,1,{1,2,3,4,5})),{1,2,3,4,5})+1,9),'Hue codes'!$A$1:$B$10,2,FALSE)</f>
        <v>40</v>
      </c>
      <c r="C2120">
        <f t="shared" si="33"/>
        <v>50</v>
      </c>
      <c r="D2120" t="s">
        <v>40</v>
      </c>
      <c r="E2120">
        <v>7</v>
      </c>
      <c r="F2120">
        <v>2</v>
      </c>
      <c r="G2120">
        <v>0.29449999999999998</v>
      </c>
      <c r="H2120">
        <v>0.32969999999999999</v>
      </c>
      <c r="I2120">
        <v>43.06</v>
      </c>
    </row>
    <row r="2121" spans="1:9" x14ac:dyDescent="0.3">
      <c r="A2121">
        <f>LOOKUP(9E+307,--MID(D2121,1,{1,2,3,4,5}))</f>
        <v>10</v>
      </c>
      <c r="B2121">
        <f>VLOOKUP(MID(D2121,LOOKUP(2,1/ISNUMBER(-MID(D2121,1,{1,2,3,4,5})),{1,2,3,4,5})+1,9),'Hue codes'!$A$1:$B$10,2,FALSE)</f>
        <v>40</v>
      </c>
      <c r="C2121">
        <f t="shared" si="33"/>
        <v>50</v>
      </c>
      <c r="D2121" t="s">
        <v>40</v>
      </c>
      <c r="E2121">
        <v>7</v>
      </c>
      <c r="F2121">
        <v>4</v>
      </c>
      <c r="G2121">
        <v>0.28029999999999999</v>
      </c>
      <c r="H2121">
        <v>0.34150000000000003</v>
      </c>
      <c r="I2121">
        <v>43.06</v>
      </c>
    </row>
    <row r="2122" spans="1:9" x14ac:dyDescent="0.3">
      <c r="A2122">
        <f>LOOKUP(9E+307,--MID(D2122,1,{1,2,3,4,5}))</f>
        <v>10</v>
      </c>
      <c r="B2122">
        <f>VLOOKUP(MID(D2122,LOOKUP(2,1/ISNUMBER(-MID(D2122,1,{1,2,3,4,5})),{1,2,3,4,5})+1,9),'Hue codes'!$A$1:$B$10,2,FALSE)</f>
        <v>40</v>
      </c>
      <c r="C2122">
        <f t="shared" si="33"/>
        <v>50</v>
      </c>
      <c r="D2122" t="s">
        <v>40</v>
      </c>
      <c r="E2122">
        <v>7</v>
      </c>
      <c r="F2122">
        <v>6</v>
      </c>
      <c r="G2122">
        <v>0.26619999999999999</v>
      </c>
      <c r="H2122">
        <v>0.35260000000000002</v>
      </c>
      <c r="I2122">
        <v>43.06</v>
      </c>
    </row>
    <row r="2123" spans="1:9" x14ac:dyDescent="0.3">
      <c r="A2123">
        <f>LOOKUP(9E+307,--MID(D2123,1,{1,2,3,4,5}))</f>
        <v>10</v>
      </c>
      <c r="B2123">
        <f>VLOOKUP(MID(D2123,LOOKUP(2,1/ISNUMBER(-MID(D2123,1,{1,2,3,4,5})),{1,2,3,4,5})+1,9),'Hue codes'!$A$1:$B$10,2,FALSE)</f>
        <v>40</v>
      </c>
      <c r="C2123">
        <f t="shared" si="33"/>
        <v>50</v>
      </c>
      <c r="D2123" t="s">
        <v>40</v>
      </c>
      <c r="E2123">
        <v>7</v>
      </c>
      <c r="F2123">
        <v>8</v>
      </c>
      <c r="G2123">
        <v>0.25130000000000002</v>
      </c>
      <c r="H2123">
        <v>0.36349999999999999</v>
      </c>
      <c r="I2123">
        <v>43.06</v>
      </c>
    </row>
    <row r="2124" spans="1:9" x14ac:dyDescent="0.3">
      <c r="A2124">
        <f>LOOKUP(9E+307,--MID(D2124,1,{1,2,3,4,5}))</f>
        <v>10</v>
      </c>
      <c r="B2124">
        <f>VLOOKUP(MID(D2124,LOOKUP(2,1/ISNUMBER(-MID(D2124,1,{1,2,3,4,5})),{1,2,3,4,5})+1,9),'Hue codes'!$A$1:$B$10,2,FALSE)</f>
        <v>40</v>
      </c>
      <c r="C2124">
        <f t="shared" si="33"/>
        <v>50</v>
      </c>
      <c r="D2124" t="s">
        <v>40</v>
      </c>
      <c r="E2124">
        <v>7</v>
      </c>
      <c r="F2124">
        <v>10</v>
      </c>
      <c r="G2124">
        <v>0.23519999999999999</v>
      </c>
      <c r="H2124">
        <v>0.37480000000000002</v>
      </c>
      <c r="I2124">
        <v>43.06</v>
      </c>
    </row>
    <row r="2125" spans="1:9" x14ac:dyDescent="0.3">
      <c r="A2125">
        <f>LOOKUP(9E+307,--MID(D2125,1,{1,2,3,4,5}))</f>
        <v>10</v>
      </c>
      <c r="B2125">
        <f>VLOOKUP(MID(D2125,LOOKUP(2,1/ISNUMBER(-MID(D2125,1,{1,2,3,4,5})),{1,2,3,4,5})+1,9),'Hue codes'!$A$1:$B$10,2,FALSE)</f>
        <v>40</v>
      </c>
      <c r="C2125">
        <f t="shared" si="33"/>
        <v>50</v>
      </c>
      <c r="D2125" t="s">
        <v>40</v>
      </c>
      <c r="E2125">
        <v>7</v>
      </c>
      <c r="F2125">
        <v>12</v>
      </c>
      <c r="G2125">
        <v>0.2195</v>
      </c>
      <c r="H2125">
        <v>0.38540000000000002</v>
      </c>
      <c r="I2125">
        <v>43.06</v>
      </c>
    </row>
    <row r="2126" spans="1:9" x14ac:dyDescent="0.3">
      <c r="A2126">
        <f>LOOKUP(9E+307,--MID(D2126,1,{1,2,3,4,5}))</f>
        <v>10</v>
      </c>
      <c r="B2126">
        <f>VLOOKUP(MID(D2126,LOOKUP(2,1/ISNUMBER(-MID(D2126,1,{1,2,3,4,5})),{1,2,3,4,5})+1,9),'Hue codes'!$A$1:$B$10,2,FALSE)</f>
        <v>40</v>
      </c>
      <c r="C2126">
        <f t="shared" si="33"/>
        <v>50</v>
      </c>
      <c r="D2126" t="s">
        <v>40</v>
      </c>
      <c r="E2126">
        <v>7</v>
      </c>
      <c r="F2126">
        <v>14</v>
      </c>
      <c r="G2126">
        <v>0.20330000000000001</v>
      </c>
      <c r="H2126">
        <v>0.39560000000000001</v>
      </c>
      <c r="I2126">
        <v>43.06</v>
      </c>
    </row>
    <row r="2127" spans="1:9" x14ac:dyDescent="0.3">
      <c r="A2127">
        <f>LOOKUP(9E+307,--MID(D2127,1,{1,2,3,4,5}))</f>
        <v>10</v>
      </c>
      <c r="B2127">
        <f>VLOOKUP(MID(D2127,LOOKUP(2,1/ISNUMBER(-MID(D2127,1,{1,2,3,4,5})),{1,2,3,4,5})+1,9),'Hue codes'!$A$1:$B$10,2,FALSE)</f>
        <v>40</v>
      </c>
      <c r="C2127">
        <f t="shared" si="33"/>
        <v>50</v>
      </c>
      <c r="D2127" t="s">
        <v>40</v>
      </c>
      <c r="E2127">
        <v>7</v>
      </c>
      <c r="F2127">
        <v>16</v>
      </c>
      <c r="G2127">
        <v>0.18809999999999999</v>
      </c>
      <c r="H2127">
        <v>0.40489999999999998</v>
      </c>
      <c r="I2127">
        <v>43.06</v>
      </c>
    </row>
    <row r="2128" spans="1:9" x14ac:dyDescent="0.3">
      <c r="A2128">
        <f>LOOKUP(9E+307,--MID(D2128,1,{1,2,3,4,5}))</f>
        <v>10</v>
      </c>
      <c r="B2128">
        <f>VLOOKUP(MID(D2128,LOOKUP(2,1/ISNUMBER(-MID(D2128,1,{1,2,3,4,5})),{1,2,3,4,5})+1,9),'Hue codes'!$A$1:$B$10,2,FALSE)</f>
        <v>40</v>
      </c>
      <c r="C2128">
        <f t="shared" si="33"/>
        <v>50</v>
      </c>
      <c r="D2128" t="s">
        <v>40</v>
      </c>
      <c r="E2128">
        <v>7</v>
      </c>
      <c r="F2128">
        <v>18</v>
      </c>
      <c r="G2128">
        <v>0.1734</v>
      </c>
      <c r="H2128">
        <v>0.41349999999999998</v>
      </c>
      <c r="I2128">
        <v>43.06</v>
      </c>
    </row>
    <row r="2129" spans="1:9" x14ac:dyDescent="0.3">
      <c r="A2129">
        <f>LOOKUP(9E+307,--MID(D2129,1,{1,2,3,4,5}))</f>
        <v>10</v>
      </c>
      <c r="B2129">
        <f>VLOOKUP(MID(D2129,LOOKUP(2,1/ISNUMBER(-MID(D2129,1,{1,2,3,4,5})),{1,2,3,4,5})+1,9),'Hue codes'!$A$1:$B$10,2,FALSE)</f>
        <v>40</v>
      </c>
      <c r="C2129">
        <f t="shared" si="33"/>
        <v>50</v>
      </c>
      <c r="D2129" t="s">
        <v>40</v>
      </c>
      <c r="E2129">
        <v>7</v>
      </c>
      <c r="F2129">
        <v>20</v>
      </c>
      <c r="G2129">
        <v>0.15890000000000001</v>
      </c>
      <c r="H2129">
        <v>0.42199999999999999</v>
      </c>
      <c r="I2129">
        <v>43.06</v>
      </c>
    </row>
    <row r="2130" spans="1:9" x14ac:dyDescent="0.3">
      <c r="A2130">
        <f>LOOKUP(9E+307,--MID(D2130,1,{1,2,3,4,5}))</f>
        <v>10</v>
      </c>
      <c r="B2130">
        <f>VLOOKUP(MID(D2130,LOOKUP(2,1/ISNUMBER(-MID(D2130,1,{1,2,3,4,5})),{1,2,3,4,5})+1,9),'Hue codes'!$A$1:$B$10,2,FALSE)</f>
        <v>40</v>
      </c>
      <c r="C2130">
        <f t="shared" si="33"/>
        <v>50</v>
      </c>
      <c r="D2130" t="s">
        <v>40</v>
      </c>
      <c r="E2130">
        <v>7</v>
      </c>
      <c r="F2130">
        <v>22</v>
      </c>
      <c r="G2130">
        <v>0.1434</v>
      </c>
      <c r="H2130">
        <v>0.43059999999999998</v>
      </c>
      <c r="I2130">
        <v>43.06</v>
      </c>
    </row>
    <row r="2131" spans="1:9" x14ac:dyDescent="0.3">
      <c r="A2131">
        <f>LOOKUP(9E+307,--MID(D2131,1,{1,2,3,4,5}))</f>
        <v>10</v>
      </c>
      <c r="B2131">
        <f>VLOOKUP(MID(D2131,LOOKUP(2,1/ISNUMBER(-MID(D2131,1,{1,2,3,4,5})),{1,2,3,4,5})+1,9),'Hue codes'!$A$1:$B$10,2,FALSE)</f>
        <v>40</v>
      </c>
      <c r="C2131">
        <f t="shared" si="33"/>
        <v>50</v>
      </c>
      <c r="D2131" t="s">
        <v>40</v>
      </c>
      <c r="E2131">
        <v>7</v>
      </c>
      <c r="F2131">
        <v>24</v>
      </c>
      <c r="G2131">
        <v>0.13100000000000001</v>
      </c>
      <c r="H2131">
        <v>0.43769999999999998</v>
      </c>
      <c r="I2131">
        <v>43.06</v>
      </c>
    </row>
    <row r="2132" spans="1:9" x14ac:dyDescent="0.3">
      <c r="A2132">
        <f>LOOKUP(9E+307,--MID(D2132,1,{1,2,3,4,5}))</f>
        <v>2.5</v>
      </c>
      <c r="B2132">
        <f>VLOOKUP(MID(D2132,LOOKUP(2,1/ISNUMBER(-MID(D2132,1,{1,2,3,4,5})),{1,2,3,4,5})+1,9),'Hue codes'!$A$1:$B$10,2,FALSE)</f>
        <v>50</v>
      </c>
      <c r="C2132">
        <f t="shared" si="33"/>
        <v>52.5</v>
      </c>
      <c r="D2132" t="s">
        <v>41</v>
      </c>
      <c r="E2132">
        <v>7</v>
      </c>
      <c r="F2132">
        <v>2</v>
      </c>
      <c r="G2132">
        <v>0.29270000000000002</v>
      </c>
      <c r="H2132">
        <v>0.32690000000000002</v>
      </c>
      <c r="I2132">
        <v>43.06</v>
      </c>
    </row>
    <row r="2133" spans="1:9" x14ac:dyDescent="0.3">
      <c r="A2133">
        <f>LOOKUP(9E+307,--MID(D2133,1,{1,2,3,4,5}))</f>
        <v>2.5</v>
      </c>
      <c r="B2133">
        <f>VLOOKUP(MID(D2133,LOOKUP(2,1/ISNUMBER(-MID(D2133,1,{1,2,3,4,5})),{1,2,3,4,5})+1,9),'Hue codes'!$A$1:$B$10,2,FALSE)</f>
        <v>50</v>
      </c>
      <c r="C2133">
        <f t="shared" si="33"/>
        <v>52.5</v>
      </c>
      <c r="D2133" t="s">
        <v>41</v>
      </c>
      <c r="E2133">
        <v>7</v>
      </c>
      <c r="F2133">
        <v>4</v>
      </c>
      <c r="G2133">
        <v>0.27639999999999998</v>
      </c>
      <c r="H2133">
        <v>0.33539999999999998</v>
      </c>
      <c r="I2133">
        <v>43.06</v>
      </c>
    </row>
    <row r="2134" spans="1:9" x14ac:dyDescent="0.3">
      <c r="A2134">
        <f>LOOKUP(9E+307,--MID(D2134,1,{1,2,3,4,5}))</f>
        <v>2.5</v>
      </c>
      <c r="B2134">
        <f>VLOOKUP(MID(D2134,LOOKUP(2,1/ISNUMBER(-MID(D2134,1,{1,2,3,4,5})),{1,2,3,4,5})+1,9),'Hue codes'!$A$1:$B$10,2,FALSE)</f>
        <v>50</v>
      </c>
      <c r="C2134">
        <f t="shared" si="33"/>
        <v>52.5</v>
      </c>
      <c r="D2134" t="s">
        <v>41</v>
      </c>
      <c r="E2134">
        <v>7</v>
      </c>
      <c r="F2134">
        <v>6</v>
      </c>
      <c r="G2134">
        <v>0.26079999999999998</v>
      </c>
      <c r="H2134">
        <v>0.34300000000000003</v>
      </c>
      <c r="I2134">
        <v>43.06</v>
      </c>
    </row>
    <row r="2135" spans="1:9" x14ac:dyDescent="0.3">
      <c r="A2135">
        <f>LOOKUP(9E+307,--MID(D2135,1,{1,2,3,4,5}))</f>
        <v>2.5</v>
      </c>
      <c r="B2135">
        <f>VLOOKUP(MID(D2135,LOOKUP(2,1/ISNUMBER(-MID(D2135,1,{1,2,3,4,5})),{1,2,3,4,5})+1,9),'Hue codes'!$A$1:$B$10,2,FALSE)</f>
        <v>50</v>
      </c>
      <c r="C2135">
        <f t="shared" si="33"/>
        <v>52.5</v>
      </c>
      <c r="D2135" t="s">
        <v>41</v>
      </c>
      <c r="E2135">
        <v>7</v>
      </c>
      <c r="F2135">
        <v>8</v>
      </c>
      <c r="G2135">
        <v>0.24390000000000001</v>
      </c>
      <c r="H2135">
        <v>0.3508</v>
      </c>
      <c r="I2135">
        <v>43.06</v>
      </c>
    </row>
    <row r="2136" spans="1:9" x14ac:dyDescent="0.3">
      <c r="A2136">
        <f>LOOKUP(9E+307,--MID(D2136,1,{1,2,3,4,5}))</f>
        <v>2.5</v>
      </c>
      <c r="B2136">
        <f>VLOOKUP(MID(D2136,LOOKUP(2,1/ISNUMBER(-MID(D2136,1,{1,2,3,4,5})),{1,2,3,4,5})+1,9),'Hue codes'!$A$1:$B$10,2,FALSE)</f>
        <v>50</v>
      </c>
      <c r="C2136">
        <f t="shared" si="33"/>
        <v>52.5</v>
      </c>
      <c r="D2136" t="s">
        <v>41</v>
      </c>
      <c r="E2136">
        <v>7</v>
      </c>
      <c r="F2136">
        <v>10</v>
      </c>
      <c r="G2136">
        <v>0.22639999999999999</v>
      </c>
      <c r="H2136">
        <v>0.35759999999999997</v>
      </c>
      <c r="I2136">
        <v>43.06</v>
      </c>
    </row>
    <row r="2137" spans="1:9" x14ac:dyDescent="0.3">
      <c r="A2137">
        <f>LOOKUP(9E+307,--MID(D2137,1,{1,2,3,4,5}))</f>
        <v>2.5</v>
      </c>
      <c r="B2137">
        <f>VLOOKUP(MID(D2137,LOOKUP(2,1/ISNUMBER(-MID(D2137,1,{1,2,3,4,5})),{1,2,3,4,5})+1,9),'Hue codes'!$A$1:$B$10,2,FALSE)</f>
        <v>50</v>
      </c>
      <c r="C2137">
        <f t="shared" si="33"/>
        <v>52.5</v>
      </c>
      <c r="D2137" t="s">
        <v>41</v>
      </c>
      <c r="E2137">
        <v>7</v>
      </c>
      <c r="F2137">
        <v>12</v>
      </c>
      <c r="G2137">
        <v>0.2102</v>
      </c>
      <c r="H2137">
        <v>0.36359999999999998</v>
      </c>
      <c r="I2137">
        <v>43.06</v>
      </c>
    </row>
    <row r="2138" spans="1:9" x14ac:dyDescent="0.3">
      <c r="A2138">
        <f>LOOKUP(9E+307,--MID(D2138,1,{1,2,3,4,5}))</f>
        <v>2.5</v>
      </c>
      <c r="B2138">
        <f>VLOOKUP(MID(D2138,LOOKUP(2,1/ISNUMBER(-MID(D2138,1,{1,2,3,4,5})),{1,2,3,4,5})+1,9),'Hue codes'!$A$1:$B$10,2,FALSE)</f>
        <v>50</v>
      </c>
      <c r="C2138">
        <f t="shared" si="33"/>
        <v>52.5</v>
      </c>
      <c r="D2138" t="s">
        <v>41</v>
      </c>
      <c r="E2138">
        <v>7</v>
      </c>
      <c r="F2138">
        <v>14</v>
      </c>
      <c r="G2138">
        <v>0.19320000000000001</v>
      </c>
      <c r="H2138">
        <v>0.36940000000000001</v>
      </c>
      <c r="I2138">
        <v>43.06</v>
      </c>
    </row>
    <row r="2139" spans="1:9" x14ac:dyDescent="0.3">
      <c r="A2139">
        <f>LOOKUP(9E+307,--MID(D2139,1,{1,2,3,4,5}))</f>
        <v>2.5</v>
      </c>
      <c r="B2139">
        <f>VLOOKUP(MID(D2139,LOOKUP(2,1/ISNUMBER(-MID(D2139,1,{1,2,3,4,5})),{1,2,3,4,5})+1,9),'Hue codes'!$A$1:$B$10,2,FALSE)</f>
        <v>50</v>
      </c>
      <c r="C2139">
        <f t="shared" si="33"/>
        <v>52.5</v>
      </c>
      <c r="D2139" t="s">
        <v>41</v>
      </c>
      <c r="E2139">
        <v>7</v>
      </c>
      <c r="F2139">
        <v>16</v>
      </c>
      <c r="G2139">
        <v>0.17879999999999999</v>
      </c>
      <c r="H2139">
        <v>0.37390000000000001</v>
      </c>
      <c r="I2139">
        <v>43.06</v>
      </c>
    </row>
    <row r="2140" spans="1:9" x14ac:dyDescent="0.3">
      <c r="A2140">
        <f>LOOKUP(9E+307,--MID(D2140,1,{1,2,3,4,5}))</f>
        <v>2.5</v>
      </c>
      <c r="B2140">
        <f>VLOOKUP(MID(D2140,LOOKUP(2,1/ISNUMBER(-MID(D2140,1,{1,2,3,4,5})),{1,2,3,4,5})+1,9),'Hue codes'!$A$1:$B$10,2,FALSE)</f>
        <v>50</v>
      </c>
      <c r="C2140">
        <f t="shared" si="33"/>
        <v>52.5</v>
      </c>
      <c r="D2140" t="s">
        <v>41</v>
      </c>
      <c r="E2140">
        <v>7</v>
      </c>
      <c r="F2140">
        <v>18</v>
      </c>
      <c r="G2140">
        <v>0.16259999999999999</v>
      </c>
      <c r="H2140">
        <v>0.37880000000000003</v>
      </c>
      <c r="I2140">
        <v>43.06</v>
      </c>
    </row>
    <row r="2141" spans="1:9" x14ac:dyDescent="0.3">
      <c r="A2141">
        <f>LOOKUP(9E+307,--MID(D2141,1,{1,2,3,4,5}))</f>
        <v>2.5</v>
      </c>
      <c r="B2141">
        <f>VLOOKUP(MID(D2141,LOOKUP(2,1/ISNUMBER(-MID(D2141,1,{1,2,3,4,5})),{1,2,3,4,5})+1,9),'Hue codes'!$A$1:$B$10,2,FALSE)</f>
        <v>50</v>
      </c>
      <c r="C2141">
        <f t="shared" si="33"/>
        <v>52.5</v>
      </c>
      <c r="D2141" t="s">
        <v>41</v>
      </c>
      <c r="E2141">
        <v>7</v>
      </c>
      <c r="F2141">
        <v>20</v>
      </c>
      <c r="G2141">
        <v>0.14899999999999999</v>
      </c>
      <c r="H2141">
        <v>0.38269999999999998</v>
      </c>
      <c r="I2141">
        <v>43.06</v>
      </c>
    </row>
    <row r="2142" spans="1:9" x14ac:dyDescent="0.3">
      <c r="A2142">
        <f>LOOKUP(9E+307,--MID(D2142,1,{1,2,3,4,5}))</f>
        <v>2.5</v>
      </c>
      <c r="B2142">
        <f>VLOOKUP(MID(D2142,LOOKUP(2,1/ISNUMBER(-MID(D2142,1,{1,2,3,4,5})),{1,2,3,4,5})+1,9),'Hue codes'!$A$1:$B$10,2,FALSE)</f>
        <v>50</v>
      </c>
      <c r="C2142">
        <f t="shared" si="33"/>
        <v>52.5</v>
      </c>
      <c r="D2142" t="s">
        <v>41</v>
      </c>
      <c r="E2142">
        <v>7</v>
      </c>
      <c r="F2142">
        <v>22</v>
      </c>
      <c r="G2142">
        <v>0.13339999999999999</v>
      </c>
      <c r="H2142">
        <v>0.38700000000000001</v>
      </c>
      <c r="I2142">
        <v>43.06</v>
      </c>
    </row>
    <row r="2143" spans="1:9" x14ac:dyDescent="0.3">
      <c r="A2143">
        <f>LOOKUP(9E+307,--MID(D2143,1,{1,2,3,4,5}))</f>
        <v>5</v>
      </c>
      <c r="B2143">
        <f>VLOOKUP(MID(D2143,LOOKUP(2,1/ISNUMBER(-MID(D2143,1,{1,2,3,4,5})),{1,2,3,4,5})+1,9),'Hue codes'!$A$1:$B$10,2,FALSE)</f>
        <v>50</v>
      </c>
      <c r="C2143">
        <f t="shared" si="33"/>
        <v>55</v>
      </c>
      <c r="D2143" t="s">
        <v>42</v>
      </c>
      <c r="E2143">
        <v>7</v>
      </c>
      <c r="F2143">
        <v>2</v>
      </c>
      <c r="G2143">
        <v>0.2898</v>
      </c>
      <c r="H2143">
        <v>0.32250000000000001</v>
      </c>
      <c r="I2143">
        <v>43.06</v>
      </c>
    </row>
    <row r="2144" spans="1:9" x14ac:dyDescent="0.3">
      <c r="A2144">
        <f>LOOKUP(9E+307,--MID(D2144,1,{1,2,3,4,5}))</f>
        <v>5</v>
      </c>
      <c r="B2144">
        <f>VLOOKUP(MID(D2144,LOOKUP(2,1/ISNUMBER(-MID(D2144,1,{1,2,3,4,5})),{1,2,3,4,5})+1,9),'Hue codes'!$A$1:$B$10,2,FALSE)</f>
        <v>50</v>
      </c>
      <c r="C2144">
        <f t="shared" si="33"/>
        <v>55</v>
      </c>
      <c r="D2144" t="s">
        <v>42</v>
      </c>
      <c r="E2144">
        <v>7</v>
      </c>
      <c r="F2144">
        <v>4</v>
      </c>
      <c r="G2144">
        <v>0.2712</v>
      </c>
      <c r="H2144">
        <v>0.32690000000000002</v>
      </c>
      <c r="I2144">
        <v>43.06</v>
      </c>
    </row>
    <row r="2145" spans="1:9" x14ac:dyDescent="0.3">
      <c r="A2145">
        <f>LOOKUP(9E+307,--MID(D2145,1,{1,2,3,4,5}))</f>
        <v>5</v>
      </c>
      <c r="B2145">
        <f>VLOOKUP(MID(D2145,LOOKUP(2,1/ISNUMBER(-MID(D2145,1,{1,2,3,4,5})),{1,2,3,4,5})+1,9),'Hue codes'!$A$1:$B$10,2,FALSE)</f>
        <v>50</v>
      </c>
      <c r="C2145">
        <f t="shared" si="33"/>
        <v>55</v>
      </c>
      <c r="D2145" t="s">
        <v>42</v>
      </c>
      <c r="E2145">
        <v>7</v>
      </c>
      <c r="F2145">
        <v>6</v>
      </c>
      <c r="G2145">
        <v>0.25430000000000003</v>
      </c>
      <c r="H2145">
        <v>0.33019999999999999</v>
      </c>
      <c r="I2145">
        <v>43.06</v>
      </c>
    </row>
    <row r="2146" spans="1:9" x14ac:dyDescent="0.3">
      <c r="A2146">
        <f>LOOKUP(9E+307,--MID(D2146,1,{1,2,3,4,5}))</f>
        <v>5</v>
      </c>
      <c r="B2146">
        <f>VLOOKUP(MID(D2146,LOOKUP(2,1/ISNUMBER(-MID(D2146,1,{1,2,3,4,5})),{1,2,3,4,5})+1,9),'Hue codes'!$A$1:$B$10,2,FALSE)</f>
        <v>50</v>
      </c>
      <c r="C2146">
        <f t="shared" si="33"/>
        <v>55</v>
      </c>
      <c r="D2146" t="s">
        <v>42</v>
      </c>
      <c r="E2146">
        <v>7</v>
      </c>
      <c r="F2146">
        <v>8</v>
      </c>
      <c r="G2146">
        <v>0.2354</v>
      </c>
      <c r="H2146">
        <v>0.33350000000000002</v>
      </c>
      <c r="I2146">
        <v>43.06</v>
      </c>
    </row>
    <row r="2147" spans="1:9" x14ac:dyDescent="0.3">
      <c r="A2147">
        <f>LOOKUP(9E+307,--MID(D2147,1,{1,2,3,4,5}))</f>
        <v>5</v>
      </c>
      <c r="B2147">
        <f>VLOOKUP(MID(D2147,LOOKUP(2,1/ISNUMBER(-MID(D2147,1,{1,2,3,4,5})),{1,2,3,4,5})+1,9),'Hue codes'!$A$1:$B$10,2,FALSE)</f>
        <v>50</v>
      </c>
      <c r="C2147">
        <f t="shared" si="33"/>
        <v>55</v>
      </c>
      <c r="D2147" t="s">
        <v>42</v>
      </c>
      <c r="E2147">
        <v>7</v>
      </c>
      <c r="F2147">
        <v>10</v>
      </c>
      <c r="G2147">
        <v>0.21629999999999999</v>
      </c>
      <c r="H2147">
        <v>0.33610000000000001</v>
      </c>
      <c r="I2147">
        <v>43.06</v>
      </c>
    </row>
    <row r="2148" spans="1:9" x14ac:dyDescent="0.3">
      <c r="A2148">
        <f>LOOKUP(9E+307,--MID(D2148,1,{1,2,3,4,5}))</f>
        <v>5</v>
      </c>
      <c r="B2148">
        <f>VLOOKUP(MID(D2148,LOOKUP(2,1/ISNUMBER(-MID(D2148,1,{1,2,3,4,5})),{1,2,3,4,5})+1,9),'Hue codes'!$A$1:$B$10,2,FALSE)</f>
        <v>50</v>
      </c>
      <c r="C2148">
        <f t="shared" si="33"/>
        <v>55</v>
      </c>
      <c r="D2148" t="s">
        <v>42</v>
      </c>
      <c r="E2148">
        <v>7</v>
      </c>
      <c r="F2148">
        <v>12</v>
      </c>
      <c r="G2148">
        <v>0.19969999999999999</v>
      </c>
      <c r="H2148">
        <v>0.33789999999999998</v>
      </c>
      <c r="I2148">
        <v>43.06</v>
      </c>
    </row>
    <row r="2149" spans="1:9" x14ac:dyDescent="0.3">
      <c r="A2149">
        <f>LOOKUP(9E+307,--MID(D2149,1,{1,2,3,4,5}))</f>
        <v>5</v>
      </c>
      <c r="B2149">
        <f>VLOOKUP(MID(D2149,LOOKUP(2,1/ISNUMBER(-MID(D2149,1,{1,2,3,4,5})),{1,2,3,4,5})+1,9),'Hue codes'!$A$1:$B$10,2,FALSE)</f>
        <v>50</v>
      </c>
      <c r="C2149">
        <f t="shared" si="33"/>
        <v>55</v>
      </c>
      <c r="D2149" t="s">
        <v>42</v>
      </c>
      <c r="E2149">
        <v>7</v>
      </c>
      <c r="F2149">
        <v>14</v>
      </c>
      <c r="G2149">
        <v>0.18379999999999999</v>
      </c>
      <c r="H2149">
        <v>0.33900000000000002</v>
      </c>
      <c r="I2149">
        <v>43.06</v>
      </c>
    </row>
    <row r="2150" spans="1:9" x14ac:dyDescent="0.3">
      <c r="A2150">
        <f>LOOKUP(9E+307,--MID(D2150,1,{1,2,3,4,5}))</f>
        <v>5</v>
      </c>
      <c r="B2150">
        <f>VLOOKUP(MID(D2150,LOOKUP(2,1/ISNUMBER(-MID(D2150,1,{1,2,3,4,5})),{1,2,3,4,5})+1,9),'Hue codes'!$A$1:$B$10,2,FALSE)</f>
        <v>50</v>
      </c>
      <c r="C2150">
        <f t="shared" si="33"/>
        <v>55</v>
      </c>
      <c r="D2150" t="s">
        <v>42</v>
      </c>
      <c r="E2150">
        <v>7</v>
      </c>
      <c r="F2150">
        <v>16</v>
      </c>
      <c r="G2150">
        <v>0.16750000000000001</v>
      </c>
      <c r="H2150">
        <v>0.34010000000000001</v>
      </c>
      <c r="I2150">
        <v>43.06</v>
      </c>
    </row>
    <row r="2151" spans="1:9" x14ac:dyDescent="0.3">
      <c r="A2151">
        <f>LOOKUP(9E+307,--MID(D2151,1,{1,2,3,4,5}))</f>
        <v>5</v>
      </c>
      <c r="B2151">
        <f>VLOOKUP(MID(D2151,LOOKUP(2,1/ISNUMBER(-MID(D2151,1,{1,2,3,4,5})),{1,2,3,4,5})+1,9),'Hue codes'!$A$1:$B$10,2,FALSE)</f>
        <v>50</v>
      </c>
      <c r="C2151">
        <f t="shared" si="33"/>
        <v>55</v>
      </c>
      <c r="D2151" t="s">
        <v>42</v>
      </c>
      <c r="E2151">
        <v>7</v>
      </c>
      <c r="F2151">
        <v>18</v>
      </c>
      <c r="G2151">
        <v>0.1515</v>
      </c>
      <c r="H2151">
        <v>0.34100000000000003</v>
      </c>
      <c r="I2151">
        <v>43.06</v>
      </c>
    </row>
    <row r="2152" spans="1:9" x14ac:dyDescent="0.3">
      <c r="A2152">
        <f>LOOKUP(9E+307,--MID(D2152,1,{1,2,3,4,5}))</f>
        <v>5</v>
      </c>
      <c r="B2152">
        <f>VLOOKUP(MID(D2152,LOOKUP(2,1/ISNUMBER(-MID(D2152,1,{1,2,3,4,5})),{1,2,3,4,5})+1,9),'Hue codes'!$A$1:$B$10,2,FALSE)</f>
        <v>50</v>
      </c>
      <c r="C2152">
        <f t="shared" si="33"/>
        <v>55</v>
      </c>
      <c r="D2152" t="s">
        <v>42</v>
      </c>
      <c r="E2152">
        <v>7</v>
      </c>
      <c r="F2152">
        <v>20</v>
      </c>
      <c r="G2152">
        <v>0.13800000000000001</v>
      </c>
      <c r="H2152">
        <v>0.3412</v>
      </c>
      <c r="I2152">
        <v>43.06</v>
      </c>
    </row>
    <row r="2153" spans="1:9" x14ac:dyDescent="0.3">
      <c r="A2153">
        <f>LOOKUP(9E+307,--MID(D2153,1,{1,2,3,4,5}))</f>
        <v>7.5</v>
      </c>
      <c r="B2153">
        <f>VLOOKUP(MID(D2153,LOOKUP(2,1/ISNUMBER(-MID(D2153,1,{1,2,3,4,5})),{1,2,3,4,5})+1,9),'Hue codes'!$A$1:$B$10,2,FALSE)</f>
        <v>50</v>
      </c>
      <c r="C2153">
        <f t="shared" si="33"/>
        <v>57.5</v>
      </c>
      <c r="D2153" t="s">
        <v>43</v>
      </c>
      <c r="E2153">
        <v>7</v>
      </c>
      <c r="F2153">
        <v>2</v>
      </c>
      <c r="G2153">
        <v>0.2878</v>
      </c>
      <c r="H2153">
        <v>0.31819999999999998</v>
      </c>
      <c r="I2153">
        <v>43.06</v>
      </c>
    </row>
    <row r="2154" spans="1:9" x14ac:dyDescent="0.3">
      <c r="A2154">
        <f>LOOKUP(9E+307,--MID(D2154,1,{1,2,3,4,5}))</f>
        <v>7.5</v>
      </c>
      <c r="B2154">
        <f>VLOOKUP(MID(D2154,LOOKUP(2,1/ISNUMBER(-MID(D2154,1,{1,2,3,4,5})),{1,2,3,4,5})+1,9),'Hue codes'!$A$1:$B$10,2,FALSE)</f>
        <v>50</v>
      </c>
      <c r="C2154">
        <f t="shared" si="33"/>
        <v>57.5</v>
      </c>
      <c r="D2154" t="s">
        <v>43</v>
      </c>
      <c r="E2154">
        <v>7</v>
      </c>
      <c r="F2154">
        <v>4</v>
      </c>
      <c r="G2154">
        <v>0.2671</v>
      </c>
      <c r="H2154">
        <v>0.31890000000000002</v>
      </c>
      <c r="I2154">
        <v>43.06</v>
      </c>
    </row>
    <row r="2155" spans="1:9" x14ac:dyDescent="0.3">
      <c r="A2155">
        <f>LOOKUP(9E+307,--MID(D2155,1,{1,2,3,4,5}))</f>
        <v>7.5</v>
      </c>
      <c r="B2155">
        <f>VLOOKUP(MID(D2155,LOOKUP(2,1/ISNUMBER(-MID(D2155,1,{1,2,3,4,5})),{1,2,3,4,5})+1,9),'Hue codes'!$A$1:$B$10,2,FALSE)</f>
        <v>50</v>
      </c>
      <c r="C2155">
        <f t="shared" si="33"/>
        <v>57.5</v>
      </c>
      <c r="D2155" t="s">
        <v>43</v>
      </c>
      <c r="E2155">
        <v>7</v>
      </c>
      <c r="F2155">
        <v>6</v>
      </c>
      <c r="G2155">
        <v>0.249</v>
      </c>
      <c r="H2155">
        <v>0.31859999999999999</v>
      </c>
      <c r="I2155">
        <v>43.06</v>
      </c>
    </row>
    <row r="2156" spans="1:9" x14ac:dyDescent="0.3">
      <c r="A2156">
        <f>LOOKUP(9E+307,--MID(D2156,1,{1,2,3,4,5}))</f>
        <v>7.5</v>
      </c>
      <c r="B2156">
        <f>VLOOKUP(MID(D2156,LOOKUP(2,1/ISNUMBER(-MID(D2156,1,{1,2,3,4,5})),{1,2,3,4,5})+1,9),'Hue codes'!$A$1:$B$10,2,FALSE)</f>
        <v>50</v>
      </c>
      <c r="C2156">
        <f t="shared" si="33"/>
        <v>57.5</v>
      </c>
      <c r="D2156" t="s">
        <v>43</v>
      </c>
      <c r="E2156">
        <v>7</v>
      </c>
      <c r="F2156">
        <v>8</v>
      </c>
      <c r="G2156">
        <v>0.22919999999999999</v>
      </c>
      <c r="H2156">
        <v>0.31780000000000003</v>
      </c>
      <c r="I2156">
        <v>43.06</v>
      </c>
    </row>
    <row r="2157" spans="1:9" x14ac:dyDescent="0.3">
      <c r="A2157">
        <f>LOOKUP(9E+307,--MID(D2157,1,{1,2,3,4,5}))</f>
        <v>7.5</v>
      </c>
      <c r="B2157">
        <f>VLOOKUP(MID(D2157,LOOKUP(2,1/ISNUMBER(-MID(D2157,1,{1,2,3,4,5})),{1,2,3,4,5})+1,9),'Hue codes'!$A$1:$B$10,2,FALSE)</f>
        <v>50</v>
      </c>
      <c r="C2157">
        <f t="shared" si="33"/>
        <v>57.5</v>
      </c>
      <c r="D2157" t="s">
        <v>43</v>
      </c>
      <c r="E2157">
        <v>7</v>
      </c>
      <c r="F2157">
        <v>10</v>
      </c>
      <c r="G2157">
        <v>0.2094</v>
      </c>
      <c r="H2157">
        <v>0.3165</v>
      </c>
      <c r="I2157">
        <v>43.06</v>
      </c>
    </row>
    <row r="2158" spans="1:9" x14ac:dyDescent="0.3">
      <c r="A2158">
        <f>LOOKUP(9E+307,--MID(D2158,1,{1,2,3,4,5}))</f>
        <v>7.5</v>
      </c>
      <c r="B2158">
        <f>VLOOKUP(MID(D2158,LOOKUP(2,1/ISNUMBER(-MID(D2158,1,{1,2,3,4,5})),{1,2,3,4,5})+1,9),'Hue codes'!$A$1:$B$10,2,FALSE)</f>
        <v>50</v>
      </c>
      <c r="C2158">
        <f t="shared" si="33"/>
        <v>57.5</v>
      </c>
      <c r="D2158" t="s">
        <v>43</v>
      </c>
      <c r="E2158">
        <v>7</v>
      </c>
      <c r="F2158">
        <v>12</v>
      </c>
      <c r="G2158">
        <v>0.19139999999999999</v>
      </c>
      <c r="H2158">
        <v>0.31480000000000002</v>
      </c>
      <c r="I2158">
        <v>43.06</v>
      </c>
    </row>
    <row r="2159" spans="1:9" x14ac:dyDescent="0.3">
      <c r="A2159">
        <f>LOOKUP(9E+307,--MID(D2159,1,{1,2,3,4,5}))</f>
        <v>7.5</v>
      </c>
      <c r="B2159">
        <f>VLOOKUP(MID(D2159,LOOKUP(2,1/ISNUMBER(-MID(D2159,1,{1,2,3,4,5})),{1,2,3,4,5})+1,9),'Hue codes'!$A$1:$B$10,2,FALSE)</f>
        <v>50</v>
      </c>
      <c r="C2159">
        <f t="shared" si="33"/>
        <v>57.5</v>
      </c>
      <c r="D2159" t="s">
        <v>43</v>
      </c>
      <c r="E2159">
        <v>7</v>
      </c>
      <c r="F2159">
        <v>14</v>
      </c>
      <c r="G2159">
        <v>0.17510000000000001</v>
      </c>
      <c r="H2159">
        <v>0.31290000000000001</v>
      </c>
      <c r="I2159">
        <v>43.06</v>
      </c>
    </row>
    <row r="2160" spans="1:9" x14ac:dyDescent="0.3">
      <c r="A2160">
        <f>LOOKUP(9E+307,--MID(D2160,1,{1,2,3,4,5}))</f>
        <v>7.5</v>
      </c>
      <c r="B2160">
        <f>VLOOKUP(MID(D2160,LOOKUP(2,1/ISNUMBER(-MID(D2160,1,{1,2,3,4,5})),{1,2,3,4,5})+1,9),'Hue codes'!$A$1:$B$10,2,FALSE)</f>
        <v>50</v>
      </c>
      <c r="C2160">
        <f t="shared" si="33"/>
        <v>57.5</v>
      </c>
      <c r="D2160" t="s">
        <v>43</v>
      </c>
      <c r="E2160">
        <v>7</v>
      </c>
      <c r="F2160">
        <v>16</v>
      </c>
      <c r="G2160">
        <v>0.15840000000000001</v>
      </c>
      <c r="H2160">
        <v>0.31009999999999999</v>
      </c>
      <c r="I2160">
        <v>43.06</v>
      </c>
    </row>
    <row r="2161" spans="1:9" x14ac:dyDescent="0.3">
      <c r="A2161">
        <f>LOOKUP(9E+307,--MID(D2161,1,{1,2,3,4,5}))</f>
        <v>7.5</v>
      </c>
      <c r="B2161">
        <f>VLOOKUP(MID(D2161,LOOKUP(2,1/ISNUMBER(-MID(D2161,1,{1,2,3,4,5})),{1,2,3,4,5})+1,9),'Hue codes'!$A$1:$B$10,2,FALSE)</f>
        <v>50</v>
      </c>
      <c r="C2161">
        <f t="shared" si="33"/>
        <v>57.5</v>
      </c>
      <c r="D2161" t="s">
        <v>43</v>
      </c>
      <c r="E2161">
        <v>7</v>
      </c>
      <c r="F2161">
        <v>18</v>
      </c>
      <c r="G2161">
        <v>0.14269999999999999</v>
      </c>
      <c r="H2161">
        <v>0.30759999999999998</v>
      </c>
      <c r="I2161">
        <v>43.06</v>
      </c>
    </row>
    <row r="2162" spans="1:9" x14ac:dyDescent="0.3">
      <c r="A2162">
        <f>LOOKUP(9E+307,--MID(D2162,1,{1,2,3,4,5}))</f>
        <v>10</v>
      </c>
      <c r="B2162">
        <f>VLOOKUP(MID(D2162,LOOKUP(2,1/ISNUMBER(-MID(D2162,1,{1,2,3,4,5})),{1,2,3,4,5})+1,9),'Hue codes'!$A$1:$B$10,2,FALSE)</f>
        <v>50</v>
      </c>
      <c r="C2162">
        <f t="shared" si="33"/>
        <v>60</v>
      </c>
      <c r="D2162" t="s">
        <v>44</v>
      </c>
      <c r="E2162">
        <v>7</v>
      </c>
      <c r="F2162">
        <v>2</v>
      </c>
      <c r="G2162">
        <v>0.28689999999999999</v>
      </c>
      <c r="H2162">
        <v>0.31430000000000002</v>
      </c>
      <c r="I2162">
        <v>43.06</v>
      </c>
    </row>
    <row r="2163" spans="1:9" x14ac:dyDescent="0.3">
      <c r="A2163">
        <f>LOOKUP(9E+307,--MID(D2163,1,{1,2,3,4,5}))</f>
        <v>10</v>
      </c>
      <c r="B2163">
        <f>VLOOKUP(MID(D2163,LOOKUP(2,1/ISNUMBER(-MID(D2163,1,{1,2,3,4,5})),{1,2,3,4,5})+1,9),'Hue codes'!$A$1:$B$10,2,FALSE)</f>
        <v>50</v>
      </c>
      <c r="C2163">
        <f t="shared" si="33"/>
        <v>60</v>
      </c>
      <c r="D2163" t="s">
        <v>44</v>
      </c>
      <c r="E2163">
        <v>7</v>
      </c>
      <c r="F2163">
        <v>4</v>
      </c>
      <c r="G2163">
        <v>0.26419999999999999</v>
      </c>
      <c r="H2163">
        <v>0.31090000000000001</v>
      </c>
      <c r="I2163">
        <v>43.06</v>
      </c>
    </row>
    <row r="2164" spans="1:9" x14ac:dyDescent="0.3">
      <c r="A2164">
        <f>LOOKUP(9E+307,--MID(D2164,1,{1,2,3,4,5}))</f>
        <v>10</v>
      </c>
      <c r="B2164">
        <f>VLOOKUP(MID(D2164,LOOKUP(2,1/ISNUMBER(-MID(D2164,1,{1,2,3,4,5})),{1,2,3,4,5})+1,9),'Hue codes'!$A$1:$B$10,2,FALSE)</f>
        <v>50</v>
      </c>
      <c r="C2164">
        <f t="shared" si="33"/>
        <v>60</v>
      </c>
      <c r="D2164" t="s">
        <v>44</v>
      </c>
      <c r="E2164">
        <v>7</v>
      </c>
      <c r="F2164">
        <v>6</v>
      </c>
      <c r="G2164">
        <v>0.24479999999999999</v>
      </c>
      <c r="H2164">
        <v>0.30690000000000001</v>
      </c>
      <c r="I2164">
        <v>43.06</v>
      </c>
    </row>
    <row r="2165" spans="1:9" x14ac:dyDescent="0.3">
      <c r="A2165">
        <f>LOOKUP(9E+307,--MID(D2165,1,{1,2,3,4,5}))</f>
        <v>10</v>
      </c>
      <c r="B2165">
        <f>VLOOKUP(MID(D2165,LOOKUP(2,1/ISNUMBER(-MID(D2165,1,{1,2,3,4,5})),{1,2,3,4,5})+1,9),'Hue codes'!$A$1:$B$10,2,FALSE)</f>
        <v>50</v>
      </c>
      <c r="C2165">
        <f t="shared" si="33"/>
        <v>60</v>
      </c>
      <c r="D2165" t="s">
        <v>44</v>
      </c>
      <c r="E2165">
        <v>7</v>
      </c>
      <c r="F2165">
        <v>8</v>
      </c>
      <c r="G2165">
        <v>0.2235</v>
      </c>
      <c r="H2165">
        <v>0.3014</v>
      </c>
      <c r="I2165">
        <v>43.06</v>
      </c>
    </row>
    <row r="2166" spans="1:9" x14ac:dyDescent="0.3">
      <c r="A2166">
        <f>LOOKUP(9E+307,--MID(D2166,1,{1,2,3,4,5}))</f>
        <v>10</v>
      </c>
      <c r="B2166">
        <f>VLOOKUP(MID(D2166,LOOKUP(2,1/ISNUMBER(-MID(D2166,1,{1,2,3,4,5})),{1,2,3,4,5})+1,9),'Hue codes'!$A$1:$B$10,2,FALSE)</f>
        <v>50</v>
      </c>
      <c r="C2166">
        <f t="shared" si="33"/>
        <v>60</v>
      </c>
      <c r="D2166" t="s">
        <v>44</v>
      </c>
      <c r="E2166">
        <v>7</v>
      </c>
      <c r="F2166">
        <v>10</v>
      </c>
      <c r="G2166">
        <v>0.20349999999999999</v>
      </c>
      <c r="H2166">
        <v>0.29559999999999997</v>
      </c>
      <c r="I2166">
        <v>43.06</v>
      </c>
    </row>
    <row r="2167" spans="1:9" x14ac:dyDescent="0.3">
      <c r="A2167">
        <f>LOOKUP(9E+307,--MID(D2167,1,{1,2,3,4,5}))</f>
        <v>10</v>
      </c>
      <c r="B2167">
        <f>VLOOKUP(MID(D2167,LOOKUP(2,1/ISNUMBER(-MID(D2167,1,{1,2,3,4,5})),{1,2,3,4,5})+1,9),'Hue codes'!$A$1:$B$10,2,FALSE)</f>
        <v>50</v>
      </c>
      <c r="C2167">
        <f t="shared" si="33"/>
        <v>60</v>
      </c>
      <c r="D2167" t="s">
        <v>44</v>
      </c>
      <c r="E2167">
        <v>7</v>
      </c>
      <c r="F2167">
        <v>12</v>
      </c>
      <c r="G2167">
        <v>0.18410000000000001</v>
      </c>
      <c r="H2167">
        <v>0.28920000000000001</v>
      </c>
      <c r="I2167">
        <v>43.06</v>
      </c>
    </row>
    <row r="2168" spans="1:9" x14ac:dyDescent="0.3">
      <c r="A2168">
        <f>LOOKUP(9E+307,--MID(D2168,1,{1,2,3,4,5}))</f>
        <v>10</v>
      </c>
      <c r="B2168">
        <f>VLOOKUP(MID(D2168,LOOKUP(2,1/ISNUMBER(-MID(D2168,1,{1,2,3,4,5})),{1,2,3,4,5})+1,9),'Hue codes'!$A$1:$B$10,2,FALSE)</f>
        <v>50</v>
      </c>
      <c r="C2168">
        <f t="shared" si="33"/>
        <v>60</v>
      </c>
      <c r="D2168" t="s">
        <v>44</v>
      </c>
      <c r="E2168">
        <v>7</v>
      </c>
      <c r="F2168">
        <v>14</v>
      </c>
      <c r="G2168">
        <v>0.1671</v>
      </c>
      <c r="H2168">
        <v>0.28320000000000001</v>
      </c>
      <c r="I2168">
        <v>43.06</v>
      </c>
    </row>
    <row r="2169" spans="1:9" x14ac:dyDescent="0.3">
      <c r="A2169">
        <f>LOOKUP(9E+307,--MID(D2169,1,{1,2,3,4,5}))</f>
        <v>10</v>
      </c>
      <c r="B2169">
        <f>VLOOKUP(MID(D2169,LOOKUP(2,1/ISNUMBER(-MID(D2169,1,{1,2,3,4,5})),{1,2,3,4,5})+1,9),'Hue codes'!$A$1:$B$10,2,FALSE)</f>
        <v>50</v>
      </c>
      <c r="C2169">
        <f t="shared" si="33"/>
        <v>60</v>
      </c>
      <c r="D2169" t="s">
        <v>44</v>
      </c>
      <c r="E2169">
        <v>7</v>
      </c>
      <c r="F2169">
        <v>16</v>
      </c>
      <c r="G2169">
        <v>0.1489</v>
      </c>
      <c r="H2169">
        <v>0.27679999999999999</v>
      </c>
      <c r="I2169">
        <v>43.06</v>
      </c>
    </row>
    <row r="2170" spans="1:9" x14ac:dyDescent="0.3">
      <c r="A2170">
        <f>LOOKUP(9E+307,--MID(D2170,1,{1,2,3,4,5}))</f>
        <v>2.5</v>
      </c>
      <c r="B2170">
        <f>VLOOKUP(MID(D2170,LOOKUP(2,1/ISNUMBER(-MID(D2170,1,{1,2,3,4,5})),{1,2,3,4,5})+1,9),'Hue codes'!$A$1:$B$10,2,FALSE)</f>
        <v>60</v>
      </c>
      <c r="C2170">
        <f t="shared" si="33"/>
        <v>62.5</v>
      </c>
      <c r="D2170" t="s">
        <v>45</v>
      </c>
      <c r="E2170">
        <v>7</v>
      </c>
      <c r="F2170">
        <v>2</v>
      </c>
      <c r="G2170">
        <v>0.28670000000000001</v>
      </c>
      <c r="H2170">
        <v>0.311</v>
      </c>
      <c r="I2170">
        <v>43.06</v>
      </c>
    </row>
    <row r="2171" spans="1:9" x14ac:dyDescent="0.3">
      <c r="A2171">
        <f>LOOKUP(9E+307,--MID(D2171,1,{1,2,3,4,5}))</f>
        <v>2.5</v>
      </c>
      <c r="B2171">
        <f>VLOOKUP(MID(D2171,LOOKUP(2,1/ISNUMBER(-MID(D2171,1,{1,2,3,4,5})),{1,2,3,4,5})+1,9),'Hue codes'!$A$1:$B$10,2,FALSE)</f>
        <v>60</v>
      </c>
      <c r="C2171">
        <f t="shared" si="33"/>
        <v>62.5</v>
      </c>
      <c r="D2171" t="s">
        <v>45</v>
      </c>
      <c r="E2171">
        <v>7</v>
      </c>
      <c r="F2171">
        <v>4</v>
      </c>
      <c r="G2171">
        <v>0.26290000000000002</v>
      </c>
      <c r="H2171">
        <v>0.30380000000000001</v>
      </c>
      <c r="I2171">
        <v>43.06</v>
      </c>
    </row>
    <row r="2172" spans="1:9" x14ac:dyDescent="0.3">
      <c r="A2172">
        <f>LOOKUP(9E+307,--MID(D2172,1,{1,2,3,4,5}))</f>
        <v>2.5</v>
      </c>
      <c r="B2172">
        <f>VLOOKUP(MID(D2172,LOOKUP(2,1/ISNUMBER(-MID(D2172,1,{1,2,3,4,5})),{1,2,3,4,5})+1,9),'Hue codes'!$A$1:$B$10,2,FALSE)</f>
        <v>60</v>
      </c>
      <c r="C2172">
        <f t="shared" si="33"/>
        <v>62.5</v>
      </c>
      <c r="D2172" t="s">
        <v>45</v>
      </c>
      <c r="E2172">
        <v>7</v>
      </c>
      <c r="F2172">
        <v>6</v>
      </c>
      <c r="G2172">
        <v>0.24179999999999999</v>
      </c>
      <c r="H2172">
        <v>0.29599999999999999</v>
      </c>
      <c r="I2172">
        <v>43.06</v>
      </c>
    </row>
    <row r="2173" spans="1:9" x14ac:dyDescent="0.3">
      <c r="A2173">
        <f>LOOKUP(9E+307,--MID(D2173,1,{1,2,3,4,5}))</f>
        <v>2.5</v>
      </c>
      <c r="B2173">
        <f>VLOOKUP(MID(D2173,LOOKUP(2,1/ISNUMBER(-MID(D2173,1,{1,2,3,4,5})),{1,2,3,4,5})+1,9),'Hue codes'!$A$1:$B$10,2,FALSE)</f>
        <v>60</v>
      </c>
      <c r="C2173">
        <f t="shared" si="33"/>
        <v>62.5</v>
      </c>
      <c r="D2173" t="s">
        <v>45</v>
      </c>
      <c r="E2173">
        <v>7</v>
      </c>
      <c r="F2173">
        <v>8</v>
      </c>
      <c r="G2173">
        <v>0.2208</v>
      </c>
      <c r="H2173">
        <v>0.28710000000000002</v>
      </c>
      <c r="I2173">
        <v>43.06</v>
      </c>
    </row>
    <row r="2174" spans="1:9" x14ac:dyDescent="0.3">
      <c r="A2174">
        <f>LOOKUP(9E+307,--MID(D2174,1,{1,2,3,4,5}))</f>
        <v>2.5</v>
      </c>
      <c r="B2174">
        <f>VLOOKUP(MID(D2174,LOOKUP(2,1/ISNUMBER(-MID(D2174,1,{1,2,3,4,5})),{1,2,3,4,5})+1,9),'Hue codes'!$A$1:$B$10,2,FALSE)</f>
        <v>60</v>
      </c>
      <c r="C2174">
        <f t="shared" si="33"/>
        <v>62.5</v>
      </c>
      <c r="D2174" t="s">
        <v>45</v>
      </c>
      <c r="E2174">
        <v>7</v>
      </c>
      <c r="F2174">
        <v>10</v>
      </c>
      <c r="G2174">
        <v>0.19939999999999999</v>
      </c>
      <c r="H2174">
        <v>0.27750000000000002</v>
      </c>
      <c r="I2174">
        <v>43.06</v>
      </c>
    </row>
    <row r="2175" spans="1:9" x14ac:dyDescent="0.3">
      <c r="A2175">
        <f>LOOKUP(9E+307,--MID(D2175,1,{1,2,3,4,5}))</f>
        <v>2.5</v>
      </c>
      <c r="B2175">
        <f>VLOOKUP(MID(D2175,LOOKUP(2,1/ISNUMBER(-MID(D2175,1,{1,2,3,4,5})),{1,2,3,4,5})+1,9),'Hue codes'!$A$1:$B$10,2,FALSE)</f>
        <v>60</v>
      </c>
      <c r="C2175">
        <f t="shared" si="33"/>
        <v>62.5</v>
      </c>
      <c r="D2175" t="s">
        <v>45</v>
      </c>
      <c r="E2175">
        <v>7</v>
      </c>
      <c r="F2175">
        <v>12</v>
      </c>
      <c r="G2175">
        <v>0.1797</v>
      </c>
      <c r="H2175">
        <v>0.26719999999999999</v>
      </c>
      <c r="I2175">
        <v>43.06</v>
      </c>
    </row>
    <row r="2176" spans="1:9" x14ac:dyDescent="0.3">
      <c r="A2176">
        <f>LOOKUP(9E+307,--MID(D2176,1,{1,2,3,4,5}))</f>
        <v>2.5</v>
      </c>
      <c r="B2176">
        <f>VLOOKUP(MID(D2176,LOOKUP(2,1/ISNUMBER(-MID(D2176,1,{1,2,3,4,5})),{1,2,3,4,5})+1,9),'Hue codes'!$A$1:$B$10,2,FALSE)</f>
        <v>60</v>
      </c>
      <c r="C2176">
        <f t="shared" si="33"/>
        <v>62.5</v>
      </c>
      <c r="D2176" t="s">
        <v>45</v>
      </c>
      <c r="E2176">
        <v>7</v>
      </c>
      <c r="F2176">
        <v>14</v>
      </c>
      <c r="G2176">
        <v>0.16239999999999999</v>
      </c>
      <c r="H2176">
        <v>0.2581</v>
      </c>
      <c r="I2176">
        <v>43.06</v>
      </c>
    </row>
    <row r="2177" spans="1:9" x14ac:dyDescent="0.3">
      <c r="A2177">
        <f>LOOKUP(9E+307,--MID(D2177,1,{1,2,3,4,5}))</f>
        <v>2.5</v>
      </c>
      <c r="B2177">
        <f>VLOOKUP(MID(D2177,LOOKUP(2,1/ISNUMBER(-MID(D2177,1,{1,2,3,4,5})),{1,2,3,4,5})+1,9),'Hue codes'!$A$1:$B$10,2,FALSE)</f>
        <v>60</v>
      </c>
      <c r="C2177">
        <f t="shared" si="33"/>
        <v>62.5</v>
      </c>
      <c r="D2177" t="s">
        <v>45</v>
      </c>
      <c r="E2177">
        <v>7</v>
      </c>
      <c r="F2177">
        <v>16</v>
      </c>
      <c r="G2177">
        <v>0.14349999999999999</v>
      </c>
      <c r="H2177">
        <v>0.2472</v>
      </c>
      <c r="I2177">
        <v>43.06</v>
      </c>
    </row>
    <row r="2178" spans="1:9" x14ac:dyDescent="0.3">
      <c r="A2178">
        <f>LOOKUP(9E+307,--MID(D2178,1,{1,2,3,4,5}))</f>
        <v>5</v>
      </c>
      <c r="B2178">
        <f>VLOOKUP(MID(D2178,LOOKUP(2,1/ISNUMBER(-MID(D2178,1,{1,2,3,4,5})),{1,2,3,4,5})+1,9),'Hue codes'!$A$1:$B$10,2,FALSE)</f>
        <v>60</v>
      </c>
      <c r="C2178">
        <f t="shared" si="33"/>
        <v>65</v>
      </c>
      <c r="D2178" t="s">
        <v>46</v>
      </c>
      <c r="E2178">
        <v>7</v>
      </c>
      <c r="F2178">
        <v>2</v>
      </c>
      <c r="G2178">
        <v>0.28749999999999998</v>
      </c>
      <c r="H2178">
        <v>0.30780000000000002</v>
      </c>
      <c r="I2178">
        <v>43.06</v>
      </c>
    </row>
    <row r="2179" spans="1:9" x14ac:dyDescent="0.3">
      <c r="A2179">
        <f>LOOKUP(9E+307,--MID(D2179,1,{1,2,3,4,5}))</f>
        <v>5</v>
      </c>
      <c r="B2179">
        <f>VLOOKUP(MID(D2179,LOOKUP(2,1/ISNUMBER(-MID(D2179,1,{1,2,3,4,5})),{1,2,3,4,5})+1,9),'Hue codes'!$A$1:$B$10,2,FALSE)</f>
        <v>60</v>
      </c>
      <c r="C2179">
        <f t="shared" ref="C2179:C2242" si="34">IF(A2179+B2179=100,0,A2179+B2179)</f>
        <v>65</v>
      </c>
      <c r="D2179" t="s">
        <v>46</v>
      </c>
      <c r="E2179">
        <v>7</v>
      </c>
      <c r="F2179">
        <v>4</v>
      </c>
      <c r="G2179">
        <v>0.26329999999999998</v>
      </c>
      <c r="H2179">
        <v>0.29720000000000002</v>
      </c>
      <c r="I2179">
        <v>43.06</v>
      </c>
    </row>
    <row r="2180" spans="1:9" x14ac:dyDescent="0.3">
      <c r="A2180">
        <f>LOOKUP(9E+307,--MID(D2180,1,{1,2,3,4,5}))</f>
        <v>5</v>
      </c>
      <c r="B2180">
        <f>VLOOKUP(MID(D2180,LOOKUP(2,1/ISNUMBER(-MID(D2180,1,{1,2,3,4,5})),{1,2,3,4,5})+1,9),'Hue codes'!$A$1:$B$10,2,FALSE)</f>
        <v>60</v>
      </c>
      <c r="C2180">
        <f t="shared" si="34"/>
        <v>65</v>
      </c>
      <c r="D2180" t="s">
        <v>46</v>
      </c>
      <c r="E2180">
        <v>7</v>
      </c>
      <c r="F2180">
        <v>6</v>
      </c>
      <c r="G2180">
        <v>0.24099999999999999</v>
      </c>
      <c r="H2180">
        <v>0.28539999999999999</v>
      </c>
      <c r="I2180">
        <v>43.06</v>
      </c>
    </row>
    <row r="2181" spans="1:9" x14ac:dyDescent="0.3">
      <c r="A2181">
        <f>LOOKUP(9E+307,--MID(D2181,1,{1,2,3,4,5}))</f>
        <v>5</v>
      </c>
      <c r="B2181">
        <f>VLOOKUP(MID(D2181,LOOKUP(2,1/ISNUMBER(-MID(D2181,1,{1,2,3,4,5})),{1,2,3,4,5})+1,9),'Hue codes'!$A$1:$B$10,2,FALSE)</f>
        <v>60</v>
      </c>
      <c r="C2181">
        <f t="shared" si="34"/>
        <v>65</v>
      </c>
      <c r="D2181" t="s">
        <v>46</v>
      </c>
      <c r="E2181">
        <v>7</v>
      </c>
      <c r="F2181">
        <v>8</v>
      </c>
      <c r="G2181">
        <v>0.22040000000000001</v>
      </c>
      <c r="H2181">
        <v>0.27289999999999998</v>
      </c>
      <c r="I2181">
        <v>43.06</v>
      </c>
    </row>
    <row r="2182" spans="1:9" x14ac:dyDescent="0.3">
      <c r="A2182">
        <f>LOOKUP(9E+307,--MID(D2182,1,{1,2,3,4,5}))</f>
        <v>5</v>
      </c>
      <c r="B2182">
        <f>VLOOKUP(MID(D2182,LOOKUP(2,1/ISNUMBER(-MID(D2182,1,{1,2,3,4,5})),{1,2,3,4,5})+1,9),'Hue codes'!$A$1:$B$10,2,FALSE)</f>
        <v>60</v>
      </c>
      <c r="C2182">
        <f t="shared" si="34"/>
        <v>65</v>
      </c>
      <c r="D2182" t="s">
        <v>46</v>
      </c>
      <c r="E2182">
        <v>7</v>
      </c>
      <c r="F2182">
        <v>10</v>
      </c>
      <c r="G2182">
        <v>0.1986</v>
      </c>
      <c r="H2182">
        <v>0.25790000000000002</v>
      </c>
      <c r="I2182">
        <v>43.06</v>
      </c>
    </row>
    <row r="2183" spans="1:9" x14ac:dyDescent="0.3">
      <c r="A2183">
        <f>LOOKUP(9E+307,--MID(D2183,1,{1,2,3,4,5}))</f>
        <v>5</v>
      </c>
      <c r="B2183">
        <f>VLOOKUP(MID(D2183,LOOKUP(2,1/ISNUMBER(-MID(D2183,1,{1,2,3,4,5})),{1,2,3,4,5})+1,9),'Hue codes'!$A$1:$B$10,2,FALSE)</f>
        <v>60</v>
      </c>
      <c r="C2183">
        <f t="shared" si="34"/>
        <v>65</v>
      </c>
      <c r="D2183" t="s">
        <v>46</v>
      </c>
      <c r="E2183">
        <v>7</v>
      </c>
      <c r="F2183">
        <v>12</v>
      </c>
      <c r="G2183">
        <v>0.17780000000000001</v>
      </c>
      <c r="H2183">
        <v>0.24299999999999999</v>
      </c>
      <c r="I2183">
        <v>43.06</v>
      </c>
    </row>
    <row r="2184" spans="1:9" x14ac:dyDescent="0.3">
      <c r="A2184">
        <f>LOOKUP(9E+307,--MID(D2184,1,{1,2,3,4,5}))</f>
        <v>5</v>
      </c>
      <c r="B2184">
        <f>VLOOKUP(MID(D2184,LOOKUP(2,1/ISNUMBER(-MID(D2184,1,{1,2,3,4,5})),{1,2,3,4,5})+1,9),'Hue codes'!$A$1:$B$10,2,FALSE)</f>
        <v>60</v>
      </c>
      <c r="C2184">
        <f t="shared" si="34"/>
        <v>65</v>
      </c>
      <c r="D2184" t="s">
        <v>46</v>
      </c>
      <c r="E2184">
        <v>7</v>
      </c>
      <c r="F2184">
        <v>14</v>
      </c>
      <c r="G2184">
        <v>0.1615</v>
      </c>
      <c r="H2184">
        <v>0.23069999999999999</v>
      </c>
      <c r="I2184">
        <v>43.06</v>
      </c>
    </row>
    <row r="2185" spans="1:9" x14ac:dyDescent="0.3">
      <c r="A2185">
        <f>LOOKUP(9E+307,--MID(D2185,1,{1,2,3,4,5}))</f>
        <v>7.5</v>
      </c>
      <c r="B2185">
        <f>VLOOKUP(MID(D2185,LOOKUP(2,1/ISNUMBER(-MID(D2185,1,{1,2,3,4,5})),{1,2,3,4,5})+1,9),'Hue codes'!$A$1:$B$10,2,FALSE)</f>
        <v>60</v>
      </c>
      <c r="C2185">
        <f t="shared" si="34"/>
        <v>67.5</v>
      </c>
      <c r="D2185" t="s">
        <v>47</v>
      </c>
      <c r="E2185">
        <v>7</v>
      </c>
      <c r="F2185">
        <v>2</v>
      </c>
      <c r="G2185">
        <v>0.2888</v>
      </c>
      <c r="H2185">
        <v>0.30580000000000002</v>
      </c>
      <c r="I2185">
        <v>43.06</v>
      </c>
    </row>
    <row r="2186" spans="1:9" x14ac:dyDescent="0.3">
      <c r="A2186">
        <f>LOOKUP(9E+307,--MID(D2186,1,{1,2,3,4,5}))</f>
        <v>7.5</v>
      </c>
      <c r="B2186">
        <f>VLOOKUP(MID(D2186,LOOKUP(2,1/ISNUMBER(-MID(D2186,1,{1,2,3,4,5})),{1,2,3,4,5})+1,9),'Hue codes'!$A$1:$B$10,2,FALSE)</f>
        <v>60</v>
      </c>
      <c r="C2186">
        <f t="shared" si="34"/>
        <v>67.5</v>
      </c>
      <c r="D2186" t="s">
        <v>47</v>
      </c>
      <c r="E2186">
        <v>7</v>
      </c>
      <c r="F2186">
        <v>4</v>
      </c>
      <c r="G2186">
        <v>0.2651</v>
      </c>
      <c r="H2186">
        <v>0.29270000000000002</v>
      </c>
      <c r="I2186">
        <v>43.06</v>
      </c>
    </row>
    <row r="2187" spans="1:9" x14ac:dyDescent="0.3">
      <c r="A2187">
        <f>LOOKUP(9E+307,--MID(D2187,1,{1,2,3,4,5}))</f>
        <v>7.5</v>
      </c>
      <c r="B2187">
        <f>VLOOKUP(MID(D2187,LOOKUP(2,1/ISNUMBER(-MID(D2187,1,{1,2,3,4,5})),{1,2,3,4,5})+1,9),'Hue codes'!$A$1:$B$10,2,FALSE)</f>
        <v>60</v>
      </c>
      <c r="C2187">
        <f t="shared" si="34"/>
        <v>67.5</v>
      </c>
      <c r="D2187" t="s">
        <v>47</v>
      </c>
      <c r="E2187">
        <v>7</v>
      </c>
      <c r="F2187">
        <v>6</v>
      </c>
      <c r="G2187">
        <v>0.24360000000000001</v>
      </c>
      <c r="H2187">
        <v>0.2787</v>
      </c>
      <c r="I2187">
        <v>43.06</v>
      </c>
    </row>
    <row r="2188" spans="1:9" x14ac:dyDescent="0.3">
      <c r="A2188">
        <f>LOOKUP(9E+307,--MID(D2188,1,{1,2,3,4,5}))</f>
        <v>7.5</v>
      </c>
      <c r="B2188">
        <f>VLOOKUP(MID(D2188,LOOKUP(2,1/ISNUMBER(-MID(D2188,1,{1,2,3,4,5})),{1,2,3,4,5})+1,9),'Hue codes'!$A$1:$B$10,2,FALSE)</f>
        <v>60</v>
      </c>
      <c r="C2188">
        <f t="shared" si="34"/>
        <v>67.5</v>
      </c>
      <c r="D2188" t="s">
        <v>47</v>
      </c>
      <c r="E2188">
        <v>7</v>
      </c>
      <c r="F2188">
        <v>8</v>
      </c>
      <c r="G2188">
        <v>0.2225</v>
      </c>
      <c r="H2188">
        <v>0.2631</v>
      </c>
      <c r="I2188">
        <v>43.06</v>
      </c>
    </row>
    <row r="2189" spans="1:9" x14ac:dyDescent="0.3">
      <c r="A2189">
        <f>LOOKUP(9E+307,--MID(D2189,1,{1,2,3,4,5}))</f>
        <v>7.5</v>
      </c>
      <c r="B2189">
        <f>VLOOKUP(MID(D2189,LOOKUP(2,1/ISNUMBER(-MID(D2189,1,{1,2,3,4,5})),{1,2,3,4,5})+1,9),'Hue codes'!$A$1:$B$10,2,FALSE)</f>
        <v>60</v>
      </c>
      <c r="C2189">
        <f t="shared" si="34"/>
        <v>67.5</v>
      </c>
      <c r="D2189" t="s">
        <v>47</v>
      </c>
      <c r="E2189">
        <v>7</v>
      </c>
      <c r="F2189">
        <v>10</v>
      </c>
      <c r="G2189">
        <v>0.2016</v>
      </c>
      <c r="H2189">
        <v>0.24660000000000001</v>
      </c>
      <c r="I2189">
        <v>43.06</v>
      </c>
    </row>
    <row r="2190" spans="1:9" x14ac:dyDescent="0.3">
      <c r="A2190">
        <f>LOOKUP(9E+307,--MID(D2190,1,{1,2,3,4,5}))</f>
        <v>7.5</v>
      </c>
      <c r="B2190">
        <f>VLOOKUP(MID(D2190,LOOKUP(2,1/ISNUMBER(-MID(D2190,1,{1,2,3,4,5})),{1,2,3,4,5})+1,9),'Hue codes'!$A$1:$B$10,2,FALSE)</f>
        <v>60</v>
      </c>
      <c r="C2190">
        <f t="shared" si="34"/>
        <v>67.5</v>
      </c>
      <c r="D2190" t="s">
        <v>47</v>
      </c>
      <c r="E2190">
        <v>7</v>
      </c>
      <c r="F2190">
        <v>12</v>
      </c>
      <c r="G2190">
        <v>0.18179999999999999</v>
      </c>
      <c r="H2190">
        <v>0.2303</v>
      </c>
      <c r="I2190">
        <v>43.06</v>
      </c>
    </row>
    <row r="2191" spans="1:9" x14ac:dyDescent="0.3">
      <c r="A2191">
        <f>LOOKUP(9E+307,--MID(D2191,1,{1,2,3,4,5}))</f>
        <v>10</v>
      </c>
      <c r="B2191">
        <f>VLOOKUP(MID(D2191,LOOKUP(2,1/ISNUMBER(-MID(D2191,1,{1,2,3,4,5})),{1,2,3,4,5})+1,9),'Hue codes'!$A$1:$B$10,2,FALSE)</f>
        <v>60</v>
      </c>
      <c r="C2191">
        <f t="shared" si="34"/>
        <v>70</v>
      </c>
      <c r="D2191" t="s">
        <v>48</v>
      </c>
      <c r="E2191">
        <v>7</v>
      </c>
      <c r="F2191">
        <v>2</v>
      </c>
      <c r="G2191">
        <v>0.2908</v>
      </c>
      <c r="H2191">
        <v>0.3039</v>
      </c>
      <c r="I2191">
        <v>43.06</v>
      </c>
    </row>
    <row r="2192" spans="1:9" x14ac:dyDescent="0.3">
      <c r="A2192">
        <f>LOOKUP(9E+307,--MID(D2192,1,{1,2,3,4,5}))</f>
        <v>10</v>
      </c>
      <c r="B2192">
        <f>VLOOKUP(MID(D2192,LOOKUP(2,1/ISNUMBER(-MID(D2192,1,{1,2,3,4,5})),{1,2,3,4,5})+1,9),'Hue codes'!$A$1:$B$10,2,FALSE)</f>
        <v>60</v>
      </c>
      <c r="C2192">
        <f t="shared" si="34"/>
        <v>70</v>
      </c>
      <c r="D2192" t="s">
        <v>48</v>
      </c>
      <c r="E2192">
        <v>7</v>
      </c>
      <c r="F2192">
        <v>4</v>
      </c>
      <c r="G2192">
        <v>0.26850000000000002</v>
      </c>
      <c r="H2192">
        <v>0.28860000000000002</v>
      </c>
      <c r="I2192">
        <v>43.06</v>
      </c>
    </row>
    <row r="2193" spans="1:9" x14ac:dyDescent="0.3">
      <c r="A2193">
        <f>LOOKUP(9E+307,--MID(D2193,1,{1,2,3,4,5}))</f>
        <v>10</v>
      </c>
      <c r="B2193">
        <f>VLOOKUP(MID(D2193,LOOKUP(2,1/ISNUMBER(-MID(D2193,1,{1,2,3,4,5})),{1,2,3,4,5})+1,9),'Hue codes'!$A$1:$B$10,2,FALSE)</f>
        <v>60</v>
      </c>
      <c r="C2193">
        <f t="shared" si="34"/>
        <v>70</v>
      </c>
      <c r="D2193" t="s">
        <v>48</v>
      </c>
      <c r="E2193">
        <v>7</v>
      </c>
      <c r="F2193">
        <v>6</v>
      </c>
      <c r="G2193">
        <v>0.24779999999999999</v>
      </c>
      <c r="H2193">
        <v>0.27279999999999999</v>
      </c>
      <c r="I2193">
        <v>43.06</v>
      </c>
    </row>
    <row r="2194" spans="1:9" x14ac:dyDescent="0.3">
      <c r="A2194">
        <f>LOOKUP(9E+307,--MID(D2194,1,{1,2,3,4,5}))</f>
        <v>10</v>
      </c>
      <c r="B2194">
        <f>VLOOKUP(MID(D2194,LOOKUP(2,1/ISNUMBER(-MID(D2194,1,{1,2,3,4,5})),{1,2,3,4,5})+1,9),'Hue codes'!$A$1:$B$10,2,FALSE)</f>
        <v>60</v>
      </c>
      <c r="C2194">
        <f t="shared" si="34"/>
        <v>70</v>
      </c>
      <c r="D2194" t="s">
        <v>48</v>
      </c>
      <c r="E2194">
        <v>7</v>
      </c>
      <c r="F2194">
        <v>8</v>
      </c>
      <c r="G2194">
        <v>0.22770000000000001</v>
      </c>
      <c r="H2194">
        <v>0.25590000000000002</v>
      </c>
      <c r="I2194">
        <v>43.06</v>
      </c>
    </row>
    <row r="2195" spans="1:9" x14ac:dyDescent="0.3">
      <c r="A2195">
        <f>LOOKUP(9E+307,--MID(D2195,1,{1,2,3,4,5}))</f>
        <v>10</v>
      </c>
      <c r="B2195">
        <f>VLOOKUP(MID(D2195,LOOKUP(2,1/ISNUMBER(-MID(D2195,1,{1,2,3,4,5})),{1,2,3,4,5})+1,9),'Hue codes'!$A$1:$B$10,2,FALSE)</f>
        <v>60</v>
      </c>
      <c r="C2195">
        <f t="shared" si="34"/>
        <v>70</v>
      </c>
      <c r="D2195" t="s">
        <v>48</v>
      </c>
      <c r="E2195">
        <v>7</v>
      </c>
      <c r="F2195">
        <v>10</v>
      </c>
      <c r="G2195">
        <v>0.20780000000000001</v>
      </c>
      <c r="H2195">
        <v>0.2382</v>
      </c>
      <c r="I2195">
        <v>43.06</v>
      </c>
    </row>
    <row r="2196" spans="1:9" x14ac:dyDescent="0.3">
      <c r="A2196">
        <f>LOOKUP(9E+307,--MID(D2196,1,{1,2,3,4,5}))</f>
        <v>10</v>
      </c>
      <c r="B2196">
        <f>VLOOKUP(MID(D2196,LOOKUP(2,1/ISNUMBER(-MID(D2196,1,{1,2,3,4,5})),{1,2,3,4,5})+1,9),'Hue codes'!$A$1:$B$10,2,FALSE)</f>
        <v>60</v>
      </c>
      <c r="C2196">
        <f t="shared" si="34"/>
        <v>70</v>
      </c>
      <c r="D2196" t="s">
        <v>48</v>
      </c>
      <c r="E2196">
        <v>7</v>
      </c>
      <c r="F2196">
        <v>12</v>
      </c>
      <c r="G2196">
        <v>0.1883</v>
      </c>
      <c r="H2196">
        <v>0.2203</v>
      </c>
      <c r="I2196">
        <v>43.06</v>
      </c>
    </row>
    <row r="2197" spans="1:9" x14ac:dyDescent="0.3">
      <c r="A2197">
        <f>LOOKUP(9E+307,--MID(D2197,1,{1,2,3,4,5}))</f>
        <v>2.5</v>
      </c>
      <c r="B2197">
        <f>VLOOKUP(MID(D2197,LOOKUP(2,1/ISNUMBER(-MID(D2197,1,{1,2,3,4,5})),{1,2,3,4,5})+1,9),'Hue codes'!$A$1:$B$10,2,FALSE)</f>
        <v>70</v>
      </c>
      <c r="C2197">
        <f t="shared" si="34"/>
        <v>72.5</v>
      </c>
      <c r="D2197" t="s">
        <v>49</v>
      </c>
      <c r="E2197">
        <v>7</v>
      </c>
      <c r="F2197">
        <v>2</v>
      </c>
      <c r="G2197">
        <v>0.29320000000000002</v>
      </c>
      <c r="H2197">
        <v>0.30249999999999999</v>
      </c>
      <c r="I2197">
        <v>43.06</v>
      </c>
    </row>
    <row r="2198" spans="1:9" x14ac:dyDescent="0.3">
      <c r="A2198">
        <f>LOOKUP(9E+307,--MID(D2198,1,{1,2,3,4,5}))</f>
        <v>2.5</v>
      </c>
      <c r="B2198">
        <f>VLOOKUP(MID(D2198,LOOKUP(2,1/ISNUMBER(-MID(D2198,1,{1,2,3,4,5})),{1,2,3,4,5})+1,9),'Hue codes'!$A$1:$B$10,2,FALSE)</f>
        <v>70</v>
      </c>
      <c r="C2198">
        <f t="shared" si="34"/>
        <v>72.5</v>
      </c>
      <c r="D2198" t="s">
        <v>49</v>
      </c>
      <c r="E2198">
        <v>7</v>
      </c>
      <c r="F2198">
        <v>4</v>
      </c>
      <c r="G2198">
        <v>0.27289999999999998</v>
      </c>
      <c r="H2198">
        <v>0.2848</v>
      </c>
      <c r="I2198">
        <v>43.06</v>
      </c>
    </row>
    <row r="2199" spans="1:9" x14ac:dyDescent="0.3">
      <c r="A2199">
        <f>LOOKUP(9E+307,--MID(D2199,1,{1,2,3,4,5}))</f>
        <v>2.5</v>
      </c>
      <c r="B2199">
        <f>VLOOKUP(MID(D2199,LOOKUP(2,1/ISNUMBER(-MID(D2199,1,{1,2,3,4,5})),{1,2,3,4,5})+1,9),'Hue codes'!$A$1:$B$10,2,FALSE)</f>
        <v>70</v>
      </c>
      <c r="C2199">
        <f t="shared" si="34"/>
        <v>72.5</v>
      </c>
      <c r="D2199" t="s">
        <v>49</v>
      </c>
      <c r="E2199">
        <v>7</v>
      </c>
      <c r="F2199">
        <v>6</v>
      </c>
      <c r="G2199">
        <v>0.25380000000000003</v>
      </c>
      <c r="H2199">
        <v>0.26769999999999999</v>
      </c>
      <c r="I2199">
        <v>43.06</v>
      </c>
    </row>
    <row r="2200" spans="1:9" x14ac:dyDescent="0.3">
      <c r="A2200">
        <f>LOOKUP(9E+307,--MID(D2200,1,{1,2,3,4,5}))</f>
        <v>2.5</v>
      </c>
      <c r="B2200">
        <f>VLOOKUP(MID(D2200,LOOKUP(2,1/ISNUMBER(-MID(D2200,1,{1,2,3,4,5})),{1,2,3,4,5})+1,9),'Hue codes'!$A$1:$B$10,2,FALSE)</f>
        <v>70</v>
      </c>
      <c r="C2200">
        <f t="shared" si="34"/>
        <v>72.5</v>
      </c>
      <c r="D2200" t="s">
        <v>49</v>
      </c>
      <c r="E2200">
        <v>7</v>
      </c>
      <c r="F2200">
        <v>8</v>
      </c>
      <c r="G2200">
        <v>0.23519999999999999</v>
      </c>
      <c r="H2200">
        <v>0.24979999999999999</v>
      </c>
      <c r="I2200">
        <v>43.06</v>
      </c>
    </row>
    <row r="2201" spans="1:9" x14ac:dyDescent="0.3">
      <c r="A2201">
        <f>LOOKUP(9E+307,--MID(D2201,1,{1,2,3,4,5}))</f>
        <v>2.5</v>
      </c>
      <c r="B2201">
        <f>VLOOKUP(MID(D2201,LOOKUP(2,1/ISNUMBER(-MID(D2201,1,{1,2,3,4,5})),{1,2,3,4,5})+1,9),'Hue codes'!$A$1:$B$10,2,FALSE)</f>
        <v>70</v>
      </c>
      <c r="C2201">
        <f t="shared" si="34"/>
        <v>72.5</v>
      </c>
      <c r="D2201" t="s">
        <v>49</v>
      </c>
      <c r="E2201">
        <v>7</v>
      </c>
      <c r="F2201">
        <v>10</v>
      </c>
      <c r="G2201">
        <v>0.2162</v>
      </c>
      <c r="H2201">
        <v>0.23089999999999999</v>
      </c>
      <c r="I2201">
        <v>43.06</v>
      </c>
    </row>
    <row r="2202" spans="1:9" x14ac:dyDescent="0.3">
      <c r="A2202">
        <f>LOOKUP(9E+307,--MID(D2202,1,{1,2,3,4,5}))</f>
        <v>5</v>
      </c>
      <c r="B2202">
        <f>VLOOKUP(MID(D2202,LOOKUP(2,1/ISNUMBER(-MID(D2202,1,{1,2,3,4,5})),{1,2,3,4,5})+1,9),'Hue codes'!$A$1:$B$10,2,FALSE)</f>
        <v>70</v>
      </c>
      <c r="C2202">
        <f t="shared" si="34"/>
        <v>75</v>
      </c>
      <c r="D2202" t="s">
        <v>50</v>
      </c>
      <c r="E2202">
        <v>7</v>
      </c>
      <c r="F2202">
        <v>2</v>
      </c>
      <c r="G2202">
        <v>0.29520000000000002</v>
      </c>
      <c r="H2202">
        <v>0.30109999999999998</v>
      </c>
      <c r="I2202">
        <v>43.06</v>
      </c>
    </row>
    <row r="2203" spans="1:9" x14ac:dyDescent="0.3">
      <c r="A2203">
        <f>LOOKUP(9E+307,--MID(D2203,1,{1,2,3,4,5}))</f>
        <v>5</v>
      </c>
      <c r="B2203">
        <f>VLOOKUP(MID(D2203,LOOKUP(2,1/ISNUMBER(-MID(D2203,1,{1,2,3,4,5})),{1,2,3,4,5})+1,9),'Hue codes'!$A$1:$B$10,2,FALSE)</f>
        <v>70</v>
      </c>
      <c r="C2203">
        <f t="shared" si="34"/>
        <v>75</v>
      </c>
      <c r="D2203" t="s">
        <v>50</v>
      </c>
      <c r="E2203">
        <v>7</v>
      </c>
      <c r="F2203">
        <v>4</v>
      </c>
      <c r="G2203">
        <v>0.27729999999999999</v>
      </c>
      <c r="H2203">
        <v>0.2828</v>
      </c>
      <c r="I2203">
        <v>43.06</v>
      </c>
    </row>
    <row r="2204" spans="1:9" x14ac:dyDescent="0.3">
      <c r="A2204">
        <f>LOOKUP(9E+307,--MID(D2204,1,{1,2,3,4,5}))</f>
        <v>5</v>
      </c>
      <c r="B2204">
        <f>VLOOKUP(MID(D2204,LOOKUP(2,1/ISNUMBER(-MID(D2204,1,{1,2,3,4,5})),{1,2,3,4,5})+1,9),'Hue codes'!$A$1:$B$10,2,FALSE)</f>
        <v>70</v>
      </c>
      <c r="C2204">
        <f t="shared" si="34"/>
        <v>75</v>
      </c>
      <c r="D2204" t="s">
        <v>50</v>
      </c>
      <c r="E2204">
        <v>7</v>
      </c>
      <c r="F2204">
        <v>6</v>
      </c>
      <c r="G2204">
        <v>0.2596</v>
      </c>
      <c r="H2204">
        <v>0.26429999999999998</v>
      </c>
      <c r="I2204">
        <v>43.06</v>
      </c>
    </row>
    <row r="2205" spans="1:9" x14ac:dyDescent="0.3">
      <c r="A2205">
        <f>LOOKUP(9E+307,--MID(D2205,1,{1,2,3,4,5}))</f>
        <v>5</v>
      </c>
      <c r="B2205">
        <f>VLOOKUP(MID(D2205,LOOKUP(2,1/ISNUMBER(-MID(D2205,1,{1,2,3,4,5})),{1,2,3,4,5})+1,9),'Hue codes'!$A$1:$B$10,2,FALSE)</f>
        <v>70</v>
      </c>
      <c r="C2205">
        <f t="shared" si="34"/>
        <v>75</v>
      </c>
      <c r="D2205" t="s">
        <v>50</v>
      </c>
      <c r="E2205">
        <v>7</v>
      </c>
      <c r="F2205">
        <v>8</v>
      </c>
      <c r="G2205">
        <v>0.2427</v>
      </c>
      <c r="H2205">
        <v>0.24579999999999999</v>
      </c>
      <c r="I2205">
        <v>43.06</v>
      </c>
    </row>
    <row r="2206" spans="1:9" x14ac:dyDescent="0.3">
      <c r="A2206">
        <f>LOOKUP(9E+307,--MID(D2206,1,{1,2,3,4,5}))</f>
        <v>5</v>
      </c>
      <c r="B2206">
        <f>VLOOKUP(MID(D2206,LOOKUP(2,1/ISNUMBER(-MID(D2206,1,{1,2,3,4,5})),{1,2,3,4,5})+1,9),'Hue codes'!$A$1:$B$10,2,FALSE)</f>
        <v>70</v>
      </c>
      <c r="C2206">
        <f t="shared" si="34"/>
        <v>75</v>
      </c>
      <c r="D2206" t="s">
        <v>50</v>
      </c>
      <c r="E2206">
        <v>7</v>
      </c>
      <c r="F2206">
        <v>10</v>
      </c>
      <c r="G2206">
        <v>0.22539999999999999</v>
      </c>
      <c r="H2206">
        <v>0.22670000000000001</v>
      </c>
      <c r="I2206">
        <v>43.06</v>
      </c>
    </row>
    <row r="2207" spans="1:9" x14ac:dyDescent="0.3">
      <c r="A2207">
        <f>LOOKUP(9E+307,--MID(D2207,1,{1,2,3,4,5}))</f>
        <v>7.5</v>
      </c>
      <c r="B2207">
        <f>VLOOKUP(MID(D2207,LOOKUP(2,1/ISNUMBER(-MID(D2207,1,{1,2,3,4,5})),{1,2,3,4,5})+1,9),'Hue codes'!$A$1:$B$10,2,FALSE)</f>
        <v>70</v>
      </c>
      <c r="C2207">
        <f t="shared" si="34"/>
        <v>77.5</v>
      </c>
      <c r="D2207" t="s">
        <v>51</v>
      </c>
      <c r="E2207">
        <v>7</v>
      </c>
      <c r="F2207">
        <v>2</v>
      </c>
      <c r="G2207">
        <v>0.29820000000000002</v>
      </c>
      <c r="H2207">
        <v>0.30030000000000001</v>
      </c>
      <c r="I2207">
        <v>43.06</v>
      </c>
    </row>
    <row r="2208" spans="1:9" x14ac:dyDescent="0.3">
      <c r="A2208">
        <f>LOOKUP(9E+307,--MID(D2208,1,{1,2,3,4,5}))</f>
        <v>7.5</v>
      </c>
      <c r="B2208">
        <f>VLOOKUP(MID(D2208,LOOKUP(2,1/ISNUMBER(-MID(D2208,1,{1,2,3,4,5})),{1,2,3,4,5})+1,9),'Hue codes'!$A$1:$B$10,2,FALSE)</f>
        <v>70</v>
      </c>
      <c r="C2208">
        <f t="shared" si="34"/>
        <v>77.5</v>
      </c>
      <c r="D2208" t="s">
        <v>51</v>
      </c>
      <c r="E2208">
        <v>7</v>
      </c>
      <c r="F2208">
        <v>4</v>
      </c>
      <c r="G2208">
        <v>0.2833</v>
      </c>
      <c r="H2208">
        <v>0.28089999999999998</v>
      </c>
      <c r="I2208">
        <v>43.06</v>
      </c>
    </row>
    <row r="2209" spans="1:9" x14ac:dyDescent="0.3">
      <c r="A2209">
        <f>LOOKUP(9E+307,--MID(D2209,1,{1,2,3,4,5}))</f>
        <v>7.5</v>
      </c>
      <c r="B2209">
        <f>VLOOKUP(MID(D2209,LOOKUP(2,1/ISNUMBER(-MID(D2209,1,{1,2,3,4,5})),{1,2,3,4,5})+1,9),'Hue codes'!$A$1:$B$10,2,FALSE)</f>
        <v>70</v>
      </c>
      <c r="C2209">
        <f t="shared" si="34"/>
        <v>77.5</v>
      </c>
      <c r="D2209" t="s">
        <v>51</v>
      </c>
      <c r="E2209">
        <v>7</v>
      </c>
      <c r="F2209">
        <v>6</v>
      </c>
      <c r="G2209">
        <v>0.26869999999999999</v>
      </c>
      <c r="H2209">
        <v>0.26119999999999999</v>
      </c>
      <c r="I2209">
        <v>43.06</v>
      </c>
    </row>
    <row r="2210" spans="1:9" x14ac:dyDescent="0.3">
      <c r="A2210">
        <f>LOOKUP(9E+307,--MID(D2210,1,{1,2,3,4,5}))</f>
        <v>7.5</v>
      </c>
      <c r="B2210">
        <f>VLOOKUP(MID(D2210,LOOKUP(2,1/ISNUMBER(-MID(D2210,1,{1,2,3,4,5})),{1,2,3,4,5})+1,9),'Hue codes'!$A$1:$B$10,2,FALSE)</f>
        <v>70</v>
      </c>
      <c r="C2210">
        <f t="shared" si="34"/>
        <v>77.5</v>
      </c>
      <c r="D2210" t="s">
        <v>51</v>
      </c>
      <c r="E2210">
        <v>7</v>
      </c>
      <c r="F2210">
        <v>8</v>
      </c>
      <c r="G2210">
        <v>0.25459999999999999</v>
      </c>
      <c r="H2210">
        <v>0.24179999999999999</v>
      </c>
      <c r="I2210">
        <v>43.06</v>
      </c>
    </row>
    <row r="2211" spans="1:9" x14ac:dyDescent="0.3">
      <c r="A2211">
        <f>LOOKUP(9E+307,--MID(D2211,1,{1,2,3,4,5}))</f>
        <v>7.5</v>
      </c>
      <c r="B2211">
        <f>VLOOKUP(MID(D2211,LOOKUP(2,1/ISNUMBER(-MID(D2211,1,{1,2,3,4,5})),{1,2,3,4,5})+1,9),'Hue codes'!$A$1:$B$10,2,FALSE)</f>
        <v>70</v>
      </c>
      <c r="C2211">
        <f t="shared" si="34"/>
        <v>77.5</v>
      </c>
      <c r="D2211" t="s">
        <v>51</v>
      </c>
      <c r="E2211">
        <v>7</v>
      </c>
      <c r="F2211">
        <v>10</v>
      </c>
      <c r="G2211">
        <v>0.24099999999999999</v>
      </c>
      <c r="H2211">
        <v>0.22239999999999999</v>
      </c>
      <c r="I2211">
        <v>43.06</v>
      </c>
    </row>
    <row r="2212" spans="1:9" x14ac:dyDescent="0.3">
      <c r="A2212">
        <f>LOOKUP(9E+307,--MID(D2212,1,{1,2,3,4,5}))</f>
        <v>10</v>
      </c>
      <c r="B2212">
        <f>VLOOKUP(MID(D2212,LOOKUP(2,1/ISNUMBER(-MID(D2212,1,{1,2,3,4,5})),{1,2,3,4,5})+1,9),'Hue codes'!$A$1:$B$10,2,FALSE)</f>
        <v>70</v>
      </c>
      <c r="C2212">
        <f t="shared" si="34"/>
        <v>80</v>
      </c>
      <c r="D2212" t="s">
        <v>52</v>
      </c>
      <c r="E2212">
        <v>7</v>
      </c>
      <c r="F2212">
        <v>2</v>
      </c>
      <c r="G2212">
        <v>0.30049999999999999</v>
      </c>
      <c r="H2212">
        <v>0.3</v>
      </c>
      <c r="I2212">
        <v>43.06</v>
      </c>
    </row>
    <row r="2213" spans="1:9" x14ac:dyDescent="0.3">
      <c r="A2213">
        <f>LOOKUP(9E+307,--MID(D2213,1,{1,2,3,4,5}))</f>
        <v>10</v>
      </c>
      <c r="B2213">
        <f>VLOOKUP(MID(D2213,LOOKUP(2,1/ISNUMBER(-MID(D2213,1,{1,2,3,4,5})),{1,2,3,4,5})+1,9),'Hue codes'!$A$1:$B$10,2,FALSE)</f>
        <v>70</v>
      </c>
      <c r="C2213">
        <f t="shared" si="34"/>
        <v>80</v>
      </c>
      <c r="D2213" t="s">
        <v>52</v>
      </c>
      <c r="E2213">
        <v>7</v>
      </c>
      <c r="F2213">
        <v>4</v>
      </c>
      <c r="G2213">
        <v>0.28860000000000002</v>
      </c>
      <c r="H2213">
        <v>0.28010000000000002</v>
      </c>
      <c r="I2213">
        <v>43.06</v>
      </c>
    </row>
    <row r="2214" spans="1:9" x14ac:dyDescent="0.3">
      <c r="A2214">
        <f>LOOKUP(9E+307,--MID(D2214,1,{1,2,3,4,5}))</f>
        <v>10</v>
      </c>
      <c r="B2214">
        <f>VLOOKUP(MID(D2214,LOOKUP(2,1/ISNUMBER(-MID(D2214,1,{1,2,3,4,5})),{1,2,3,4,5})+1,9),'Hue codes'!$A$1:$B$10,2,FALSE)</f>
        <v>70</v>
      </c>
      <c r="C2214">
        <f t="shared" si="34"/>
        <v>80</v>
      </c>
      <c r="D2214" t="s">
        <v>52</v>
      </c>
      <c r="E2214">
        <v>7</v>
      </c>
      <c r="F2214">
        <v>6</v>
      </c>
      <c r="G2214">
        <v>0.27760000000000001</v>
      </c>
      <c r="H2214">
        <v>0.26119999999999999</v>
      </c>
      <c r="I2214">
        <v>43.06</v>
      </c>
    </row>
    <row r="2215" spans="1:9" x14ac:dyDescent="0.3">
      <c r="A2215">
        <f>LOOKUP(9E+307,--MID(D2215,1,{1,2,3,4,5}))</f>
        <v>10</v>
      </c>
      <c r="B2215">
        <f>VLOOKUP(MID(D2215,LOOKUP(2,1/ISNUMBER(-MID(D2215,1,{1,2,3,4,5})),{1,2,3,4,5})+1,9),'Hue codes'!$A$1:$B$10,2,FALSE)</f>
        <v>70</v>
      </c>
      <c r="C2215">
        <f t="shared" si="34"/>
        <v>80</v>
      </c>
      <c r="D2215" t="s">
        <v>52</v>
      </c>
      <c r="E2215">
        <v>7</v>
      </c>
      <c r="F2215">
        <v>8</v>
      </c>
      <c r="G2215">
        <v>0.26700000000000002</v>
      </c>
      <c r="H2215">
        <v>0.24249999999999999</v>
      </c>
      <c r="I2215">
        <v>43.06</v>
      </c>
    </row>
    <row r="2216" spans="1:9" x14ac:dyDescent="0.3">
      <c r="A2216">
        <f>LOOKUP(9E+307,--MID(D2216,1,{1,2,3,4,5}))</f>
        <v>10</v>
      </c>
      <c r="B2216">
        <f>VLOOKUP(MID(D2216,LOOKUP(2,1/ISNUMBER(-MID(D2216,1,{1,2,3,4,5})),{1,2,3,4,5})+1,9),'Hue codes'!$A$1:$B$10,2,FALSE)</f>
        <v>70</v>
      </c>
      <c r="C2216">
        <f t="shared" si="34"/>
        <v>80</v>
      </c>
      <c r="D2216" t="s">
        <v>52</v>
      </c>
      <c r="E2216">
        <v>7</v>
      </c>
      <c r="F2216">
        <v>10</v>
      </c>
      <c r="G2216">
        <v>0.25629999999999997</v>
      </c>
      <c r="H2216">
        <v>0.224</v>
      </c>
      <c r="I2216">
        <v>43.06</v>
      </c>
    </row>
    <row r="2217" spans="1:9" x14ac:dyDescent="0.3">
      <c r="A2217">
        <f>LOOKUP(9E+307,--MID(D2217,1,{1,2,3,4,5}))</f>
        <v>10</v>
      </c>
      <c r="B2217">
        <f>VLOOKUP(MID(D2217,LOOKUP(2,1/ISNUMBER(-MID(D2217,1,{1,2,3,4,5})),{1,2,3,4,5})+1,9),'Hue codes'!$A$1:$B$10,2,FALSE)</f>
        <v>70</v>
      </c>
      <c r="C2217">
        <f t="shared" si="34"/>
        <v>80</v>
      </c>
      <c r="D2217" t="s">
        <v>52</v>
      </c>
      <c r="E2217">
        <v>7</v>
      </c>
      <c r="F2217">
        <v>12</v>
      </c>
      <c r="G2217">
        <v>0.2465</v>
      </c>
      <c r="H2217">
        <v>0.20580000000000001</v>
      </c>
      <c r="I2217">
        <v>43.06</v>
      </c>
    </row>
    <row r="2218" spans="1:9" x14ac:dyDescent="0.3">
      <c r="A2218">
        <f>LOOKUP(9E+307,--MID(D2218,1,{1,2,3,4,5}))</f>
        <v>2.5</v>
      </c>
      <c r="B2218">
        <f>VLOOKUP(MID(D2218,LOOKUP(2,1/ISNUMBER(-MID(D2218,1,{1,2,3,4,5})),{1,2,3,4,5})+1,9),'Hue codes'!$A$1:$B$10,2,FALSE)</f>
        <v>80</v>
      </c>
      <c r="C2218">
        <f t="shared" si="34"/>
        <v>82.5</v>
      </c>
      <c r="D2218" t="s">
        <v>53</v>
      </c>
      <c r="E2218">
        <v>7</v>
      </c>
      <c r="F2218">
        <v>2</v>
      </c>
      <c r="G2218">
        <v>0.30309999999999998</v>
      </c>
      <c r="H2218">
        <v>0.3</v>
      </c>
      <c r="I2218">
        <v>43.06</v>
      </c>
    </row>
    <row r="2219" spans="1:9" x14ac:dyDescent="0.3">
      <c r="A2219">
        <f>LOOKUP(9E+307,--MID(D2219,1,{1,2,3,4,5}))</f>
        <v>2.5</v>
      </c>
      <c r="B2219">
        <f>VLOOKUP(MID(D2219,LOOKUP(2,1/ISNUMBER(-MID(D2219,1,{1,2,3,4,5})),{1,2,3,4,5})+1,9),'Hue codes'!$A$1:$B$10,2,FALSE)</f>
        <v>80</v>
      </c>
      <c r="C2219">
        <f t="shared" si="34"/>
        <v>82.5</v>
      </c>
      <c r="D2219" t="s">
        <v>53</v>
      </c>
      <c r="E2219">
        <v>7</v>
      </c>
      <c r="F2219">
        <v>4</v>
      </c>
      <c r="G2219">
        <v>0.29499999999999998</v>
      </c>
      <c r="H2219">
        <v>0.28100000000000003</v>
      </c>
      <c r="I2219">
        <v>43.06</v>
      </c>
    </row>
    <row r="2220" spans="1:9" x14ac:dyDescent="0.3">
      <c r="A2220">
        <f>LOOKUP(9E+307,--MID(D2220,1,{1,2,3,4,5}))</f>
        <v>2.5</v>
      </c>
      <c r="B2220">
        <f>VLOOKUP(MID(D2220,LOOKUP(2,1/ISNUMBER(-MID(D2220,1,{1,2,3,4,5})),{1,2,3,4,5})+1,9),'Hue codes'!$A$1:$B$10,2,FALSE)</f>
        <v>80</v>
      </c>
      <c r="C2220">
        <f t="shared" si="34"/>
        <v>82.5</v>
      </c>
      <c r="D2220" t="s">
        <v>53</v>
      </c>
      <c r="E2220">
        <v>7</v>
      </c>
      <c r="F2220">
        <v>6</v>
      </c>
      <c r="G2220">
        <v>0.2873</v>
      </c>
      <c r="H2220">
        <v>0.26329999999999998</v>
      </c>
      <c r="I2220">
        <v>43.06</v>
      </c>
    </row>
    <row r="2221" spans="1:9" x14ac:dyDescent="0.3">
      <c r="A2221">
        <f>LOOKUP(9E+307,--MID(D2221,1,{1,2,3,4,5}))</f>
        <v>2.5</v>
      </c>
      <c r="B2221">
        <f>VLOOKUP(MID(D2221,LOOKUP(2,1/ISNUMBER(-MID(D2221,1,{1,2,3,4,5})),{1,2,3,4,5})+1,9),'Hue codes'!$A$1:$B$10,2,FALSE)</f>
        <v>80</v>
      </c>
      <c r="C2221">
        <f t="shared" si="34"/>
        <v>82.5</v>
      </c>
      <c r="D2221" t="s">
        <v>53</v>
      </c>
      <c r="E2221">
        <v>7</v>
      </c>
      <c r="F2221">
        <v>8</v>
      </c>
      <c r="G2221">
        <v>0.27989999999999998</v>
      </c>
      <c r="H2221">
        <v>0.24590000000000001</v>
      </c>
      <c r="I2221">
        <v>43.06</v>
      </c>
    </row>
    <row r="2222" spans="1:9" x14ac:dyDescent="0.3">
      <c r="A2222">
        <f>LOOKUP(9E+307,--MID(D2222,1,{1,2,3,4,5}))</f>
        <v>2.5</v>
      </c>
      <c r="B2222">
        <f>VLOOKUP(MID(D2222,LOOKUP(2,1/ISNUMBER(-MID(D2222,1,{1,2,3,4,5})),{1,2,3,4,5})+1,9),'Hue codes'!$A$1:$B$10,2,FALSE)</f>
        <v>80</v>
      </c>
      <c r="C2222">
        <f t="shared" si="34"/>
        <v>82.5</v>
      </c>
      <c r="D2222" t="s">
        <v>53</v>
      </c>
      <c r="E2222">
        <v>7</v>
      </c>
      <c r="F2222">
        <v>10</v>
      </c>
      <c r="G2222">
        <v>0.27289999999999998</v>
      </c>
      <c r="H2222">
        <v>0.22889999999999999</v>
      </c>
      <c r="I2222">
        <v>43.06</v>
      </c>
    </row>
    <row r="2223" spans="1:9" x14ac:dyDescent="0.3">
      <c r="A2223">
        <f>LOOKUP(9E+307,--MID(D2223,1,{1,2,3,4,5}))</f>
        <v>2.5</v>
      </c>
      <c r="B2223">
        <f>VLOOKUP(MID(D2223,LOOKUP(2,1/ISNUMBER(-MID(D2223,1,{1,2,3,4,5})),{1,2,3,4,5})+1,9),'Hue codes'!$A$1:$B$10,2,FALSE)</f>
        <v>80</v>
      </c>
      <c r="C2223">
        <f t="shared" si="34"/>
        <v>82.5</v>
      </c>
      <c r="D2223" t="s">
        <v>53</v>
      </c>
      <c r="E2223">
        <v>7</v>
      </c>
      <c r="F2223">
        <v>12</v>
      </c>
      <c r="G2223">
        <v>0.26640000000000003</v>
      </c>
      <c r="H2223">
        <v>0.2127</v>
      </c>
      <c r="I2223">
        <v>43.06</v>
      </c>
    </row>
    <row r="2224" spans="1:9" x14ac:dyDescent="0.3">
      <c r="A2224">
        <f>LOOKUP(9E+307,--MID(D2224,1,{1,2,3,4,5}))</f>
        <v>5</v>
      </c>
      <c r="B2224">
        <f>VLOOKUP(MID(D2224,LOOKUP(2,1/ISNUMBER(-MID(D2224,1,{1,2,3,4,5})),{1,2,3,4,5})+1,9),'Hue codes'!$A$1:$B$10,2,FALSE)</f>
        <v>80</v>
      </c>
      <c r="C2224">
        <f t="shared" si="34"/>
        <v>85</v>
      </c>
      <c r="D2224" t="s">
        <v>54</v>
      </c>
      <c r="E2224">
        <v>7</v>
      </c>
      <c r="F2224">
        <v>2</v>
      </c>
      <c r="G2224">
        <v>0.30590000000000001</v>
      </c>
      <c r="H2224">
        <v>0.30099999999999999</v>
      </c>
      <c r="I2224">
        <v>43.06</v>
      </c>
    </row>
    <row r="2225" spans="1:9" x14ac:dyDescent="0.3">
      <c r="A2225">
        <f>LOOKUP(9E+307,--MID(D2225,1,{1,2,3,4,5}))</f>
        <v>5</v>
      </c>
      <c r="B2225">
        <f>VLOOKUP(MID(D2225,LOOKUP(2,1/ISNUMBER(-MID(D2225,1,{1,2,3,4,5})),{1,2,3,4,5})+1,9),'Hue codes'!$A$1:$B$10,2,FALSE)</f>
        <v>80</v>
      </c>
      <c r="C2225">
        <f t="shared" si="34"/>
        <v>85</v>
      </c>
      <c r="D2225" t="s">
        <v>54</v>
      </c>
      <c r="E2225">
        <v>7</v>
      </c>
      <c r="F2225">
        <v>4</v>
      </c>
      <c r="G2225">
        <v>0.3009</v>
      </c>
      <c r="H2225">
        <v>0.28310000000000002</v>
      </c>
      <c r="I2225">
        <v>43.06</v>
      </c>
    </row>
    <row r="2226" spans="1:9" x14ac:dyDescent="0.3">
      <c r="A2226">
        <f>LOOKUP(9E+307,--MID(D2226,1,{1,2,3,4,5}))</f>
        <v>5</v>
      </c>
      <c r="B2226">
        <f>VLOOKUP(MID(D2226,LOOKUP(2,1/ISNUMBER(-MID(D2226,1,{1,2,3,4,5})),{1,2,3,4,5})+1,9),'Hue codes'!$A$1:$B$10,2,FALSE)</f>
        <v>80</v>
      </c>
      <c r="C2226">
        <f t="shared" si="34"/>
        <v>85</v>
      </c>
      <c r="D2226" t="s">
        <v>54</v>
      </c>
      <c r="E2226">
        <v>7</v>
      </c>
      <c r="F2226">
        <v>6</v>
      </c>
      <c r="G2226">
        <v>0.29609999999999997</v>
      </c>
      <c r="H2226">
        <v>0.26629999999999998</v>
      </c>
      <c r="I2226">
        <v>43.06</v>
      </c>
    </row>
    <row r="2227" spans="1:9" x14ac:dyDescent="0.3">
      <c r="A2227">
        <f>LOOKUP(9E+307,--MID(D2227,1,{1,2,3,4,5}))</f>
        <v>5</v>
      </c>
      <c r="B2227">
        <f>VLOOKUP(MID(D2227,LOOKUP(2,1/ISNUMBER(-MID(D2227,1,{1,2,3,4,5})),{1,2,3,4,5})+1,9),'Hue codes'!$A$1:$B$10,2,FALSE)</f>
        <v>80</v>
      </c>
      <c r="C2227">
        <f t="shared" si="34"/>
        <v>85</v>
      </c>
      <c r="D2227" t="s">
        <v>54</v>
      </c>
      <c r="E2227">
        <v>7</v>
      </c>
      <c r="F2227">
        <v>8</v>
      </c>
      <c r="G2227">
        <v>0.2918</v>
      </c>
      <c r="H2227">
        <v>0.25040000000000001</v>
      </c>
      <c r="I2227">
        <v>43.06</v>
      </c>
    </row>
    <row r="2228" spans="1:9" x14ac:dyDescent="0.3">
      <c r="A2228">
        <f>LOOKUP(9E+307,--MID(D2228,1,{1,2,3,4,5}))</f>
        <v>5</v>
      </c>
      <c r="B2228">
        <f>VLOOKUP(MID(D2228,LOOKUP(2,1/ISNUMBER(-MID(D2228,1,{1,2,3,4,5})),{1,2,3,4,5})+1,9),'Hue codes'!$A$1:$B$10,2,FALSE)</f>
        <v>80</v>
      </c>
      <c r="C2228">
        <f t="shared" si="34"/>
        <v>85</v>
      </c>
      <c r="D2228" t="s">
        <v>54</v>
      </c>
      <c r="E2228">
        <v>7</v>
      </c>
      <c r="F2228">
        <v>10</v>
      </c>
      <c r="G2228">
        <v>0.28720000000000001</v>
      </c>
      <c r="H2228">
        <v>0.23430000000000001</v>
      </c>
      <c r="I2228">
        <v>43.06</v>
      </c>
    </row>
    <row r="2229" spans="1:9" x14ac:dyDescent="0.3">
      <c r="A2229">
        <f>LOOKUP(9E+307,--MID(D2229,1,{1,2,3,4,5}))</f>
        <v>5</v>
      </c>
      <c r="B2229">
        <f>VLOOKUP(MID(D2229,LOOKUP(2,1/ISNUMBER(-MID(D2229,1,{1,2,3,4,5})),{1,2,3,4,5})+1,9),'Hue codes'!$A$1:$B$10,2,FALSE)</f>
        <v>80</v>
      </c>
      <c r="C2229">
        <f t="shared" si="34"/>
        <v>85</v>
      </c>
      <c r="D2229" t="s">
        <v>54</v>
      </c>
      <c r="E2229">
        <v>7</v>
      </c>
      <c r="F2229">
        <v>12</v>
      </c>
      <c r="G2229">
        <v>0.2833</v>
      </c>
      <c r="H2229">
        <v>0.21970000000000001</v>
      </c>
      <c r="I2229">
        <v>43.06</v>
      </c>
    </row>
    <row r="2230" spans="1:9" x14ac:dyDescent="0.3">
      <c r="A2230">
        <f>LOOKUP(9E+307,--MID(D2230,1,{1,2,3,4,5}))</f>
        <v>5</v>
      </c>
      <c r="B2230">
        <f>VLOOKUP(MID(D2230,LOOKUP(2,1/ISNUMBER(-MID(D2230,1,{1,2,3,4,5})),{1,2,3,4,5})+1,9),'Hue codes'!$A$1:$B$10,2,FALSE)</f>
        <v>80</v>
      </c>
      <c r="C2230">
        <f t="shared" si="34"/>
        <v>85</v>
      </c>
      <c r="D2230" t="s">
        <v>54</v>
      </c>
      <c r="E2230">
        <v>7</v>
      </c>
      <c r="F2230">
        <v>14</v>
      </c>
      <c r="G2230">
        <v>0.28010000000000002</v>
      </c>
      <c r="H2230">
        <v>0.20680000000000001</v>
      </c>
      <c r="I2230">
        <v>43.06</v>
      </c>
    </row>
    <row r="2231" spans="1:9" x14ac:dyDescent="0.3">
      <c r="A2231">
        <f>LOOKUP(9E+307,--MID(D2231,1,{1,2,3,4,5}))</f>
        <v>7.5</v>
      </c>
      <c r="B2231">
        <f>VLOOKUP(MID(D2231,LOOKUP(2,1/ISNUMBER(-MID(D2231,1,{1,2,3,4,5})),{1,2,3,4,5})+1,9),'Hue codes'!$A$1:$B$10,2,FALSE)</f>
        <v>80</v>
      </c>
      <c r="C2231">
        <f t="shared" si="34"/>
        <v>87.5</v>
      </c>
      <c r="D2231" t="s">
        <v>55</v>
      </c>
      <c r="E2231">
        <v>7</v>
      </c>
      <c r="F2231">
        <v>2</v>
      </c>
      <c r="G2231">
        <v>0.31090000000000001</v>
      </c>
      <c r="H2231">
        <v>0.30370000000000003</v>
      </c>
      <c r="I2231">
        <v>43.06</v>
      </c>
    </row>
    <row r="2232" spans="1:9" x14ac:dyDescent="0.3">
      <c r="A2232">
        <f>LOOKUP(9E+307,--MID(D2232,1,{1,2,3,4,5}))</f>
        <v>7.5</v>
      </c>
      <c r="B2232">
        <f>VLOOKUP(MID(D2232,LOOKUP(2,1/ISNUMBER(-MID(D2232,1,{1,2,3,4,5})),{1,2,3,4,5})+1,9),'Hue codes'!$A$1:$B$10,2,FALSE)</f>
        <v>80</v>
      </c>
      <c r="C2232">
        <f t="shared" si="34"/>
        <v>87.5</v>
      </c>
      <c r="D2232" t="s">
        <v>55</v>
      </c>
      <c r="E2232">
        <v>7</v>
      </c>
      <c r="F2232">
        <v>4</v>
      </c>
      <c r="G2232">
        <v>0.31109999999999999</v>
      </c>
      <c r="H2232">
        <v>0.28799999999999998</v>
      </c>
      <c r="I2232">
        <v>43.06</v>
      </c>
    </row>
    <row r="2233" spans="1:9" x14ac:dyDescent="0.3">
      <c r="A2233">
        <f>LOOKUP(9E+307,--MID(D2233,1,{1,2,3,4,5}))</f>
        <v>7.5</v>
      </c>
      <c r="B2233">
        <f>VLOOKUP(MID(D2233,LOOKUP(2,1/ISNUMBER(-MID(D2233,1,{1,2,3,4,5})),{1,2,3,4,5})+1,9),'Hue codes'!$A$1:$B$10,2,FALSE)</f>
        <v>80</v>
      </c>
      <c r="C2233">
        <f t="shared" si="34"/>
        <v>87.5</v>
      </c>
      <c r="D2233" t="s">
        <v>55</v>
      </c>
      <c r="E2233">
        <v>7</v>
      </c>
      <c r="F2233">
        <v>6</v>
      </c>
      <c r="G2233">
        <v>0.31109999999999999</v>
      </c>
      <c r="H2233">
        <v>0.27300000000000002</v>
      </c>
      <c r="I2233">
        <v>43.06</v>
      </c>
    </row>
    <row r="2234" spans="1:9" x14ac:dyDescent="0.3">
      <c r="A2234">
        <f>LOOKUP(9E+307,--MID(D2234,1,{1,2,3,4,5}))</f>
        <v>7.5</v>
      </c>
      <c r="B2234">
        <f>VLOOKUP(MID(D2234,LOOKUP(2,1/ISNUMBER(-MID(D2234,1,{1,2,3,4,5})),{1,2,3,4,5})+1,9),'Hue codes'!$A$1:$B$10,2,FALSE)</f>
        <v>80</v>
      </c>
      <c r="C2234">
        <f t="shared" si="34"/>
        <v>87.5</v>
      </c>
      <c r="D2234" t="s">
        <v>55</v>
      </c>
      <c r="E2234">
        <v>7</v>
      </c>
      <c r="F2234">
        <v>8</v>
      </c>
      <c r="G2234">
        <v>0.31090000000000001</v>
      </c>
      <c r="H2234">
        <v>0.25840000000000002</v>
      </c>
      <c r="I2234">
        <v>43.06</v>
      </c>
    </row>
    <row r="2235" spans="1:9" x14ac:dyDescent="0.3">
      <c r="A2235">
        <f>LOOKUP(9E+307,--MID(D2235,1,{1,2,3,4,5}))</f>
        <v>7.5</v>
      </c>
      <c r="B2235">
        <f>VLOOKUP(MID(D2235,LOOKUP(2,1/ISNUMBER(-MID(D2235,1,{1,2,3,4,5})),{1,2,3,4,5})+1,9),'Hue codes'!$A$1:$B$10,2,FALSE)</f>
        <v>80</v>
      </c>
      <c r="C2235">
        <f t="shared" si="34"/>
        <v>87.5</v>
      </c>
      <c r="D2235" t="s">
        <v>55</v>
      </c>
      <c r="E2235">
        <v>7</v>
      </c>
      <c r="F2235">
        <v>10</v>
      </c>
      <c r="G2235">
        <v>0.31080000000000002</v>
      </c>
      <c r="H2235">
        <v>0.2442</v>
      </c>
      <c r="I2235">
        <v>43.06</v>
      </c>
    </row>
    <row r="2236" spans="1:9" x14ac:dyDescent="0.3">
      <c r="A2236">
        <f>LOOKUP(9E+307,--MID(D2236,1,{1,2,3,4,5}))</f>
        <v>7.5</v>
      </c>
      <c r="B2236">
        <f>VLOOKUP(MID(D2236,LOOKUP(2,1/ISNUMBER(-MID(D2236,1,{1,2,3,4,5})),{1,2,3,4,5})+1,9),'Hue codes'!$A$1:$B$10,2,FALSE)</f>
        <v>80</v>
      </c>
      <c r="C2236">
        <f t="shared" si="34"/>
        <v>87.5</v>
      </c>
      <c r="D2236" t="s">
        <v>55</v>
      </c>
      <c r="E2236">
        <v>7</v>
      </c>
      <c r="F2236">
        <v>12</v>
      </c>
      <c r="G2236">
        <v>0.31040000000000001</v>
      </c>
      <c r="H2236">
        <v>0.23200000000000001</v>
      </c>
      <c r="I2236">
        <v>43.06</v>
      </c>
    </row>
    <row r="2237" spans="1:9" x14ac:dyDescent="0.3">
      <c r="A2237">
        <f>LOOKUP(9E+307,--MID(D2237,1,{1,2,3,4,5}))</f>
        <v>7.5</v>
      </c>
      <c r="B2237">
        <f>VLOOKUP(MID(D2237,LOOKUP(2,1/ISNUMBER(-MID(D2237,1,{1,2,3,4,5})),{1,2,3,4,5})+1,9),'Hue codes'!$A$1:$B$10,2,FALSE)</f>
        <v>80</v>
      </c>
      <c r="C2237">
        <f t="shared" si="34"/>
        <v>87.5</v>
      </c>
      <c r="D2237" t="s">
        <v>55</v>
      </c>
      <c r="E2237">
        <v>7</v>
      </c>
      <c r="F2237">
        <v>14</v>
      </c>
      <c r="G2237">
        <v>0.31009999999999999</v>
      </c>
      <c r="H2237">
        <v>0.21920000000000001</v>
      </c>
      <c r="I2237">
        <v>43.06</v>
      </c>
    </row>
    <row r="2238" spans="1:9" x14ac:dyDescent="0.3">
      <c r="A2238">
        <f>LOOKUP(9E+307,--MID(D2238,1,{1,2,3,4,5}))</f>
        <v>7.5</v>
      </c>
      <c r="B2238">
        <f>VLOOKUP(MID(D2238,LOOKUP(2,1/ISNUMBER(-MID(D2238,1,{1,2,3,4,5})),{1,2,3,4,5})+1,9),'Hue codes'!$A$1:$B$10,2,FALSE)</f>
        <v>80</v>
      </c>
      <c r="C2238">
        <f t="shared" si="34"/>
        <v>87.5</v>
      </c>
      <c r="D2238" t="s">
        <v>55</v>
      </c>
      <c r="E2238">
        <v>7</v>
      </c>
      <c r="F2238">
        <v>16</v>
      </c>
      <c r="G2238">
        <v>0.30990000000000001</v>
      </c>
      <c r="H2238">
        <v>0.2074</v>
      </c>
      <c r="I2238">
        <v>43.06</v>
      </c>
    </row>
    <row r="2239" spans="1:9" x14ac:dyDescent="0.3">
      <c r="A2239">
        <f>LOOKUP(9E+307,--MID(D2239,1,{1,2,3,4,5}))</f>
        <v>7.5</v>
      </c>
      <c r="B2239">
        <f>VLOOKUP(MID(D2239,LOOKUP(2,1/ISNUMBER(-MID(D2239,1,{1,2,3,4,5})),{1,2,3,4,5})+1,9),'Hue codes'!$A$1:$B$10,2,FALSE)</f>
        <v>80</v>
      </c>
      <c r="C2239">
        <f t="shared" si="34"/>
        <v>87.5</v>
      </c>
      <c r="D2239" t="s">
        <v>55</v>
      </c>
      <c r="E2239">
        <v>7</v>
      </c>
      <c r="F2239">
        <v>18</v>
      </c>
      <c r="G2239">
        <v>0.30930000000000002</v>
      </c>
      <c r="H2239">
        <v>0.19620000000000001</v>
      </c>
      <c r="I2239">
        <v>43.06</v>
      </c>
    </row>
    <row r="2240" spans="1:9" x14ac:dyDescent="0.3">
      <c r="A2240">
        <f>LOOKUP(9E+307,--MID(D2240,1,{1,2,3,4,5}))</f>
        <v>10</v>
      </c>
      <c r="B2240">
        <f>VLOOKUP(MID(D2240,LOOKUP(2,1/ISNUMBER(-MID(D2240,1,{1,2,3,4,5})),{1,2,3,4,5})+1,9),'Hue codes'!$A$1:$B$10,2,FALSE)</f>
        <v>80</v>
      </c>
      <c r="C2240">
        <f t="shared" si="34"/>
        <v>90</v>
      </c>
      <c r="D2240" t="s">
        <v>56</v>
      </c>
      <c r="E2240">
        <v>7</v>
      </c>
      <c r="F2240">
        <v>2</v>
      </c>
      <c r="G2240">
        <v>0.31380000000000002</v>
      </c>
      <c r="H2240">
        <v>0.3054</v>
      </c>
      <c r="I2240">
        <v>43.06</v>
      </c>
    </row>
    <row r="2241" spans="1:9" x14ac:dyDescent="0.3">
      <c r="A2241">
        <f>LOOKUP(9E+307,--MID(D2241,1,{1,2,3,4,5}))</f>
        <v>10</v>
      </c>
      <c r="B2241">
        <f>VLOOKUP(MID(D2241,LOOKUP(2,1/ISNUMBER(-MID(D2241,1,{1,2,3,4,5})),{1,2,3,4,5})+1,9),'Hue codes'!$A$1:$B$10,2,FALSE)</f>
        <v>80</v>
      </c>
      <c r="C2241">
        <f t="shared" si="34"/>
        <v>90</v>
      </c>
      <c r="D2241" t="s">
        <v>56</v>
      </c>
      <c r="E2241">
        <v>7</v>
      </c>
      <c r="F2241">
        <v>4</v>
      </c>
      <c r="G2241">
        <v>0.31809999999999999</v>
      </c>
      <c r="H2241">
        <v>0.29199999999999998</v>
      </c>
      <c r="I2241">
        <v>43.06</v>
      </c>
    </row>
    <row r="2242" spans="1:9" x14ac:dyDescent="0.3">
      <c r="A2242">
        <f>LOOKUP(9E+307,--MID(D2242,1,{1,2,3,4,5}))</f>
        <v>10</v>
      </c>
      <c r="B2242">
        <f>VLOOKUP(MID(D2242,LOOKUP(2,1/ISNUMBER(-MID(D2242,1,{1,2,3,4,5})),{1,2,3,4,5})+1,9),'Hue codes'!$A$1:$B$10,2,FALSE)</f>
        <v>80</v>
      </c>
      <c r="C2242">
        <f t="shared" si="34"/>
        <v>90</v>
      </c>
      <c r="D2242" t="s">
        <v>56</v>
      </c>
      <c r="E2242">
        <v>7</v>
      </c>
      <c r="F2242">
        <v>6</v>
      </c>
      <c r="G2242">
        <v>0.3221</v>
      </c>
      <c r="H2242">
        <v>0.27860000000000001</v>
      </c>
      <c r="I2242">
        <v>43.06</v>
      </c>
    </row>
    <row r="2243" spans="1:9" x14ac:dyDescent="0.3">
      <c r="A2243">
        <f>LOOKUP(9E+307,--MID(D2243,1,{1,2,3,4,5}))</f>
        <v>10</v>
      </c>
      <c r="B2243">
        <f>VLOOKUP(MID(D2243,LOOKUP(2,1/ISNUMBER(-MID(D2243,1,{1,2,3,4,5})),{1,2,3,4,5})+1,9),'Hue codes'!$A$1:$B$10,2,FALSE)</f>
        <v>80</v>
      </c>
      <c r="C2243">
        <f t="shared" ref="C2243:C2306" si="35">IF(A2243+B2243=100,0,A2243+B2243)</f>
        <v>90</v>
      </c>
      <c r="D2243" t="s">
        <v>56</v>
      </c>
      <c r="E2243">
        <v>7</v>
      </c>
      <c r="F2243">
        <v>8</v>
      </c>
      <c r="G2243">
        <v>0.3256</v>
      </c>
      <c r="H2243">
        <v>0.26540000000000002</v>
      </c>
      <c r="I2243">
        <v>43.06</v>
      </c>
    </row>
    <row r="2244" spans="1:9" x14ac:dyDescent="0.3">
      <c r="A2244">
        <f>LOOKUP(9E+307,--MID(D2244,1,{1,2,3,4,5}))</f>
        <v>10</v>
      </c>
      <c r="B2244">
        <f>VLOOKUP(MID(D2244,LOOKUP(2,1/ISNUMBER(-MID(D2244,1,{1,2,3,4,5})),{1,2,3,4,5})+1,9),'Hue codes'!$A$1:$B$10,2,FALSE)</f>
        <v>80</v>
      </c>
      <c r="C2244">
        <f t="shared" si="35"/>
        <v>90</v>
      </c>
      <c r="D2244" t="s">
        <v>56</v>
      </c>
      <c r="E2244">
        <v>7</v>
      </c>
      <c r="F2244">
        <v>10</v>
      </c>
      <c r="G2244">
        <v>0.32879999999999998</v>
      </c>
      <c r="H2244">
        <v>0.25309999999999999</v>
      </c>
      <c r="I2244">
        <v>43.06</v>
      </c>
    </row>
    <row r="2245" spans="1:9" x14ac:dyDescent="0.3">
      <c r="A2245">
        <f>LOOKUP(9E+307,--MID(D2245,1,{1,2,3,4,5}))</f>
        <v>10</v>
      </c>
      <c r="B2245">
        <f>VLOOKUP(MID(D2245,LOOKUP(2,1/ISNUMBER(-MID(D2245,1,{1,2,3,4,5})),{1,2,3,4,5})+1,9),'Hue codes'!$A$1:$B$10,2,FALSE)</f>
        <v>80</v>
      </c>
      <c r="C2245">
        <f t="shared" si="35"/>
        <v>90</v>
      </c>
      <c r="D2245" t="s">
        <v>56</v>
      </c>
      <c r="E2245">
        <v>7</v>
      </c>
      <c r="F2245">
        <v>12</v>
      </c>
      <c r="G2245">
        <v>0.33139999999999997</v>
      </c>
      <c r="H2245">
        <v>0.24229999999999999</v>
      </c>
      <c r="I2245">
        <v>43.06</v>
      </c>
    </row>
    <row r="2246" spans="1:9" x14ac:dyDescent="0.3">
      <c r="A2246">
        <f>LOOKUP(9E+307,--MID(D2246,1,{1,2,3,4,5}))</f>
        <v>10</v>
      </c>
      <c r="B2246">
        <f>VLOOKUP(MID(D2246,LOOKUP(2,1/ISNUMBER(-MID(D2246,1,{1,2,3,4,5})),{1,2,3,4,5})+1,9),'Hue codes'!$A$1:$B$10,2,FALSE)</f>
        <v>80</v>
      </c>
      <c r="C2246">
        <f t="shared" si="35"/>
        <v>90</v>
      </c>
      <c r="D2246" t="s">
        <v>56</v>
      </c>
      <c r="E2246">
        <v>7</v>
      </c>
      <c r="F2246">
        <v>14</v>
      </c>
      <c r="G2246">
        <v>0.33410000000000001</v>
      </c>
      <c r="H2246">
        <v>0.23080000000000001</v>
      </c>
      <c r="I2246">
        <v>43.06</v>
      </c>
    </row>
    <row r="2247" spans="1:9" x14ac:dyDescent="0.3">
      <c r="A2247">
        <f>LOOKUP(9E+307,--MID(D2247,1,{1,2,3,4,5}))</f>
        <v>10</v>
      </c>
      <c r="B2247">
        <f>VLOOKUP(MID(D2247,LOOKUP(2,1/ISNUMBER(-MID(D2247,1,{1,2,3,4,5})),{1,2,3,4,5})+1,9),'Hue codes'!$A$1:$B$10,2,FALSE)</f>
        <v>80</v>
      </c>
      <c r="C2247">
        <f t="shared" si="35"/>
        <v>90</v>
      </c>
      <c r="D2247" t="s">
        <v>56</v>
      </c>
      <c r="E2247">
        <v>7</v>
      </c>
      <c r="F2247">
        <v>16</v>
      </c>
      <c r="G2247">
        <v>0.33679999999999999</v>
      </c>
      <c r="H2247">
        <v>0.21920000000000001</v>
      </c>
      <c r="I2247">
        <v>43.06</v>
      </c>
    </row>
    <row r="2248" spans="1:9" x14ac:dyDescent="0.3">
      <c r="A2248">
        <f>LOOKUP(9E+307,--MID(D2248,1,{1,2,3,4,5}))</f>
        <v>10</v>
      </c>
      <c r="B2248">
        <f>VLOOKUP(MID(D2248,LOOKUP(2,1/ISNUMBER(-MID(D2248,1,{1,2,3,4,5})),{1,2,3,4,5})+1,9),'Hue codes'!$A$1:$B$10,2,FALSE)</f>
        <v>80</v>
      </c>
      <c r="C2248">
        <f t="shared" si="35"/>
        <v>90</v>
      </c>
      <c r="D2248" t="s">
        <v>56</v>
      </c>
      <c r="E2248">
        <v>7</v>
      </c>
      <c r="F2248">
        <v>18</v>
      </c>
      <c r="G2248">
        <v>0.33910000000000001</v>
      </c>
      <c r="H2248">
        <v>0.20880000000000001</v>
      </c>
      <c r="I2248">
        <v>43.06</v>
      </c>
    </row>
    <row r="2249" spans="1:9" x14ac:dyDescent="0.3">
      <c r="A2249">
        <f>LOOKUP(9E+307,--MID(D2249,1,{1,2,3,4,5}))</f>
        <v>10</v>
      </c>
      <c r="B2249">
        <f>VLOOKUP(MID(D2249,LOOKUP(2,1/ISNUMBER(-MID(D2249,1,{1,2,3,4,5})),{1,2,3,4,5})+1,9),'Hue codes'!$A$1:$B$10,2,FALSE)</f>
        <v>80</v>
      </c>
      <c r="C2249">
        <f t="shared" si="35"/>
        <v>90</v>
      </c>
      <c r="D2249" t="s">
        <v>56</v>
      </c>
      <c r="E2249">
        <v>7</v>
      </c>
      <c r="F2249">
        <v>20</v>
      </c>
      <c r="G2249">
        <v>0.34100000000000003</v>
      </c>
      <c r="H2249">
        <v>0.1988</v>
      </c>
      <c r="I2249">
        <v>43.06</v>
      </c>
    </row>
    <row r="2250" spans="1:9" x14ac:dyDescent="0.3">
      <c r="A2250">
        <f>LOOKUP(9E+307,--MID(D2250,1,{1,2,3,4,5}))</f>
        <v>10</v>
      </c>
      <c r="B2250">
        <f>VLOOKUP(MID(D2250,LOOKUP(2,1/ISNUMBER(-MID(D2250,1,{1,2,3,4,5})),{1,2,3,4,5})+1,9),'Hue codes'!$A$1:$B$10,2,FALSE)</f>
        <v>80</v>
      </c>
      <c r="C2250">
        <f t="shared" si="35"/>
        <v>90</v>
      </c>
      <c r="D2250" t="s">
        <v>56</v>
      </c>
      <c r="E2250">
        <v>7</v>
      </c>
      <c r="F2250">
        <v>22</v>
      </c>
      <c r="G2250">
        <v>0.34300000000000003</v>
      </c>
      <c r="H2250">
        <v>0.1883</v>
      </c>
      <c r="I2250">
        <v>43.06</v>
      </c>
    </row>
    <row r="2251" spans="1:9" x14ac:dyDescent="0.3">
      <c r="A2251">
        <f>LOOKUP(9E+307,--MID(D2251,1,{1,2,3,4,5}))</f>
        <v>2.5</v>
      </c>
      <c r="B2251">
        <f>VLOOKUP(MID(D2251,LOOKUP(2,1/ISNUMBER(-MID(D2251,1,{1,2,3,4,5})),{1,2,3,4,5})+1,9),'Hue codes'!$A$1:$B$10,2,FALSE)</f>
        <v>90</v>
      </c>
      <c r="C2251">
        <f t="shared" si="35"/>
        <v>92.5</v>
      </c>
      <c r="D2251" t="s">
        <v>57</v>
      </c>
      <c r="E2251">
        <v>7</v>
      </c>
      <c r="F2251">
        <v>2</v>
      </c>
      <c r="G2251">
        <v>0.317</v>
      </c>
      <c r="H2251">
        <v>0.30759999999999998</v>
      </c>
      <c r="I2251">
        <v>43.06</v>
      </c>
    </row>
    <row r="2252" spans="1:9" x14ac:dyDescent="0.3">
      <c r="A2252">
        <f>LOOKUP(9E+307,--MID(D2252,1,{1,2,3,4,5}))</f>
        <v>2.5</v>
      </c>
      <c r="B2252">
        <f>VLOOKUP(MID(D2252,LOOKUP(2,1/ISNUMBER(-MID(D2252,1,{1,2,3,4,5})),{1,2,3,4,5})+1,9),'Hue codes'!$A$1:$B$10,2,FALSE)</f>
        <v>90</v>
      </c>
      <c r="C2252">
        <f t="shared" si="35"/>
        <v>92.5</v>
      </c>
      <c r="D2252" t="s">
        <v>57</v>
      </c>
      <c r="E2252">
        <v>7</v>
      </c>
      <c r="F2252">
        <v>4</v>
      </c>
      <c r="G2252">
        <v>0.32540000000000002</v>
      </c>
      <c r="H2252">
        <v>0.29709999999999998</v>
      </c>
      <c r="I2252">
        <v>43.06</v>
      </c>
    </row>
    <row r="2253" spans="1:9" x14ac:dyDescent="0.3">
      <c r="A2253">
        <f>LOOKUP(9E+307,--MID(D2253,1,{1,2,3,4,5}))</f>
        <v>2.5</v>
      </c>
      <c r="B2253">
        <f>VLOOKUP(MID(D2253,LOOKUP(2,1/ISNUMBER(-MID(D2253,1,{1,2,3,4,5})),{1,2,3,4,5})+1,9),'Hue codes'!$A$1:$B$10,2,FALSE)</f>
        <v>90</v>
      </c>
      <c r="C2253">
        <f t="shared" si="35"/>
        <v>92.5</v>
      </c>
      <c r="D2253" t="s">
        <v>57</v>
      </c>
      <c r="E2253">
        <v>7</v>
      </c>
      <c r="F2253">
        <v>6</v>
      </c>
      <c r="G2253">
        <v>0.33379999999999999</v>
      </c>
      <c r="H2253">
        <v>0.28539999999999999</v>
      </c>
      <c r="I2253">
        <v>43.06</v>
      </c>
    </row>
    <row r="2254" spans="1:9" x14ac:dyDescent="0.3">
      <c r="A2254">
        <f>LOOKUP(9E+307,--MID(D2254,1,{1,2,3,4,5}))</f>
        <v>2.5</v>
      </c>
      <c r="B2254">
        <f>VLOOKUP(MID(D2254,LOOKUP(2,1/ISNUMBER(-MID(D2254,1,{1,2,3,4,5})),{1,2,3,4,5})+1,9),'Hue codes'!$A$1:$B$10,2,FALSE)</f>
        <v>90</v>
      </c>
      <c r="C2254">
        <f t="shared" si="35"/>
        <v>92.5</v>
      </c>
      <c r="D2254" t="s">
        <v>57</v>
      </c>
      <c r="E2254">
        <v>7</v>
      </c>
      <c r="F2254">
        <v>8</v>
      </c>
      <c r="G2254">
        <v>0.3417</v>
      </c>
      <c r="H2254">
        <v>0.27450000000000002</v>
      </c>
      <c r="I2254">
        <v>43.06</v>
      </c>
    </row>
    <row r="2255" spans="1:9" x14ac:dyDescent="0.3">
      <c r="A2255">
        <f>LOOKUP(9E+307,--MID(D2255,1,{1,2,3,4,5}))</f>
        <v>2.5</v>
      </c>
      <c r="B2255">
        <f>VLOOKUP(MID(D2255,LOOKUP(2,1/ISNUMBER(-MID(D2255,1,{1,2,3,4,5})),{1,2,3,4,5})+1,9),'Hue codes'!$A$1:$B$10,2,FALSE)</f>
        <v>90</v>
      </c>
      <c r="C2255">
        <f t="shared" si="35"/>
        <v>92.5</v>
      </c>
      <c r="D2255" t="s">
        <v>57</v>
      </c>
      <c r="E2255">
        <v>7</v>
      </c>
      <c r="F2255">
        <v>10</v>
      </c>
      <c r="G2255">
        <v>0.34870000000000001</v>
      </c>
      <c r="H2255">
        <v>0.26479999999999998</v>
      </c>
      <c r="I2255">
        <v>43.06</v>
      </c>
    </row>
    <row r="2256" spans="1:9" x14ac:dyDescent="0.3">
      <c r="A2256">
        <f>LOOKUP(9E+307,--MID(D2256,1,{1,2,3,4,5}))</f>
        <v>2.5</v>
      </c>
      <c r="B2256">
        <f>VLOOKUP(MID(D2256,LOOKUP(2,1/ISNUMBER(-MID(D2256,1,{1,2,3,4,5})),{1,2,3,4,5})+1,9),'Hue codes'!$A$1:$B$10,2,FALSE)</f>
        <v>90</v>
      </c>
      <c r="C2256">
        <f t="shared" si="35"/>
        <v>92.5</v>
      </c>
      <c r="D2256" t="s">
        <v>57</v>
      </c>
      <c r="E2256">
        <v>7</v>
      </c>
      <c r="F2256">
        <v>12</v>
      </c>
      <c r="G2256">
        <v>0.35549999999999998</v>
      </c>
      <c r="H2256">
        <v>0.2545</v>
      </c>
      <c r="I2256">
        <v>43.06</v>
      </c>
    </row>
    <row r="2257" spans="1:9" x14ac:dyDescent="0.3">
      <c r="A2257">
        <f>LOOKUP(9E+307,--MID(D2257,1,{1,2,3,4,5}))</f>
        <v>2.5</v>
      </c>
      <c r="B2257">
        <f>VLOOKUP(MID(D2257,LOOKUP(2,1/ISNUMBER(-MID(D2257,1,{1,2,3,4,5})),{1,2,3,4,5})+1,9),'Hue codes'!$A$1:$B$10,2,FALSE)</f>
        <v>90</v>
      </c>
      <c r="C2257">
        <f t="shared" si="35"/>
        <v>92.5</v>
      </c>
      <c r="D2257" t="s">
        <v>57</v>
      </c>
      <c r="E2257">
        <v>7</v>
      </c>
      <c r="F2257">
        <v>14</v>
      </c>
      <c r="G2257">
        <v>0.36199999999999999</v>
      </c>
      <c r="H2257">
        <v>0.24479999999999999</v>
      </c>
      <c r="I2257">
        <v>43.06</v>
      </c>
    </row>
    <row r="2258" spans="1:9" x14ac:dyDescent="0.3">
      <c r="A2258">
        <f>LOOKUP(9E+307,--MID(D2258,1,{1,2,3,4,5}))</f>
        <v>2.5</v>
      </c>
      <c r="B2258">
        <f>VLOOKUP(MID(D2258,LOOKUP(2,1/ISNUMBER(-MID(D2258,1,{1,2,3,4,5})),{1,2,3,4,5})+1,9),'Hue codes'!$A$1:$B$10,2,FALSE)</f>
        <v>90</v>
      </c>
      <c r="C2258">
        <f t="shared" si="35"/>
        <v>92.5</v>
      </c>
      <c r="D2258" t="s">
        <v>57</v>
      </c>
      <c r="E2258">
        <v>7</v>
      </c>
      <c r="F2258">
        <v>16</v>
      </c>
      <c r="G2258">
        <v>0.36880000000000002</v>
      </c>
      <c r="H2258">
        <v>0.23419999999999999</v>
      </c>
      <c r="I2258">
        <v>43.06</v>
      </c>
    </row>
    <row r="2259" spans="1:9" x14ac:dyDescent="0.3">
      <c r="A2259">
        <f>LOOKUP(9E+307,--MID(D2259,1,{1,2,3,4,5}))</f>
        <v>2.5</v>
      </c>
      <c r="B2259">
        <f>VLOOKUP(MID(D2259,LOOKUP(2,1/ISNUMBER(-MID(D2259,1,{1,2,3,4,5})),{1,2,3,4,5})+1,9),'Hue codes'!$A$1:$B$10,2,FALSE)</f>
        <v>90</v>
      </c>
      <c r="C2259">
        <f t="shared" si="35"/>
        <v>92.5</v>
      </c>
      <c r="D2259" t="s">
        <v>57</v>
      </c>
      <c r="E2259">
        <v>7</v>
      </c>
      <c r="F2259">
        <v>18</v>
      </c>
      <c r="G2259">
        <v>0.37509999999999999</v>
      </c>
      <c r="H2259">
        <v>0.22409999999999999</v>
      </c>
      <c r="I2259">
        <v>43.06</v>
      </c>
    </row>
    <row r="2260" spans="1:9" x14ac:dyDescent="0.3">
      <c r="A2260">
        <f>LOOKUP(9E+307,--MID(D2260,1,{1,2,3,4,5}))</f>
        <v>2.5</v>
      </c>
      <c r="B2260">
        <f>VLOOKUP(MID(D2260,LOOKUP(2,1/ISNUMBER(-MID(D2260,1,{1,2,3,4,5})),{1,2,3,4,5})+1,9),'Hue codes'!$A$1:$B$10,2,FALSE)</f>
        <v>90</v>
      </c>
      <c r="C2260">
        <f t="shared" si="35"/>
        <v>92.5</v>
      </c>
      <c r="D2260" t="s">
        <v>57</v>
      </c>
      <c r="E2260">
        <v>7</v>
      </c>
      <c r="F2260">
        <v>20</v>
      </c>
      <c r="G2260">
        <v>0.38109999999999999</v>
      </c>
      <c r="H2260">
        <v>0.21429999999999999</v>
      </c>
      <c r="I2260">
        <v>43.06</v>
      </c>
    </row>
    <row r="2261" spans="1:9" x14ac:dyDescent="0.3">
      <c r="A2261">
        <f>LOOKUP(9E+307,--MID(D2261,1,{1,2,3,4,5}))</f>
        <v>5</v>
      </c>
      <c r="B2261">
        <f>VLOOKUP(MID(D2261,LOOKUP(2,1/ISNUMBER(-MID(D2261,1,{1,2,3,4,5})),{1,2,3,4,5})+1,9),'Hue codes'!$A$1:$B$10,2,FALSE)</f>
        <v>90</v>
      </c>
      <c r="C2261">
        <f t="shared" si="35"/>
        <v>95</v>
      </c>
      <c r="D2261" t="s">
        <v>58</v>
      </c>
      <c r="E2261">
        <v>7</v>
      </c>
      <c r="F2261">
        <v>2</v>
      </c>
      <c r="G2261">
        <v>0.3206</v>
      </c>
      <c r="H2261">
        <v>0.31040000000000001</v>
      </c>
      <c r="I2261">
        <v>43.06</v>
      </c>
    </row>
    <row r="2262" spans="1:9" x14ac:dyDescent="0.3">
      <c r="A2262">
        <f>LOOKUP(9E+307,--MID(D2262,1,{1,2,3,4,5}))</f>
        <v>5</v>
      </c>
      <c r="B2262">
        <f>VLOOKUP(MID(D2262,LOOKUP(2,1/ISNUMBER(-MID(D2262,1,{1,2,3,4,5})),{1,2,3,4,5})+1,9),'Hue codes'!$A$1:$B$10,2,FALSE)</f>
        <v>90</v>
      </c>
      <c r="C2262">
        <f t="shared" si="35"/>
        <v>95</v>
      </c>
      <c r="D2262" t="s">
        <v>58</v>
      </c>
      <c r="E2262">
        <v>7</v>
      </c>
      <c r="F2262">
        <v>4</v>
      </c>
      <c r="G2262">
        <v>0.3332</v>
      </c>
      <c r="H2262">
        <v>0.30320000000000003</v>
      </c>
      <c r="I2262">
        <v>43.06</v>
      </c>
    </row>
    <row r="2263" spans="1:9" x14ac:dyDescent="0.3">
      <c r="A2263">
        <f>LOOKUP(9E+307,--MID(D2263,1,{1,2,3,4,5}))</f>
        <v>5</v>
      </c>
      <c r="B2263">
        <f>VLOOKUP(MID(D2263,LOOKUP(2,1/ISNUMBER(-MID(D2263,1,{1,2,3,4,5})),{1,2,3,4,5})+1,9),'Hue codes'!$A$1:$B$10,2,FALSE)</f>
        <v>90</v>
      </c>
      <c r="C2263">
        <f t="shared" si="35"/>
        <v>95</v>
      </c>
      <c r="D2263" t="s">
        <v>58</v>
      </c>
      <c r="E2263">
        <v>7</v>
      </c>
      <c r="F2263">
        <v>6</v>
      </c>
      <c r="G2263">
        <v>0.34699999999999998</v>
      </c>
      <c r="H2263">
        <v>0.2949</v>
      </c>
      <c r="I2263">
        <v>43.06</v>
      </c>
    </row>
    <row r="2264" spans="1:9" x14ac:dyDescent="0.3">
      <c r="A2264">
        <f>LOOKUP(9E+307,--MID(D2264,1,{1,2,3,4,5}))</f>
        <v>5</v>
      </c>
      <c r="B2264">
        <f>VLOOKUP(MID(D2264,LOOKUP(2,1/ISNUMBER(-MID(D2264,1,{1,2,3,4,5})),{1,2,3,4,5})+1,9),'Hue codes'!$A$1:$B$10,2,FALSE)</f>
        <v>90</v>
      </c>
      <c r="C2264">
        <f t="shared" si="35"/>
        <v>95</v>
      </c>
      <c r="D2264" t="s">
        <v>58</v>
      </c>
      <c r="E2264">
        <v>7</v>
      </c>
      <c r="F2264">
        <v>8</v>
      </c>
      <c r="G2264">
        <v>0.36030000000000001</v>
      </c>
      <c r="H2264">
        <v>0.28689999999999999</v>
      </c>
      <c r="I2264">
        <v>43.06</v>
      </c>
    </row>
    <row r="2265" spans="1:9" x14ac:dyDescent="0.3">
      <c r="A2265">
        <f>LOOKUP(9E+307,--MID(D2265,1,{1,2,3,4,5}))</f>
        <v>5</v>
      </c>
      <c r="B2265">
        <f>VLOOKUP(MID(D2265,LOOKUP(2,1/ISNUMBER(-MID(D2265,1,{1,2,3,4,5})),{1,2,3,4,5})+1,9),'Hue codes'!$A$1:$B$10,2,FALSE)</f>
        <v>90</v>
      </c>
      <c r="C2265">
        <f t="shared" si="35"/>
        <v>95</v>
      </c>
      <c r="D2265" t="s">
        <v>58</v>
      </c>
      <c r="E2265">
        <v>7</v>
      </c>
      <c r="F2265">
        <v>10</v>
      </c>
      <c r="G2265">
        <v>0.37130000000000002</v>
      </c>
      <c r="H2265">
        <v>0.27979999999999999</v>
      </c>
      <c r="I2265">
        <v>43.06</v>
      </c>
    </row>
    <row r="2266" spans="1:9" x14ac:dyDescent="0.3">
      <c r="A2266">
        <f>LOOKUP(9E+307,--MID(D2266,1,{1,2,3,4,5}))</f>
        <v>5</v>
      </c>
      <c r="B2266">
        <f>VLOOKUP(MID(D2266,LOOKUP(2,1/ISNUMBER(-MID(D2266,1,{1,2,3,4,5})),{1,2,3,4,5})+1,9),'Hue codes'!$A$1:$B$10,2,FALSE)</f>
        <v>90</v>
      </c>
      <c r="C2266">
        <f t="shared" si="35"/>
        <v>95</v>
      </c>
      <c r="D2266" t="s">
        <v>58</v>
      </c>
      <c r="E2266">
        <v>7</v>
      </c>
      <c r="F2266">
        <v>12</v>
      </c>
      <c r="G2266">
        <v>0.3841</v>
      </c>
      <c r="H2266">
        <v>0.27100000000000002</v>
      </c>
      <c r="I2266">
        <v>43.06</v>
      </c>
    </row>
    <row r="2267" spans="1:9" x14ac:dyDescent="0.3">
      <c r="A2267">
        <f>LOOKUP(9E+307,--MID(D2267,1,{1,2,3,4,5}))</f>
        <v>5</v>
      </c>
      <c r="B2267">
        <f>VLOOKUP(MID(D2267,LOOKUP(2,1/ISNUMBER(-MID(D2267,1,{1,2,3,4,5})),{1,2,3,4,5})+1,9),'Hue codes'!$A$1:$B$10,2,FALSE)</f>
        <v>90</v>
      </c>
      <c r="C2267">
        <f t="shared" si="35"/>
        <v>95</v>
      </c>
      <c r="D2267" t="s">
        <v>58</v>
      </c>
      <c r="E2267">
        <v>7</v>
      </c>
      <c r="F2267">
        <v>14</v>
      </c>
      <c r="G2267">
        <v>0.39579999999999999</v>
      </c>
      <c r="H2267">
        <v>0.26279999999999998</v>
      </c>
      <c r="I2267">
        <v>43.06</v>
      </c>
    </row>
    <row r="2268" spans="1:9" x14ac:dyDescent="0.3">
      <c r="A2268">
        <f>LOOKUP(9E+307,--MID(D2268,1,{1,2,3,4,5}))</f>
        <v>5</v>
      </c>
      <c r="B2268">
        <f>VLOOKUP(MID(D2268,LOOKUP(2,1/ISNUMBER(-MID(D2268,1,{1,2,3,4,5})),{1,2,3,4,5})+1,9),'Hue codes'!$A$1:$B$10,2,FALSE)</f>
        <v>90</v>
      </c>
      <c r="C2268">
        <f t="shared" si="35"/>
        <v>95</v>
      </c>
      <c r="D2268" t="s">
        <v>58</v>
      </c>
      <c r="E2268">
        <v>7</v>
      </c>
      <c r="F2268">
        <v>16</v>
      </c>
      <c r="G2268">
        <v>0.40760000000000002</v>
      </c>
      <c r="H2268">
        <v>0.254</v>
      </c>
      <c r="I2268">
        <v>43.06</v>
      </c>
    </row>
    <row r="2269" spans="1:9" x14ac:dyDescent="0.3">
      <c r="A2269">
        <f>LOOKUP(9E+307,--MID(D2269,1,{1,2,3,4,5}))</f>
        <v>5</v>
      </c>
      <c r="B2269">
        <f>VLOOKUP(MID(D2269,LOOKUP(2,1/ISNUMBER(-MID(D2269,1,{1,2,3,4,5})),{1,2,3,4,5})+1,9),'Hue codes'!$A$1:$B$10,2,FALSE)</f>
        <v>90</v>
      </c>
      <c r="C2269">
        <f t="shared" si="35"/>
        <v>95</v>
      </c>
      <c r="D2269" t="s">
        <v>58</v>
      </c>
      <c r="E2269">
        <v>7</v>
      </c>
      <c r="F2269">
        <v>18</v>
      </c>
      <c r="G2269">
        <v>0.41860000000000003</v>
      </c>
      <c r="H2269">
        <v>0.24590000000000001</v>
      </c>
      <c r="I2269">
        <v>43.06</v>
      </c>
    </row>
    <row r="2270" spans="1:9" x14ac:dyDescent="0.3">
      <c r="A2270">
        <f>LOOKUP(9E+307,--MID(D2270,1,{1,2,3,4,5}))</f>
        <v>7.5</v>
      </c>
      <c r="B2270">
        <f>VLOOKUP(MID(D2270,LOOKUP(2,1/ISNUMBER(-MID(D2270,1,{1,2,3,4,5})),{1,2,3,4,5})+1,9),'Hue codes'!$A$1:$B$10,2,FALSE)</f>
        <v>90</v>
      </c>
      <c r="C2270">
        <f t="shared" si="35"/>
        <v>97.5</v>
      </c>
      <c r="D2270" t="s">
        <v>59</v>
      </c>
      <c r="E2270">
        <v>7</v>
      </c>
      <c r="F2270">
        <v>2</v>
      </c>
      <c r="G2270">
        <v>0.32319999999999999</v>
      </c>
      <c r="H2270">
        <v>0.3125</v>
      </c>
      <c r="I2270">
        <v>43.06</v>
      </c>
    </row>
    <row r="2271" spans="1:9" x14ac:dyDescent="0.3">
      <c r="A2271">
        <f>LOOKUP(9E+307,--MID(D2271,1,{1,2,3,4,5}))</f>
        <v>7.5</v>
      </c>
      <c r="B2271">
        <f>VLOOKUP(MID(D2271,LOOKUP(2,1/ISNUMBER(-MID(D2271,1,{1,2,3,4,5})),{1,2,3,4,5})+1,9),'Hue codes'!$A$1:$B$10,2,FALSE)</f>
        <v>90</v>
      </c>
      <c r="C2271">
        <f t="shared" si="35"/>
        <v>97.5</v>
      </c>
      <c r="D2271" t="s">
        <v>59</v>
      </c>
      <c r="E2271">
        <v>7</v>
      </c>
      <c r="F2271">
        <v>4</v>
      </c>
      <c r="G2271">
        <v>0.33889999999999998</v>
      </c>
      <c r="H2271">
        <v>0.30790000000000001</v>
      </c>
      <c r="I2271">
        <v>43.06</v>
      </c>
    </row>
    <row r="2272" spans="1:9" x14ac:dyDescent="0.3">
      <c r="A2272">
        <f>LOOKUP(9E+307,--MID(D2272,1,{1,2,3,4,5}))</f>
        <v>7.5</v>
      </c>
      <c r="B2272">
        <f>VLOOKUP(MID(D2272,LOOKUP(2,1/ISNUMBER(-MID(D2272,1,{1,2,3,4,5})),{1,2,3,4,5})+1,9),'Hue codes'!$A$1:$B$10,2,FALSE)</f>
        <v>90</v>
      </c>
      <c r="C2272">
        <f t="shared" si="35"/>
        <v>97.5</v>
      </c>
      <c r="D2272" t="s">
        <v>59</v>
      </c>
      <c r="E2272">
        <v>7</v>
      </c>
      <c r="F2272">
        <v>6</v>
      </c>
      <c r="G2272">
        <v>0.35620000000000002</v>
      </c>
      <c r="H2272">
        <v>0.30220000000000002</v>
      </c>
      <c r="I2272">
        <v>43.06</v>
      </c>
    </row>
    <row r="2273" spans="1:9" x14ac:dyDescent="0.3">
      <c r="A2273">
        <f>LOOKUP(9E+307,--MID(D2273,1,{1,2,3,4,5}))</f>
        <v>7.5</v>
      </c>
      <c r="B2273">
        <f>VLOOKUP(MID(D2273,LOOKUP(2,1/ISNUMBER(-MID(D2273,1,{1,2,3,4,5})),{1,2,3,4,5})+1,9),'Hue codes'!$A$1:$B$10,2,FALSE)</f>
        <v>90</v>
      </c>
      <c r="C2273">
        <f t="shared" si="35"/>
        <v>97.5</v>
      </c>
      <c r="D2273" t="s">
        <v>59</v>
      </c>
      <c r="E2273">
        <v>7</v>
      </c>
      <c r="F2273">
        <v>8</v>
      </c>
      <c r="G2273">
        <v>0.37219999999999998</v>
      </c>
      <c r="H2273">
        <v>0.29630000000000001</v>
      </c>
      <c r="I2273">
        <v>43.06</v>
      </c>
    </row>
    <row r="2274" spans="1:9" x14ac:dyDescent="0.3">
      <c r="A2274">
        <f>LOOKUP(9E+307,--MID(D2274,1,{1,2,3,4,5}))</f>
        <v>7.5</v>
      </c>
      <c r="B2274">
        <f>VLOOKUP(MID(D2274,LOOKUP(2,1/ISNUMBER(-MID(D2274,1,{1,2,3,4,5})),{1,2,3,4,5})+1,9),'Hue codes'!$A$1:$B$10,2,FALSE)</f>
        <v>90</v>
      </c>
      <c r="C2274">
        <f t="shared" si="35"/>
        <v>97.5</v>
      </c>
      <c r="D2274" t="s">
        <v>59</v>
      </c>
      <c r="E2274">
        <v>7</v>
      </c>
      <c r="F2274">
        <v>10</v>
      </c>
      <c r="G2274">
        <v>0.3871</v>
      </c>
      <c r="H2274">
        <v>0.29060000000000002</v>
      </c>
      <c r="I2274">
        <v>43.06</v>
      </c>
    </row>
    <row r="2275" spans="1:9" x14ac:dyDescent="0.3">
      <c r="A2275">
        <f>LOOKUP(9E+307,--MID(D2275,1,{1,2,3,4,5}))</f>
        <v>7.5</v>
      </c>
      <c r="B2275">
        <f>VLOOKUP(MID(D2275,LOOKUP(2,1/ISNUMBER(-MID(D2275,1,{1,2,3,4,5})),{1,2,3,4,5})+1,9),'Hue codes'!$A$1:$B$10,2,FALSE)</f>
        <v>90</v>
      </c>
      <c r="C2275">
        <f t="shared" si="35"/>
        <v>97.5</v>
      </c>
      <c r="D2275" t="s">
        <v>59</v>
      </c>
      <c r="E2275">
        <v>7</v>
      </c>
      <c r="F2275">
        <v>12</v>
      </c>
      <c r="G2275">
        <v>0.40400000000000003</v>
      </c>
      <c r="H2275">
        <v>0.28339999999999999</v>
      </c>
      <c r="I2275">
        <v>43.06</v>
      </c>
    </row>
    <row r="2276" spans="1:9" x14ac:dyDescent="0.3">
      <c r="A2276">
        <f>LOOKUP(9E+307,--MID(D2276,1,{1,2,3,4,5}))</f>
        <v>7.5</v>
      </c>
      <c r="B2276">
        <f>VLOOKUP(MID(D2276,LOOKUP(2,1/ISNUMBER(-MID(D2276,1,{1,2,3,4,5})),{1,2,3,4,5})+1,9),'Hue codes'!$A$1:$B$10,2,FALSE)</f>
        <v>90</v>
      </c>
      <c r="C2276">
        <f t="shared" si="35"/>
        <v>97.5</v>
      </c>
      <c r="D2276" t="s">
        <v>59</v>
      </c>
      <c r="E2276">
        <v>7</v>
      </c>
      <c r="F2276">
        <v>14</v>
      </c>
      <c r="G2276">
        <v>0.41949999999999998</v>
      </c>
      <c r="H2276">
        <v>0.2762</v>
      </c>
      <c r="I2276">
        <v>43.06</v>
      </c>
    </row>
    <row r="2277" spans="1:9" x14ac:dyDescent="0.3">
      <c r="A2277">
        <f>LOOKUP(9E+307,--MID(D2277,1,{1,2,3,4,5}))</f>
        <v>7.5</v>
      </c>
      <c r="B2277">
        <f>VLOOKUP(MID(D2277,LOOKUP(2,1/ISNUMBER(-MID(D2277,1,{1,2,3,4,5})),{1,2,3,4,5})+1,9),'Hue codes'!$A$1:$B$10,2,FALSE)</f>
        <v>90</v>
      </c>
      <c r="C2277">
        <f t="shared" si="35"/>
        <v>97.5</v>
      </c>
      <c r="D2277" t="s">
        <v>59</v>
      </c>
      <c r="E2277">
        <v>7</v>
      </c>
      <c r="F2277">
        <v>16</v>
      </c>
      <c r="G2277">
        <v>0.43459999999999999</v>
      </c>
      <c r="H2277">
        <v>0.26889999999999997</v>
      </c>
      <c r="I2277">
        <v>43.06</v>
      </c>
    </row>
    <row r="2278" spans="1:9" x14ac:dyDescent="0.3">
      <c r="A2278">
        <f>LOOKUP(9E+307,--MID(D2278,1,{1,2,3,4,5}))</f>
        <v>10</v>
      </c>
      <c r="B2278">
        <f>VLOOKUP(MID(D2278,LOOKUP(2,1/ISNUMBER(-MID(D2278,1,{1,2,3,4,5})),{1,2,3,4,5})+1,9),'Hue codes'!$A$1:$B$10,2,FALSE)</f>
        <v>90</v>
      </c>
      <c r="C2278">
        <f t="shared" si="35"/>
        <v>0</v>
      </c>
      <c r="D2278" t="s">
        <v>20</v>
      </c>
      <c r="E2278">
        <v>8</v>
      </c>
      <c r="F2278">
        <v>2</v>
      </c>
      <c r="G2278">
        <v>0.32179999999999997</v>
      </c>
      <c r="H2278">
        <v>0.31519999999999998</v>
      </c>
      <c r="I2278">
        <v>59.1</v>
      </c>
    </row>
    <row r="2279" spans="1:9" x14ac:dyDescent="0.3">
      <c r="A2279">
        <f>LOOKUP(9E+307,--MID(D2279,1,{1,2,3,4,5}))</f>
        <v>10</v>
      </c>
      <c r="B2279">
        <f>VLOOKUP(MID(D2279,LOOKUP(2,1/ISNUMBER(-MID(D2279,1,{1,2,3,4,5})),{1,2,3,4,5})+1,9),'Hue codes'!$A$1:$B$10,2,FALSE)</f>
        <v>90</v>
      </c>
      <c r="C2279">
        <f t="shared" si="35"/>
        <v>0</v>
      </c>
      <c r="D2279" t="s">
        <v>20</v>
      </c>
      <c r="E2279">
        <v>8</v>
      </c>
      <c r="F2279">
        <v>4</v>
      </c>
      <c r="G2279">
        <v>0.3412</v>
      </c>
      <c r="H2279">
        <v>0.3135</v>
      </c>
      <c r="I2279">
        <v>59.1</v>
      </c>
    </row>
    <row r="2280" spans="1:9" x14ac:dyDescent="0.3">
      <c r="A2280">
        <f>LOOKUP(9E+307,--MID(D2280,1,{1,2,3,4,5}))</f>
        <v>10</v>
      </c>
      <c r="B2280">
        <f>VLOOKUP(MID(D2280,LOOKUP(2,1/ISNUMBER(-MID(D2280,1,{1,2,3,4,5})),{1,2,3,4,5})+1,9),'Hue codes'!$A$1:$B$10,2,FALSE)</f>
        <v>90</v>
      </c>
      <c r="C2280">
        <f t="shared" si="35"/>
        <v>0</v>
      </c>
      <c r="D2280" t="s">
        <v>20</v>
      </c>
      <c r="E2280">
        <v>8</v>
      </c>
      <c r="F2280">
        <v>6</v>
      </c>
      <c r="G2280">
        <v>0.36</v>
      </c>
      <c r="H2280">
        <v>0.31119999999999998</v>
      </c>
      <c r="I2280">
        <v>59.1</v>
      </c>
    </row>
    <row r="2281" spans="1:9" x14ac:dyDescent="0.3">
      <c r="A2281">
        <f>LOOKUP(9E+307,--MID(D2281,1,{1,2,3,4,5}))</f>
        <v>10</v>
      </c>
      <c r="B2281">
        <f>VLOOKUP(MID(D2281,LOOKUP(2,1/ISNUMBER(-MID(D2281,1,{1,2,3,4,5})),{1,2,3,4,5})+1,9),'Hue codes'!$A$1:$B$10,2,FALSE)</f>
        <v>90</v>
      </c>
      <c r="C2281">
        <f t="shared" si="35"/>
        <v>0</v>
      </c>
      <c r="D2281" t="s">
        <v>20</v>
      </c>
      <c r="E2281">
        <v>8</v>
      </c>
      <c r="F2281">
        <v>8</v>
      </c>
      <c r="G2281">
        <v>0.38</v>
      </c>
      <c r="H2281">
        <v>0.30819999999999997</v>
      </c>
      <c r="I2281">
        <v>59.1</v>
      </c>
    </row>
    <row r="2282" spans="1:9" x14ac:dyDescent="0.3">
      <c r="A2282">
        <f>LOOKUP(9E+307,--MID(D2282,1,{1,2,3,4,5}))</f>
        <v>10</v>
      </c>
      <c r="B2282">
        <f>VLOOKUP(MID(D2282,LOOKUP(2,1/ISNUMBER(-MID(D2282,1,{1,2,3,4,5})),{1,2,3,4,5})+1,9),'Hue codes'!$A$1:$B$10,2,FALSE)</f>
        <v>90</v>
      </c>
      <c r="C2282">
        <f t="shared" si="35"/>
        <v>0</v>
      </c>
      <c r="D2282" t="s">
        <v>20</v>
      </c>
      <c r="E2282">
        <v>8</v>
      </c>
      <c r="F2282">
        <v>10</v>
      </c>
      <c r="G2282">
        <v>0.39829999999999999</v>
      </c>
      <c r="H2282">
        <v>0.3049</v>
      </c>
      <c r="I2282">
        <v>59.1</v>
      </c>
    </row>
    <row r="2283" spans="1:9" x14ac:dyDescent="0.3">
      <c r="A2283">
        <f>LOOKUP(9E+307,--MID(D2283,1,{1,2,3,4,5}))</f>
        <v>2.5</v>
      </c>
      <c r="B2283">
        <f>VLOOKUP(MID(D2283,LOOKUP(2,1/ISNUMBER(-MID(D2283,1,{1,2,3,4,5})),{1,2,3,4,5})+1,9),'Hue codes'!$A$1:$B$10,2,FALSE)</f>
        <v>0</v>
      </c>
      <c r="C2283">
        <f t="shared" si="35"/>
        <v>2.5</v>
      </c>
      <c r="D2283" t="s">
        <v>21</v>
      </c>
      <c r="E2283">
        <v>8</v>
      </c>
      <c r="F2283">
        <v>2</v>
      </c>
      <c r="G2283">
        <v>0.3236</v>
      </c>
      <c r="H2283">
        <v>0.31690000000000002</v>
      </c>
      <c r="I2283">
        <v>59.1</v>
      </c>
    </row>
    <row r="2284" spans="1:9" x14ac:dyDescent="0.3">
      <c r="A2284">
        <f>LOOKUP(9E+307,--MID(D2284,1,{1,2,3,4,5}))</f>
        <v>2.5</v>
      </c>
      <c r="B2284">
        <f>VLOOKUP(MID(D2284,LOOKUP(2,1/ISNUMBER(-MID(D2284,1,{1,2,3,4,5})),{1,2,3,4,5})+1,9),'Hue codes'!$A$1:$B$10,2,FALSE)</f>
        <v>0</v>
      </c>
      <c r="C2284">
        <f t="shared" si="35"/>
        <v>2.5</v>
      </c>
      <c r="D2284" t="s">
        <v>21</v>
      </c>
      <c r="E2284">
        <v>8</v>
      </c>
      <c r="F2284">
        <v>4</v>
      </c>
      <c r="G2284">
        <v>0.34599999999999997</v>
      </c>
      <c r="H2284">
        <v>0.31769999999999998</v>
      </c>
      <c r="I2284">
        <v>59.1</v>
      </c>
    </row>
    <row r="2285" spans="1:9" x14ac:dyDescent="0.3">
      <c r="A2285">
        <f>LOOKUP(9E+307,--MID(D2285,1,{1,2,3,4,5}))</f>
        <v>2.5</v>
      </c>
      <c r="B2285">
        <f>VLOOKUP(MID(D2285,LOOKUP(2,1/ISNUMBER(-MID(D2285,1,{1,2,3,4,5})),{1,2,3,4,5})+1,9),'Hue codes'!$A$1:$B$10,2,FALSE)</f>
        <v>0</v>
      </c>
      <c r="C2285">
        <f t="shared" si="35"/>
        <v>2.5</v>
      </c>
      <c r="D2285" t="s">
        <v>21</v>
      </c>
      <c r="E2285">
        <v>8</v>
      </c>
      <c r="F2285">
        <v>6</v>
      </c>
      <c r="G2285">
        <v>0.36709999999999998</v>
      </c>
      <c r="H2285">
        <v>0.3175</v>
      </c>
      <c r="I2285">
        <v>59.1</v>
      </c>
    </row>
    <row r="2286" spans="1:9" x14ac:dyDescent="0.3">
      <c r="A2286">
        <f>LOOKUP(9E+307,--MID(D2286,1,{1,2,3,4,5}))</f>
        <v>2.5</v>
      </c>
      <c r="B2286">
        <f>VLOOKUP(MID(D2286,LOOKUP(2,1/ISNUMBER(-MID(D2286,1,{1,2,3,4,5})),{1,2,3,4,5})+1,9),'Hue codes'!$A$1:$B$10,2,FALSE)</f>
        <v>0</v>
      </c>
      <c r="C2286">
        <f t="shared" si="35"/>
        <v>2.5</v>
      </c>
      <c r="D2286" t="s">
        <v>21</v>
      </c>
      <c r="E2286">
        <v>8</v>
      </c>
      <c r="F2286">
        <v>8</v>
      </c>
      <c r="G2286">
        <v>0.39</v>
      </c>
      <c r="H2286">
        <v>0.31709999999999999</v>
      </c>
      <c r="I2286">
        <v>59.1</v>
      </c>
    </row>
    <row r="2287" spans="1:9" x14ac:dyDescent="0.3">
      <c r="A2287">
        <f>LOOKUP(9E+307,--MID(D2287,1,{1,2,3,4,5}))</f>
        <v>2.5</v>
      </c>
      <c r="B2287">
        <f>VLOOKUP(MID(D2287,LOOKUP(2,1/ISNUMBER(-MID(D2287,1,{1,2,3,4,5})),{1,2,3,4,5})+1,9),'Hue codes'!$A$1:$B$10,2,FALSE)</f>
        <v>0</v>
      </c>
      <c r="C2287">
        <f t="shared" si="35"/>
        <v>2.5</v>
      </c>
      <c r="D2287" t="s">
        <v>21</v>
      </c>
      <c r="E2287">
        <v>8</v>
      </c>
      <c r="F2287">
        <v>10</v>
      </c>
      <c r="G2287">
        <v>0.41249999999999998</v>
      </c>
      <c r="H2287">
        <v>0.316</v>
      </c>
      <c r="I2287">
        <v>59.1</v>
      </c>
    </row>
    <row r="2288" spans="1:9" x14ac:dyDescent="0.3">
      <c r="A2288">
        <f>LOOKUP(9E+307,--MID(D2288,1,{1,2,3,4,5}))</f>
        <v>5</v>
      </c>
      <c r="B2288">
        <f>VLOOKUP(MID(D2288,LOOKUP(2,1/ISNUMBER(-MID(D2288,1,{1,2,3,4,5})),{1,2,3,4,5})+1,9),'Hue codes'!$A$1:$B$10,2,FALSE)</f>
        <v>0</v>
      </c>
      <c r="C2288">
        <f t="shared" si="35"/>
        <v>5</v>
      </c>
      <c r="D2288" t="s">
        <v>22</v>
      </c>
      <c r="E2288">
        <v>8</v>
      </c>
      <c r="F2288">
        <v>2</v>
      </c>
      <c r="G2288">
        <v>0.32540000000000002</v>
      </c>
      <c r="H2288">
        <v>0.31859999999999999</v>
      </c>
      <c r="I2288">
        <v>59.1</v>
      </c>
    </row>
    <row r="2289" spans="1:9" x14ac:dyDescent="0.3">
      <c r="A2289">
        <f>LOOKUP(9E+307,--MID(D2289,1,{1,2,3,4,5}))</f>
        <v>5</v>
      </c>
      <c r="B2289">
        <f>VLOOKUP(MID(D2289,LOOKUP(2,1/ISNUMBER(-MID(D2289,1,{1,2,3,4,5})),{1,2,3,4,5})+1,9),'Hue codes'!$A$1:$B$10,2,FALSE)</f>
        <v>0</v>
      </c>
      <c r="C2289">
        <f t="shared" si="35"/>
        <v>5</v>
      </c>
      <c r="D2289" t="s">
        <v>22</v>
      </c>
      <c r="E2289">
        <v>8</v>
      </c>
      <c r="F2289">
        <v>4</v>
      </c>
      <c r="G2289">
        <v>0.35099999999999998</v>
      </c>
      <c r="H2289">
        <v>0.32240000000000002</v>
      </c>
      <c r="I2289">
        <v>59.1</v>
      </c>
    </row>
    <row r="2290" spans="1:9" x14ac:dyDescent="0.3">
      <c r="A2290">
        <f>LOOKUP(9E+307,--MID(D2290,1,{1,2,3,4,5}))</f>
        <v>5</v>
      </c>
      <c r="B2290">
        <f>VLOOKUP(MID(D2290,LOOKUP(2,1/ISNUMBER(-MID(D2290,1,{1,2,3,4,5})),{1,2,3,4,5})+1,9),'Hue codes'!$A$1:$B$10,2,FALSE)</f>
        <v>0</v>
      </c>
      <c r="C2290">
        <f t="shared" si="35"/>
        <v>5</v>
      </c>
      <c r="D2290" t="s">
        <v>22</v>
      </c>
      <c r="E2290">
        <v>8</v>
      </c>
      <c r="F2290">
        <v>6</v>
      </c>
      <c r="G2290">
        <v>0.37430000000000002</v>
      </c>
      <c r="H2290">
        <v>0.32479999999999998</v>
      </c>
      <c r="I2290">
        <v>59.1</v>
      </c>
    </row>
    <row r="2291" spans="1:9" x14ac:dyDescent="0.3">
      <c r="A2291">
        <f>LOOKUP(9E+307,--MID(D2291,1,{1,2,3,4,5}))</f>
        <v>5</v>
      </c>
      <c r="B2291">
        <f>VLOOKUP(MID(D2291,LOOKUP(2,1/ISNUMBER(-MID(D2291,1,{1,2,3,4,5})),{1,2,3,4,5})+1,9),'Hue codes'!$A$1:$B$10,2,FALSE)</f>
        <v>0</v>
      </c>
      <c r="C2291">
        <f t="shared" si="35"/>
        <v>5</v>
      </c>
      <c r="D2291" t="s">
        <v>22</v>
      </c>
      <c r="E2291">
        <v>8</v>
      </c>
      <c r="F2291">
        <v>8</v>
      </c>
      <c r="G2291">
        <v>0.40010000000000001</v>
      </c>
      <c r="H2291">
        <v>0.32629999999999998</v>
      </c>
      <c r="I2291">
        <v>59.1</v>
      </c>
    </row>
    <row r="2292" spans="1:9" x14ac:dyDescent="0.3">
      <c r="A2292">
        <f>LOOKUP(9E+307,--MID(D2292,1,{1,2,3,4,5}))</f>
        <v>5</v>
      </c>
      <c r="B2292">
        <f>VLOOKUP(MID(D2292,LOOKUP(2,1/ISNUMBER(-MID(D2292,1,{1,2,3,4,5})),{1,2,3,4,5})+1,9),'Hue codes'!$A$1:$B$10,2,FALSE)</f>
        <v>0</v>
      </c>
      <c r="C2292">
        <f t="shared" si="35"/>
        <v>5</v>
      </c>
      <c r="D2292" t="s">
        <v>22</v>
      </c>
      <c r="E2292">
        <v>8</v>
      </c>
      <c r="F2292">
        <v>10</v>
      </c>
      <c r="G2292">
        <v>0.4249</v>
      </c>
      <c r="H2292">
        <v>0.32700000000000001</v>
      </c>
      <c r="I2292">
        <v>59.1</v>
      </c>
    </row>
    <row r="2293" spans="1:9" x14ac:dyDescent="0.3">
      <c r="A2293">
        <f>LOOKUP(9E+307,--MID(D2293,1,{1,2,3,4,5}))</f>
        <v>7.5</v>
      </c>
      <c r="B2293">
        <f>VLOOKUP(MID(D2293,LOOKUP(2,1/ISNUMBER(-MID(D2293,1,{1,2,3,4,5})),{1,2,3,4,5})+1,9),'Hue codes'!$A$1:$B$10,2,FALSE)</f>
        <v>0</v>
      </c>
      <c r="C2293">
        <f t="shared" si="35"/>
        <v>7.5</v>
      </c>
      <c r="D2293" t="s">
        <v>23</v>
      </c>
      <c r="E2293">
        <v>8</v>
      </c>
      <c r="F2293">
        <v>2</v>
      </c>
      <c r="G2293">
        <v>0.32769999999999999</v>
      </c>
      <c r="H2293">
        <v>0.3211</v>
      </c>
      <c r="I2293">
        <v>59.1</v>
      </c>
    </row>
    <row r="2294" spans="1:9" x14ac:dyDescent="0.3">
      <c r="A2294">
        <f>LOOKUP(9E+307,--MID(D2294,1,{1,2,3,4,5}))</f>
        <v>7.5</v>
      </c>
      <c r="B2294">
        <f>VLOOKUP(MID(D2294,LOOKUP(2,1/ISNUMBER(-MID(D2294,1,{1,2,3,4,5})),{1,2,3,4,5})+1,9),'Hue codes'!$A$1:$B$10,2,FALSE)</f>
        <v>0</v>
      </c>
      <c r="C2294">
        <f t="shared" si="35"/>
        <v>7.5</v>
      </c>
      <c r="D2294" t="s">
        <v>23</v>
      </c>
      <c r="E2294">
        <v>8</v>
      </c>
      <c r="F2294">
        <v>4</v>
      </c>
      <c r="G2294">
        <v>0.35639999999999999</v>
      </c>
      <c r="H2294">
        <v>0.32790000000000002</v>
      </c>
      <c r="I2294">
        <v>59.1</v>
      </c>
    </row>
    <row r="2295" spans="1:9" x14ac:dyDescent="0.3">
      <c r="A2295">
        <f>LOOKUP(9E+307,--MID(D2295,1,{1,2,3,4,5}))</f>
        <v>7.5</v>
      </c>
      <c r="B2295">
        <f>VLOOKUP(MID(D2295,LOOKUP(2,1/ISNUMBER(-MID(D2295,1,{1,2,3,4,5})),{1,2,3,4,5})+1,9),'Hue codes'!$A$1:$B$10,2,FALSE)</f>
        <v>0</v>
      </c>
      <c r="C2295">
        <f t="shared" si="35"/>
        <v>7.5</v>
      </c>
      <c r="D2295" t="s">
        <v>23</v>
      </c>
      <c r="E2295">
        <v>8</v>
      </c>
      <c r="F2295">
        <v>6</v>
      </c>
      <c r="G2295">
        <v>0.38300000000000001</v>
      </c>
      <c r="H2295">
        <v>0.33350000000000002</v>
      </c>
      <c r="I2295">
        <v>59.1</v>
      </c>
    </row>
    <row r="2296" spans="1:9" x14ac:dyDescent="0.3">
      <c r="A2296">
        <f>LOOKUP(9E+307,--MID(D2296,1,{1,2,3,4,5}))</f>
        <v>7.5</v>
      </c>
      <c r="B2296">
        <f>VLOOKUP(MID(D2296,LOOKUP(2,1/ISNUMBER(-MID(D2296,1,{1,2,3,4,5})),{1,2,3,4,5})+1,9),'Hue codes'!$A$1:$B$10,2,FALSE)</f>
        <v>0</v>
      </c>
      <c r="C2296">
        <f t="shared" si="35"/>
        <v>7.5</v>
      </c>
      <c r="D2296" t="s">
        <v>23</v>
      </c>
      <c r="E2296">
        <v>8</v>
      </c>
      <c r="F2296">
        <v>8</v>
      </c>
      <c r="G2296">
        <v>0.4118</v>
      </c>
      <c r="H2296">
        <v>0.33850000000000002</v>
      </c>
      <c r="I2296">
        <v>59.1</v>
      </c>
    </row>
    <row r="2297" spans="1:9" x14ac:dyDescent="0.3">
      <c r="A2297">
        <f>LOOKUP(9E+307,--MID(D2297,1,{1,2,3,4,5}))</f>
        <v>7.5</v>
      </c>
      <c r="B2297">
        <f>VLOOKUP(MID(D2297,LOOKUP(2,1/ISNUMBER(-MID(D2297,1,{1,2,3,4,5})),{1,2,3,4,5})+1,9),'Hue codes'!$A$1:$B$10,2,FALSE)</f>
        <v>0</v>
      </c>
      <c r="C2297">
        <f t="shared" si="35"/>
        <v>7.5</v>
      </c>
      <c r="D2297" t="s">
        <v>23</v>
      </c>
      <c r="E2297">
        <v>8</v>
      </c>
      <c r="F2297">
        <v>10</v>
      </c>
      <c r="G2297">
        <v>0.43880000000000002</v>
      </c>
      <c r="H2297">
        <v>0.34189999999999998</v>
      </c>
      <c r="I2297">
        <v>59.1</v>
      </c>
    </row>
    <row r="2298" spans="1:9" x14ac:dyDescent="0.3">
      <c r="A2298">
        <f>LOOKUP(9E+307,--MID(D2298,1,{1,2,3,4,5}))</f>
        <v>10</v>
      </c>
      <c r="B2298">
        <f>VLOOKUP(MID(D2298,LOOKUP(2,1/ISNUMBER(-MID(D2298,1,{1,2,3,4,5})),{1,2,3,4,5})+1,9),'Hue codes'!$A$1:$B$10,2,FALSE)</f>
        <v>0</v>
      </c>
      <c r="C2298">
        <f t="shared" si="35"/>
        <v>10</v>
      </c>
      <c r="D2298" t="s">
        <v>24</v>
      </c>
      <c r="E2298">
        <v>8</v>
      </c>
      <c r="F2298">
        <v>2</v>
      </c>
      <c r="G2298">
        <v>0.3301</v>
      </c>
      <c r="H2298">
        <v>0.32369999999999999</v>
      </c>
      <c r="I2298">
        <v>59.1</v>
      </c>
    </row>
    <row r="2299" spans="1:9" x14ac:dyDescent="0.3">
      <c r="A2299">
        <f>LOOKUP(9E+307,--MID(D2299,1,{1,2,3,4,5}))</f>
        <v>10</v>
      </c>
      <c r="B2299">
        <f>VLOOKUP(MID(D2299,LOOKUP(2,1/ISNUMBER(-MID(D2299,1,{1,2,3,4,5})),{1,2,3,4,5})+1,9),'Hue codes'!$A$1:$B$10,2,FALSE)</f>
        <v>0</v>
      </c>
      <c r="C2299">
        <f t="shared" si="35"/>
        <v>10</v>
      </c>
      <c r="D2299" t="s">
        <v>24</v>
      </c>
      <c r="E2299">
        <v>8</v>
      </c>
      <c r="F2299">
        <v>4</v>
      </c>
      <c r="G2299">
        <v>0.36209999999999998</v>
      </c>
      <c r="H2299">
        <v>0.33489999999999998</v>
      </c>
      <c r="I2299">
        <v>59.1</v>
      </c>
    </row>
    <row r="2300" spans="1:9" x14ac:dyDescent="0.3">
      <c r="A2300">
        <f>LOOKUP(9E+307,--MID(D2300,1,{1,2,3,4,5}))</f>
        <v>10</v>
      </c>
      <c r="B2300">
        <f>VLOOKUP(MID(D2300,LOOKUP(2,1/ISNUMBER(-MID(D2300,1,{1,2,3,4,5})),{1,2,3,4,5})+1,9),'Hue codes'!$A$1:$B$10,2,FALSE)</f>
        <v>0</v>
      </c>
      <c r="C2300">
        <f t="shared" si="35"/>
        <v>10</v>
      </c>
      <c r="D2300" t="s">
        <v>24</v>
      </c>
      <c r="E2300">
        <v>8</v>
      </c>
      <c r="F2300">
        <v>6</v>
      </c>
      <c r="G2300">
        <v>0.39100000000000001</v>
      </c>
      <c r="H2300">
        <v>0.34420000000000001</v>
      </c>
      <c r="I2300">
        <v>59.1</v>
      </c>
    </row>
    <row r="2301" spans="1:9" x14ac:dyDescent="0.3">
      <c r="A2301">
        <f>LOOKUP(9E+307,--MID(D2301,1,{1,2,3,4,5}))</f>
        <v>10</v>
      </c>
      <c r="B2301">
        <f>VLOOKUP(MID(D2301,LOOKUP(2,1/ISNUMBER(-MID(D2301,1,{1,2,3,4,5})),{1,2,3,4,5})+1,9),'Hue codes'!$A$1:$B$10,2,FALSE)</f>
        <v>0</v>
      </c>
      <c r="C2301">
        <f t="shared" si="35"/>
        <v>10</v>
      </c>
      <c r="D2301" t="s">
        <v>24</v>
      </c>
      <c r="E2301">
        <v>8</v>
      </c>
      <c r="F2301">
        <v>8</v>
      </c>
      <c r="G2301">
        <v>0.42120000000000002</v>
      </c>
      <c r="H2301">
        <v>0.35260000000000002</v>
      </c>
      <c r="I2301">
        <v>59.1</v>
      </c>
    </row>
    <row r="2302" spans="1:9" x14ac:dyDescent="0.3">
      <c r="A2302">
        <f>LOOKUP(9E+307,--MID(D2302,1,{1,2,3,4,5}))</f>
        <v>10</v>
      </c>
      <c r="B2302">
        <f>VLOOKUP(MID(D2302,LOOKUP(2,1/ISNUMBER(-MID(D2302,1,{1,2,3,4,5})),{1,2,3,4,5})+1,9),'Hue codes'!$A$1:$B$10,2,FALSE)</f>
        <v>0</v>
      </c>
      <c r="C2302">
        <f t="shared" si="35"/>
        <v>10</v>
      </c>
      <c r="D2302" t="s">
        <v>24</v>
      </c>
      <c r="E2302">
        <v>8</v>
      </c>
      <c r="F2302">
        <v>10</v>
      </c>
      <c r="G2302">
        <v>0.44900000000000001</v>
      </c>
      <c r="H2302">
        <v>0.3589</v>
      </c>
      <c r="I2302">
        <v>59.1</v>
      </c>
    </row>
    <row r="2303" spans="1:9" x14ac:dyDescent="0.3">
      <c r="A2303">
        <f>LOOKUP(9E+307,--MID(D2303,1,{1,2,3,4,5}))</f>
        <v>2.5</v>
      </c>
      <c r="B2303">
        <f>VLOOKUP(MID(D2303,LOOKUP(2,1/ISNUMBER(-MID(D2303,1,{1,2,3,4,5})),{1,2,3,4,5})+1,9),'Hue codes'!$A$1:$B$10,2,FALSE)</f>
        <v>10</v>
      </c>
      <c r="C2303">
        <f t="shared" si="35"/>
        <v>12.5</v>
      </c>
      <c r="D2303" t="s">
        <v>25</v>
      </c>
      <c r="E2303">
        <v>8</v>
      </c>
      <c r="F2303">
        <v>2</v>
      </c>
      <c r="G2303">
        <v>0.33339999999999997</v>
      </c>
      <c r="H2303">
        <v>0.3276</v>
      </c>
      <c r="I2303">
        <v>59.1</v>
      </c>
    </row>
    <row r="2304" spans="1:9" x14ac:dyDescent="0.3">
      <c r="A2304">
        <f>LOOKUP(9E+307,--MID(D2304,1,{1,2,3,4,5}))</f>
        <v>2.5</v>
      </c>
      <c r="B2304">
        <f>VLOOKUP(MID(D2304,LOOKUP(2,1/ISNUMBER(-MID(D2304,1,{1,2,3,4,5})),{1,2,3,4,5})+1,9),'Hue codes'!$A$1:$B$10,2,FALSE)</f>
        <v>10</v>
      </c>
      <c r="C2304">
        <f t="shared" si="35"/>
        <v>12.5</v>
      </c>
      <c r="D2304" t="s">
        <v>25</v>
      </c>
      <c r="E2304">
        <v>8</v>
      </c>
      <c r="F2304">
        <v>4</v>
      </c>
      <c r="G2304">
        <v>0.36670000000000003</v>
      </c>
      <c r="H2304">
        <v>0.34289999999999998</v>
      </c>
      <c r="I2304">
        <v>59.1</v>
      </c>
    </row>
    <row r="2305" spans="1:9" x14ac:dyDescent="0.3">
      <c r="A2305">
        <f>LOOKUP(9E+307,--MID(D2305,1,{1,2,3,4,5}))</f>
        <v>2.5</v>
      </c>
      <c r="B2305">
        <f>VLOOKUP(MID(D2305,LOOKUP(2,1/ISNUMBER(-MID(D2305,1,{1,2,3,4,5})),{1,2,3,4,5})+1,9),'Hue codes'!$A$1:$B$10,2,FALSE)</f>
        <v>10</v>
      </c>
      <c r="C2305">
        <f t="shared" si="35"/>
        <v>12.5</v>
      </c>
      <c r="D2305" t="s">
        <v>25</v>
      </c>
      <c r="E2305">
        <v>8</v>
      </c>
      <c r="F2305">
        <v>6</v>
      </c>
      <c r="G2305">
        <v>0.39600000000000002</v>
      </c>
      <c r="H2305">
        <v>0.35470000000000002</v>
      </c>
      <c r="I2305">
        <v>59.1</v>
      </c>
    </row>
    <row r="2306" spans="1:9" x14ac:dyDescent="0.3">
      <c r="A2306">
        <f>LOOKUP(9E+307,--MID(D2306,1,{1,2,3,4,5}))</f>
        <v>2.5</v>
      </c>
      <c r="B2306">
        <f>VLOOKUP(MID(D2306,LOOKUP(2,1/ISNUMBER(-MID(D2306,1,{1,2,3,4,5})),{1,2,3,4,5})+1,9),'Hue codes'!$A$1:$B$10,2,FALSE)</f>
        <v>10</v>
      </c>
      <c r="C2306">
        <f t="shared" si="35"/>
        <v>12.5</v>
      </c>
      <c r="D2306" t="s">
        <v>25</v>
      </c>
      <c r="E2306">
        <v>8</v>
      </c>
      <c r="F2306">
        <v>8</v>
      </c>
      <c r="G2306">
        <v>0.42749999999999999</v>
      </c>
      <c r="H2306">
        <v>0.36620000000000003</v>
      </c>
      <c r="I2306">
        <v>59.1</v>
      </c>
    </row>
    <row r="2307" spans="1:9" x14ac:dyDescent="0.3">
      <c r="A2307">
        <f>LOOKUP(9E+307,--MID(D2307,1,{1,2,3,4,5}))</f>
        <v>2.5</v>
      </c>
      <c r="B2307">
        <f>VLOOKUP(MID(D2307,LOOKUP(2,1/ISNUMBER(-MID(D2307,1,{1,2,3,4,5})),{1,2,3,4,5})+1,9),'Hue codes'!$A$1:$B$10,2,FALSE)</f>
        <v>10</v>
      </c>
      <c r="C2307">
        <f t="shared" ref="C2307:C2370" si="36">IF(A2307+B2307=100,0,A2307+B2307)</f>
        <v>12.5</v>
      </c>
      <c r="D2307" t="s">
        <v>25</v>
      </c>
      <c r="E2307">
        <v>8</v>
      </c>
      <c r="F2307">
        <v>10</v>
      </c>
      <c r="G2307">
        <v>0.45519999999999999</v>
      </c>
      <c r="H2307">
        <v>0.37609999999999999</v>
      </c>
      <c r="I2307">
        <v>59.1</v>
      </c>
    </row>
    <row r="2308" spans="1:9" x14ac:dyDescent="0.3">
      <c r="A2308">
        <f>LOOKUP(9E+307,--MID(D2308,1,{1,2,3,4,5}))</f>
        <v>2.5</v>
      </c>
      <c r="B2308">
        <f>VLOOKUP(MID(D2308,LOOKUP(2,1/ISNUMBER(-MID(D2308,1,{1,2,3,4,5})),{1,2,3,4,5})+1,9),'Hue codes'!$A$1:$B$10,2,FALSE)</f>
        <v>10</v>
      </c>
      <c r="C2308">
        <f t="shared" si="36"/>
        <v>12.5</v>
      </c>
      <c r="D2308" t="s">
        <v>25</v>
      </c>
      <c r="E2308">
        <v>8</v>
      </c>
      <c r="F2308">
        <v>12</v>
      </c>
      <c r="G2308">
        <v>0.48520000000000002</v>
      </c>
      <c r="H2308">
        <v>0.38469999999999999</v>
      </c>
      <c r="I2308">
        <v>59.1</v>
      </c>
    </row>
    <row r="2309" spans="1:9" x14ac:dyDescent="0.3">
      <c r="A2309">
        <f>LOOKUP(9E+307,--MID(D2309,1,{1,2,3,4,5}))</f>
        <v>5</v>
      </c>
      <c r="B2309">
        <f>VLOOKUP(MID(D2309,LOOKUP(2,1/ISNUMBER(-MID(D2309,1,{1,2,3,4,5})),{1,2,3,4,5})+1,9),'Hue codes'!$A$1:$B$10,2,FALSE)</f>
        <v>10</v>
      </c>
      <c r="C2309">
        <f t="shared" si="36"/>
        <v>15</v>
      </c>
      <c r="D2309" t="s">
        <v>26</v>
      </c>
      <c r="E2309">
        <v>8</v>
      </c>
      <c r="F2309">
        <v>2</v>
      </c>
      <c r="G2309">
        <v>0.33729999999999999</v>
      </c>
      <c r="H2309">
        <v>0.33300000000000002</v>
      </c>
      <c r="I2309">
        <v>59.1</v>
      </c>
    </row>
    <row r="2310" spans="1:9" x14ac:dyDescent="0.3">
      <c r="A2310">
        <f>LOOKUP(9E+307,--MID(D2310,1,{1,2,3,4,5}))</f>
        <v>5</v>
      </c>
      <c r="B2310">
        <f>VLOOKUP(MID(D2310,LOOKUP(2,1/ISNUMBER(-MID(D2310,1,{1,2,3,4,5})),{1,2,3,4,5})+1,9),'Hue codes'!$A$1:$B$10,2,FALSE)</f>
        <v>10</v>
      </c>
      <c r="C2310">
        <f t="shared" si="36"/>
        <v>15</v>
      </c>
      <c r="D2310" t="s">
        <v>26</v>
      </c>
      <c r="E2310">
        <v>8</v>
      </c>
      <c r="F2310">
        <v>4</v>
      </c>
      <c r="G2310">
        <v>0.36899999999999999</v>
      </c>
      <c r="H2310">
        <v>0.35099999999999998</v>
      </c>
      <c r="I2310">
        <v>59.1</v>
      </c>
    </row>
    <row r="2311" spans="1:9" x14ac:dyDescent="0.3">
      <c r="A2311">
        <f>LOOKUP(9E+307,--MID(D2311,1,{1,2,3,4,5}))</f>
        <v>5</v>
      </c>
      <c r="B2311">
        <f>VLOOKUP(MID(D2311,LOOKUP(2,1/ISNUMBER(-MID(D2311,1,{1,2,3,4,5})),{1,2,3,4,5})+1,9),'Hue codes'!$A$1:$B$10,2,FALSE)</f>
        <v>10</v>
      </c>
      <c r="C2311">
        <f t="shared" si="36"/>
        <v>15</v>
      </c>
      <c r="D2311" t="s">
        <v>26</v>
      </c>
      <c r="E2311">
        <v>8</v>
      </c>
      <c r="F2311">
        <v>6</v>
      </c>
      <c r="G2311">
        <v>0.39879999999999999</v>
      </c>
      <c r="H2311">
        <v>0.36630000000000001</v>
      </c>
      <c r="I2311">
        <v>59.1</v>
      </c>
    </row>
    <row r="2312" spans="1:9" x14ac:dyDescent="0.3">
      <c r="A2312">
        <f>LOOKUP(9E+307,--MID(D2312,1,{1,2,3,4,5}))</f>
        <v>5</v>
      </c>
      <c r="B2312">
        <f>VLOOKUP(MID(D2312,LOOKUP(2,1/ISNUMBER(-MID(D2312,1,{1,2,3,4,5})),{1,2,3,4,5})+1,9),'Hue codes'!$A$1:$B$10,2,FALSE)</f>
        <v>10</v>
      </c>
      <c r="C2312">
        <f t="shared" si="36"/>
        <v>15</v>
      </c>
      <c r="D2312" t="s">
        <v>26</v>
      </c>
      <c r="E2312">
        <v>8</v>
      </c>
      <c r="F2312">
        <v>8</v>
      </c>
      <c r="G2312">
        <v>0.43099999999999999</v>
      </c>
      <c r="H2312">
        <v>0.38200000000000001</v>
      </c>
      <c r="I2312">
        <v>59.1</v>
      </c>
    </row>
    <row r="2313" spans="1:9" x14ac:dyDescent="0.3">
      <c r="A2313">
        <f>LOOKUP(9E+307,--MID(D2313,1,{1,2,3,4,5}))</f>
        <v>5</v>
      </c>
      <c r="B2313">
        <f>VLOOKUP(MID(D2313,LOOKUP(2,1/ISNUMBER(-MID(D2313,1,{1,2,3,4,5})),{1,2,3,4,5})+1,9),'Hue codes'!$A$1:$B$10,2,FALSE)</f>
        <v>10</v>
      </c>
      <c r="C2313">
        <f t="shared" si="36"/>
        <v>15</v>
      </c>
      <c r="D2313" t="s">
        <v>26</v>
      </c>
      <c r="E2313">
        <v>8</v>
      </c>
      <c r="F2313">
        <v>10</v>
      </c>
      <c r="G2313">
        <v>0.45760000000000001</v>
      </c>
      <c r="H2313">
        <v>0.39379999999999998</v>
      </c>
      <c r="I2313">
        <v>59.1</v>
      </c>
    </row>
    <row r="2314" spans="1:9" x14ac:dyDescent="0.3">
      <c r="A2314">
        <f>LOOKUP(9E+307,--MID(D2314,1,{1,2,3,4,5}))</f>
        <v>5</v>
      </c>
      <c r="B2314">
        <f>VLOOKUP(MID(D2314,LOOKUP(2,1/ISNUMBER(-MID(D2314,1,{1,2,3,4,5})),{1,2,3,4,5})+1,9),'Hue codes'!$A$1:$B$10,2,FALSE)</f>
        <v>10</v>
      </c>
      <c r="C2314">
        <f t="shared" si="36"/>
        <v>15</v>
      </c>
      <c r="D2314" t="s">
        <v>26</v>
      </c>
      <c r="E2314">
        <v>8</v>
      </c>
      <c r="F2314">
        <v>12</v>
      </c>
      <c r="G2314">
        <v>0.4849</v>
      </c>
      <c r="H2314">
        <v>0.40500000000000003</v>
      </c>
      <c r="I2314">
        <v>59.1</v>
      </c>
    </row>
    <row r="2315" spans="1:9" x14ac:dyDescent="0.3">
      <c r="A2315">
        <f>LOOKUP(9E+307,--MID(D2315,1,{1,2,3,4,5}))</f>
        <v>5</v>
      </c>
      <c r="B2315">
        <f>VLOOKUP(MID(D2315,LOOKUP(2,1/ISNUMBER(-MID(D2315,1,{1,2,3,4,5})),{1,2,3,4,5})+1,9),'Hue codes'!$A$1:$B$10,2,FALSE)</f>
        <v>10</v>
      </c>
      <c r="C2315">
        <f t="shared" si="36"/>
        <v>15</v>
      </c>
      <c r="D2315" t="s">
        <v>26</v>
      </c>
      <c r="E2315">
        <v>8</v>
      </c>
      <c r="F2315">
        <v>14</v>
      </c>
      <c r="G2315">
        <v>0.50880000000000003</v>
      </c>
      <c r="H2315">
        <v>0.41449999999999998</v>
      </c>
      <c r="I2315">
        <v>59.1</v>
      </c>
    </row>
    <row r="2316" spans="1:9" x14ac:dyDescent="0.3">
      <c r="A2316">
        <f>LOOKUP(9E+307,--MID(D2316,1,{1,2,3,4,5}))</f>
        <v>7.5</v>
      </c>
      <c r="B2316">
        <f>VLOOKUP(MID(D2316,LOOKUP(2,1/ISNUMBER(-MID(D2316,1,{1,2,3,4,5})),{1,2,3,4,5})+1,9),'Hue codes'!$A$1:$B$10,2,FALSE)</f>
        <v>10</v>
      </c>
      <c r="C2316">
        <f t="shared" si="36"/>
        <v>17.5</v>
      </c>
      <c r="D2316" t="s">
        <v>27</v>
      </c>
      <c r="E2316">
        <v>8</v>
      </c>
      <c r="F2316">
        <v>2</v>
      </c>
      <c r="G2316">
        <v>0.33950000000000002</v>
      </c>
      <c r="H2316">
        <v>0.33789999999999998</v>
      </c>
      <c r="I2316">
        <v>59.1</v>
      </c>
    </row>
    <row r="2317" spans="1:9" x14ac:dyDescent="0.3">
      <c r="A2317">
        <f>LOOKUP(9E+307,--MID(D2317,1,{1,2,3,4,5}))</f>
        <v>7.5</v>
      </c>
      <c r="B2317">
        <f>VLOOKUP(MID(D2317,LOOKUP(2,1/ISNUMBER(-MID(D2317,1,{1,2,3,4,5})),{1,2,3,4,5})+1,9),'Hue codes'!$A$1:$B$10,2,FALSE)</f>
        <v>10</v>
      </c>
      <c r="C2317">
        <f t="shared" si="36"/>
        <v>17.5</v>
      </c>
      <c r="D2317" t="s">
        <v>27</v>
      </c>
      <c r="E2317">
        <v>8</v>
      </c>
      <c r="F2317">
        <v>4</v>
      </c>
      <c r="G2317">
        <v>0.36990000000000001</v>
      </c>
      <c r="H2317">
        <v>0.35859999999999997</v>
      </c>
      <c r="I2317">
        <v>59.1</v>
      </c>
    </row>
    <row r="2318" spans="1:9" x14ac:dyDescent="0.3">
      <c r="A2318">
        <f>LOOKUP(9E+307,--MID(D2318,1,{1,2,3,4,5}))</f>
        <v>7.5</v>
      </c>
      <c r="B2318">
        <f>VLOOKUP(MID(D2318,LOOKUP(2,1/ISNUMBER(-MID(D2318,1,{1,2,3,4,5})),{1,2,3,4,5})+1,9),'Hue codes'!$A$1:$B$10,2,FALSE)</f>
        <v>10</v>
      </c>
      <c r="C2318">
        <f t="shared" si="36"/>
        <v>17.5</v>
      </c>
      <c r="D2318" t="s">
        <v>27</v>
      </c>
      <c r="E2318">
        <v>8</v>
      </c>
      <c r="F2318">
        <v>6</v>
      </c>
      <c r="G2318">
        <v>0.4</v>
      </c>
      <c r="H2318">
        <v>0.377</v>
      </c>
      <c r="I2318">
        <v>59.1</v>
      </c>
    </row>
    <row r="2319" spans="1:9" x14ac:dyDescent="0.3">
      <c r="A2319">
        <f>LOOKUP(9E+307,--MID(D2319,1,{1,2,3,4,5}))</f>
        <v>7.5</v>
      </c>
      <c r="B2319">
        <f>VLOOKUP(MID(D2319,LOOKUP(2,1/ISNUMBER(-MID(D2319,1,{1,2,3,4,5})),{1,2,3,4,5})+1,9),'Hue codes'!$A$1:$B$10,2,FALSE)</f>
        <v>10</v>
      </c>
      <c r="C2319">
        <f t="shared" si="36"/>
        <v>17.5</v>
      </c>
      <c r="D2319" t="s">
        <v>27</v>
      </c>
      <c r="E2319">
        <v>8</v>
      </c>
      <c r="F2319">
        <v>8</v>
      </c>
      <c r="G2319">
        <v>0.43059999999999998</v>
      </c>
      <c r="H2319">
        <v>0.3952</v>
      </c>
      <c r="I2319">
        <v>59.1</v>
      </c>
    </row>
    <row r="2320" spans="1:9" x14ac:dyDescent="0.3">
      <c r="A2320">
        <f>LOOKUP(9E+307,--MID(D2320,1,{1,2,3,4,5}))</f>
        <v>7.5</v>
      </c>
      <c r="B2320">
        <f>VLOOKUP(MID(D2320,LOOKUP(2,1/ISNUMBER(-MID(D2320,1,{1,2,3,4,5})),{1,2,3,4,5})+1,9),'Hue codes'!$A$1:$B$10,2,FALSE)</f>
        <v>10</v>
      </c>
      <c r="C2320">
        <f t="shared" si="36"/>
        <v>17.5</v>
      </c>
      <c r="D2320" t="s">
        <v>27</v>
      </c>
      <c r="E2320">
        <v>8</v>
      </c>
      <c r="F2320">
        <v>10</v>
      </c>
      <c r="G2320">
        <v>0.45679999999999998</v>
      </c>
      <c r="H2320">
        <v>0.41</v>
      </c>
      <c r="I2320">
        <v>59.1</v>
      </c>
    </row>
    <row r="2321" spans="1:9" x14ac:dyDescent="0.3">
      <c r="A2321">
        <f>LOOKUP(9E+307,--MID(D2321,1,{1,2,3,4,5}))</f>
        <v>7.5</v>
      </c>
      <c r="B2321">
        <f>VLOOKUP(MID(D2321,LOOKUP(2,1/ISNUMBER(-MID(D2321,1,{1,2,3,4,5})),{1,2,3,4,5})+1,9),'Hue codes'!$A$1:$B$10,2,FALSE)</f>
        <v>10</v>
      </c>
      <c r="C2321">
        <f t="shared" si="36"/>
        <v>17.5</v>
      </c>
      <c r="D2321" t="s">
        <v>27</v>
      </c>
      <c r="E2321">
        <v>8</v>
      </c>
      <c r="F2321">
        <v>12</v>
      </c>
      <c r="G2321">
        <v>0.48159999999999997</v>
      </c>
      <c r="H2321">
        <v>0.42320000000000002</v>
      </c>
      <c r="I2321">
        <v>59.1</v>
      </c>
    </row>
    <row r="2322" spans="1:9" x14ac:dyDescent="0.3">
      <c r="A2322">
        <f>LOOKUP(9E+307,--MID(D2322,1,{1,2,3,4,5}))</f>
        <v>7.5</v>
      </c>
      <c r="B2322">
        <f>VLOOKUP(MID(D2322,LOOKUP(2,1/ISNUMBER(-MID(D2322,1,{1,2,3,4,5})),{1,2,3,4,5})+1,9),'Hue codes'!$A$1:$B$10,2,FALSE)</f>
        <v>10</v>
      </c>
      <c r="C2322">
        <f t="shared" si="36"/>
        <v>17.5</v>
      </c>
      <c r="D2322" t="s">
        <v>27</v>
      </c>
      <c r="E2322">
        <v>8</v>
      </c>
      <c r="F2322">
        <v>14</v>
      </c>
      <c r="G2322">
        <v>0.50249999999999995</v>
      </c>
      <c r="H2322">
        <v>0.43380000000000002</v>
      </c>
      <c r="I2322">
        <v>59.1</v>
      </c>
    </row>
    <row r="2323" spans="1:9" x14ac:dyDescent="0.3">
      <c r="A2323">
        <f>LOOKUP(9E+307,--MID(D2323,1,{1,2,3,4,5}))</f>
        <v>7.5</v>
      </c>
      <c r="B2323">
        <f>VLOOKUP(MID(D2323,LOOKUP(2,1/ISNUMBER(-MID(D2323,1,{1,2,3,4,5})),{1,2,3,4,5})+1,9),'Hue codes'!$A$1:$B$10,2,FALSE)</f>
        <v>10</v>
      </c>
      <c r="C2323">
        <f t="shared" si="36"/>
        <v>17.5</v>
      </c>
      <c r="D2323" t="s">
        <v>27</v>
      </c>
      <c r="E2323">
        <v>8</v>
      </c>
      <c r="F2323">
        <v>16</v>
      </c>
      <c r="G2323">
        <v>0.51949999999999996</v>
      </c>
      <c r="H2323">
        <v>0.44240000000000002</v>
      </c>
      <c r="I2323">
        <v>59.1</v>
      </c>
    </row>
    <row r="2324" spans="1:9" x14ac:dyDescent="0.3">
      <c r="A2324">
        <f>LOOKUP(9E+307,--MID(D2324,1,{1,2,3,4,5}))</f>
        <v>7.5</v>
      </c>
      <c r="B2324">
        <f>VLOOKUP(MID(D2324,LOOKUP(2,1/ISNUMBER(-MID(D2324,1,{1,2,3,4,5})),{1,2,3,4,5})+1,9),'Hue codes'!$A$1:$B$10,2,FALSE)</f>
        <v>10</v>
      </c>
      <c r="C2324">
        <f t="shared" si="36"/>
        <v>17.5</v>
      </c>
      <c r="D2324" t="s">
        <v>27</v>
      </c>
      <c r="E2324">
        <v>8</v>
      </c>
      <c r="F2324">
        <v>18</v>
      </c>
      <c r="G2324">
        <v>0.53159999999999996</v>
      </c>
      <c r="H2324">
        <v>0.44800000000000001</v>
      </c>
      <c r="I2324">
        <v>59.1</v>
      </c>
    </row>
    <row r="2325" spans="1:9" x14ac:dyDescent="0.3">
      <c r="A2325">
        <f>LOOKUP(9E+307,--MID(D2325,1,{1,2,3,4,5}))</f>
        <v>7.5</v>
      </c>
      <c r="B2325">
        <f>VLOOKUP(MID(D2325,LOOKUP(2,1/ISNUMBER(-MID(D2325,1,{1,2,3,4,5})),{1,2,3,4,5})+1,9),'Hue codes'!$A$1:$B$10,2,FALSE)</f>
        <v>10</v>
      </c>
      <c r="C2325">
        <f t="shared" si="36"/>
        <v>17.5</v>
      </c>
      <c r="D2325" t="s">
        <v>27</v>
      </c>
      <c r="E2325">
        <v>8</v>
      </c>
      <c r="F2325">
        <v>20</v>
      </c>
      <c r="G2325">
        <v>0.53910000000000002</v>
      </c>
      <c r="H2325">
        <v>0.45179999999999998</v>
      </c>
      <c r="I2325">
        <v>59.1</v>
      </c>
    </row>
    <row r="2326" spans="1:9" x14ac:dyDescent="0.3">
      <c r="A2326">
        <f>LOOKUP(9E+307,--MID(D2326,1,{1,2,3,4,5}))</f>
        <v>10</v>
      </c>
      <c r="B2326">
        <f>VLOOKUP(MID(D2326,LOOKUP(2,1/ISNUMBER(-MID(D2326,1,{1,2,3,4,5})),{1,2,3,4,5})+1,9),'Hue codes'!$A$1:$B$10,2,FALSE)</f>
        <v>10</v>
      </c>
      <c r="C2326">
        <f t="shared" si="36"/>
        <v>20</v>
      </c>
      <c r="D2326" t="s">
        <v>28</v>
      </c>
      <c r="E2326">
        <v>8</v>
      </c>
      <c r="F2326">
        <v>2</v>
      </c>
      <c r="G2326">
        <v>0.3407</v>
      </c>
      <c r="H2326">
        <v>0.34339999999999998</v>
      </c>
      <c r="I2326">
        <v>59.1</v>
      </c>
    </row>
    <row r="2327" spans="1:9" x14ac:dyDescent="0.3">
      <c r="A2327">
        <f>LOOKUP(9E+307,--MID(D2327,1,{1,2,3,4,5}))</f>
        <v>10</v>
      </c>
      <c r="B2327">
        <f>VLOOKUP(MID(D2327,LOOKUP(2,1/ISNUMBER(-MID(D2327,1,{1,2,3,4,5})),{1,2,3,4,5})+1,9),'Hue codes'!$A$1:$B$10,2,FALSE)</f>
        <v>10</v>
      </c>
      <c r="C2327">
        <f t="shared" si="36"/>
        <v>20</v>
      </c>
      <c r="D2327" t="s">
        <v>28</v>
      </c>
      <c r="E2327">
        <v>8</v>
      </c>
      <c r="F2327">
        <v>4</v>
      </c>
      <c r="G2327">
        <v>0.37009999999999998</v>
      </c>
      <c r="H2327">
        <v>0.3674</v>
      </c>
      <c r="I2327">
        <v>59.1</v>
      </c>
    </row>
    <row r="2328" spans="1:9" x14ac:dyDescent="0.3">
      <c r="A2328">
        <f>LOOKUP(9E+307,--MID(D2328,1,{1,2,3,4,5}))</f>
        <v>10</v>
      </c>
      <c r="B2328">
        <f>VLOOKUP(MID(D2328,LOOKUP(2,1/ISNUMBER(-MID(D2328,1,{1,2,3,4,5})),{1,2,3,4,5})+1,9),'Hue codes'!$A$1:$B$10,2,FALSE)</f>
        <v>10</v>
      </c>
      <c r="C2328">
        <f t="shared" si="36"/>
        <v>20</v>
      </c>
      <c r="D2328" t="s">
        <v>28</v>
      </c>
      <c r="E2328">
        <v>8</v>
      </c>
      <c r="F2328">
        <v>6</v>
      </c>
      <c r="G2328">
        <v>0.39939999999999998</v>
      </c>
      <c r="H2328">
        <v>0.3896</v>
      </c>
      <c r="I2328">
        <v>59.1</v>
      </c>
    </row>
    <row r="2329" spans="1:9" x14ac:dyDescent="0.3">
      <c r="A2329">
        <f>LOOKUP(9E+307,--MID(D2329,1,{1,2,3,4,5}))</f>
        <v>10</v>
      </c>
      <c r="B2329">
        <f>VLOOKUP(MID(D2329,LOOKUP(2,1/ISNUMBER(-MID(D2329,1,{1,2,3,4,5})),{1,2,3,4,5})+1,9),'Hue codes'!$A$1:$B$10,2,FALSE)</f>
        <v>10</v>
      </c>
      <c r="C2329">
        <f t="shared" si="36"/>
        <v>20</v>
      </c>
      <c r="D2329" t="s">
        <v>28</v>
      </c>
      <c r="E2329">
        <v>8</v>
      </c>
      <c r="F2329">
        <v>8</v>
      </c>
      <c r="G2329">
        <v>0.42799999999999999</v>
      </c>
      <c r="H2329">
        <v>0.41020000000000001</v>
      </c>
      <c r="I2329">
        <v>59.1</v>
      </c>
    </row>
    <row r="2330" spans="1:9" x14ac:dyDescent="0.3">
      <c r="A2330">
        <f>LOOKUP(9E+307,--MID(D2330,1,{1,2,3,4,5}))</f>
        <v>10</v>
      </c>
      <c r="B2330">
        <f>VLOOKUP(MID(D2330,LOOKUP(2,1/ISNUMBER(-MID(D2330,1,{1,2,3,4,5})),{1,2,3,4,5})+1,9),'Hue codes'!$A$1:$B$10,2,FALSE)</f>
        <v>10</v>
      </c>
      <c r="C2330">
        <f t="shared" si="36"/>
        <v>20</v>
      </c>
      <c r="D2330" t="s">
        <v>28</v>
      </c>
      <c r="E2330">
        <v>8</v>
      </c>
      <c r="F2330">
        <v>10</v>
      </c>
      <c r="G2330">
        <v>0.45269999999999999</v>
      </c>
      <c r="H2330">
        <v>0.42680000000000001</v>
      </c>
      <c r="I2330">
        <v>59.1</v>
      </c>
    </row>
    <row r="2331" spans="1:9" x14ac:dyDescent="0.3">
      <c r="A2331">
        <f>LOOKUP(9E+307,--MID(D2331,1,{1,2,3,4,5}))</f>
        <v>10</v>
      </c>
      <c r="B2331">
        <f>VLOOKUP(MID(D2331,LOOKUP(2,1/ISNUMBER(-MID(D2331,1,{1,2,3,4,5})),{1,2,3,4,5})+1,9),'Hue codes'!$A$1:$B$10,2,FALSE)</f>
        <v>10</v>
      </c>
      <c r="C2331">
        <f t="shared" si="36"/>
        <v>20</v>
      </c>
      <c r="D2331" t="s">
        <v>28</v>
      </c>
      <c r="E2331">
        <v>8</v>
      </c>
      <c r="F2331">
        <v>12</v>
      </c>
      <c r="G2331">
        <v>0.4753</v>
      </c>
      <c r="H2331">
        <v>0.44140000000000001</v>
      </c>
      <c r="I2331">
        <v>59.1</v>
      </c>
    </row>
    <row r="2332" spans="1:9" x14ac:dyDescent="0.3">
      <c r="A2332">
        <f>LOOKUP(9E+307,--MID(D2332,1,{1,2,3,4,5}))</f>
        <v>10</v>
      </c>
      <c r="B2332">
        <f>VLOOKUP(MID(D2332,LOOKUP(2,1/ISNUMBER(-MID(D2332,1,{1,2,3,4,5})),{1,2,3,4,5})+1,9),'Hue codes'!$A$1:$B$10,2,FALSE)</f>
        <v>10</v>
      </c>
      <c r="C2332">
        <f t="shared" si="36"/>
        <v>20</v>
      </c>
      <c r="D2332" t="s">
        <v>28</v>
      </c>
      <c r="E2332">
        <v>8</v>
      </c>
      <c r="F2332">
        <v>14</v>
      </c>
      <c r="G2332">
        <v>0.49399999999999999</v>
      </c>
      <c r="H2332">
        <v>0.45300000000000001</v>
      </c>
      <c r="I2332">
        <v>59.1</v>
      </c>
    </row>
    <row r="2333" spans="1:9" x14ac:dyDescent="0.3">
      <c r="A2333">
        <f>LOOKUP(9E+307,--MID(D2333,1,{1,2,3,4,5}))</f>
        <v>10</v>
      </c>
      <c r="B2333">
        <f>VLOOKUP(MID(D2333,LOOKUP(2,1/ISNUMBER(-MID(D2333,1,{1,2,3,4,5})),{1,2,3,4,5})+1,9),'Hue codes'!$A$1:$B$10,2,FALSE)</f>
        <v>10</v>
      </c>
      <c r="C2333">
        <f t="shared" si="36"/>
        <v>20</v>
      </c>
      <c r="D2333" t="s">
        <v>28</v>
      </c>
      <c r="E2333">
        <v>8</v>
      </c>
      <c r="F2333">
        <v>16</v>
      </c>
      <c r="G2333">
        <v>0.50790000000000002</v>
      </c>
      <c r="H2333">
        <v>0.46129999999999999</v>
      </c>
      <c r="I2333">
        <v>59.1</v>
      </c>
    </row>
    <row r="2334" spans="1:9" x14ac:dyDescent="0.3">
      <c r="A2334">
        <f>LOOKUP(9E+307,--MID(D2334,1,{1,2,3,4,5}))</f>
        <v>10</v>
      </c>
      <c r="B2334">
        <f>VLOOKUP(MID(D2334,LOOKUP(2,1/ISNUMBER(-MID(D2334,1,{1,2,3,4,5})),{1,2,3,4,5})+1,9),'Hue codes'!$A$1:$B$10,2,FALSE)</f>
        <v>10</v>
      </c>
      <c r="C2334">
        <f t="shared" si="36"/>
        <v>20</v>
      </c>
      <c r="D2334" t="s">
        <v>28</v>
      </c>
      <c r="E2334">
        <v>8</v>
      </c>
      <c r="F2334">
        <v>18</v>
      </c>
      <c r="G2334">
        <v>0.51790000000000003</v>
      </c>
      <c r="H2334">
        <v>0.46700000000000003</v>
      </c>
      <c r="I2334">
        <v>59.1</v>
      </c>
    </row>
    <row r="2335" spans="1:9" x14ac:dyDescent="0.3">
      <c r="A2335">
        <f>LOOKUP(9E+307,--MID(D2335,1,{1,2,3,4,5}))</f>
        <v>10</v>
      </c>
      <c r="B2335">
        <f>VLOOKUP(MID(D2335,LOOKUP(2,1/ISNUMBER(-MID(D2335,1,{1,2,3,4,5})),{1,2,3,4,5})+1,9),'Hue codes'!$A$1:$B$10,2,FALSE)</f>
        <v>10</v>
      </c>
      <c r="C2335">
        <f t="shared" si="36"/>
        <v>20</v>
      </c>
      <c r="D2335" t="s">
        <v>28</v>
      </c>
      <c r="E2335">
        <v>8</v>
      </c>
      <c r="F2335">
        <v>20</v>
      </c>
      <c r="G2335">
        <v>0.52449999999999997</v>
      </c>
      <c r="H2335">
        <v>0.47089999999999999</v>
      </c>
      <c r="I2335">
        <v>59.1</v>
      </c>
    </row>
    <row r="2336" spans="1:9" x14ac:dyDescent="0.3">
      <c r="A2336">
        <f>LOOKUP(9E+307,--MID(D2336,1,{1,2,3,4,5}))</f>
        <v>2.5</v>
      </c>
      <c r="B2336">
        <f>VLOOKUP(MID(D2336,LOOKUP(2,1/ISNUMBER(-MID(D2336,1,{1,2,3,4,5})),{1,2,3,4,5})+1,9),'Hue codes'!$A$1:$B$10,2,FALSE)</f>
        <v>20</v>
      </c>
      <c r="C2336">
        <f t="shared" si="36"/>
        <v>22.5</v>
      </c>
      <c r="D2336" t="s">
        <v>29</v>
      </c>
      <c r="E2336">
        <v>8</v>
      </c>
      <c r="F2336">
        <v>2</v>
      </c>
      <c r="G2336">
        <v>0.34060000000000001</v>
      </c>
      <c r="H2336">
        <v>0.34839999999999999</v>
      </c>
      <c r="I2336">
        <v>59.1</v>
      </c>
    </row>
    <row r="2337" spans="1:9" x14ac:dyDescent="0.3">
      <c r="A2337">
        <f>LOOKUP(9E+307,--MID(D2337,1,{1,2,3,4,5}))</f>
        <v>2.5</v>
      </c>
      <c r="B2337">
        <f>VLOOKUP(MID(D2337,LOOKUP(2,1/ISNUMBER(-MID(D2337,1,{1,2,3,4,5})),{1,2,3,4,5})+1,9),'Hue codes'!$A$1:$B$10,2,FALSE)</f>
        <v>20</v>
      </c>
      <c r="C2337">
        <f t="shared" si="36"/>
        <v>22.5</v>
      </c>
      <c r="D2337" t="s">
        <v>29</v>
      </c>
      <c r="E2337">
        <v>8</v>
      </c>
      <c r="F2337">
        <v>4</v>
      </c>
      <c r="G2337">
        <v>0.36840000000000001</v>
      </c>
      <c r="H2337">
        <v>0.37509999999999999</v>
      </c>
      <c r="I2337">
        <v>59.1</v>
      </c>
    </row>
    <row r="2338" spans="1:9" x14ac:dyDescent="0.3">
      <c r="A2338">
        <f>LOOKUP(9E+307,--MID(D2338,1,{1,2,3,4,5}))</f>
        <v>2.5</v>
      </c>
      <c r="B2338">
        <f>VLOOKUP(MID(D2338,LOOKUP(2,1/ISNUMBER(-MID(D2338,1,{1,2,3,4,5})),{1,2,3,4,5})+1,9),'Hue codes'!$A$1:$B$10,2,FALSE)</f>
        <v>20</v>
      </c>
      <c r="C2338">
        <f t="shared" si="36"/>
        <v>22.5</v>
      </c>
      <c r="D2338" t="s">
        <v>29</v>
      </c>
      <c r="E2338">
        <v>8</v>
      </c>
      <c r="F2338">
        <v>6</v>
      </c>
      <c r="G2338">
        <v>0.39689999999999998</v>
      </c>
      <c r="H2338">
        <v>0.40089999999999998</v>
      </c>
      <c r="I2338">
        <v>59.1</v>
      </c>
    </row>
    <row r="2339" spans="1:9" x14ac:dyDescent="0.3">
      <c r="A2339">
        <f>LOOKUP(9E+307,--MID(D2339,1,{1,2,3,4,5}))</f>
        <v>2.5</v>
      </c>
      <c r="B2339">
        <f>VLOOKUP(MID(D2339,LOOKUP(2,1/ISNUMBER(-MID(D2339,1,{1,2,3,4,5})),{1,2,3,4,5})+1,9),'Hue codes'!$A$1:$B$10,2,FALSE)</f>
        <v>20</v>
      </c>
      <c r="C2339">
        <f t="shared" si="36"/>
        <v>22.5</v>
      </c>
      <c r="D2339" t="s">
        <v>29</v>
      </c>
      <c r="E2339">
        <v>8</v>
      </c>
      <c r="F2339">
        <v>8</v>
      </c>
      <c r="G2339">
        <v>0.42309999999999998</v>
      </c>
      <c r="H2339">
        <v>0.42309999999999998</v>
      </c>
      <c r="I2339">
        <v>59.1</v>
      </c>
    </row>
    <row r="2340" spans="1:9" x14ac:dyDescent="0.3">
      <c r="A2340">
        <f>LOOKUP(9E+307,--MID(D2340,1,{1,2,3,4,5}))</f>
        <v>2.5</v>
      </c>
      <c r="B2340">
        <f>VLOOKUP(MID(D2340,LOOKUP(2,1/ISNUMBER(-MID(D2340,1,{1,2,3,4,5})),{1,2,3,4,5})+1,9),'Hue codes'!$A$1:$B$10,2,FALSE)</f>
        <v>20</v>
      </c>
      <c r="C2340">
        <f t="shared" si="36"/>
        <v>22.5</v>
      </c>
      <c r="D2340" t="s">
        <v>29</v>
      </c>
      <c r="E2340">
        <v>8</v>
      </c>
      <c r="F2340">
        <v>10</v>
      </c>
      <c r="G2340">
        <v>0.44690000000000002</v>
      </c>
      <c r="H2340">
        <v>0.44230000000000003</v>
      </c>
      <c r="I2340">
        <v>59.1</v>
      </c>
    </row>
    <row r="2341" spans="1:9" x14ac:dyDescent="0.3">
      <c r="A2341">
        <f>LOOKUP(9E+307,--MID(D2341,1,{1,2,3,4,5}))</f>
        <v>2.5</v>
      </c>
      <c r="B2341">
        <f>VLOOKUP(MID(D2341,LOOKUP(2,1/ISNUMBER(-MID(D2341,1,{1,2,3,4,5})),{1,2,3,4,5})+1,9),'Hue codes'!$A$1:$B$10,2,FALSE)</f>
        <v>20</v>
      </c>
      <c r="C2341">
        <f t="shared" si="36"/>
        <v>22.5</v>
      </c>
      <c r="D2341" t="s">
        <v>29</v>
      </c>
      <c r="E2341">
        <v>8</v>
      </c>
      <c r="F2341">
        <v>12</v>
      </c>
      <c r="G2341">
        <v>0.46779999999999999</v>
      </c>
      <c r="H2341">
        <v>0.45889999999999997</v>
      </c>
      <c r="I2341">
        <v>59.1</v>
      </c>
    </row>
    <row r="2342" spans="1:9" x14ac:dyDescent="0.3">
      <c r="A2342">
        <f>LOOKUP(9E+307,--MID(D2342,1,{1,2,3,4,5}))</f>
        <v>2.5</v>
      </c>
      <c r="B2342">
        <f>VLOOKUP(MID(D2342,LOOKUP(2,1/ISNUMBER(-MID(D2342,1,{1,2,3,4,5})),{1,2,3,4,5})+1,9),'Hue codes'!$A$1:$B$10,2,FALSE)</f>
        <v>20</v>
      </c>
      <c r="C2342">
        <f t="shared" si="36"/>
        <v>22.5</v>
      </c>
      <c r="D2342" t="s">
        <v>29</v>
      </c>
      <c r="E2342">
        <v>8</v>
      </c>
      <c r="F2342">
        <v>14</v>
      </c>
      <c r="G2342">
        <v>0.48420000000000002</v>
      </c>
      <c r="H2342">
        <v>0.47120000000000001</v>
      </c>
      <c r="I2342">
        <v>59.1</v>
      </c>
    </row>
    <row r="2343" spans="1:9" x14ac:dyDescent="0.3">
      <c r="A2343">
        <f>LOOKUP(9E+307,--MID(D2343,1,{1,2,3,4,5}))</f>
        <v>2.5</v>
      </c>
      <c r="B2343">
        <f>VLOOKUP(MID(D2343,LOOKUP(2,1/ISNUMBER(-MID(D2343,1,{1,2,3,4,5})),{1,2,3,4,5})+1,9),'Hue codes'!$A$1:$B$10,2,FALSE)</f>
        <v>20</v>
      </c>
      <c r="C2343">
        <f t="shared" si="36"/>
        <v>22.5</v>
      </c>
      <c r="D2343" t="s">
        <v>29</v>
      </c>
      <c r="E2343">
        <v>8</v>
      </c>
      <c r="F2343">
        <v>16</v>
      </c>
      <c r="G2343">
        <v>0.49569999999999997</v>
      </c>
      <c r="H2343">
        <v>0.48</v>
      </c>
      <c r="I2343">
        <v>59.1</v>
      </c>
    </row>
    <row r="2344" spans="1:9" x14ac:dyDescent="0.3">
      <c r="A2344">
        <f>LOOKUP(9E+307,--MID(D2344,1,{1,2,3,4,5}))</f>
        <v>2.5</v>
      </c>
      <c r="B2344">
        <f>VLOOKUP(MID(D2344,LOOKUP(2,1/ISNUMBER(-MID(D2344,1,{1,2,3,4,5})),{1,2,3,4,5})+1,9),'Hue codes'!$A$1:$B$10,2,FALSE)</f>
        <v>20</v>
      </c>
      <c r="C2344">
        <f t="shared" si="36"/>
        <v>22.5</v>
      </c>
      <c r="D2344" t="s">
        <v>29</v>
      </c>
      <c r="E2344">
        <v>8</v>
      </c>
      <c r="F2344">
        <v>18</v>
      </c>
      <c r="G2344">
        <v>0.50329999999999997</v>
      </c>
      <c r="H2344">
        <v>0.48549999999999999</v>
      </c>
      <c r="I2344">
        <v>59.1</v>
      </c>
    </row>
    <row r="2345" spans="1:9" x14ac:dyDescent="0.3">
      <c r="A2345">
        <f>LOOKUP(9E+307,--MID(D2345,1,{1,2,3,4,5}))</f>
        <v>2.5</v>
      </c>
      <c r="B2345">
        <f>VLOOKUP(MID(D2345,LOOKUP(2,1/ISNUMBER(-MID(D2345,1,{1,2,3,4,5})),{1,2,3,4,5})+1,9),'Hue codes'!$A$1:$B$10,2,FALSE)</f>
        <v>20</v>
      </c>
      <c r="C2345">
        <f t="shared" si="36"/>
        <v>22.5</v>
      </c>
      <c r="D2345" t="s">
        <v>29</v>
      </c>
      <c r="E2345">
        <v>8</v>
      </c>
      <c r="F2345">
        <v>20</v>
      </c>
      <c r="G2345">
        <v>0.5091</v>
      </c>
      <c r="H2345">
        <v>0.49</v>
      </c>
      <c r="I2345">
        <v>59.1</v>
      </c>
    </row>
    <row r="2346" spans="1:9" x14ac:dyDescent="0.3">
      <c r="A2346">
        <f>LOOKUP(9E+307,--MID(D2346,1,{1,2,3,4,5}))</f>
        <v>5</v>
      </c>
      <c r="B2346">
        <f>VLOOKUP(MID(D2346,LOOKUP(2,1/ISNUMBER(-MID(D2346,1,{1,2,3,4,5})),{1,2,3,4,5})+1,9),'Hue codes'!$A$1:$B$10,2,FALSE)</f>
        <v>20</v>
      </c>
      <c r="C2346">
        <f t="shared" si="36"/>
        <v>25</v>
      </c>
      <c r="D2346" t="s">
        <v>30</v>
      </c>
      <c r="E2346">
        <v>8</v>
      </c>
      <c r="F2346">
        <v>2</v>
      </c>
      <c r="G2346">
        <v>0.33939999999999998</v>
      </c>
      <c r="H2346">
        <v>0.3518</v>
      </c>
      <c r="I2346">
        <v>59.1</v>
      </c>
    </row>
    <row r="2347" spans="1:9" x14ac:dyDescent="0.3">
      <c r="A2347">
        <f>LOOKUP(9E+307,--MID(D2347,1,{1,2,3,4,5}))</f>
        <v>5</v>
      </c>
      <c r="B2347">
        <f>VLOOKUP(MID(D2347,LOOKUP(2,1/ISNUMBER(-MID(D2347,1,{1,2,3,4,5})),{1,2,3,4,5})+1,9),'Hue codes'!$A$1:$B$10,2,FALSE)</f>
        <v>20</v>
      </c>
      <c r="C2347">
        <f t="shared" si="36"/>
        <v>25</v>
      </c>
      <c r="D2347" t="s">
        <v>30</v>
      </c>
      <c r="E2347">
        <v>8</v>
      </c>
      <c r="F2347">
        <v>4</v>
      </c>
      <c r="G2347">
        <v>0.36499999999999999</v>
      </c>
      <c r="H2347">
        <v>0.3826</v>
      </c>
      <c r="I2347">
        <v>59.1</v>
      </c>
    </row>
    <row r="2348" spans="1:9" x14ac:dyDescent="0.3">
      <c r="A2348">
        <f>LOOKUP(9E+307,--MID(D2348,1,{1,2,3,4,5}))</f>
        <v>5</v>
      </c>
      <c r="B2348">
        <f>VLOOKUP(MID(D2348,LOOKUP(2,1/ISNUMBER(-MID(D2348,1,{1,2,3,4,5})),{1,2,3,4,5})+1,9),'Hue codes'!$A$1:$B$10,2,FALSE)</f>
        <v>20</v>
      </c>
      <c r="C2348">
        <f t="shared" si="36"/>
        <v>25</v>
      </c>
      <c r="D2348" t="s">
        <v>30</v>
      </c>
      <c r="E2348">
        <v>8</v>
      </c>
      <c r="F2348">
        <v>6</v>
      </c>
      <c r="G2348">
        <v>0.39129999999999998</v>
      </c>
      <c r="H2348">
        <v>0.41170000000000001</v>
      </c>
      <c r="I2348">
        <v>59.1</v>
      </c>
    </row>
    <row r="2349" spans="1:9" x14ac:dyDescent="0.3">
      <c r="A2349">
        <f>LOOKUP(9E+307,--MID(D2349,1,{1,2,3,4,5}))</f>
        <v>5</v>
      </c>
      <c r="B2349">
        <f>VLOOKUP(MID(D2349,LOOKUP(2,1/ISNUMBER(-MID(D2349,1,{1,2,3,4,5})),{1,2,3,4,5})+1,9),'Hue codes'!$A$1:$B$10,2,FALSE)</f>
        <v>20</v>
      </c>
      <c r="C2349">
        <f t="shared" si="36"/>
        <v>25</v>
      </c>
      <c r="D2349" t="s">
        <v>30</v>
      </c>
      <c r="E2349">
        <v>8</v>
      </c>
      <c r="F2349">
        <v>8</v>
      </c>
      <c r="G2349">
        <v>0.4158</v>
      </c>
      <c r="H2349">
        <v>0.43780000000000002</v>
      </c>
      <c r="I2349">
        <v>59.1</v>
      </c>
    </row>
    <row r="2350" spans="1:9" x14ac:dyDescent="0.3">
      <c r="A2350">
        <f>LOOKUP(9E+307,--MID(D2350,1,{1,2,3,4,5}))</f>
        <v>5</v>
      </c>
      <c r="B2350">
        <f>VLOOKUP(MID(D2350,LOOKUP(2,1/ISNUMBER(-MID(D2350,1,{1,2,3,4,5})),{1,2,3,4,5})+1,9),'Hue codes'!$A$1:$B$10,2,FALSE)</f>
        <v>20</v>
      </c>
      <c r="C2350">
        <f t="shared" si="36"/>
        <v>25</v>
      </c>
      <c r="D2350" t="s">
        <v>30</v>
      </c>
      <c r="E2350">
        <v>8</v>
      </c>
      <c r="F2350">
        <v>10</v>
      </c>
      <c r="G2350">
        <v>0.43759999999999999</v>
      </c>
      <c r="H2350">
        <v>0.46010000000000001</v>
      </c>
      <c r="I2350">
        <v>59.1</v>
      </c>
    </row>
    <row r="2351" spans="1:9" x14ac:dyDescent="0.3">
      <c r="A2351">
        <f>LOOKUP(9E+307,--MID(D2351,1,{1,2,3,4,5}))</f>
        <v>5</v>
      </c>
      <c r="B2351">
        <f>VLOOKUP(MID(D2351,LOOKUP(2,1/ISNUMBER(-MID(D2351,1,{1,2,3,4,5})),{1,2,3,4,5})+1,9),'Hue codes'!$A$1:$B$10,2,FALSE)</f>
        <v>20</v>
      </c>
      <c r="C2351">
        <f t="shared" si="36"/>
        <v>25</v>
      </c>
      <c r="D2351" t="s">
        <v>30</v>
      </c>
      <c r="E2351">
        <v>8</v>
      </c>
      <c r="F2351">
        <v>12</v>
      </c>
      <c r="G2351">
        <v>0.45619999999999999</v>
      </c>
      <c r="H2351">
        <v>0.4788</v>
      </c>
      <c r="I2351">
        <v>59.1</v>
      </c>
    </row>
    <row r="2352" spans="1:9" x14ac:dyDescent="0.3">
      <c r="A2352">
        <f>LOOKUP(9E+307,--MID(D2352,1,{1,2,3,4,5}))</f>
        <v>5</v>
      </c>
      <c r="B2352">
        <f>VLOOKUP(MID(D2352,LOOKUP(2,1/ISNUMBER(-MID(D2352,1,{1,2,3,4,5})),{1,2,3,4,5})+1,9),'Hue codes'!$A$1:$B$10,2,FALSE)</f>
        <v>20</v>
      </c>
      <c r="C2352">
        <f t="shared" si="36"/>
        <v>25</v>
      </c>
      <c r="D2352" t="s">
        <v>30</v>
      </c>
      <c r="E2352">
        <v>8</v>
      </c>
      <c r="F2352">
        <v>14</v>
      </c>
      <c r="G2352">
        <v>0.46989999999999998</v>
      </c>
      <c r="H2352">
        <v>0.49199999999999999</v>
      </c>
      <c r="I2352">
        <v>59.1</v>
      </c>
    </row>
    <row r="2353" spans="1:9" x14ac:dyDescent="0.3">
      <c r="A2353">
        <f>LOOKUP(9E+307,--MID(D2353,1,{1,2,3,4,5}))</f>
        <v>5</v>
      </c>
      <c r="B2353">
        <f>VLOOKUP(MID(D2353,LOOKUP(2,1/ISNUMBER(-MID(D2353,1,{1,2,3,4,5})),{1,2,3,4,5})+1,9),'Hue codes'!$A$1:$B$10,2,FALSE)</f>
        <v>20</v>
      </c>
      <c r="C2353">
        <f t="shared" si="36"/>
        <v>25</v>
      </c>
      <c r="D2353" t="s">
        <v>30</v>
      </c>
      <c r="E2353">
        <v>8</v>
      </c>
      <c r="F2353">
        <v>16</v>
      </c>
      <c r="G2353">
        <v>0.47910000000000003</v>
      </c>
      <c r="H2353">
        <v>0.50119999999999998</v>
      </c>
      <c r="I2353">
        <v>59.1</v>
      </c>
    </row>
    <row r="2354" spans="1:9" x14ac:dyDescent="0.3">
      <c r="A2354">
        <f>LOOKUP(9E+307,--MID(D2354,1,{1,2,3,4,5}))</f>
        <v>5</v>
      </c>
      <c r="B2354">
        <f>VLOOKUP(MID(D2354,LOOKUP(2,1/ISNUMBER(-MID(D2354,1,{1,2,3,4,5})),{1,2,3,4,5})+1,9),'Hue codes'!$A$1:$B$10,2,FALSE)</f>
        <v>20</v>
      </c>
      <c r="C2354">
        <f t="shared" si="36"/>
        <v>25</v>
      </c>
      <c r="D2354" t="s">
        <v>30</v>
      </c>
      <c r="E2354">
        <v>8</v>
      </c>
      <c r="F2354">
        <v>18</v>
      </c>
      <c r="G2354">
        <v>0.48470000000000002</v>
      </c>
      <c r="H2354">
        <v>0.50690000000000002</v>
      </c>
      <c r="I2354">
        <v>59.1</v>
      </c>
    </row>
    <row r="2355" spans="1:9" x14ac:dyDescent="0.3">
      <c r="A2355">
        <f>LOOKUP(9E+307,--MID(D2355,1,{1,2,3,4,5}))</f>
        <v>7.5</v>
      </c>
      <c r="B2355">
        <f>VLOOKUP(MID(D2355,LOOKUP(2,1/ISNUMBER(-MID(D2355,1,{1,2,3,4,5})),{1,2,3,4,5})+1,9),'Hue codes'!$A$1:$B$10,2,FALSE)</f>
        <v>20</v>
      </c>
      <c r="C2355">
        <f t="shared" si="36"/>
        <v>27.5</v>
      </c>
      <c r="D2355" t="s">
        <v>31</v>
      </c>
      <c r="E2355">
        <v>8</v>
      </c>
      <c r="F2355">
        <v>2</v>
      </c>
      <c r="G2355">
        <v>0.33789999999999998</v>
      </c>
      <c r="H2355">
        <v>0.35399999999999998</v>
      </c>
      <c r="I2355">
        <v>59.1</v>
      </c>
    </row>
    <row r="2356" spans="1:9" x14ac:dyDescent="0.3">
      <c r="A2356">
        <f>LOOKUP(9E+307,--MID(D2356,1,{1,2,3,4,5}))</f>
        <v>7.5</v>
      </c>
      <c r="B2356">
        <f>VLOOKUP(MID(D2356,LOOKUP(2,1/ISNUMBER(-MID(D2356,1,{1,2,3,4,5})),{1,2,3,4,5})+1,9),'Hue codes'!$A$1:$B$10,2,FALSE)</f>
        <v>20</v>
      </c>
      <c r="C2356">
        <f t="shared" si="36"/>
        <v>27.5</v>
      </c>
      <c r="D2356" t="s">
        <v>31</v>
      </c>
      <c r="E2356">
        <v>8</v>
      </c>
      <c r="F2356">
        <v>4</v>
      </c>
      <c r="G2356">
        <v>0.36220000000000002</v>
      </c>
      <c r="H2356">
        <v>0.3861</v>
      </c>
      <c r="I2356">
        <v>59.1</v>
      </c>
    </row>
    <row r="2357" spans="1:9" x14ac:dyDescent="0.3">
      <c r="A2357">
        <f>LOOKUP(9E+307,--MID(D2357,1,{1,2,3,4,5}))</f>
        <v>7.5</v>
      </c>
      <c r="B2357">
        <f>VLOOKUP(MID(D2357,LOOKUP(2,1/ISNUMBER(-MID(D2357,1,{1,2,3,4,5})),{1,2,3,4,5})+1,9),'Hue codes'!$A$1:$B$10,2,FALSE)</f>
        <v>20</v>
      </c>
      <c r="C2357">
        <f t="shared" si="36"/>
        <v>27.5</v>
      </c>
      <c r="D2357" t="s">
        <v>31</v>
      </c>
      <c r="E2357">
        <v>8</v>
      </c>
      <c r="F2357">
        <v>6</v>
      </c>
      <c r="G2357">
        <v>0.38619999999999999</v>
      </c>
      <c r="H2357">
        <v>0.41749999999999998</v>
      </c>
      <c r="I2357">
        <v>59.1</v>
      </c>
    </row>
    <row r="2358" spans="1:9" x14ac:dyDescent="0.3">
      <c r="A2358">
        <f>LOOKUP(9E+307,--MID(D2358,1,{1,2,3,4,5}))</f>
        <v>7.5</v>
      </c>
      <c r="B2358">
        <f>VLOOKUP(MID(D2358,LOOKUP(2,1/ISNUMBER(-MID(D2358,1,{1,2,3,4,5})),{1,2,3,4,5})+1,9),'Hue codes'!$A$1:$B$10,2,FALSE)</f>
        <v>20</v>
      </c>
      <c r="C2358">
        <f t="shared" si="36"/>
        <v>27.5</v>
      </c>
      <c r="D2358" t="s">
        <v>31</v>
      </c>
      <c r="E2358">
        <v>8</v>
      </c>
      <c r="F2358">
        <v>8</v>
      </c>
      <c r="G2358">
        <v>0.4088</v>
      </c>
      <c r="H2358">
        <v>0.4466</v>
      </c>
      <c r="I2358">
        <v>59.1</v>
      </c>
    </row>
    <row r="2359" spans="1:9" x14ac:dyDescent="0.3">
      <c r="A2359">
        <f>LOOKUP(9E+307,--MID(D2359,1,{1,2,3,4,5}))</f>
        <v>7.5</v>
      </c>
      <c r="B2359">
        <f>VLOOKUP(MID(D2359,LOOKUP(2,1/ISNUMBER(-MID(D2359,1,{1,2,3,4,5})),{1,2,3,4,5})+1,9),'Hue codes'!$A$1:$B$10,2,FALSE)</f>
        <v>20</v>
      </c>
      <c r="C2359">
        <f t="shared" si="36"/>
        <v>27.5</v>
      </c>
      <c r="D2359" t="s">
        <v>31</v>
      </c>
      <c r="E2359">
        <v>8</v>
      </c>
      <c r="F2359">
        <v>10</v>
      </c>
      <c r="G2359">
        <v>0.42830000000000001</v>
      </c>
      <c r="H2359">
        <v>0.47120000000000001</v>
      </c>
      <c r="I2359">
        <v>59.1</v>
      </c>
    </row>
    <row r="2360" spans="1:9" x14ac:dyDescent="0.3">
      <c r="A2360">
        <f>LOOKUP(9E+307,--MID(D2360,1,{1,2,3,4,5}))</f>
        <v>7.5</v>
      </c>
      <c r="B2360">
        <f>VLOOKUP(MID(D2360,LOOKUP(2,1/ISNUMBER(-MID(D2360,1,{1,2,3,4,5})),{1,2,3,4,5})+1,9),'Hue codes'!$A$1:$B$10,2,FALSE)</f>
        <v>20</v>
      </c>
      <c r="C2360">
        <f t="shared" si="36"/>
        <v>27.5</v>
      </c>
      <c r="D2360" t="s">
        <v>31</v>
      </c>
      <c r="E2360">
        <v>8</v>
      </c>
      <c r="F2360">
        <v>12</v>
      </c>
      <c r="G2360">
        <v>0.44550000000000001</v>
      </c>
      <c r="H2360">
        <v>0.49170000000000003</v>
      </c>
      <c r="I2360">
        <v>59.1</v>
      </c>
    </row>
    <row r="2361" spans="1:9" x14ac:dyDescent="0.3">
      <c r="A2361">
        <f>LOOKUP(9E+307,--MID(D2361,1,{1,2,3,4,5}))</f>
        <v>7.5</v>
      </c>
      <c r="B2361">
        <f>VLOOKUP(MID(D2361,LOOKUP(2,1/ISNUMBER(-MID(D2361,1,{1,2,3,4,5})),{1,2,3,4,5})+1,9),'Hue codes'!$A$1:$B$10,2,FALSE)</f>
        <v>20</v>
      </c>
      <c r="C2361">
        <f t="shared" si="36"/>
        <v>27.5</v>
      </c>
      <c r="D2361" t="s">
        <v>31</v>
      </c>
      <c r="E2361">
        <v>8</v>
      </c>
      <c r="F2361">
        <v>14</v>
      </c>
      <c r="G2361">
        <v>0.45739999999999997</v>
      </c>
      <c r="H2361">
        <v>0.50619999999999998</v>
      </c>
      <c r="I2361">
        <v>59.1</v>
      </c>
    </row>
    <row r="2362" spans="1:9" x14ac:dyDescent="0.3">
      <c r="A2362">
        <f>LOOKUP(9E+307,--MID(D2362,1,{1,2,3,4,5}))</f>
        <v>7.5</v>
      </c>
      <c r="B2362">
        <f>VLOOKUP(MID(D2362,LOOKUP(2,1/ISNUMBER(-MID(D2362,1,{1,2,3,4,5})),{1,2,3,4,5})+1,9),'Hue codes'!$A$1:$B$10,2,FALSE)</f>
        <v>20</v>
      </c>
      <c r="C2362">
        <f t="shared" si="36"/>
        <v>27.5</v>
      </c>
      <c r="D2362" t="s">
        <v>31</v>
      </c>
      <c r="E2362">
        <v>8</v>
      </c>
      <c r="F2362">
        <v>16</v>
      </c>
      <c r="G2362">
        <v>0.46579999999999999</v>
      </c>
      <c r="H2362">
        <v>0.51580000000000004</v>
      </c>
      <c r="I2362">
        <v>59.1</v>
      </c>
    </row>
    <row r="2363" spans="1:9" x14ac:dyDescent="0.3">
      <c r="A2363">
        <f>LOOKUP(9E+307,--MID(D2363,1,{1,2,3,4,5}))</f>
        <v>7.5</v>
      </c>
      <c r="B2363">
        <f>VLOOKUP(MID(D2363,LOOKUP(2,1/ISNUMBER(-MID(D2363,1,{1,2,3,4,5})),{1,2,3,4,5})+1,9),'Hue codes'!$A$1:$B$10,2,FALSE)</f>
        <v>20</v>
      </c>
      <c r="C2363">
        <f t="shared" si="36"/>
        <v>27.5</v>
      </c>
      <c r="D2363" t="s">
        <v>31</v>
      </c>
      <c r="E2363">
        <v>8</v>
      </c>
      <c r="F2363">
        <v>18</v>
      </c>
      <c r="G2363">
        <v>0.47089999999999999</v>
      </c>
      <c r="H2363">
        <v>0.52200000000000002</v>
      </c>
      <c r="I2363">
        <v>59.1</v>
      </c>
    </row>
    <row r="2364" spans="1:9" x14ac:dyDescent="0.3">
      <c r="A2364">
        <f>LOOKUP(9E+307,--MID(D2364,1,{1,2,3,4,5}))</f>
        <v>10</v>
      </c>
      <c r="B2364">
        <f>VLOOKUP(MID(D2364,LOOKUP(2,1/ISNUMBER(-MID(D2364,1,{1,2,3,4,5})),{1,2,3,4,5})+1,9),'Hue codes'!$A$1:$B$10,2,FALSE)</f>
        <v>20</v>
      </c>
      <c r="C2364">
        <f t="shared" si="36"/>
        <v>30</v>
      </c>
      <c r="D2364" t="s">
        <v>32</v>
      </c>
      <c r="E2364">
        <v>8</v>
      </c>
      <c r="F2364">
        <v>2</v>
      </c>
      <c r="G2364">
        <v>0.33589999999999998</v>
      </c>
      <c r="H2364">
        <v>0.35520000000000002</v>
      </c>
      <c r="I2364">
        <v>59.1</v>
      </c>
    </row>
    <row r="2365" spans="1:9" x14ac:dyDescent="0.3">
      <c r="A2365">
        <f>LOOKUP(9E+307,--MID(D2365,1,{1,2,3,4,5}))</f>
        <v>10</v>
      </c>
      <c r="B2365">
        <f>VLOOKUP(MID(D2365,LOOKUP(2,1/ISNUMBER(-MID(D2365,1,{1,2,3,4,5})),{1,2,3,4,5})+1,9),'Hue codes'!$A$1:$B$10,2,FALSE)</f>
        <v>20</v>
      </c>
      <c r="C2365">
        <f t="shared" si="36"/>
        <v>30</v>
      </c>
      <c r="D2365" t="s">
        <v>32</v>
      </c>
      <c r="E2365">
        <v>8</v>
      </c>
      <c r="F2365">
        <v>4</v>
      </c>
      <c r="G2365">
        <v>0.35809999999999997</v>
      </c>
      <c r="H2365">
        <v>0.38829999999999998</v>
      </c>
      <c r="I2365">
        <v>59.1</v>
      </c>
    </row>
    <row r="2366" spans="1:9" x14ac:dyDescent="0.3">
      <c r="A2366">
        <f>LOOKUP(9E+307,--MID(D2366,1,{1,2,3,4,5}))</f>
        <v>10</v>
      </c>
      <c r="B2366">
        <f>VLOOKUP(MID(D2366,LOOKUP(2,1/ISNUMBER(-MID(D2366,1,{1,2,3,4,5})),{1,2,3,4,5})+1,9),'Hue codes'!$A$1:$B$10,2,FALSE)</f>
        <v>20</v>
      </c>
      <c r="C2366">
        <f t="shared" si="36"/>
        <v>30</v>
      </c>
      <c r="D2366" t="s">
        <v>32</v>
      </c>
      <c r="E2366">
        <v>8</v>
      </c>
      <c r="F2366">
        <v>6</v>
      </c>
      <c r="G2366">
        <v>0.38030000000000003</v>
      </c>
      <c r="H2366">
        <v>0.42159999999999997</v>
      </c>
      <c r="I2366">
        <v>59.1</v>
      </c>
    </row>
    <row r="2367" spans="1:9" x14ac:dyDescent="0.3">
      <c r="A2367">
        <f>LOOKUP(9E+307,--MID(D2367,1,{1,2,3,4,5}))</f>
        <v>10</v>
      </c>
      <c r="B2367">
        <f>VLOOKUP(MID(D2367,LOOKUP(2,1/ISNUMBER(-MID(D2367,1,{1,2,3,4,5})),{1,2,3,4,5})+1,9),'Hue codes'!$A$1:$B$10,2,FALSE)</f>
        <v>20</v>
      </c>
      <c r="C2367">
        <f t="shared" si="36"/>
        <v>30</v>
      </c>
      <c r="D2367" t="s">
        <v>32</v>
      </c>
      <c r="E2367">
        <v>8</v>
      </c>
      <c r="F2367">
        <v>8</v>
      </c>
      <c r="G2367">
        <v>0.40079999999999999</v>
      </c>
      <c r="H2367">
        <v>0.45200000000000001</v>
      </c>
      <c r="I2367">
        <v>59.1</v>
      </c>
    </row>
    <row r="2368" spans="1:9" x14ac:dyDescent="0.3">
      <c r="A2368">
        <f>LOOKUP(9E+307,--MID(D2368,1,{1,2,3,4,5}))</f>
        <v>10</v>
      </c>
      <c r="B2368">
        <f>VLOOKUP(MID(D2368,LOOKUP(2,1/ISNUMBER(-MID(D2368,1,{1,2,3,4,5})),{1,2,3,4,5})+1,9),'Hue codes'!$A$1:$B$10,2,FALSE)</f>
        <v>20</v>
      </c>
      <c r="C2368">
        <f t="shared" si="36"/>
        <v>30</v>
      </c>
      <c r="D2368" t="s">
        <v>32</v>
      </c>
      <c r="E2368">
        <v>8</v>
      </c>
      <c r="F2368">
        <v>10</v>
      </c>
      <c r="G2368">
        <v>0.41899999999999998</v>
      </c>
      <c r="H2368">
        <v>0.47910000000000003</v>
      </c>
      <c r="I2368">
        <v>59.1</v>
      </c>
    </row>
    <row r="2369" spans="1:9" x14ac:dyDescent="0.3">
      <c r="A2369">
        <f>LOOKUP(9E+307,--MID(D2369,1,{1,2,3,4,5}))</f>
        <v>10</v>
      </c>
      <c r="B2369">
        <f>VLOOKUP(MID(D2369,LOOKUP(2,1/ISNUMBER(-MID(D2369,1,{1,2,3,4,5})),{1,2,3,4,5})+1,9),'Hue codes'!$A$1:$B$10,2,FALSE)</f>
        <v>20</v>
      </c>
      <c r="C2369">
        <f t="shared" si="36"/>
        <v>30</v>
      </c>
      <c r="D2369" t="s">
        <v>32</v>
      </c>
      <c r="E2369">
        <v>8</v>
      </c>
      <c r="F2369">
        <v>12</v>
      </c>
      <c r="G2369">
        <v>0.43409999999999999</v>
      </c>
      <c r="H2369">
        <v>0.502</v>
      </c>
      <c r="I2369">
        <v>59.1</v>
      </c>
    </row>
    <row r="2370" spans="1:9" x14ac:dyDescent="0.3">
      <c r="A2370">
        <f>LOOKUP(9E+307,--MID(D2370,1,{1,2,3,4,5}))</f>
        <v>10</v>
      </c>
      <c r="B2370">
        <f>VLOOKUP(MID(D2370,LOOKUP(2,1/ISNUMBER(-MID(D2370,1,{1,2,3,4,5})),{1,2,3,4,5})+1,9),'Hue codes'!$A$1:$B$10,2,FALSE)</f>
        <v>20</v>
      </c>
      <c r="C2370">
        <f t="shared" si="36"/>
        <v>30</v>
      </c>
      <c r="D2370" t="s">
        <v>32</v>
      </c>
      <c r="E2370">
        <v>8</v>
      </c>
      <c r="F2370">
        <v>14</v>
      </c>
      <c r="G2370">
        <v>0.44500000000000001</v>
      </c>
      <c r="H2370">
        <v>0.5181</v>
      </c>
      <c r="I2370">
        <v>59.1</v>
      </c>
    </row>
    <row r="2371" spans="1:9" x14ac:dyDescent="0.3">
      <c r="A2371">
        <f>LOOKUP(9E+307,--MID(D2371,1,{1,2,3,4,5}))</f>
        <v>10</v>
      </c>
      <c r="B2371">
        <f>VLOOKUP(MID(D2371,LOOKUP(2,1/ISNUMBER(-MID(D2371,1,{1,2,3,4,5})),{1,2,3,4,5})+1,9),'Hue codes'!$A$1:$B$10,2,FALSE)</f>
        <v>20</v>
      </c>
      <c r="C2371">
        <f t="shared" ref="C2371:C2434" si="37">IF(A2371+B2371=100,0,A2371+B2371)</f>
        <v>30</v>
      </c>
      <c r="D2371" t="s">
        <v>32</v>
      </c>
      <c r="E2371">
        <v>8</v>
      </c>
      <c r="F2371">
        <v>16</v>
      </c>
      <c r="G2371">
        <v>0.45250000000000001</v>
      </c>
      <c r="H2371">
        <v>0.52949999999999997</v>
      </c>
      <c r="I2371">
        <v>59.1</v>
      </c>
    </row>
    <row r="2372" spans="1:9" x14ac:dyDescent="0.3">
      <c r="A2372">
        <f>LOOKUP(9E+307,--MID(D2372,1,{1,2,3,4,5}))</f>
        <v>10</v>
      </c>
      <c r="B2372">
        <f>VLOOKUP(MID(D2372,LOOKUP(2,1/ISNUMBER(-MID(D2372,1,{1,2,3,4,5})),{1,2,3,4,5})+1,9),'Hue codes'!$A$1:$B$10,2,FALSE)</f>
        <v>20</v>
      </c>
      <c r="C2372">
        <f t="shared" si="37"/>
        <v>30</v>
      </c>
      <c r="D2372" t="s">
        <v>32</v>
      </c>
      <c r="E2372">
        <v>8</v>
      </c>
      <c r="F2372">
        <v>18</v>
      </c>
      <c r="G2372">
        <v>0.45700000000000002</v>
      </c>
      <c r="H2372">
        <v>0.53659999999999997</v>
      </c>
      <c r="I2372">
        <v>59.1</v>
      </c>
    </row>
    <row r="2373" spans="1:9" x14ac:dyDescent="0.3">
      <c r="A2373">
        <f>LOOKUP(9E+307,--MID(D2373,1,{1,2,3,4,5}))</f>
        <v>2.5</v>
      </c>
      <c r="B2373">
        <f>VLOOKUP(MID(D2373,LOOKUP(2,1/ISNUMBER(-MID(D2373,1,{1,2,3,4,5})),{1,2,3,4,5})+1,9),'Hue codes'!$A$1:$B$10,2,FALSE)</f>
        <v>30</v>
      </c>
      <c r="C2373">
        <f t="shared" si="37"/>
        <v>32.5</v>
      </c>
      <c r="D2373" t="s">
        <v>33</v>
      </c>
      <c r="E2373">
        <v>8</v>
      </c>
      <c r="F2373">
        <v>2</v>
      </c>
      <c r="G2373">
        <v>0.3327</v>
      </c>
      <c r="H2373">
        <v>0.35549999999999998</v>
      </c>
      <c r="I2373">
        <v>59.1</v>
      </c>
    </row>
    <row r="2374" spans="1:9" x14ac:dyDescent="0.3">
      <c r="A2374">
        <f>LOOKUP(9E+307,--MID(D2374,1,{1,2,3,4,5}))</f>
        <v>2.5</v>
      </c>
      <c r="B2374">
        <f>VLOOKUP(MID(D2374,LOOKUP(2,1/ISNUMBER(-MID(D2374,1,{1,2,3,4,5})),{1,2,3,4,5})+1,9),'Hue codes'!$A$1:$B$10,2,FALSE)</f>
        <v>30</v>
      </c>
      <c r="C2374">
        <f t="shared" si="37"/>
        <v>32.5</v>
      </c>
      <c r="D2374" t="s">
        <v>33</v>
      </c>
      <c r="E2374">
        <v>8</v>
      </c>
      <c r="F2374">
        <v>4</v>
      </c>
      <c r="G2374">
        <v>0.35039999999999999</v>
      </c>
      <c r="H2374">
        <v>0.38869999999999999</v>
      </c>
      <c r="I2374">
        <v>59.1</v>
      </c>
    </row>
    <row r="2375" spans="1:9" x14ac:dyDescent="0.3">
      <c r="A2375">
        <f>LOOKUP(9E+307,--MID(D2375,1,{1,2,3,4,5}))</f>
        <v>2.5</v>
      </c>
      <c r="B2375">
        <f>VLOOKUP(MID(D2375,LOOKUP(2,1/ISNUMBER(-MID(D2375,1,{1,2,3,4,5})),{1,2,3,4,5})+1,9),'Hue codes'!$A$1:$B$10,2,FALSE)</f>
        <v>30</v>
      </c>
      <c r="C2375">
        <f t="shared" si="37"/>
        <v>32.5</v>
      </c>
      <c r="D2375" t="s">
        <v>33</v>
      </c>
      <c r="E2375">
        <v>8</v>
      </c>
      <c r="F2375">
        <v>6</v>
      </c>
      <c r="G2375">
        <v>0.36899999999999999</v>
      </c>
      <c r="H2375">
        <v>0.42299999999999999</v>
      </c>
      <c r="I2375">
        <v>59.1</v>
      </c>
    </row>
    <row r="2376" spans="1:9" x14ac:dyDescent="0.3">
      <c r="A2376">
        <f>LOOKUP(9E+307,--MID(D2376,1,{1,2,3,4,5}))</f>
        <v>2.5</v>
      </c>
      <c r="B2376">
        <f>VLOOKUP(MID(D2376,LOOKUP(2,1/ISNUMBER(-MID(D2376,1,{1,2,3,4,5})),{1,2,3,4,5})+1,9),'Hue codes'!$A$1:$B$10,2,FALSE)</f>
        <v>30</v>
      </c>
      <c r="C2376">
        <f t="shared" si="37"/>
        <v>32.5</v>
      </c>
      <c r="D2376" t="s">
        <v>33</v>
      </c>
      <c r="E2376">
        <v>8</v>
      </c>
      <c r="F2376">
        <v>8</v>
      </c>
      <c r="G2376">
        <v>0.38579999999999998</v>
      </c>
      <c r="H2376">
        <v>0.45500000000000002</v>
      </c>
      <c r="I2376">
        <v>59.1</v>
      </c>
    </row>
    <row r="2377" spans="1:9" x14ac:dyDescent="0.3">
      <c r="A2377">
        <f>LOOKUP(9E+307,--MID(D2377,1,{1,2,3,4,5}))</f>
        <v>2.5</v>
      </c>
      <c r="B2377">
        <f>VLOOKUP(MID(D2377,LOOKUP(2,1/ISNUMBER(-MID(D2377,1,{1,2,3,4,5})),{1,2,3,4,5})+1,9),'Hue codes'!$A$1:$B$10,2,FALSE)</f>
        <v>30</v>
      </c>
      <c r="C2377">
        <f t="shared" si="37"/>
        <v>32.5</v>
      </c>
      <c r="D2377" t="s">
        <v>33</v>
      </c>
      <c r="E2377">
        <v>8</v>
      </c>
      <c r="F2377">
        <v>10</v>
      </c>
      <c r="G2377">
        <v>0.40210000000000001</v>
      </c>
      <c r="H2377">
        <v>0.4869</v>
      </c>
      <c r="I2377">
        <v>59.1</v>
      </c>
    </row>
    <row r="2378" spans="1:9" x14ac:dyDescent="0.3">
      <c r="A2378">
        <f>LOOKUP(9E+307,--MID(D2378,1,{1,2,3,4,5}))</f>
        <v>2.5</v>
      </c>
      <c r="B2378">
        <f>VLOOKUP(MID(D2378,LOOKUP(2,1/ISNUMBER(-MID(D2378,1,{1,2,3,4,5})),{1,2,3,4,5})+1,9),'Hue codes'!$A$1:$B$10,2,FALSE)</f>
        <v>30</v>
      </c>
      <c r="C2378">
        <f t="shared" si="37"/>
        <v>32.5</v>
      </c>
      <c r="D2378" t="s">
        <v>33</v>
      </c>
      <c r="E2378">
        <v>8</v>
      </c>
      <c r="F2378">
        <v>12</v>
      </c>
      <c r="G2378">
        <v>0.41539999999999999</v>
      </c>
      <c r="H2378">
        <v>0.51329999999999998</v>
      </c>
      <c r="I2378">
        <v>59.1</v>
      </c>
    </row>
    <row r="2379" spans="1:9" x14ac:dyDescent="0.3">
      <c r="A2379">
        <f>LOOKUP(9E+307,--MID(D2379,1,{1,2,3,4,5}))</f>
        <v>2.5</v>
      </c>
      <c r="B2379">
        <f>VLOOKUP(MID(D2379,LOOKUP(2,1/ISNUMBER(-MID(D2379,1,{1,2,3,4,5})),{1,2,3,4,5})+1,9),'Hue codes'!$A$1:$B$10,2,FALSE)</f>
        <v>30</v>
      </c>
      <c r="C2379">
        <f t="shared" si="37"/>
        <v>32.5</v>
      </c>
      <c r="D2379" t="s">
        <v>33</v>
      </c>
      <c r="E2379">
        <v>8</v>
      </c>
      <c r="F2379">
        <v>14</v>
      </c>
      <c r="G2379">
        <v>0.42609999999999998</v>
      </c>
      <c r="H2379">
        <v>0.53439999999999999</v>
      </c>
      <c r="I2379">
        <v>59.1</v>
      </c>
    </row>
    <row r="2380" spans="1:9" x14ac:dyDescent="0.3">
      <c r="A2380">
        <f>LOOKUP(9E+307,--MID(D2380,1,{1,2,3,4,5}))</f>
        <v>2.5</v>
      </c>
      <c r="B2380">
        <f>VLOOKUP(MID(D2380,LOOKUP(2,1/ISNUMBER(-MID(D2380,1,{1,2,3,4,5})),{1,2,3,4,5})+1,9),'Hue codes'!$A$1:$B$10,2,FALSE)</f>
        <v>30</v>
      </c>
      <c r="C2380">
        <f t="shared" si="37"/>
        <v>32.5</v>
      </c>
      <c r="D2380" t="s">
        <v>33</v>
      </c>
      <c r="E2380">
        <v>8</v>
      </c>
      <c r="F2380">
        <v>16</v>
      </c>
      <c r="G2380">
        <v>0.43269999999999997</v>
      </c>
      <c r="H2380">
        <v>0.54749999999999999</v>
      </c>
      <c r="I2380">
        <v>59.1</v>
      </c>
    </row>
    <row r="2381" spans="1:9" x14ac:dyDescent="0.3">
      <c r="A2381">
        <f>LOOKUP(9E+307,--MID(D2381,1,{1,2,3,4,5}))</f>
        <v>2.5</v>
      </c>
      <c r="B2381">
        <f>VLOOKUP(MID(D2381,LOOKUP(2,1/ISNUMBER(-MID(D2381,1,{1,2,3,4,5})),{1,2,3,4,5})+1,9),'Hue codes'!$A$1:$B$10,2,FALSE)</f>
        <v>30</v>
      </c>
      <c r="C2381">
        <f t="shared" si="37"/>
        <v>32.5</v>
      </c>
      <c r="D2381" t="s">
        <v>33</v>
      </c>
      <c r="E2381">
        <v>8</v>
      </c>
      <c r="F2381">
        <v>18</v>
      </c>
      <c r="G2381">
        <v>0.43709999999999999</v>
      </c>
      <c r="H2381">
        <v>0.55569999999999997</v>
      </c>
      <c r="I2381">
        <v>59.1</v>
      </c>
    </row>
    <row r="2382" spans="1:9" x14ac:dyDescent="0.3">
      <c r="A2382">
        <f>LOOKUP(9E+307,--MID(D2382,1,{1,2,3,4,5}))</f>
        <v>5</v>
      </c>
      <c r="B2382">
        <f>VLOOKUP(MID(D2382,LOOKUP(2,1/ISNUMBER(-MID(D2382,1,{1,2,3,4,5})),{1,2,3,4,5})+1,9),'Hue codes'!$A$1:$B$10,2,FALSE)</f>
        <v>30</v>
      </c>
      <c r="C2382">
        <f t="shared" si="37"/>
        <v>35</v>
      </c>
      <c r="D2382" t="s">
        <v>34</v>
      </c>
      <c r="E2382">
        <v>8</v>
      </c>
      <c r="F2382">
        <v>2</v>
      </c>
      <c r="G2382">
        <v>0.32840000000000003</v>
      </c>
      <c r="H2382">
        <v>0.35420000000000001</v>
      </c>
      <c r="I2382">
        <v>59.1</v>
      </c>
    </row>
    <row r="2383" spans="1:9" x14ac:dyDescent="0.3">
      <c r="A2383">
        <f>LOOKUP(9E+307,--MID(D2383,1,{1,2,3,4,5}))</f>
        <v>5</v>
      </c>
      <c r="B2383">
        <f>VLOOKUP(MID(D2383,LOOKUP(2,1/ISNUMBER(-MID(D2383,1,{1,2,3,4,5})),{1,2,3,4,5})+1,9),'Hue codes'!$A$1:$B$10,2,FALSE)</f>
        <v>30</v>
      </c>
      <c r="C2383">
        <f t="shared" si="37"/>
        <v>35</v>
      </c>
      <c r="D2383" t="s">
        <v>34</v>
      </c>
      <c r="E2383">
        <v>8</v>
      </c>
      <c r="F2383">
        <v>4</v>
      </c>
      <c r="G2383">
        <v>0.34329999999999999</v>
      </c>
      <c r="H2383">
        <v>0.38719999999999999</v>
      </c>
      <c r="I2383">
        <v>59.1</v>
      </c>
    </row>
    <row r="2384" spans="1:9" x14ac:dyDescent="0.3">
      <c r="A2384">
        <f>LOOKUP(9E+307,--MID(D2384,1,{1,2,3,4,5}))</f>
        <v>5</v>
      </c>
      <c r="B2384">
        <f>VLOOKUP(MID(D2384,LOOKUP(2,1/ISNUMBER(-MID(D2384,1,{1,2,3,4,5})),{1,2,3,4,5})+1,9),'Hue codes'!$A$1:$B$10,2,FALSE)</f>
        <v>30</v>
      </c>
      <c r="C2384">
        <f t="shared" si="37"/>
        <v>35</v>
      </c>
      <c r="D2384" t="s">
        <v>34</v>
      </c>
      <c r="E2384">
        <v>8</v>
      </c>
      <c r="F2384">
        <v>6</v>
      </c>
      <c r="G2384">
        <v>0.35730000000000001</v>
      </c>
      <c r="H2384">
        <v>0.4214</v>
      </c>
      <c r="I2384">
        <v>59.1</v>
      </c>
    </row>
    <row r="2385" spans="1:9" x14ac:dyDescent="0.3">
      <c r="A2385">
        <f>LOOKUP(9E+307,--MID(D2385,1,{1,2,3,4,5}))</f>
        <v>5</v>
      </c>
      <c r="B2385">
        <f>VLOOKUP(MID(D2385,LOOKUP(2,1/ISNUMBER(-MID(D2385,1,{1,2,3,4,5})),{1,2,3,4,5})+1,9),'Hue codes'!$A$1:$B$10,2,FALSE)</f>
        <v>30</v>
      </c>
      <c r="C2385">
        <f t="shared" si="37"/>
        <v>35</v>
      </c>
      <c r="D2385" t="s">
        <v>34</v>
      </c>
      <c r="E2385">
        <v>8</v>
      </c>
      <c r="F2385">
        <v>8</v>
      </c>
      <c r="G2385">
        <v>0.36959999999999998</v>
      </c>
      <c r="H2385">
        <v>0.45419999999999999</v>
      </c>
      <c r="I2385">
        <v>59.1</v>
      </c>
    </row>
    <row r="2386" spans="1:9" x14ac:dyDescent="0.3">
      <c r="A2386">
        <f>LOOKUP(9E+307,--MID(D2386,1,{1,2,3,4,5}))</f>
        <v>5</v>
      </c>
      <c r="B2386">
        <f>VLOOKUP(MID(D2386,LOOKUP(2,1/ISNUMBER(-MID(D2386,1,{1,2,3,4,5})),{1,2,3,4,5})+1,9),'Hue codes'!$A$1:$B$10,2,FALSE)</f>
        <v>30</v>
      </c>
      <c r="C2386">
        <f t="shared" si="37"/>
        <v>35</v>
      </c>
      <c r="D2386" t="s">
        <v>34</v>
      </c>
      <c r="E2386">
        <v>8</v>
      </c>
      <c r="F2386">
        <v>10</v>
      </c>
      <c r="G2386">
        <v>0.38159999999999999</v>
      </c>
      <c r="H2386">
        <v>0.4879</v>
      </c>
      <c r="I2386">
        <v>59.1</v>
      </c>
    </row>
    <row r="2387" spans="1:9" x14ac:dyDescent="0.3">
      <c r="A2387">
        <f>LOOKUP(9E+307,--MID(D2387,1,{1,2,3,4,5}))</f>
        <v>5</v>
      </c>
      <c r="B2387">
        <f>VLOOKUP(MID(D2387,LOOKUP(2,1/ISNUMBER(-MID(D2387,1,{1,2,3,4,5})),{1,2,3,4,5})+1,9),'Hue codes'!$A$1:$B$10,2,FALSE)</f>
        <v>30</v>
      </c>
      <c r="C2387">
        <f t="shared" si="37"/>
        <v>35</v>
      </c>
      <c r="D2387" t="s">
        <v>34</v>
      </c>
      <c r="E2387">
        <v>8</v>
      </c>
      <c r="F2387">
        <v>12</v>
      </c>
      <c r="G2387">
        <v>0.39240000000000003</v>
      </c>
      <c r="H2387">
        <v>0.51990000000000003</v>
      </c>
      <c r="I2387">
        <v>59.1</v>
      </c>
    </row>
    <row r="2388" spans="1:9" x14ac:dyDescent="0.3">
      <c r="A2388">
        <f>LOOKUP(9E+307,--MID(D2388,1,{1,2,3,4,5}))</f>
        <v>5</v>
      </c>
      <c r="B2388">
        <f>VLOOKUP(MID(D2388,LOOKUP(2,1/ISNUMBER(-MID(D2388,1,{1,2,3,4,5})),{1,2,3,4,5})+1,9),'Hue codes'!$A$1:$B$10,2,FALSE)</f>
        <v>30</v>
      </c>
      <c r="C2388">
        <f t="shared" si="37"/>
        <v>35</v>
      </c>
      <c r="D2388" t="s">
        <v>34</v>
      </c>
      <c r="E2388">
        <v>8</v>
      </c>
      <c r="F2388">
        <v>14</v>
      </c>
      <c r="G2388">
        <v>0.40110000000000001</v>
      </c>
      <c r="H2388">
        <v>0.54679999999999995</v>
      </c>
      <c r="I2388">
        <v>59.1</v>
      </c>
    </row>
    <row r="2389" spans="1:9" x14ac:dyDescent="0.3">
      <c r="A2389">
        <f>LOOKUP(9E+307,--MID(D2389,1,{1,2,3,4,5}))</f>
        <v>5</v>
      </c>
      <c r="B2389">
        <f>VLOOKUP(MID(D2389,LOOKUP(2,1/ISNUMBER(-MID(D2389,1,{1,2,3,4,5})),{1,2,3,4,5})+1,9),'Hue codes'!$A$1:$B$10,2,FALSE)</f>
        <v>30</v>
      </c>
      <c r="C2389">
        <f t="shared" si="37"/>
        <v>35</v>
      </c>
      <c r="D2389" t="s">
        <v>34</v>
      </c>
      <c r="E2389">
        <v>8</v>
      </c>
      <c r="F2389">
        <v>16</v>
      </c>
      <c r="G2389">
        <v>0.40610000000000002</v>
      </c>
      <c r="H2389">
        <v>0.56410000000000005</v>
      </c>
      <c r="I2389">
        <v>59.1</v>
      </c>
    </row>
    <row r="2390" spans="1:9" x14ac:dyDescent="0.3">
      <c r="A2390">
        <f>LOOKUP(9E+307,--MID(D2390,1,{1,2,3,4,5}))</f>
        <v>5</v>
      </c>
      <c r="B2390">
        <f>VLOOKUP(MID(D2390,LOOKUP(2,1/ISNUMBER(-MID(D2390,1,{1,2,3,4,5})),{1,2,3,4,5})+1,9),'Hue codes'!$A$1:$B$10,2,FALSE)</f>
        <v>30</v>
      </c>
      <c r="C2390">
        <f t="shared" si="37"/>
        <v>35</v>
      </c>
      <c r="D2390" t="s">
        <v>34</v>
      </c>
      <c r="E2390">
        <v>8</v>
      </c>
      <c r="F2390">
        <v>18</v>
      </c>
      <c r="G2390">
        <v>0.41039999999999999</v>
      </c>
      <c r="H2390">
        <v>0.57850000000000001</v>
      </c>
      <c r="I2390">
        <v>59.1</v>
      </c>
    </row>
    <row r="2391" spans="1:9" x14ac:dyDescent="0.3">
      <c r="A2391">
        <f>LOOKUP(9E+307,--MID(D2391,1,{1,2,3,4,5}))</f>
        <v>5</v>
      </c>
      <c r="B2391">
        <f>VLOOKUP(MID(D2391,LOOKUP(2,1/ISNUMBER(-MID(D2391,1,{1,2,3,4,5})),{1,2,3,4,5})+1,9),'Hue codes'!$A$1:$B$10,2,FALSE)</f>
        <v>30</v>
      </c>
      <c r="C2391">
        <f t="shared" si="37"/>
        <v>35</v>
      </c>
      <c r="D2391" t="s">
        <v>34</v>
      </c>
      <c r="E2391">
        <v>8</v>
      </c>
      <c r="F2391">
        <v>20</v>
      </c>
      <c r="G2391">
        <v>0.41270000000000001</v>
      </c>
      <c r="H2391">
        <v>0.58550000000000002</v>
      </c>
      <c r="I2391">
        <v>59.1</v>
      </c>
    </row>
    <row r="2392" spans="1:9" x14ac:dyDescent="0.3">
      <c r="A2392">
        <f>LOOKUP(9E+307,--MID(D2392,1,{1,2,3,4,5}))</f>
        <v>7.5</v>
      </c>
      <c r="B2392">
        <f>VLOOKUP(MID(D2392,LOOKUP(2,1/ISNUMBER(-MID(D2392,1,{1,2,3,4,5})),{1,2,3,4,5})+1,9),'Hue codes'!$A$1:$B$10,2,FALSE)</f>
        <v>30</v>
      </c>
      <c r="C2392">
        <f t="shared" si="37"/>
        <v>37.5</v>
      </c>
      <c r="D2392" t="s">
        <v>35</v>
      </c>
      <c r="E2392">
        <v>8</v>
      </c>
      <c r="F2392">
        <v>2</v>
      </c>
      <c r="G2392">
        <v>0.31940000000000002</v>
      </c>
      <c r="H2392">
        <v>0.35020000000000001</v>
      </c>
      <c r="I2392">
        <v>59.1</v>
      </c>
    </row>
    <row r="2393" spans="1:9" x14ac:dyDescent="0.3">
      <c r="A2393">
        <f>LOOKUP(9E+307,--MID(D2393,1,{1,2,3,4,5}))</f>
        <v>7.5</v>
      </c>
      <c r="B2393">
        <f>VLOOKUP(MID(D2393,LOOKUP(2,1/ISNUMBER(-MID(D2393,1,{1,2,3,4,5})),{1,2,3,4,5})+1,9),'Hue codes'!$A$1:$B$10,2,FALSE)</f>
        <v>30</v>
      </c>
      <c r="C2393">
        <f t="shared" si="37"/>
        <v>37.5</v>
      </c>
      <c r="D2393" t="s">
        <v>35</v>
      </c>
      <c r="E2393">
        <v>8</v>
      </c>
      <c r="F2393">
        <v>4</v>
      </c>
      <c r="G2393">
        <v>0.3266</v>
      </c>
      <c r="H2393">
        <v>0.38090000000000002</v>
      </c>
      <c r="I2393">
        <v>59.1</v>
      </c>
    </row>
    <row r="2394" spans="1:9" x14ac:dyDescent="0.3">
      <c r="A2394">
        <f>LOOKUP(9E+307,--MID(D2394,1,{1,2,3,4,5}))</f>
        <v>7.5</v>
      </c>
      <c r="B2394">
        <f>VLOOKUP(MID(D2394,LOOKUP(2,1/ISNUMBER(-MID(D2394,1,{1,2,3,4,5})),{1,2,3,4,5})+1,9),'Hue codes'!$A$1:$B$10,2,FALSE)</f>
        <v>30</v>
      </c>
      <c r="C2394">
        <f t="shared" si="37"/>
        <v>37.5</v>
      </c>
      <c r="D2394" t="s">
        <v>35</v>
      </c>
      <c r="E2394">
        <v>8</v>
      </c>
      <c r="F2394">
        <v>6</v>
      </c>
      <c r="G2394">
        <v>0.33389999999999997</v>
      </c>
      <c r="H2394">
        <v>0.41289999999999999</v>
      </c>
      <c r="I2394">
        <v>59.1</v>
      </c>
    </row>
    <row r="2395" spans="1:9" x14ac:dyDescent="0.3">
      <c r="A2395">
        <f>LOOKUP(9E+307,--MID(D2395,1,{1,2,3,4,5}))</f>
        <v>7.5</v>
      </c>
      <c r="B2395">
        <f>VLOOKUP(MID(D2395,LOOKUP(2,1/ISNUMBER(-MID(D2395,1,{1,2,3,4,5})),{1,2,3,4,5})+1,9),'Hue codes'!$A$1:$B$10,2,FALSE)</f>
        <v>30</v>
      </c>
      <c r="C2395">
        <f t="shared" si="37"/>
        <v>37.5</v>
      </c>
      <c r="D2395" t="s">
        <v>35</v>
      </c>
      <c r="E2395">
        <v>8</v>
      </c>
      <c r="F2395">
        <v>8</v>
      </c>
      <c r="G2395">
        <v>0.34079999999999999</v>
      </c>
      <c r="H2395">
        <v>0.44519999999999998</v>
      </c>
      <c r="I2395">
        <v>59.1</v>
      </c>
    </row>
    <row r="2396" spans="1:9" x14ac:dyDescent="0.3">
      <c r="A2396">
        <f>LOOKUP(9E+307,--MID(D2396,1,{1,2,3,4,5}))</f>
        <v>7.5</v>
      </c>
      <c r="B2396">
        <f>VLOOKUP(MID(D2396,LOOKUP(2,1/ISNUMBER(-MID(D2396,1,{1,2,3,4,5})),{1,2,3,4,5})+1,9),'Hue codes'!$A$1:$B$10,2,FALSE)</f>
        <v>30</v>
      </c>
      <c r="C2396">
        <f t="shared" si="37"/>
        <v>37.5</v>
      </c>
      <c r="D2396" t="s">
        <v>35</v>
      </c>
      <c r="E2396">
        <v>8</v>
      </c>
      <c r="F2396">
        <v>10</v>
      </c>
      <c r="G2396">
        <v>0.3463</v>
      </c>
      <c r="H2396">
        <v>0.47910000000000003</v>
      </c>
      <c r="I2396">
        <v>59.1</v>
      </c>
    </row>
    <row r="2397" spans="1:9" x14ac:dyDescent="0.3">
      <c r="A2397">
        <f>LOOKUP(9E+307,--MID(D2397,1,{1,2,3,4,5}))</f>
        <v>7.5</v>
      </c>
      <c r="B2397">
        <f>VLOOKUP(MID(D2397,LOOKUP(2,1/ISNUMBER(-MID(D2397,1,{1,2,3,4,5})),{1,2,3,4,5})+1,9),'Hue codes'!$A$1:$B$10,2,FALSE)</f>
        <v>30</v>
      </c>
      <c r="C2397">
        <f t="shared" si="37"/>
        <v>37.5</v>
      </c>
      <c r="D2397" t="s">
        <v>35</v>
      </c>
      <c r="E2397">
        <v>8</v>
      </c>
      <c r="F2397">
        <v>12</v>
      </c>
      <c r="G2397">
        <v>0.35110000000000002</v>
      </c>
      <c r="H2397">
        <v>0.51439999999999997</v>
      </c>
      <c r="I2397">
        <v>59.1</v>
      </c>
    </row>
    <row r="2398" spans="1:9" x14ac:dyDescent="0.3">
      <c r="A2398">
        <f>LOOKUP(9E+307,--MID(D2398,1,{1,2,3,4,5}))</f>
        <v>7.5</v>
      </c>
      <c r="B2398">
        <f>VLOOKUP(MID(D2398,LOOKUP(2,1/ISNUMBER(-MID(D2398,1,{1,2,3,4,5})),{1,2,3,4,5})+1,9),'Hue codes'!$A$1:$B$10,2,FALSE)</f>
        <v>30</v>
      </c>
      <c r="C2398">
        <f t="shared" si="37"/>
        <v>37.5</v>
      </c>
      <c r="D2398" t="s">
        <v>35</v>
      </c>
      <c r="E2398">
        <v>8</v>
      </c>
      <c r="F2398">
        <v>14</v>
      </c>
      <c r="G2398">
        <v>0.35460000000000003</v>
      </c>
      <c r="H2398">
        <v>0.54900000000000004</v>
      </c>
      <c r="I2398">
        <v>59.1</v>
      </c>
    </row>
    <row r="2399" spans="1:9" x14ac:dyDescent="0.3">
      <c r="A2399">
        <f>LOOKUP(9E+307,--MID(D2399,1,{1,2,3,4,5}))</f>
        <v>7.5</v>
      </c>
      <c r="B2399">
        <f>VLOOKUP(MID(D2399,LOOKUP(2,1/ISNUMBER(-MID(D2399,1,{1,2,3,4,5})),{1,2,3,4,5})+1,9),'Hue codes'!$A$1:$B$10,2,FALSE)</f>
        <v>30</v>
      </c>
      <c r="C2399">
        <f t="shared" si="37"/>
        <v>37.5</v>
      </c>
      <c r="D2399" t="s">
        <v>35</v>
      </c>
      <c r="E2399">
        <v>8</v>
      </c>
      <c r="F2399">
        <v>16</v>
      </c>
      <c r="G2399">
        <v>0.3569</v>
      </c>
      <c r="H2399">
        <v>0.57979999999999998</v>
      </c>
      <c r="I2399">
        <v>59.1</v>
      </c>
    </row>
    <row r="2400" spans="1:9" x14ac:dyDescent="0.3">
      <c r="A2400">
        <f>LOOKUP(9E+307,--MID(D2400,1,{1,2,3,4,5}))</f>
        <v>7.5</v>
      </c>
      <c r="B2400">
        <f>VLOOKUP(MID(D2400,LOOKUP(2,1/ISNUMBER(-MID(D2400,1,{1,2,3,4,5})),{1,2,3,4,5})+1,9),'Hue codes'!$A$1:$B$10,2,FALSE)</f>
        <v>30</v>
      </c>
      <c r="C2400">
        <f t="shared" si="37"/>
        <v>37.5</v>
      </c>
      <c r="D2400" t="s">
        <v>35</v>
      </c>
      <c r="E2400">
        <v>8</v>
      </c>
      <c r="F2400">
        <v>18</v>
      </c>
      <c r="G2400">
        <v>0.35849999999999999</v>
      </c>
      <c r="H2400">
        <v>0.60629999999999995</v>
      </c>
      <c r="I2400">
        <v>59.1</v>
      </c>
    </row>
    <row r="2401" spans="1:9" x14ac:dyDescent="0.3">
      <c r="A2401">
        <f>LOOKUP(9E+307,--MID(D2401,1,{1,2,3,4,5}))</f>
        <v>7.5</v>
      </c>
      <c r="B2401">
        <f>VLOOKUP(MID(D2401,LOOKUP(2,1/ISNUMBER(-MID(D2401,1,{1,2,3,4,5})),{1,2,3,4,5})+1,9),'Hue codes'!$A$1:$B$10,2,FALSE)</f>
        <v>30</v>
      </c>
      <c r="C2401">
        <f t="shared" si="37"/>
        <v>37.5</v>
      </c>
      <c r="D2401" t="s">
        <v>35</v>
      </c>
      <c r="E2401">
        <v>8</v>
      </c>
      <c r="F2401">
        <v>20</v>
      </c>
      <c r="G2401">
        <v>0.35920000000000002</v>
      </c>
      <c r="H2401">
        <v>0.62350000000000005</v>
      </c>
      <c r="I2401">
        <v>59.1</v>
      </c>
    </row>
    <row r="2402" spans="1:9" x14ac:dyDescent="0.3">
      <c r="A2402">
        <f>LOOKUP(9E+307,--MID(D2402,1,{1,2,3,4,5}))</f>
        <v>10</v>
      </c>
      <c r="B2402">
        <f>VLOOKUP(MID(D2402,LOOKUP(2,1/ISNUMBER(-MID(D2402,1,{1,2,3,4,5})),{1,2,3,4,5})+1,9),'Hue codes'!$A$1:$B$10,2,FALSE)</f>
        <v>30</v>
      </c>
      <c r="C2402">
        <f t="shared" si="37"/>
        <v>40</v>
      </c>
      <c r="D2402" t="s">
        <v>36</v>
      </c>
      <c r="E2402">
        <v>8</v>
      </c>
      <c r="F2402">
        <v>2</v>
      </c>
      <c r="G2402">
        <v>0.31209999999999999</v>
      </c>
      <c r="H2402">
        <v>0.34589999999999999</v>
      </c>
      <c r="I2402">
        <v>59.1</v>
      </c>
    </row>
    <row r="2403" spans="1:9" x14ac:dyDescent="0.3">
      <c r="A2403">
        <f>LOOKUP(9E+307,--MID(D2403,1,{1,2,3,4,5}))</f>
        <v>10</v>
      </c>
      <c r="B2403">
        <f>VLOOKUP(MID(D2403,LOOKUP(2,1/ISNUMBER(-MID(D2403,1,{1,2,3,4,5})),{1,2,3,4,5})+1,9),'Hue codes'!$A$1:$B$10,2,FALSE)</f>
        <v>30</v>
      </c>
      <c r="C2403">
        <f t="shared" si="37"/>
        <v>40</v>
      </c>
      <c r="D2403" t="s">
        <v>36</v>
      </c>
      <c r="E2403">
        <v>8</v>
      </c>
      <c r="F2403">
        <v>4</v>
      </c>
      <c r="G2403">
        <v>0.314</v>
      </c>
      <c r="H2403">
        <v>0.37269999999999998</v>
      </c>
      <c r="I2403">
        <v>59.1</v>
      </c>
    </row>
    <row r="2404" spans="1:9" x14ac:dyDescent="0.3">
      <c r="A2404">
        <f>LOOKUP(9E+307,--MID(D2404,1,{1,2,3,4,5}))</f>
        <v>10</v>
      </c>
      <c r="B2404">
        <f>VLOOKUP(MID(D2404,LOOKUP(2,1/ISNUMBER(-MID(D2404,1,{1,2,3,4,5})),{1,2,3,4,5})+1,9),'Hue codes'!$A$1:$B$10,2,FALSE)</f>
        <v>30</v>
      </c>
      <c r="C2404">
        <f t="shared" si="37"/>
        <v>40</v>
      </c>
      <c r="D2404" t="s">
        <v>36</v>
      </c>
      <c r="E2404">
        <v>8</v>
      </c>
      <c r="F2404">
        <v>6</v>
      </c>
      <c r="G2404">
        <v>0.315</v>
      </c>
      <c r="H2404">
        <v>0.40139999999999998</v>
      </c>
      <c r="I2404">
        <v>59.1</v>
      </c>
    </row>
    <row r="2405" spans="1:9" x14ac:dyDescent="0.3">
      <c r="A2405">
        <f>LOOKUP(9E+307,--MID(D2405,1,{1,2,3,4,5}))</f>
        <v>10</v>
      </c>
      <c r="B2405">
        <f>VLOOKUP(MID(D2405,LOOKUP(2,1/ISNUMBER(-MID(D2405,1,{1,2,3,4,5})),{1,2,3,4,5})+1,9),'Hue codes'!$A$1:$B$10,2,FALSE)</f>
        <v>30</v>
      </c>
      <c r="C2405">
        <f t="shared" si="37"/>
        <v>40</v>
      </c>
      <c r="D2405" t="s">
        <v>36</v>
      </c>
      <c r="E2405">
        <v>8</v>
      </c>
      <c r="F2405">
        <v>8</v>
      </c>
      <c r="G2405">
        <v>0.31490000000000001</v>
      </c>
      <c r="H2405">
        <v>0.4284</v>
      </c>
      <c r="I2405">
        <v>59.1</v>
      </c>
    </row>
    <row r="2406" spans="1:9" x14ac:dyDescent="0.3">
      <c r="A2406">
        <f>LOOKUP(9E+307,--MID(D2406,1,{1,2,3,4,5}))</f>
        <v>10</v>
      </c>
      <c r="B2406">
        <f>VLOOKUP(MID(D2406,LOOKUP(2,1/ISNUMBER(-MID(D2406,1,{1,2,3,4,5})),{1,2,3,4,5})+1,9),'Hue codes'!$A$1:$B$10,2,FALSE)</f>
        <v>30</v>
      </c>
      <c r="C2406">
        <f t="shared" si="37"/>
        <v>40</v>
      </c>
      <c r="D2406" t="s">
        <v>36</v>
      </c>
      <c r="E2406">
        <v>8</v>
      </c>
      <c r="F2406">
        <v>10</v>
      </c>
      <c r="G2406">
        <v>0.314</v>
      </c>
      <c r="H2406">
        <v>0.46010000000000001</v>
      </c>
      <c r="I2406">
        <v>59.1</v>
      </c>
    </row>
    <row r="2407" spans="1:9" x14ac:dyDescent="0.3">
      <c r="A2407">
        <f>LOOKUP(9E+307,--MID(D2407,1,{1,2,3,4,5}))</f>
        <v>10</v>
      </c>
      <c r="B2407">
        <f>VLOOKUP(MID(D2407,LOOKUP(2,1/ISNUMBER(-MID(D2407,1,{1,2,3,4,5})),{1,2,3,4,5})+1,9),'Hue codes'!$A$1:$B$10,2,FALSE)</f>
        <v>30</v>
      </c>
      <c r="C2407">
        <f t="shared" si="37"/>
        <v>40</v>
      </c>
      <c r="D2407" t="s">
        <v>36</v>
      </c>
      <c r="E2407">
        <v>8</v>
      </c>
      <c r="F2407">
        <v>12</v>
      </c>
      <c r="G2407">
        <v>0.31240000000000001</v>
      </c>
      <c r="H2407">
        <v>0.49259999999999998</v>
      </c>
      <c r="I2407">
        <v>59.1</v>
      </c>
    </row>
    <row r="2408" spans="1:9" x14ac:dyDescent="0.3">
      <c r="A2408">
        <f>LOOKUP(9E+307,--MID(D2408,1,{1,2,3,4,5}))</f>
        <v>10</v>
      </c>
      <c r="B2408">
        <f>VLOOKUP(MID(D2408,LOOKUP(2,1/ISNUMBER(-MID(D2408,1,{1,2,3,4,5})),{1,2,3,4,5})+1,9),'Hue codes'!$A$1:$B$10,2,FALSE)</f>
        <v>30</v>
      </c>
      <c r="C2408">
        <f t="shared" si="37"/>
        <v>40</v>
      </c>
      <c r="D2408" t="s">
        <v>36</v>
      </c>
      <c r="E2408">
        <v>8</v>
      </c>
      <c r="F2408">
        <v>14</v>
      </c>
      <c r="G2408">
        <v>0.30909999999999999</v>
      </c>
      <c r="H2408">
        <v>0.52470000000000006</v>
      </c>
      <c r="I2408">
        <v>59.1</v>
      </c>
    </row>
    <row r="2409" spans="1:9" x14ac:dyDescent="0.3">
      <c r="A2409">
        <f>LOOKUP(9E+307,--MID(D2409,1,{1,2,3,4,5}))</f>
        <v>10</v>
      </c>
      <c r="B2409">
        <f>VLOOKUP(MID(D2409,LOOKUP(2,1/ISNUMBER(-MID(D2409,1,{1,2,3,4,5})),{1,2,3,4,5})+1,9),'Hue codes'!$A$1:$B$10,2,FALSE)</f>
        <v>30</v>
      </c>
      <c r="C2409">
        <f t="shared" si="37"/>
        <v>40</v>
      </c>
      <c r="D2409" t="s">
        <v>36</v>
      </c>
      <c r="E2409">
        <v>8</v>
      </c>
      <c r="F2409">
        <v>16</v>
      </c>
      <c r="G2409">
        <v>0.30430000000000001</v>
      </c>
      <c r="H2409">
        <v>0.55779999999999996</v>
      </c>
      <c r="I2409">
        <v>59.1</v>
      </c>
    </row>
    <row r="2410" spans="1:9" x14ac:dyDescent="0.3">
      <c r="A2410">
        <f>LOOKUP(9E+307,--MID(D2410,1,{1,2,3,4,5}))</f>
        <v>10</v>
      </c>
      <c r="B2410">
        <f>VLOOKUP(MID(D2410,LOOKUP(2,1/ISNUMBER(-MID(D2410,1,{1,2,3,4,5})),{1,2,3,4,5})+1,9),'Hue codes'!$A$1:$B$10,2,FALSE)</f>
        <v>30</v>
      </c>
      <c r="C2410">
        <f t="shared" si="37"/>
        <v>40</v>
      </c>
      <c r="D2410" t="s">
        <v>36</v>
      </c>
      <c r="E2410">
        <v>8</v>
      </c>
      <c r="F2410">
        <v>18</v>
      </c>
      <c r="G2410">
        <v>0.29870000000000002</v>
      </c>
      <c r="H2410">
        <v>0.59189999999999998</v>
      </c>
      <c r="I2410">
        <v>59.1</v>
      </c>
    </row>
    <row r="2411" spans="1:9" x14ac:dyDescent="0.3">
      <c r="A2411">
        <f>LOOKUP(9E+307,--MID(D2411,1,{1,2,3,4,5}))</f>
        <v>10</v>
      </c>
      <c r="B2411">
        <f>VLOOKUP(MID(D2411,LOOKUP(2,1/ISNUMBER(-MID(D2411,1,{1,2,3,4,5})),{1,2,3,4,5})+1,9),'Hue codes'!$A$1:$B$10,2,FALSE)</f>
        <v>30</v>
      </c>
      <c r="C2411">
        <f t="shared" si="37"/>
        <v>40</v>
      </c>
      <c r="D2411" t="s">
        <v>36</v>
      </c>
      <c r="E2411">
        <v>8</v>
      </c>
      <c r="F2411">
        <v>20</v>
      </c>
      <c r="G2411">
        <v>0.2918</v>
      </c>
      <c r="H2411">
        <v>0.62549999999999994</v>
      </c>
      <c r="I2411">
        <v>59.1</v>
      </c>
    </row>
    <row r="2412" spans="1:9" x14ac:dyDescent="0.3">
      <c r="A2412">
        <f>LOOKUP(9E+307,--MID(D2412,1,{1,2,3,4,5}))</f>
        <v>10</v>
      </c>
      <c r="B2412">
        <f>VLOOKUP(MID(D2412,LOOKUP(2,1/ISNUMBER(-MID(D2412,1,{1,2,3,4,5})),{1,2,3,4,5})+1,9),'Hue codes'!$A$1:$B$10,2,FALSE)</f>
        <v>30</v>
      </c>
      <c r="C2412">
        <f t="shared" si="37"/>
        <v>40</v>
      </c>
      <c r="D2412" t="s">
        <v>36</v>
      </c>
      <c r="E2412">
        <v>8</v>
      </c>
      <c r="F2412">
        <v>22</v>
      </c>
      <c r="G2412">
        <v>0.28460000000000002</v>
      </c>
      <c r="H2412">
        <v>0.65639999999999998</v>
      </c>
      <c r="I2412">
        <v>59.1</v>
      </c>
    </row>
    <row r="2413" spans="1:9" x14ac:dyDescent="0.3">
      <c r="A2413">
        <f>LOOKUP(9E+307,--MID(D2413,1,{1,2,3,4,5}))</f>
        <v>10</v>
      </c>
      <c r="B2413">
        <f>VLOOKUP(MID(D2413,LOOKUP(2,1/ISNUMBER(-MID(D2413,1,{1,2,3,4,5})),{1,2,3,4,5})+1,9),'Hue codes'!$A$1:$B$10,2,FALSE)</f>
        <v>30</v>
      </c>
      <c r="C2413">
        <f t="shared" si="37"/>
        <v>40</v>
      </c>
      <c r="D2413" t="s">
        <v>36</v>
      </c>
      <c r="E2413">
        <v>8</v>
      </c>
      <c r="F2413">
        <v>24</v>
      </c>
      <c r="G2413">
        <v>0.27810000000000001</v>
      </c>
      <c r="H2413">
        <v>0.68400000000000005</v>
      </c>
      <c r="I2413">
        <v>59.1</v>
      </c>
    </row>
    <row r="2414" spans="1:9" x14ac:dyDescent="0.3">
      <c r="A2414">
        <f>LOOKUP(9E+307,--MID(D2414,1,{1,2,3,4,5}))</f>
        <v>2.5</v>
      </c>
      <c r="B2414">
        <f>VLOOKUP(MID(D2414,LOOKUP(2,1/ISNUMBER(-MID(D2414,1,{1,2,3,4,5})),{1,2,3,4,5})+1,9),'Hue codes'!$A$1:$B$10,2,FALSE)</f>
        <v>40</v>
      </c>
      <c r="C2414">
        <f t="shared" si="37"/>
        <v>42.5</v>
      </c>
      <c r="D2414" t="s">
        <v>37</v>
      </c>
      <c r="E2414">
        <v>8</v>
      </c>
      <c r="F2414">
        <v>2</v>
      </c>
      <c r="G2414">
        <v>0.30530000000000002</v>
      </c>
      <c r="H2414">
        <v>0.34039999999999998</v>
      </c>
      <c r="I2414">
        <v>59.1</v>
      </c>
    </row>
    <row r="2415" spans="1:9" x14ac:dyDescent="0.3">
      <c r="A2415">
        <f>LOOKUP(9E+307,--MID(D2415,1,{1,2,3,4,5}))</f>
        <v>2.5</v>
      </c>
      <c r="B2415">
        <f>VLOOKUP(MID(D2415,LOOKUP(2,1/ISNUMBER(-MID(D2415,1,{1,2,3,4,5})),{1,2,3,4,5})+1,9),'Hue codes'!$A$1:$B$10,2,FALSE)</f>
        <v>40</v>
      </c>
      <c r="C2415">
        <f t="shared" si="37"/>
        <v>42.5</v>
      </c>
      <c r="D2415" t="s">
        <v>37</v>
      </c>
      <c r="E2415">
        <v>8</v>
      </c>
      <c r="F2415">
        <v>4</v>
      </c>
      <c r="G2415">
        <v>0.3009</v>
      </c>
      <c r="H2415">
        <v>0.3614</v>
      </c>
      <c r="I2415">
        <v>59.1</v>
      </c>
    </row>
    <row r="2416" spans="1:9" x14ac:dyDescent="0.3">
      <c r="A2416">
        <f>LOOKUP(9E+307,--MID(D2416,1,{1,2,3,4,5}))</f>
        <v>2.5</v>
      </c>
      <c r="B2416">
        <f>VLOOKUP(MID(D2416,LOOKUP(2,1/ISNUMBER(-MID(D2416,1,{1,2,3,4,5})),{1,2,3,4,5})+1,9),'Hue codes'!$A$1:$B$10,2,FALSE)</f>
        <v>40</v>
      </c>
      <c r="C2416">
        <f t="shared" si="37"/>
        <v>42.5</v>
      </c>
      <c r="D2416" t="s">
        <v>37</v>
      </c>
      <c r="E2416">
        <v>8</v>
      </c>
      <c r="F2416">
        <v>6</v>
      </c>
      <c r="G2416">
        <v>0.29520000000000002</v>
      </c>
      <c r="H2416">
        <v>0.3851</v>
      </c>
      <c r="I2416">
        <v>59.1</v>
      </c>
    </row>
    <row r="2417" spans="1:9" x14ac:dyDescent="0.3">
      <c r="A2417">
        <f>LOOKUP(9E+307,--MID(D2417,1,{1,2,3,4,5}))</f>
        <v>2.5</v>
      </c>
      <c r="B2417">
        <f>VLOOKUP(MID(D2417,LOOKUP(2,1/ISNUMBER(-MID(D2417,1,{1,2,3,4,5})),{1,2,3,4,5})+1,9),'Hue codes'!$A$1:$B$10,2,FALSE)</f>
        <v>40</v>
      </c>
      <c r="C2417">
        <f t="shared" si="37"/>
        <v>42.5</v>
      </c>
      <c r="D2417" t="s">
        <v>37</v>
      </c>
      <c r="E2417">
        <v>8</v>
      </c>
      <c r="F2417">
        <v>8</v>
      </c>
      <c r="G2417">
        <v>0.28960000000000002</v>
      </c>
      <c r="H2417">
        <v>0.40649999999999997</v>
      </c>
      <c r="I2417">
        <v>59.1</v>
      </c>
    </row>
    <row r="2418" spans="1:9" x14ac:dyDescent="0.3">
      <c r="A2418">
        <f>LOOKUP(9E+307,--MID(D2418,1,{1,2,3,4,5}))</f>
        <v>2.5</v>
      </c>
      <c r="B2418">
        <f>VLOOKUP(MID(D2418,LOOKUP(2,1/ISNUMBER(-MID(D2418,1,{1,2,3,4,5})),{1,2,3,4,5})+1,9),'Hue codes'!$A$1:$B$10,2,FALSE)</f>
        <v>40</v>
      </c>
      <c r="C2418">
        <f t="shared" si="37"/>
        <v>42.5</v>
      </c>
      <c r="D2418" t="s">
        <v>37</v>
      </c>
      <c r="E2418">
        <v>8</v>
      </c>
      <c r="F2418">
        <v>10</v>
      </c>
      <c r="G2418">
        <v>0.28289999999999998</v>
      </c>
      <c r="H2418">
        <v>0.43009999999999998</v>
      </c>
      <c r="I2418">
        <v>59.1</v>
      </c>
    </row>
    <row r="2419" spans="1:9" x14ac:dyDescent="0.3">
      <c r="A2419">
        <f>LOOKUP(9E+307,--MID(D2419,1,{1,2,3,4,5}))</f>
        <v>2.5</v>
      </c>
      <c r="B2419">
        <f>VLOOKUP(MID(D2419,LOOKUP(2,1/ISNUMBER(-MID(D2419,1,{1,2,3,4,5})),{1,2,3,4,5})+1,9),'Hue codes'!$A$1:$B$10,2,FALSE)</f>
        <v>40</v>
      </c>
      <c r="C2419">
        <f t="shared" si="37"/>
        <v>42.5</v>
      </c>
      <c r="D2419" t="s">
        <v>37</v>
      </c>
      <c r="E2419">
        <v>8</v>
      </c>
      <c r="F2419">
        <v>12</v>
      </c>
      <c r="G2419">
        <v>0.27429999999999999</v>
      </c>
      <c r="H2419">
        <v>0.45540000000000003</v>
      </c>
      <c r="I2419">
        <v>59.1</v>
      </c>
    </row>
    <row r="2420" spans="1:9" x14ac:dyDescent="0.3">
      <c r="A2420">
        <f>LOOKUP(9E+307,--MID(D2420,1,{1,2,3,4,5}))</f>
        <v>2.5</v>
      </c>
      <c r="B2420">
        <f>VLOOKUP(MID(D2420,LOOKUP(2,1/ISNUMBER(-MID(D2420,1,{1,2,3,4,5})),{1,2,3,4,5})+1,9),'Hue codes'!$A$1:$B$10,2,FALSE)</f>
        <v>40</v>
      </c>
      <c r="C2420">
        <f t="shared" si="37"/>
        <v>42.5</v>
      </c>
      <c r="D2420" t="s">
        <v>37</v>
      </c>
      <c r="E2420">
        <v>8</v>
      </c>
      <c r="F2420">
        <v>14</v>
      </c>
      <c r="G2420">
        <v>0.2661</v>
      </c>
      <c r="H2420">
        <v>0.47799999999999998</v>
      </c>
      <c r="I2420">
        <v>59.1</v>
      </c>
    </row>
    <row r="2421" spans="1:9" x14ac:dyDescent="0.3">
      <c r="A2421">
        <f>LOOKUP(9E+307,--MID(D2421,1,{1,2,3,4,5}))</f>
        <v>2.5</v>
      </c>
      <c r="B2421">
        <f>VLOOKUP(MID(D2421,LOOKUP(2,1/ISNUMBER(-MID(D2421,1,{1,2,3,4,5})),{1,2,3,4,5})+1,9),'Hue codes'!$A$1:$B$10,2,FALSE)</f>
        <v>40</v>
      </c>
      <c r="C2421">
        <f t="shared" si="37"/>
        <v>42.5</v>
      </c>
      <c r="D2421" t="s">
        <v>37</v>
      </c>
      <c r="E2421">
        <v>8</v>
      </c>
      <c r="F2421">
        <v>16</v>
      </c>
      <c r="G2421">
        <v>0.25629999999999997</v>
      </c>
      <c r="H2421">
        <v>0.50449999999999995</v>
      </c>
      <c r="I2421">
        <v>59.1</v>
      </c>
    </row>
    <row r="2422" spans="1:9" x14ac:dyDescent="0.3">
      <c r="A2422">
        <f>LOOKUP(9E+307,--MID(D2422,1,{1,2,3,4,5}))</f>
        <v>2.5</v>
      </c>
      <c r="B2422">
        <f>VLOOKUP(MID(D2422,LOOKUP(2,1/ISNUMBER(-MID(D2422,1,{1,2,3,4,5})),{1,2,3,4,5})+1,9),'Hue codes'!$A$1:$B$10,2,FALSE)</f>
        <v>40</v>
      </c>
      <c r="C2422">
        <f t="shared" si="37"/>
        <v>42.5</v>
      </c>
      <c r="D2422" t="s">
        <v>37</v>
      </c>
      <c r="E2422">
        <v>8</v>
      </c>
      <c r="F2422">
        <v>18</v>
      </c>
      <c r="G2422">
        <v>0.24510000000000001</v>
      </c>
      <c r="H2422">
        <v>0.53090000000000004</v>
      </c>
      <c r="I2422">
        <v>59.1</v>
      </c>
    </row>
    <row r="2423" spans="1:9" x14ac:dyDescent="0.3">
      <c r="A2423">
        <f>LOOKUP(9E+307,--MID(D2423,1,{1,2,3,4,5}))</f>
        <v>2.5</v>
      </c>
      <c r="B2423">
        <f>VLOOKUP(MID(D2423,LOOKUP(2,1/ISNUMBER(-MID(D2423,1,{1,2,3,4,5})),{1,2,3,4,5})+1,9),'Hue codes'!$A$1:$B$10,2,FALSE)</f>
        <v>40</v>
      </c>
      <c r="C2423">
        <f t="shared" si="37"/>
        <v>42.5</v>
      </c>
      <c r="D2423" t="s">
        <v>37</v>
      </c>
      <c r="E2423">
        <v>8</v>
      </c>
      <c r="F2423">
        <v>20</v>
      </c>
      <c r="G2423">
        <v>0.2339</v>
      </c>
      <c r="H2423">
        <v>0.55610000000000004</v>
      </c>
      <c r="I2423">
        <v>59.1</v>
      </c>
    </row>
    <row r="2424" spans="1:9" x14ac:dyDescent="0.3">
      <c r="A2424">
        <f>LOOKUP(9E+307,--MID(D2424,1,{1,2,3,4,5}))</f>
        <v>2.5</v>
      </c>
      <c r="B2424">
        <f>VLOOKUP(MID(D2424,LOOKUP(2,1/ISNUMBER(-MID(D2424,1,{1,2,3,4,5})),{1,2,3,4,5})+1,9),'Hue codes'!$A$1:$B$10,2,FALSE)</f>
        <v>40</v>
      </c>
      <c r="C2424">
        <f t="shared" si="37"/>
        <v>42.5</v>
      </c>
      <c r="D2424" t="s">
        <v>37</v>
      </c>
      <c r="E2424">
        <v>8</v>
      </c>
      <c r="F2424">
        <v>22</v>
      </c>
      <c r="G2424">
        <v>0.22209999999999999</v>
      </c>
      <c r="H2424">
        <v>0.57989999999999997</v>
      </c>
      <c r="I2424">
        <v>59.1</v>
      </c>
    </row>
    <row r="2425" spans="1:9" x14ac:dyDescent="0.3">
      <c r="A2425">
        <f>LOOKUP(9E+307,--MID(D2425,1,{1,2,3,4,5}))</f>
        <v>2.5</v>
      </c>
      <c r="B2425">
        <f>VLOOKUP(MID(D2425,LOOKUP(2,1/ISNUMBER(-MID(D2425,1,{1,2,3,4,5})),{1,2,3,4,5})+1,9),'Hue codes'!$A$1:$B$10,2,FALSE)</f>
        <v>40</v>
      </c>
      <c r="C2425">
        <f t="shared" si="37"/>
        <v>42.5</v>
      </c>
      <c r="D2425" t="s">
        <v>37</v>
      </c>
      <c r="E2425">
        <v>8</v>
      </c>
      <c r="F2425">
        <v>24</v>
      </c>
      <c r="G2425">
        <v>0.20910000000000001</v>
      </c>
      <c r="H2425">
        <v>0.60329999999999995</v>
      </c>
      <c r="I2425">
        <v>59.1</v>
      </c>
    </row>
    <row r="2426" spans="1:9" x14ac:dyDescent="0.3">
      <c r="A2426">
        <f>LOOKUP(9E+307,--MID(D2426,1,{1,2,3,4,5}))</f>
        <v>5</v>
      </c>
      <c r="B2426">
        <f>VLOOKUP(MID(D2426,LOOKUP(2,1/ISNUMBER(-MID(D2426,1,{1,2,3,4,5})),{1,2,3,4,5})+1,9),'Hue codes'!$A$1:$B$10,2,FALSE)</f>
        <v>40</v>
      </c>
      <c r="C2426">
        <f t="shared" si="37"/>
        <v>45</v>
      </c>
      <c r="D2426" t="s">
        <v>38</v>
      </c>
      <c r="E2426">
        <v>8</v>
      </c>
      <c r="F2426">
        <v>2</v>
      </c>
      <c r="G2426">
        <v>0.3009</v>
      </c>
      <c r="H2426">
        <v>0.33589999999999998</v>
      </c>
      <c r="I2426">
        <v>59.1</v>
      </c>
    </row>
    <row r="2427" spans="1:9" x14ac:dyDescent="0.3">
      <c r="A2427">
        <f>LOOKUP(9E+307,--MID(D2427,1,{1,2,3,4,5}))</f>
        <v>5</v>
      </c>
      <c r="B2427">
        <f>VLOOKUP(MID(D2427,LOOKUP(2,1/ISNUMBER(-MID(D2427,1,{1,2,3,4,5})),{1,2,3,4,5})+1,9),'Hue codes'!$A$1:$B$10,2,FALSE)</f>
        <v>40</v>
      </c>
      <c r="C2427">
        <f t="shared" si="37"/>
        <v>45</v>
      </c>
      <c r="D2427" t="s">
        <v>38</v>
      </c>
      <c r="E2427">
        <v>8</v>
      </c>
      <c r="F2427">
        <v>4</v>
      </c>
      <c r="G2427">
        <v>0.29239999999999999</v>
      </c>
      <c r="H2427">
        <v>0.3523</v>
      </c>
      <c r="I2427">
        <v>59.1</v>
      </c>
    </row>
    <row r="2428" spans="1:9" x14ac:dyDescent="0.3">
      <c r="A2428">
        <f>LOOKUP(9E+307,--MID(D2428,1,{1,2,3,4,5}))</f>
        <v>5</v>
      </c>
      <c r="B2428">
        <f>VLOOKUP(MID(D2428,LOOKUP(2,1/ISNUMBER(-MID(D2428,1,{1,2,3,4,5})),{1,2,3,4,5})+1,9),'Hue codes'!$A$1:$B$10,2,FALSE)</f>
        <v>40</v>
      </c>
      <c r="C2428">
        <f t="shared" si="37"/>
        <v>45</v>
      </c>
      <c r="D2428" t="s">
        <v>38</v>
      </c>
      <c r="E2428">
        <v>8</v>
      </c>
      <c r="F2428">
        <v>6</v>
      </c>
      <c r="G2428">
        <v>0.28220000000000001</v>
      </c>
      <c r="H2428">
        <v>0.37019999999999997</v>
      </c>
      <c r="I2428">
        <v>59.1</v>
      </c>
    </row>
    <row r="2429" spans="1:9" x14ac:dyDescent="0.3">
      <c r="A2429">
        <f>LOOKUP(9E+307,--MID(D2429,1,{1,2,3,4,5}))</f>
        <v>5</v>
      </c>
      <c r="B2429">
        <f>VLOOKUP(MID(D2429,LOOKUP(2,1/ISNUMBER(-MID(D2429,1,{1,2,3,4,5})),{1,2,3,4,5})+1,9),'Hue codes'!$A$1:$B$10,2,FALSE)</f>
        <v>40</v>
      </c>
      <c r="C2429">
        <f t="shared" si="37"/>
        <v>45</v>
      </c>
      <c r="D2429" t="s">
        <v>38</v>
      </c>
      <c r="E2429">
        <v>8</v>
      </c>
      <c r="F2429">
        <v>8</v>
      </c>
      <c r="G2429">
        <v>0.27229999999999999</v>
      </c>
      <c r="H2429">
        <v>0.38650000000000001</v>
      </c>
      <c r="I2429">
        <v>59.1</v>
      </c>
    </row>
    <row r="2430" spans="1:9" x14ac:dyDescent="0.3">
      <c r="A2430">
        <f>LOOKUP(9E+307,--MID(D2430,1,{1,2,3,4,5}))</f>
        <v>5</v>
      </c>
      <c r="B2430">
        <f>VLOOKUP(MID(D2430,LOOKUP(2,1/ISNUMBER(-MID(D2430,1,{1,2,3,4,5})),{1,2,3,4,5})+1,9),'Hue codes'!$A$1:$B$10,2,FALSE)</f>
        <v>40</v>
      </c>
      <c r="C2430">
        <f t="shared" si="37"/>
        <v>45</v>
      </c>
      <c r="D2430" t="s">
        <v>38</v>
      </c>
      <c r="E2430">
        <v>8</v>
      </c>
      <c r="F2430">
        <v>10</v>
      </c>
      <c r="G2430">
        <v>0.26129999999999998</v>
      </c>
      <c r="H2430">
        <v>0.40260000000000001</v>
      </c>
      <c r="I2430">
        <v>59.1</v>
      </c>
    </row>
    <row r="2431" spans="1:9" x14ac:dyDescent="0.3">
      <c r="A2431">
        <f>LOOKUP(9E+307,--MID(D2431,1,{1,2,3,4,5}))</f>
        <v>5</v>
      </c>
      <c r="B2431">
        <f>VLOOKUP(MID(D2431,LOOKUP(2,1/ISNUMBER(-MID(D2431,1,{1,2,3,4,5})),{1,2,3,4,5})+1,9),'Hue codes'!$A$1:$B$10,2,FALSE)</f>
        <v>40</v>
      </c>
      <c r="C2431">
        <f t="shared" si="37"/>
        <v>45</v>
      </c>
      <c r="D2431" t="s">
        <v>38</v>
      </c>
      <c r="E2431">
        <v>8</v>
      </c>
      <c r="F2431">
        <v>12</v>
      </c>
      <c r="G2431">
        <v>0.24890000000000001</v>
      </c>
      <c r="H2431">
        <v>0.41909999999999997</v>
      </c>
      <c r="I2431">
        <v>59.1</v>
      </c>
    </row>
    <row r="2432" spans="1:9" x14ac:dyDescent="0.3">
      <c r="A2432">
        <f>LOOKUP(9E+307,--MID(D2432,1,{1,2,3,4,5}))</f>
        <v>5</v>
      </c>
      <c r="B2432">
        <f>VLOOKUP(MID(D2432,LOOKUP(2,1/ISNUMBER(-MID(D2432,1,{1,2,3,4,5})),{1,2,3,4,5})+1,9),'Hue codes'!$A$1:$B$10,2,FALSE)</f>
        <v>40</v>
      </c>
      <c r="C2432">
        <f t="shared" si="37"/>
        <v>45</v>
      </c>
      <c r="D2432" t="s">
        <v>38</v>
      </c>
      <c r="E2432">
        <v>8</v>
      </c>
      <c r="F2432">
        <v>14</v>
      </c>
      <c r="G2432">
        <v>0.23680000000000001</v>
      </c>
      <c r="H2432">
        <v>0.43480000000000002</v>
      </c>
      <c r="I2432">
        <v>59.1</v>
      </c>
    </row>
    <row r="2433" spans="1:9" x14ac:dyDescent="0.3">
      <c r="A2433">
        <f>LOOKUP(9E+307,--MID(D2433,1,{1,2,3,4,5}))</f>
        <v>5</v>
      </c>
      <c r="B2433">
        <f>VLOOKUP(MID(D2433,LOOKUP(2,1/ISNUMBER(-MID(D2433,1,{1,2,3,4,5})),{1,2,3,4,5})+1,9),'Hue codes'!$A$1:$B$10,2,FALSE)</f>
        <v>40</v>
      </c>
      <c r="C2433">
        <f t="shared" si="37"/>
        <v>45</v>
      </c>
      <c r="D2433" t="s">
        <v>38</v>
      </c>
      <c r="E2433">
        <v>8</v>
      </c>
      <c r="F2433">
        <v>16</v>
      </c>
      <c r="G2433">
        <v>0.224</v>
      </c>
      <c r="H2433">
        <v>0.45</v>
      </c>
      <c r="I2433">
        <v>59.1</v>
      </c>
    </row>
    <row r="2434" spans="1:9" x14ac:dyDescent="0.3">
      <c r="A2434">
        <f>LOOKUP(9E+307,--MID(D2434,1,{1,2,3,4,5}))</f>
        <v>5</v>
      </c>
      <c r="B2434">
        <f>VLOOKUP(MID(D2434,LOOKUP(2,1/ISNUMBER(-MID(D2434,1,{1,2,3,4,5})),{1,2,3,4,5})+1,9),'Hue codes'!$A$1:$B$10,2,FALSE)</f>
        <v>40</v>
      </c>
      <c r="C2434">
        <f t="shared" si="37"/>
        <v>45</v>
      </c>
      <c r="D2434" t="s">
        <v>38</v>
      </c>
      <c r="E2434">
        <v>8</v>
      </c>
      <c r="F2434">
        <v>18</v>
      </c>
      <c r="G2434">
        <v>0.21029999999999999</v>
      </c>
      <c r="H2434">
        <v>0.4652</v>
      </c>
      <c r="I2434">
        <v>59.1</v>
      </c>
    </row>
    <row r="2435" spans="1:9" x14ac:dyDescent="0.3">
      <c r="A2435">
        <f>LOOKUP(9E+307,--MID(D2435,1,{1,2,3,4,5}))</f>
        <v>5</v>
      </c>
      <c r="B2435">
        <f>VLOOKUP(MID(D2435,LOOKUP(2,1/ISNUMBER(-MID(D2435,1,{1,2,3,4,5})),{1,2,3,4,5})+1,9),'Hue codes'!$A$1:$B$10,2,FALSE)</f>
        <v>40</v>
      </c>
      <c r="C2435">
        <f t="shared" ref="C2435:C2498" si="38">IF(A2435+B2435=100,0,A2435+B2435)</f>
        <v>45</v>
      </c>
      <c r="D2435" t="s">
        <v>38</v>
      </c>
      <c r="E2435">
        <v>8</v>
      </c>
      <c r="F2435">
        <v>20</v>
      </c>
      <c r="G2435">
        <v>0.1956</v>
      </c>
      <c r="H2435">
        <v>0.48060000000000003</v>
      </c>
      <c r="I2435">
        <v>59.1</v>
      </c>
    </row>
    <row r="2436" spans="1:9" x14ac:dyDescent="0.3">
      <c r="A2436">
        <f>LOOKUP(9E+307,--MID(D2436,1,{1,2,3,4,5}))</f>
        <v>5</v>
      </c>
      <c r="B2436">
        <f>VLOOKUP(MID(D2436,LOOKUP(2,1/ISNUMBER(-MID(D2436,1,{1,2,3,4,5})),{1,2,3,4,5})+1,9),'Hue codes'!$A$1:$B$10,2,FALSE)</f>
        <v>40</v>
      </c>
      <c r="C2436">
        <f t="shared" si="38"/>
        <v>45</v>
      </c>
      <c r="D2436" t="s">
        <v>38</v>
      </c>
      <c r="E2436">
        <v>8</v>
      </c>
      <c r="F2436">
        <v>22</v>
      </c>
      <c r="G2436">
        <v>0.18210000000000001</v>
      </c>
      <c r="H2436">
        <v>0.49399999999999999</v>
      </c>
      <c r="I2436">
        <v>59.1</v>
      </c>
    </row>
    <row r="2437" spans="1:9" x14ac:dyDescent="0.3">
      <c r="A2437">
        <f>LOOKUP(9E+307,--MID(D2437,1,{1,2,3,4,5}))</f>
        <v>7.5</v>
      </c>
      <c r="B2437">
        <f>VLOOKUP(MID(D2437,LOOKUP(2,1/ISNUMBER(-MID(D2437,1,{1,2,3,4,5})),{1,2,3,4,5})+1,9),'Hue codes'!$A$1:$B$10,2,FALSE)</f>
        <v>40</v>
      </c>
      <c r="C2437">
        <f t="shared" si="38"/>
        <v>47.5</v>
      </c>
      <c r="D2437" t="s">
        <v>39</v>
      </c>
      <c r="E2437">
        <v>8</v>
      </c>
      <c r="F2437">
        <v>2</v>
      </c>
      <c r="G2437">
        <v>0.29809999999999998</v>
      </c>
      <c r="H2437">
        <v>0.33260000000000001</v>
      </c>
      <c r="I2437">
        <v>59.1</v>
      </c>
    </row>
    <row r="2438" spans="1:9" x14ac:dyDescent="0.3">
      <c r="A2438">
        <f>LOOKUP(9E+307,--MID(D2438,1,{1,2,3,4,5}))</f>
        <v>7.5</v>
      </c>
      <c r="B2438">
        <f>VLOOKUP(MID(D2438,LOOKUP(2,1/ISNUMBER(-MID(D2438,1,{1,2,3,4,5})),{1,2,3,4,5})+1,9),'Hue codes'!$A$1:$B$10,2,FALSE)</f>
        <v>40</v>
      </c>
      <c r="C2438">
        <f t="shared" si="38"/>
        <v>47.5</v>
      </c>
      <c r="D2438" t="s">
        <v>39</v>
      </c>
      <c r="E2438">
        <v>8</v>
      </c>
      <c r="F2438">
        <v>4</v>
      </c>
      <c r="G2438">
        <v>0.28739999999999999</v>
      </c>
      <c r="H2438">
        <v>0.34639999999999999</v>
      </c>
      <c r="I2438">
        <v>59.1</v>
      </c>
    </row>
    <row r="2439" spans="1:9" x14ac:dyDescent="0.3">
      <c r="A2439">
        <f>LOOKUP(9E+307,--MID(D2439,1,{1,2,3,4,5}))</f>
        <v>7.5</v>
      </c>
      <c r="B2439">
        <f>VLOOKUP(MID(D2439,LOOKUP(2,1/ISNUMBER(-MID(D2439,1,{1,2,3,4,5})),{1,2,3,4,5})+1,9),'Hue codes'!$A$1:$B$10,2,FALSE)</f>
        <v>40</v>
      </c>
      <c r="C2439">
        <f t="shared" si="38"/>
        <v>47.5</v>
      </c>
      <c r="D2439" t="s">
        <v>39</v>
      </c>
      <c r="E2439">
        <v>8</v>
      </c>
      <c r="F2439">
        <v>6</v>
      </c>
      <c r="G2439">
        <v>0.27539999999999998</v>
      </c>
      <c r="H2439">
        <v>0.36080000000000001</v>
      </c>
      <c r="I2439">
        <v>59.1</v>
      </c>
    </row>
    <row r="2440" spans="1:9" x14ac:dyDescent="0.3">
      <c r="A2440">
        <f>LOOKUP(9E+307,--MID(D2440,1,{1,2,3,4,5}))</f>
        <v>7.5</v>
      </c>
      <c r="B2440">
        <f>VLOOKUP(MID(D2440,LOOKUP(2,1/ISNUMBER(-MID(D2440,1,{1,2,3,4,5})),{1,2,3,4,5})+1,9),'Hue codes'!$A$1:$B$10,2,FALSE)</f>
        <v>40</v>
      </c>
      <c r="C2440">
        <f t="shared" si="38"/>
        <v>47.5</v>
      </c>
      <c r="D2440" t="s">
        <v>39</v>
      </c>
      <c r="E2440">
        <v>8</v>
      </c>
      <c r="F2440">
        <v>8</v>
      </c>
      <c r="G2440">
        <v>0.26390000000000002</v>
      </c>
      <c r="H2440">
        <v>0.37330000000000002</v>
      </c>
      <c r="I2440">
        <v>59.1</v>
      </c>
    </row>
    <row r="2441" spans="1:9" x14ac:dyDescent="0.3">
      <c r="A2441">
        <f>LOOKUP(9E+307,--MID(D2441,1,{1,2,3,4,5}))</f>
        <v>7.5</v>
      </c>
      <c r="B2441">
        <f>VLOOKUP(MID(D2441,LOOKUP(2,1/ISNUMBER(-MID(D2441,1,{1,2,3,4,5})),{1,2,3,4,5})+1,9),'Hue codes'!$A$1:$B$10,2,FALSE)</f>
        <v>40</v>
      </c>
      <c r="C2441">
        <f t="shared" si="38"/>
        <v>47.5</v>
      </c>
      <c r="D2441" t="s">
        <v>39</v>
      </c>
      <c r="E2441">
        <v>8</v>
      </c>
      <c r="F2441">
        <v>10</v>
      </c>
      <c r="G2441">
        <v>0.2515</v>
      </c>
      <c r="H2441">
        <v>0.38669999999999999</v>
      </c>
      <c r="I2441">
        <v>59.1</v>
      </c>
    </row>
    <row r="2442" spans="1:9" x14ac:dyDescent="0.3">
      <c r="A2442">
        <f>LOOKUP(9E+307,--MID(D2442,1,{1,2,3,4,5}))</f>
        <v>7.5</v>
      </c>
      <c r="B2442">
        <f>VLOOKUP(MID(D2442,LOOKUP(2,1/ISNUMBER(-MID(D2442,1,{1,2,3,4,5})),{1,2,3,4,5})+1,9),'Hue codes'!$A$1:$B$10,2,FALSE)</f>
        <v>40</v>
      </c>
      <c r="C2442">
        <f t="shared" si="38"/>
        <v>47.5</v>
      </c>
      <c r="D2442" t="s">
        <v>39</v>
      </c>
      <c r="E2442">
        <v>8</v>
      </c>
      <c r="F2442">
        <v>12</v>
      </c>
      <c r="G2442">
        <v>0.23799999999999999</v>
      </c>
      <c r="H2442">
        <v>0.4002</v>
      </c>
      <c r="I2442">
        <v>59.1</v>
      </c>
    </row>
    <row r="2443" spans="1:9" x14ac:dyDescent="0.3">
      <c r="A2443">
        <f>LOOKUP(9E+307,--MID(D2443,1,{1,2,3,4,5}))</f>
        <v>7.5</v>
      </c>
      <c r="B2443">
        <f>VLOOKUP(MID(D2443,LOOKUP(2,1/ISNUMBER(-MID(D2443,1,{1,2,3,4,5})),{1,2,3,4,5})+1,9),'Hue codes'!$A$1:$B$10,2,FALSE)</f>
        <v>40</v>
      </c>
      <c r="C2443">
        <f t="shared" si="38"/>
        <v>47.5</v>
      </c>
      <c r="D2443" t="s">
        <v>39</v>
      </c>
      <c r="E2443">
        <v>8</v>
      </c>
      <c r="F2443">
        <v>14</v>
      </c>
      <c r="G2443">
        <v>0.22539999999999999</v>
      </c>
      <c r="H2443">
        <v>0.41249999999999998</v>
      </c>
      <c r="I2443">
        <v>59.1</v>
      </c>
    </row>
    <row r="2444" spans="1:9" x14ac:dyDescent="0.3">
      <c r="A2444">
        <f>LOOKUP(9E+307,--MID(D2444,1,{1,2,3,4,5}))</f>
        <v>7.5</v>
      </c>
      <c r="B2444">
        <f>VLOOKUP(MID(D2444,LOOKUP(2,1/ISNUMBER(-MID(D2444,1,{1,2,3,4,5})),{1,2,3,4,5})+1,9),'Hue codes'!$A$1:$B$10,2,FALSE)</f>
        <v>40</v>
      </c>
      <c r="C2444">
        <f t="shared" si="38"/>
        <v>47.5</v>
      </c>
      <c r="D2444" t="s">
        <v>39</v>
      </c>
      <c r="E2444">
        <v>8</v>
      </c>
      <c r="F2444">
        <v>16</v>
      </c>
      <c r="G2444">
        <v>0.21199999999999999</v>
      </c>
      <c r="H2444">
        <v>0.42520000000000002</v>
      </c>
      <c r="I2444">
        <v>59.1</v>
      </c>
    </row>
    <row r="2445" spans="1:9" x14ac:dyDescent="0.3">
      <c r="A2445">
        <f>LOOKUP(9E+307,--MID(D2445,1,{1,2,3,4,5}))</f>
        <v>7.5</v>
      </c>
      <c r="B2445">
        <f>VLOOKUP(MID(D2445,LOOKUP(2,1/ISNUMBER(-MID(D2445,1,{1,2,3,4,5})),{1,2,3,4,5})+1,9),'Hue codes'!$A$1:$B$10,2,FALSE)</f>
        <v>40</v>
      </c>
      <c r="C2445">
        <f t="shared" si="38"/>
        <v>47.5</v>
      </c>
      <c r="D2445" t="s">
        <v>39</v>
      </c>
      <c r="E2445">
        <v>8</v>
      </c>
      <c r="F2445">
        <v>18</v>
      </c>
      <c r="G2445">
        <v>0.19800000000000001</v>
      </c>
      <c r="H2445">
        <v>0.43719999999999998</v>
      </c>
      <c r="I2445">
        <v>59.1</v>
      </c>
    </row>
    <row r="2446" spans="1:9" x14ac:dyDescent="0.3">
      <c r="A2446">
        <f>LOOKUP(9E+307,--MID(D2446,1,{1,2,3,4,5}))</f>
        <v>7.5</v>
      </c>
      <c r="B2446">
        <f>VLOOKUP(MID(D2446,LOOKUP(2,1/ISNUMBER(-MID(D2446,1,{1,2,3,4,5})),{1,2,3,4,5})+1,9),'Hue codes'!$A$1:$B$10,2,FALSE)</f>
        <v>40</v>
      </c>
      <c r="C2446">
        <f t="shared" si="38"/>
        <v>47.5</v>
      </c>
      <c r="D2446" t="s">
        <v>39</v>
      </c>
      <c r="E2446">
        <v>8</v>
      </c>
      <c r="F2446">
        <v>20</v>
      </c>
      <c r="G2446">
        <v>0.1845</v>
      </c>
      <c r="H2446">
        <v>0.44919999999999999</v>
      </c>
      <c r="I2446">
        <v>59.1</v>
      </c>
    </row>
    <row r="2447" spans="1:9" x14ac:dyDescent="0.3">
      <c r="A2447">
        <f>LOOKUP(9E+307,--MID(D2447,1,{1,2,3,4,5}))</f>
        <v>10</v>
      </c>
      <c r="B2447">
        <f>VLOOKUP(MID(D2447,LOOKUP(2,1/ISNUMBER(-MID(D2447,1,{1,2,3,4,5})),{1,2,3,4,5})+1,9),'Hue codes'!$A$1:$B$10,2,FALSE)</f>
        <v>40</v>
      </c>
      <c r="C2447">
        <f t="shared" si="38"/>
        <v>50</v>
      </c>
      <c r="D2447" t="s">
        <v>40</v>
      </c>
      <c r="E2447">
        <v>8</v>
      </c>
      <c r="F2447">
        <v>2</v>
      </c>
      <c r="G2447">
        <v>0.29570000000000002</v>
      </c>
      <c r="H2447">
        <v>0.32929999999999998</v>
      </c>
      <c r="I2447">
        <v>59.1</v>
      </c>
    </row>
    <row r="2448" spans="1:9" x14ac:dyDescent="0.3">
      <c r="A2448">
        <f>LOOKUP(9E+307,--MID(D2448,1,{1,2,3,4,5}))</f>
        <v>10</v>
      </c>
      <c r="B2448">
        <f>VLOOKUP(MID(D2448,LOOKUP(2,1/ISNUMBER(-MID(D2448,1,{1,2,3,4,5})),{1,2,3,4,5})+1,9),'Hue codes'!$A$1:$B$10,2,FALSE)</f>
        <v>40</v>
      </c>
      <c r="C2448">
        <f t="shared" si="38"/>
        <v>50</v>
      </c>
      <c r="D2448" t="s">
        <v>40</v>
      </c>
      <c r="E2448">
        <v>8</v>
      </c>
      <c r="F2448">
        <v>4</v>
      </c>
      <c r="G2448">
        <v>0.2828</v>
      </c>
      <c r="H2448">
        <v>0.34029999999999999</v>
      </c>
      <c r="I2448">
        <v>59.1</v>
      </c>
    </row>
    <row r="2449" spans="1:9" x14ac:dyDescent="0.3">
      <c r="A2449">
        <f>LOOKUP(9E+307,--MID(D2449,1,{1,2,3,4,5}))</f>
        <v>10</v>
      </c>
      <c r="B2449">
        <f>VLOOKUP(MID(D2449,LOOKUP(2,1/ISNUMBER(-MID(D2449,1,{1,2,3,4,5})),{1,2,3,4,5})+1,9),'Hue codes'!$A$1:$B$10,2,FALSE)</f>
        <v>40</v>
      </c>
      <c r="C2449">
        <f t="shared" si="38"/>
        <v>50</v>
      </c>
      <c r="D2449" t="s">
        <v>40</v>
      </c>
      <c r="E2449">
        <v>8</v>
      </c>
      <c r="F2449">
        <v>6</v>
      </c>
      <c r="G2449">
        <v>0.26929999999999998</v>
      </c>
      <c r="H2449">
        <v>0.35120000000000001</v>
      </c>
      <c r="I2449">
        <v>59.1</v>
      </c>
    </row>
    <row r="2450" spans="1:9" x14ac:dyDescent="0.3">
      <c r="A2450">
        <f>LOOKUP(9E+307,--MID(D2450,1,{1,2,3,4,5}))</f>
        <v>10</v>
      </c>
      <c r="B2450">
        <f>VLOOKUP(MID(D2450,LOOKUP(2,1/ISNUMBER(-MID(D2450,1,{1,2,3,4,5})),{1,2,3,4,5})+1,9),'Hue codes'!$A$1:$B$10,2,FALSE)</f>
        <v>40</v>
      </c>
      <c r="C2450">
        <f t="shared" si="38"/>
        <v>50</v>
      </c>
      <c r="D2450" t="s">
        <v>40</v>
      </c>
      <c r="E2450">
        <v>8</v>
      </c>
      <c r="F2450">
        <v>8</v>
      </c>
      <c r="G2450">
        <v>0.25640000000000002</v>
      </c>
      <c r="H2450">
        <v>0.36109999999999998</v>
      </c>
      <c r="I2450">
        <v>59.1</v>
      </c>
    </row>
    <row r="2451" spans="1:9" x14ac:dyDescent="0.3">
      <c r="A2451">
        <f>LOOKUP(9E+307,--MID(D2451,1,{1,2,3,4,5}))</f>
        <v>10</v>
      </c>
      <c r="B2451">
        <f>VLOOKUP(MID(D2451,LOOKUP(2,1/ISNUMBER(-MID(D2451,1,{1,2,3,4,5})),{1,2,3,4,5})+1,9),'Hue codes'!$A$1:$B$10,2,FALSE)</f>
        <v>40</v>
      </c>
      <c r="C2451">
        <f t="shared" si="38"/>
        <v>50</v>
      </c>
      <c r="D2451" t="s">
        <v>40</v>
      </c>
      <c r="E2451">
        <v>8</v>
      </c>
      <c r="F2451">
        <v>10</v>
      </c>
      <c r="G2451">
        <v>0.24299999999999999</v>
      </c>
      <c r="H2451">
        <v>0.371</v>
      </c>
      <c r="I2451">
        <v>59.1</v>
      </c>
    </row>
    <row r="2452" spans="1:9" x14ac:dyDescent="0.3">
      <c r="A2452">
        <f>LOOKUP(9E+307,--MID(D2452,1,{1,2,3,4,5}))</f>
        <v>10</v>
      </c>
      <c r="B2452">
        <f>VLOOKUP(MID(D2452,LOOKUP(2,1/ISNUMBER(-MID(D2452,1,{1,2,3,4,5})),{1,2,3,4,5})+1,9),'Hue codes'!$A$1:$B$10,2,FALSE)</f>
        <v>40</v>
      </c>
      <c r="C2452">
        <f t="shared" si="38"/>
        <v>50</v>
      </c>
      <c r="D2452" t="s">
        <v>40</v>
      </c>
      <c r="E2452">
        <v>8</v>
      </c>
      <c r="F2452">
        <v>12</v>
      </c>
      <c r="G2452">
        <v>0.22819999999999999</v>
      </c>
      <c r="H2452">
        <v>0.38109999999999999</v>
      </c>
      <c r="I2452">
        <v>59.1</v>
      </c>
    </row>
    <row r="2453" spans="1:9" x14ac:dyDescent="0.3">
      <c r="A2453">
        <f>LOOKUP(9E+307,--MID(D2453,1,{1,2,3,4,5}))</f>
        <v>10</v>
      </c>
      <c r="B2453">
        <f>VLOOKUP(MID(D2453,LOOKUP(2,1/ISNUMBER(-MID(D2453,1,{1,2,3,4,5})),{1,2,3,4,5})+1,9),'Hue codes'!$A$1:$B$10,2,FALSE)</f>
        <v>40</v>
      </c>
      <c r="C2453">
        <f t="shared" si="38"/>
        <v>50</v>
      </c>
      <c r="D2453" t="s">
        <v>40</v>
      </c>
      <c r="E2453">
        <v>8</v>
      </c>
      <c r="F2453">
        <v>14</v>
      </c>
      <c r="G2453">
        <v>0.21479999999999999</v>
      </c>
      <c r="H2453">
        <v>0.39029999999999998</v>
      </c>
      <c r="I2453">
        <v>59.1</v>
      </c>
    </row>
    <row r="2454" spans="1:9" x14ac:dyDescent="0.3">
      <c r="A2454">
        <f>LOOKUP(9E+307,--MID(D2454,1,{1,2,3,4,5}))</f>
        <v>10</v>
      </c>
      <c r="B2454">
        <f>VLOOKUP(MID(D2454,LOOKUP(2,1/ISNUMBER(-MID(D2454,1,{1,2,3,4,5})),{1,2,3,4,5})+1,9),'Hue codes'!$A$1:$B$10,2,FALSE)</f>
        <v>40</v>
      </c>
      <c r="C2454">
        <f t="shared" si="38"/>
        <v>50</v>
      </c>
      <c r="D2454" t="s">
        <v>40</v>
      </c>
      <c r="E2454">
        <v>8</v>
      </c>
      <c r="F2454">
        <v>16</v>
      </c>
      <c r="G2454">
        <v>0.20119999999999999</v>
      </c>
      <c r="H2454">
        <v>0.3992</v>
      </c>
      <c r="I2454">
        <v>59.1</v>
      </c>
    </row>
    <row r="2455" spans="1:9" x14ac:dyDescent="0.3">
      <c r="A2455">
        <f>LOOKUP(9E+307,--MID(D2455,1,{1,2,3,4,5}))</f>
        <v>10</v>
      </c>
      <c r="B2455">
        <f>VLOOKUP(MID(D2455,LOOKUP(2,1/ISNUMBER(-MID(D2455,1,{1,2,3,4,5})),{1,2,3,4,5})+1,9),'Hue codes'!$A$1:$B$10,2,FALSE)</f>
        <v>40</v>
      </c>
      <c r="C2455">
        <f t="shared" si="38"/>
        <v>50</v>
      </c>
      <c r="D2455" t="s">
        <v>40</v>
      </c>
      <c r="E2455">
        <v>8</v>
      </c>
      <c r="F2455">
        <v>18</v>
      </c>
      <c r="G2455">
        <v>0.18659999999999999</v>
      </c>
      <c r="H2455">
        <v>0.40860000000000002</v>
      </c>
      <c r="I2455">
        <v>59.1</v>
      </c>
    </row>
    <row r="2456" spans="1:9" x14ac:dyDescent="0.3">
      <c r="A2456">
        <f>LOOKUP(9E+307,--MID(D2456,1,{1,2,3,4,5}))</f>
        <v>10</v>
      </c>
      <c r="B2456">
        <f>VLOOKUP(MID(D2456,LOOKUP(2,1/ISNUMBER(-MID(D2456,1,{1,2,3,4,5})),{1,2,3,4,5})+1,9),'Hue codes'!$A$1:$B$10,2,FALSE)</f>
        <v>40</v>
      </c>
      <c r="C2456">
        <f t="shared" si="38"/>
        <v>50</v>
      </c>
      <c r="D2456" t="s">
        <v>40</v>
      </c>
      <c r="E2456">
        <v>8</v>
      </c>
      <c r="F2456">
        <v>20</v>
      </c>
      <c r="G2456">
        <v>0.1734</v>
      </c>
      <c r="H2456">
        <v>0.41639999999999999</v>
      </c>
      <c r="I2456">
        <v>59.1</v>
      </c>
    </row>
    <row r="2457" spans="1:9" x14ac:dyDescent="0.3">
      <c r="A2457">
        <f>LOOKUP(9E+307,--MID(D2457,1,{1,2,3,4,5}))</f>
        <v>2.5</v>
      </c>
      <c r="B2457">
        <f>VLOOKUP(MID(D2457,LOOKUP(2,1/ISNUMBER(-MID(D2457,1,{1,2,3,4,5})),{1,2,3,4,5})+1,9),'Hue codes'!$A$1:$B$10,2,FALSE)</f>
        <v>50</v>
      </c>
      <c r="C2457">
        <f t="shared" si="38"/>
        <v>52.5</v>
      </c>
      <c r="D2457" t="s">
        <v>41</v>
      </c>
      <c r="E2457">
        <v>8</v>
      </c>
      <c r="F2457">
        <v>2</v>
      </c>
      <c r="G2457">
        <v>0.29399999999999998</v>
      </c>
      <c r="H2457">
        <v>0.32679999999999998</v>
      </c>
      <c r="I2457">
        <v>59.1</v>
      </c>
    </row>
    <row r="2458" spans="1:9" x14ac:dyDescent="0.3">
      <c r="A2458">
        <f>LOOKUP(9E+307,--MID(D2458,1,{1,2,3,4,5}))</f>
        <v>2.5</v>
      </c>
      <c r="B2458">
        <f>VLOOKUP(MID(D2458,LOOKUP(2,1/ISNUMBER(-MID(D2458,1,{1,2,3,4,5})),{1,2,3,4,5})+1,9),'Hue codes'!$A$1:$B$10,2,FALSE)</f>
        <v>50</v>
      </c>
      <c r="C2458">
        <f t="shared" si="38"/>
        <v>52.5</v>
      </c>
      <c r="D2458" t="s">
        <v>41</v>
      </c>
      <c r="E2458">
        <v>8</v>
      </c>
      <c r="F2458">
        <v>4</v>
      </c>
      <c r="G2458">
        <v>0.27910000000000001</v>
      </c>
      <c r="H2458">
        <v>0.33510000000000001</v>
      </c>
      <c r="I2458">
        <v>59.1</v>
      </c>
    </row>
    <row r="2459" spans="1:9" x14ac:dyDescent="0.3">
      <c r="A2459">
        <f>LOOKUP(9E+307,--MID(D2459,1,{1,2,3,4,5}))</f>
        <v>2.5</v>
      </c>
      <c r="B2459">
        <f>VLOOKUP(MID(D2459,LOOKUP(2,1/ISNUMBER(-MID(D2459,1,{1,2,3,4,5})),{1,2,3,4,5})+1,9),'Hue codes'!$A$1:$B$10,2,FALSE)</f>
        <v>50</v>
      </c>
      <c r="C2459">
        <f t="shared" si="38"/>
        <v>52.5</v>
      </c>
      <c r="D2459" t="s">
        <v>41</v>
      </c>
      <c r="E2459">
        <v>8</v>
      </c>
      <c r="F2459">
        <v>6</v>
      </c>
      <c r="G2459">
        <v>0.26469999999999999</v>
      </c>
      <c r="H2459">
        <v>0.34289999999999998</v>
      </c>
      <c r="I2459">
        <v>59.1</v>
      </c>
    </row>
    <row r="2460" spans="1:9" x14ac:dyDescent="0.3">
      <c r="A2460">
        <f>LOOKUP(9E+307,--MID(D2460,1,{1,2,3,4,5}))</f>
        <v>2.5</v>
      </c>
      <c r="B2460">
        <f>VLOOKUP(MID(D2460,LOOKUP(2,1/ISNUMBER(-MID(D2460,1,{1,2,3,4,5})),{1,2,3,4,5})+1,9),'Hue codes'!$A$1:$B$10,2,FALSE)</f>
        <v>50</v>
      </c>
      <c r="C2460">
        <f t="shared" si="38"/>
        <v>52.5</v>
      </c>
      <c r="D2460" t="s">
        <v>41</v>
      </c>
      <c r="E2460">
        <v>8</v>
      </c>
      <c r="F2460">
        <v>8</v>
      </c>
      <c r="G2460">
        <v>0.25</v>
      </c>
      <c r="H2460">
        <v>0.35</v>
      </c>
      <c r="I2460">
        <v>59.1</v>
      </c>
    </row>
    <row r="2461" spans="1:9" x14ac:dyDescent="0.3">
      <c r="A2461">
        <f>LOOKUP(9E+307,--MID(D2461,1,{1,2,3,4,5}))</f>
        <v>2.5</v>
      </c>
      <c r="B2461">
        <f>VLOOKUP(MID(D2461,LOOKUP(2,1/ISNUMBER(-MID(D2461,1,{1,2,3,4,5})),{1,2,3,4,5})+1,9),'Hue codes'!$A$1:$B$10,2,FALSE)</f>
        <v>50</v>
      </c>
      <c r="C2461">
        <f t="shared" si="38"/>
        <v>52.5</v>
      </c>
      <c r="D2461" t="s">
        <v>41</v>
      </c>
      <c r="E2461">
        <v>8</v>
      </c>
      <c r="F2461">
        <v>10</v>
      </c>
      <c r="G2461">
        <v>0.23519999999999999</v>
      </c>
      <c r="H2461">
        <v>0.35659999999999997</v>
      </c>
      <c r="I2461">
        <v>59.1</v>
      </c>
    </row>
    <row r="2462" spans="1:9" x14ac:dyDescent="0.3">
      <c r="A2462">
        <f>LOOKUP(9E+307,--MID(D2462,1,{1,2,3,4,5}))</f>
        <v>2.5</v>
      </c>
      <c r="B2462">
        <f>VLOOKUP(MID(D2462,LOOKUP(2,1/ISNUMBER(-MID(D2462,1,{1,2,3,4,5})),{1,2,3,4,5})+1,9),'Hue codes'!$A$1:$B$10,2,FALSE)</f>
        <v>50</v>
      </c>
      <c r="C2462">
        <f t="shared" si="38"/>
        <v>52.5</v>
      </c>
      <c r="D2462" t="s">
        <v>41</v>
      </c>
      <c r="E2462">
        <v>8</v>
      </c>
      <c r="F2462">
        <v>12</v>
      </c>
      <c r="G2462">
        <v>0.21959999999999999</v>
      </c>
      <c r="H2462">
        <v>0.36299999999999999</v>
      </c>
      <c r="I2462">
        <v>59.1</v>
      </c>
    </row>
    <row r="2463" spans="1:9" x14ac:dyDescent="0.3">
      <c r="A2463">
        <f>LOOKUP(9E+307,--MID(D2463,1,{1,2,3,4,5}))</f>
        <v>2.5</v>
      </c>
      <c r="B2463">
        <f>VLOOKUP(MID(D2463,LOOKUP(2,1/ISNUMBER(-MID(D2463,1,{1,2,3,4,5})),{1,2,3,4,5})+1,9),'Hue codes'!$A$1:$B$10,2,FALSE)</f>
        <v>50</v>
      </c>
      <c r="C2463">
        <f t="shared" si="38"/>
        <v>52.5</v>
      </c>
      <c r="D2463" t="s">
        <v>41</v>
      </c>
      <c r="E2463">
        <v>8</v>
      </c>
      <c r="F2463">
        <v>14</v>
      </c>
      <c r="G2463">
        <v>0.20569999999999999</v>
      </c>
      <c r="H2463">
        <v>0.36809999999999998</v>
      </c>
      <c r="I2463">
        <v>59.1</v>
      </c>
    </row>
    <row r="2464" spans="1:9" x14ac:dyDescent="0.3">
      <c r="A2464">
        <f>LOOKUP(9E+307,--MID(D2464,1,{1,2,3,4,5}))</f>
        <v>2.5</v>
      </c>
      <c r="B2464">
        <f>VLOOKUP(MID(D2464,LOOKUP(2,1/ISNUMBER(-MID(D2464,1,{1,2,3,4,5})),{1,2,3,4,5})+1,9),'Hue codes'!$A$1:$B$10,2,FALSE)</f>
        <v>50</v>
      </c>
      <c r="C2464">
        <f t="shared" si="38"/>
        <v>52.5</v>
      </c>
      <c r="D2464" t="s">
        <v>41</v>
      </c>
      <c r="E2464">
        <v>8</v>
      </c>
      <c r="F2464">
        <v>16</v>
      </c>
      <c r="G2464">
        <v>0.1915</v>
      </c>
      <c r="H2464">
        <v>0.37319999999999998</v>
      </c>
      <c r="I2464">
        <v>59.1</v>
      </c>
    </row>
    <row r="2465" spans="1:9" x14ac:dyDescent="0.3">
      <c r="A2465">
        <f>LOOKUP(9E+307,--MID(D2465,1,{1,2,3,4,5}))</f>
        <v>2.5</v>
      </c>
      <c r="B2465">
        <f>VLOOKUP(MID(D2465,LOOKUP(2,1/ISNUMBER(-MID(D2465,1,{1,2,3,4,5})),{1,2,3,4,5})+1,9),'Hue codes'!$A$1:$B$10,2,FALSE)</f>
        <v>50</v>
      </c>
      <c r="C2465">
        <f t="shared" si="38"/>
        <v>52.5</v>
      </c>
      <c r="D2465" t="s">
        <v>41</v>
      </c>
      <c r="E2465">
        <v>8</v>
      </c>
      <c r="F2465">
        <v>18</v>
      </c>
      <c r="G2465">
        <v>0.1759</v>
      </c>
      <c r="H2465">
        <v>0.37819999999999998</v>
      </c>
      <c r="I2465">
        <v>59.1</v>
      </c>
    </row>
    <row r="2466" spans="1:9" x14ac:dyDescent="0.3">
      <c r="A2466">
        <f>LOOKUP(9E+307,--MID(D2466,1,{1,2,3,4,5}))</f>
        <v>5</v>
      </c>
      <c r="B2466">
        <f>VLOOKUP(MID(D2466,LOOKUP(2,1/ISNUMBER(-MID(D2466,1,{1,2,3,4,5})),{1,2,3,4,5})+1,9),'Hue codes'!$A$1:$B$10,2,FALSE)</f>
        <v>50</v>
      </c>
      <c r="C2466">
        <f t="shared" si="38"/>
        <v>55</v>
      </c>
      <c r="D2466" t="s">
        <v>42</v>
      </c>
      <c r="E2466">
        <v>8</v>
      </c>
      <c r="F2466">
        <v>2</v>
      </c>
      <c r="G2466">
        <v>0.29189999999999999</v>
      </c>
      <c r="H2466">
        <v>0.32279999999999998</v>
      </c>
      <c r="I2466">
        <v>59.1</v>
      </c>
    </row>
    <row r="2467" spans="1:9" x14ac:dyDescent="0.3">
      <c r="A2467">
        <f>LOOKUP(9E+307,--MID(D2467,1,{1,2,3,4,5}))</f>
        <v>5</v>
      </c>
      <c r="B2467">
        <f>VLOOKUP(MID(D2467,LOOKUP(2,1/ISNUMBER(-MID(D2467,1,{1,2,3,4,5})),{1,2,3,4,5})+1,9),'Hue codes'!$A$1:$B$10,2,FALSE)</f>
        <v>50</v>
      </c>
      <c r="C2467">
        <f t="shared" si="38"/>
        <v>55</v>
      </c>
      <c r="D2467" t="s">
        <v>42</v>
      </c>
      <c r="E2467">
        <v>8</v>
      </c>
      <c r="F2467">
        <v>4</v>
      </c>
      <c r="G2467">
        <v>0.2752</v>
      </c>
      <c r="H2467">
        <v>0.32779999999999998</v>
      </c>
      <c r="I2467">
        <v>59.1</v>
      </c>
    </row>
    <row r="2468" spans="1:9" x14ac:dyDescent="0.3">
      <c r="A2468">
        <f>LOOKUP(9E+307,--MID(D2468,1,{1,2,3,4,5}))</f>
        <v>5</v>
      </c>
      <c r="B2468">
        <f>VLOOKUP(MID(D2468,LOOKUP(2,1/ISNUMBER(-MID(D2468,1,{1,2,3,4,5})),{1,2,3,4,5})+1,9),'Hue codes'!$A$1:$B$10,2,FALSE)</f>
        <v>50</v>
      </c>
      <c r="C2468">
        <f t="shared" si="38"/>
        <v>55</v>
      </c>
      <c r="D2468" t="s">
        <v>42</v>
      </c>
      <c r="E2468">
        <v>8</v>
      </c>
      <c r="F2468">
        <v>6</v>
      </c>
      <c r="G2468">
        <v>0.25879999999999997</v>
      </c>
      <c r="H2468">
        <v>0.33179999999999998</v>
      </c>
      <c r="I2468">
        <v>59.1</v>
      </c>
    </row>
    <row r="2469" spans="1:9" x14ac:dyDescent="0.3">
      <c r="A2469">
        <f>LOOKUP(9E+307,--MID(D2469,1,{1,2,3,4,5}))</f>
        <v>5</v>
      </c>
      <c r="B2469">
        <f>VLOOKUP(MID(D2469,LOOKUP(2,1/ISNUMBER(-MID(D2469,1,{1,2,3,4,5})),{1,2,3,4,5})+1,9),'Hue codes'!$A$1:$B$10,2,FALSE)</f>
        <v>50</v>
      </c>
      <c r="C2469">
        <f t="shared" si="38"/>
        <v>55</v>
      </c>
      <c r="D2469" t="s">
        <v>42</v>
      </c>
      <c r="E2469">
        <v>8</v>
      </c>
      <c r="F2469">
        <v>8</v>
      </c>
      <c r="G2469">
        <v>0.2419</v>
      </c>
      <c r="H2469">
        <v>0.3352</v>
      </c>
      <c r="I2469">
        <v>59.1</v>
      </c>
    </row>
    <row r="2470" spans="1:9" x14ac:dyDescent="0.3">
      <c r="A2470">
        <f>LOOKUP(9E+307,--MID(D2470,1,{1,2,3,4,5}))</f>
        <v>5</v>
      </c>
      <c r="B2470">
        <f>VLOOKUP(MID(D2470,LOOKUP(2,1/ISNUMBER(-MID(D2470,1,{1,2,3,4,5})),{1,2,3,4,5})+1,9),'Hue codes'!$A$1:$B$10,2,FALSE)</f>
        <v>50</v>
      </c>
      <c r="C2470">
        <f t="shared" si="38"/>
        <v>55</v>
      </c>
      <c r="D2470" t="s">
        <v>42</v>
      </c>
      <c r="E2470">
        <v>8</v>
      </c>
      <c r="F2470">
        <v>10</v>
      </c>
      <c r="G2470">
        <v>0.22639999999999999</v>
      </c>
      <c r="H2470">
        <v>0.33829999999999999</v>
      </c>
      <c r="I2470">
        <v>59.1</v>
      </c>
    </row>
    <row r="2471" spans="1:9" x14ac:dyDescent="0.3">
      <c r="A2471">
        <f>LOOKUP(9E+307,--MID(D2471,1,{1,2,3,4,5}))</f>
        <v>5</v>
      </c>
      <c r="B2471">
        <f>VLOOKUP(MID(D2471,LOOKUP(2,1/ISNUMBER(-MID(D2471,1,{1,2,3,4,5})),{1,2,3,4,5})+1,9),'Hue codes'!$A$1:$B$10,2,FALSE)</f>
        <v>50</v>
      </c>
      <c r="C2471">
        <f t="shared" si="38"/>
        <v>55</v>
      </c>
      <c r="D2471" t="s">
        <v>42</v>
      </c>
      <c r="E2471">
        <v>8</v>
      </c>
      <c r="F2471">
        <v>12</v>
      </c>
      <c r="G2471">
        <v>0.21010000000000001</v>
      </c>
      <c r="H2471">
        <v>0.3412</v>
      </c>
      <c r="I2471">
        <v>59.1</v>
      </c>
    </row>
    <row r="2472" spans="1:9" x14ac:dyDescent="0.3">
      <c r="A2472">
        <f>LOOKUP(9E+307,--MID(D2472,1,{1,2,3,4,5}))</f>
        <v>5</v>
      </c>
      <c r="B2472">
        <f>VLOOKUP(MID(D2472,LOOKUP(2,1/ISNUMBER(-MID(D2472,1,{1,2,3,4,5})),{1,2,3,4,5})+1,9),'Hue codes'!$A$1:$B$10,2,FALSE)</f>
        <v>50</v>
      </c>
      <c r="C2472">
        <f t="shared" si="38"/>
        <v>55</v>
      </c>
      <c r="D2472" t="s">
        <v>42</v>
      </c>
      <c r="E2472">
        <v>8</v>
      </c>
      <c r="F2472">
        <v>14</v>
      </c>
      <c r="G2472">
        <v>0.1958</v>
      </c>
      <c r="H2472">
        <v>0.34320000000000001</v>
      </c>
      <c r="I2472">
        <v>59.1</v>
      </c>
    </row>
    <row r="2473" spans="1:9" x14ac:dyDescent="0.3">
      <c r="A2473">
        <f>LOOKUP(9E+307,--MID(D2473,1,{1,2,3,4,5}))</f>
        <v>5</v>
      </c>
      <c r="B2473">
        <f>VLOOKUP(MID(D2473,LOOKUP(2,1/ISNUMBER(-MID(D2473,1,{1,2,3,4,5})),{1,2,3,4,5})+1,9),'Hue codes'!$A$1:$B$10,2,FALSE)</f>
        <v>50</v>
      </c>
      <c r="C2473">
        <f t="shared" si="38"/>
        <v>55</v>
      </c>
      <c r="D2473" t="s">
        <v>42</v>
      </c>
      <c r="E2473">
        <v>8</v>
      </c>
      <c r="F2473">
        <v>16</v>
      </c>
      <c r="G2473">
        <v>0.18140000000000001</v>
      </c>
      <c r="H2473">
        <v>0.34499999999999997</v>
      </c>
      <c r="I2473">
        <v>59.1</v>
      </c>
    </row>
    <row r="2474" spans="1:9" x14ac:dyDescent="0.3">
      <c r="A2474">
        <f>LOOKUP(9E+307,--MID(D2474,1,{1,2,3,4,5}))</f>
        <v>7.5</v>
      </c>
      <c r="B2474">
        <f>VLOOKUP(MID(D2474,LOOKUP(2,1/ISNUMBER(-MID(D2474,1,{1,2,3,4,5})),{1,2,3,4,5})+1,9),'Hue codes'!$A$1:$B$10,2,FALSE)</f>
        <v>50</v>
      </c>
      <c r="C2474">
        <f t="shared" si="38"/>
        <v>57.5</v>
      </c>
      <c r="D2474" t="s">
        <v>43</v>
      </c>
      <c r="E2474">
        <v>8</v>
      </c>
      <c r="F2474">
        <v>2</v>
      </c>
      <c r="G2474">
        <v>0.28999999999999998</v>
      </c>
      <c r="H2474">
        <v>0.31830000000000003</v>
      </c>
      <c r="I2474">
        <v>59.1</v>
      </c>
    </row>
    <row r="2475" spans="1:9" x14ac:dyDescent="0.3">
      <c r="A2475">
        <f>LOOKUP(9E+307,--MID(D2475,1,{1,2,3,4,5}))</f>
        <v>7.5</v>
      </c>
      <c r="B2475">
        <f>VLOOKUP(MID(D2475,LOOKUP(2,1/ISNUMBER(-MID(D2475,1,{1,2,3,4,5})),{1,2,3,4,5})+1,9),'Hue codes'!$A$1:$B$10,2,FALSE)</f>
        <v>50</v>
      </c>
      <c r="C2475">
        <f t="shared" si="38"/>
        <v>57.5</v>
      </c>
      <c r="D2475" t="s">
        <v>43</v>
      </c>
      <c r="E2475">
        <v>8</v>
      </c>
      <c r="F2475">
        <v>4</v>
      </c>
      <c r="G2475">
        <v>0.27179999999999999</v>
      </c>
      <c r="H2475">
        <v>0.32</v>
      </c>
      <c r="I2475">
        <v>59.1</v>
      </c>
    </row>
    <row r="2476" spans="1:9" x14ac:dyDescent="0.3">
      <c r="A2476">
        <f>LOOKUP(9E+307,--MID(D2476,1,{1,2,3,4,5}))</f>
        <v>7.5</v>
      </c>
      <c r="B2476">
        <f>VLOOKUP(MID(D2476,LOOKUP(2,1/ISNUMBER(-MID(D2476,1,{1,2,3,4,5})),{1,2,3,4,5})+1,9),'Hue codes'!$A$1:$B$10,2,FALSE)</f>
        <v>50</v>
      </c>
      <c r="C2476">
        <f t="shared" si="38"/>
        <v>57.5</v>
      </c>
      <c r="D2476" t="s">
        <v>43</v>
      </c>
      <c r="E2476">
        <v>8</v>
      </c>
      <c r="F2476">
        <v>6</v>
      </c>
      <c r="G2476">
        <v>0.2525</v>
      </c>
      <c r="H2476">
        <v>0.31979999999999997</v>
      </c>
      <c r="I2476">
        <v>59.1</v>
      </c>
    </row>
    <row r="2477" spans="1:9" x14ac:dyDescent="0.3">
      <c r="A2477">
        <f>LOOKUP(9E+307,--MID(D2477,1,{1,2,3,4,5}))</f>
        <v>7.5</v>
      </c>
      <c r="B2477">
        <f>VLOOKUP(MID(D2477,LOOKUP(2,1/ISNUMBER(-MID(D2477,1,{1,2,3,4,5})),{1,2,3,4,5})+1,9),'Hue codes'!$A$1:$B$10,2,FALSE)</f>
        <v>50</v>
      </c>
      <c r="C2477">
        <f t="shared" si="38"/>
        <v>57.5</v>
      </c>
      <c r="D2477" t="s">
        <v>43</v>
      </c>
      <c r="E2477">
        <v>8</v>
      </c>
      <c r="F2477">
        <v>8</v>
      </c>
      <c r="G2477">
        <v>0.23519999999999999</v>
      </c>
      <c r="H2477">
        <v>0.31979999999999997</v>
      </c>
      <c r="I2477">
        <v>59.1</v>
      </c>
    </row>
    <row r="2478" spans="1:9" x14ac:dyDescent="0.3">
      <c r="A2478">
        <f>LOOKUP(9E+307,--MID(D2478,1,{1,2,3,4,5}))</f>
        <v>7.5</v>
      </c>
      <c r="B2478">
        <f>VLOOKUP(MID(D2478,LOOKUP(2,1/ISNUMBER(-MID(D2478,1,{1,2,3,4,5})),{1,2,3,4,5})+1,9),'Hue codes'!$A$1:$B$10,2,FALSE)</f>
        <v>50</v>
      </c>
      <c r="C2478">
        <f t="shared" si="38"/>
        <v>57.5</v>
      </c>
      <c r="D2478" t="s">
        <v>43</v>
      </c>
      <c r="E2478">
        <v>8</v>
      </c>
      <c r="F2478">
        <v>10</v>
      </c>
      <c r="G2478">
        <v>0.21840000000000001</v>
      </c>
      <c r="H2478">
        <v>0.3196</v>
      </c>
      <c r="I2478">
        <v>59.1</v>
      </c>
    </row>
    <row r="2479" spans="1:9" x14ac:dyDescent="0.3">
      <c r="A2479">
        <f>LOOKUP(9E+307,--MID(D2479,1,{1,2,3,4,5}))</f>
        <v>7.5</v>
      </c>
      <c r="B2479">
        <f>VLOOKUP(MID(D2479,LOOKUP(2,1/ISNUMBER(-MID(D2479,1,{1,2,3,4,5})),{1,2,3,4,5})+1,9),'Hue codes'!$A$1:$B$10,2,FALSE)</f>
        <v>50</v>
      </c>
      <c r="C2479">
        <f t="shared" si="38"/>
        <v>57.5</v>
      </c>
      <c r="D2479" t="s">
        <v>43</v>
      </c>
      <c r="E2479">
        <v>8</v>
      </c>
      <c r="F2479">
        <v>12</v>
      </c>
      <c r="G2479">
        <v>0.20100000000000001</v>
      </c>
      <c r="H2479">
        <v>0.31879999999999997</v>
      </c>
      <c r="I2479">
        <v>59.1</v>
      </c>
    </row>
    <row r="2480" spans="1:9" x14ac:dyDescent="0.3">
      <c r="A2480">
        <f>LOOKUP(9E+307,--MID(D2480,1,{1,2,3,4,5}))</f>
        <v>7.5</v>
      </c>
      <c r="B2480">
        <f>VLOOKUP(MID(D2480,LOOKUP(2,1/ISNUMBER(-MID(D2480,1,{1,2,3,4,5})),{1,2,3,4,5})+1,9),'Hue codes'!$A$1:$B$10,2,FALSE)</f>
        <v>50</v>
      </c>
      <c r="C2480">
        <f t="shared" si="38"/>
        <v>57.5</v>
      </c>
      <c r="D2480" t="s">
        <v>43</v>
      </c>
      <c r="E2480">
        <v>8</v>
      </c>
      <c r="F2480">
        <v>14</v>
      </c>
      <c r="G2480">
        <v>0.18679999999999999</v>
      </c>
      <c r="H2480">
        <v>0.31790000000000002</v>
      </c>
      <c r="I2480">
        <v>59.1</v>
      </c>
    </row>
    <row r="2481" spans="1:9" x14ac:dyDescent="0.3">
      <c r="A2481">
        <f>LOOKUP(9E+307,--MID(D2481,1,{1,2,3,4,5}))</f>
        <v>7.5</v>
      </c>
      <c r="B2481">
        <f>VLOOKUP(MID(D2481,LOOKUP(2,1/ISNUMBER(-MID(D2481,1,{1,2,3,4,5})),{1,2,3,4,5})+1,9),'Hue codes'!$A$1:$B$10,2,FALSE)</f>
        <v>50</v>
      </c>
      <c r="C2481">
        <f t="shared" si="38"/>
        <v>57.5</v>
      </c>
      <c r="D2481" t="s">
        <v>43</v>
      </c>
      <c r="E2481">
        <v>8</v>
      </c>
      <c r="F2481">
        <v>16</v>
      </c>
      <c r="G2481">
        <v>0.1721</v>
      </c>
      <c r="H2481">
        <v>0.31680000000000003</v>
      </c>
      <c r="I2481">
        <v>59.1</v>
      </c>
    </row>
    <row r="2482" spans="1:9" x14ac:dyDescent="0.3">
      <c r="A2482">
        <f>LOOKUP(9E+307,--MID(D2482,1,{1,2,3,4,5}))</f>
        <v>10</v>
      </c>
      <c r="B2482">
        <f>VLOOKUP(MID(D2482,LOOKUP(2,1/ISNUMBER(-MID(D2482,1,{1,2,3,4,5})),{1,2,3,4,5})+1,9),'Hue codes'!$A$1:$B$10,2,FALSE)</f>
        <v>50</v>
      </c>
      <c r="C2482">
        <f t="shared" si="38"/>
        <v>60</v>
      </c>
      <c r="D2482" t="s">
        <v>44</v>
      </c>
      <c r="E2482">
        <v>8</v>
      </c>
      <c r="F2482">
        <v>2</v>
      </c>
      <c r="G2482">
        <v>0.28939999999999999</v>
      </c>
      <c r="H2482">
        <v>0.31519999999999998</v>
      </c>
      <c r="I2482">
        <v>59.1</v>
      </c>
    </row>
    <row r="2483" spans="1:9" x14ac:dyDescent="0.3">
      <c r="A2483">
        <f>LOOKUP(9E+307,--MID(D2483,1,{1,2,3,4,5}))</f>
        <v>10</v>
      </c>
      <c r="B2483">
        <f>VLOOKUP(MID(D2483,LOOKUP(2,1/ISNUMBER(-MID(D2483,1,{1,2,3,4,5})),{1,2,3,4,5})+1,9),'Hue codes'!$A$1:$B$10,2,FALSE)</f>
        <v>50</v>
      </c>
      <c r="C2483">
        <f t="shared" si="38"/>
        <v>60</v>
      </c>
      <c r="D2483" t="s">
        <v>44</v>
      </c>
      <c r="E2483">
        <v>8</v>
      </c>
      <c r="F2483">
        <v>4</v>
      </c>
      <c r="G2483">
        <v>0.26860000000000001</v>
      </c>
      <c r="H2483">
        <v>0.313</v>
      </c>
      <c r="I2483">
        <v>59.1</v>
      </c>
    </row>
    <row r="2484" spans="1:9" x14ac:dyDescent="0.3">
      <c r="A2484">
        <f>LOOKUP(9E+307,--MID(D2484,1,{1,2,3,4,5}))</f>
        <v>10</v>
      </c>
      <c r="B2484">
        <f>VLOOKUP(MID(D2484,LOOKUP(2,1/ISNUMBER(-MID(D2484,1,{1,2,3,4,5})),{1,2,3,4,5})+1,9),'Hue codes'!$A$1:$B$10,2,FALSE)</f>
        <v>50</v>
      </c>
      <c r="C2484">
        <f t="shared" si="38"/>
        <v>60</v>
      </c>
      <c r="D2484" t="s">
        <v>44</v>
      </c>
      <c r="E2484">
        <v>8</v>
      </c>
      <c r="F2484">
        <v>6</v>
      </c>
      <c r="G2484">
        <v>0.24890000000000001</v>
      </c>
      <c r="H2484">
        <v>0.30990000000000001</v>
      </c>
      <c r="I2484">
        <v>59.1</v>
      </c>
    </row>
    <row r="2485" spans="1:9" x14ac:dyDescent="0.3">
      <c r="A2485">
        <f>LOOKUP(9E+307,--MID(D2485,1,{1,2,3,4,5}))</f>
        <v>10</v>
      </c>
      <c r="B2485">
        <f>VLOOKUP(MID(D2485,LOOKUP(2,1/ISNUMBER(-MID(D2485,1,{1,2,3,4,5})),{1,2,3,4,5})+1,9),'Hue codes'!$A$1:$B$10,2,FALSE)</f>
        <v>50</v>
      </c>
      <c r="C2485">
        <f t="shared" si="38"/>
        <v>60</v>
      </c>
      <c r="D2485" t="s">
        <v>44</v>
      </c>
      <c r="E2485">
        <v>8</v>
      </c>
      <c r="F2485">
        <v>8</v>
      </c>
      <c r="G2485">
        <v>0.23019999999999999</v>
      </c>
      <c r="H2485">
        <v>0.30630000000000002</v>
      </c>
      <c r="I2485">
        <v>59.1</v>
      </c>
    </row>
    <row r="2486" spans="1:9" x14ac:dyDescent="0.3">
      <c r="A2486">
        <f>LOOKUP(9E+307,--MID(D2486,1,{1,2,3,4,5}))</f>
        <v>10</v>
      </c>
      <c r="B2486">
        <f>VLOOKUP(MID(D2486,LOOKUP(2,1/ISNUMBER(-MID(D2486,1,{1,2,3,4,5})),{1,2,3,4,5})+1,9),'Hue codes'!$A$1:$B$10,2,FALSE)</f>
        <v>50</v>
      </c>
      <c r="C2486">
        <f t="shared" si="38"/>
        <v>60</v>
      </c>
      <c r="D2486" t="s">
        <v>44</v>
      </c>
      <c r="E2486">
        <v>8</v>
      </c>
      <c r="F2486">
        <v>10</v>
      </c>
      <c r="G2486">
        <v>0.21199999999999999</v>
      </c>
      <c r="H2486">
        <v>0.30249999999999999</v>
      </c>
      <c r="I2486">
        <v>59.1</v>
      </c>
    </row>
    <row r="2487" spans="1:9" x14ac:dyDescent="0.3">
      <c r="A2487">
        <f>LOOKUP(9E+307,--MID(D2487,1,{1,2,3,4,5}))</f>
        <v>10</v>
      </c>
      <c r="B2487">
        <f>VLOOKUP(MID(D2487,LOOKUP(2,1/ISNUMBER(-MID(D2487,1,{1,2,3,4,5})),{1,2,3,4,5})+1,9),'Hue codes'!$A$1:$B$10,2,FALSE)</f>
        <v>50</v>
      </c>
      <c r="C2487">
        <f t="shared" si="38"/>
        <v>60</v>
      </c>
      <c r="D2487" t="s">
        <v>44</v>
      </c>
      <c r="E2487">
        <v>8</v>
      </c>
      <c r="F2487">
        <v>12</v>
      </c>
      <c r="G2487">
        <v>0.19370000000000001</v>
      </c>
      <c r="H2487">
        <v>0.29780000000000001</v>
      </c>
      <c r="I2487">
        <v>59.1</v>
      </c>
    </row>
    <row r="2488" spans="1:9" x14ac:dyDescent="0.3">
      <c r="A2488">
        <f>LOOKUP(9E+307,--MID(D2488,1,{1,2,3,4,5}))</f>
        <v>10</v>
      </c>
      <c r="B2488">
        <f>VLOOKUP(MID(D2488,LOOKUP(2,1/ISNUMBER(-MID(D2488,1,{1,2,3,4,5})),{1,2,3,4,5})+1,9),'Hue codes'!$A$1:$B$10,2,FALSE)</f>
        <v>50</v>
      </c>
      <c r="C2488">
        <f t="shared" si="38"/>
        <v>60</v>
      </c>
      <c r="D2488" t="s">
        <v>44</v>
      </c>
      <c r="E2488">
        <v>8</v>
      </c>
      <c r="F2488">
        <v>14</v>
      </c>
      <c r="G2488">
        <v>0.17879999999999999</v>
      </c>
      <c r="H2488">
        <v>0.29360000000000003</v>
      </c>
      <c r="I2488">
        <v>59.1</v>
      </c>
    </row>
    <row r="2489" spans="1:9" x14ac:dyDescent="0.3">
      <c r="A2489">
        <f>LOOKUP(9E+307,--MID(D2489,1,{1,2,3,4,5}))</f>
        <v>2.5</v>
      </c>
      <c r="B2489">
        <f>VLOOKUP(MID(D2489,LOOKUP(2,1/ISNUMBER(-MID(D2489,1,{1,2,3,4,5})),{1,2,3,4,5})+1,9),'Hue codes'!$A$1:$B$10,2,FALSE)</f>
        <v>60</v>
      </c>
      <c r="C2489">
        <f t="shared" si="38"/>
        <v>62.5</v>
      </c>
      <c r="D2489" t="s">
        <v>45</v>
      </c>
      <c r="E2489">
        <v>8</v>
      </c>
      <c r="F2489">
        <v>2</v>
      </c>
      <c r="G2489">
        <v>0.28970000000000001</v>
      </c>
      <c r="H2489">
        <v>0.31240000000000001</v>
      </c>
      <c r="I2489">
        <v>59.1</v>
      </c>
    </row>
    <row r="2490" spans="1:9" x14ac:dyDescent="0.3">
      <c r="A2490">
        <f>LOOKUP(9E+307,--MID(D2490,1,{1,2,3,4,5}))</f>
        <v>2.5</v>
      </c>
      <c r="B2490">
        <f>VLOOKUP(MID(D2490,LOOKUP(2,1/ISNUMBER(-MID(D2490,1,{1,2,3,4,5})),{1,2,3,4,5})+1,9),'Hue codes'!$A$1:$B$10,2,FALSE)</f>
        <v>60</v>
      </c>
      <c r="C2490">
        <f t="shared" si="38"/>
        <v>62.5</v>
      </c>
      <c r="D2490" t="s">
        <v>45</v>
      </c>
      <c r="E2490">
        <v>8</v>
      </c>
      <c r="F2490">
        <v>4</v>
      </c>
      <c r="G2490">
        <v>0.26679999999999998</v>
      </c>
      <c r="H2490">
        <v>0.30669999999999997</v>
      </c>
      <c r="I2490">
        <v>59.1</v>
      </c>
    </row>
    <row r="2491" spans="1:9" x14ac:dyDescent="0.3">
      <c r="A2491">
        <f>LOOKUP(9E+307,--MID(D2491,1,{1,2,3,4,5}))</f>
        <v>2.5</v>
      </c>
      <c r="B2491">
        <f>VLOOKUP(MID(D2491,LOOKUP(2,1/ISNUMBER(-MID(D2491,1,{1,2,3,4,5})),{1,2,3,4,5})+1,9),'Hue codes'!$A$1:$B$10,2,FALSE)</f>
        <v>60</v>
      </c>
      <c r="C2491">
        <f t="shared" si="38"/>
        <v>62.5</v>
      </c>
      <c r="D2491" t="s">
        <v>45</v>
      </c>
      <c r="E2491">
        <v>8</v>
      </c>
      <c r="F2491">
        <v>6</v>
      </c>
      <c r="G2491">
        <v>0.2462</v>
      </c>
      <c r="H2491">
        <v>0.3</v>
      </c>
      <c r="I2491">
        <v>59.1</v>
      </c>
    </row>
    <row r="2492" spans="1:9" x14ac:dyDescent="0.3">
      <c r="A2492">
        <f>LOOKUP(9E+307,--MID(D2492,1,{1,2,3,4,5}))</f>
        <v>2.5</v>
      </c>
      <c r="B2492">
        <f>VLOOKUP(MID(D2492,LOOKUP(2,1/ISNUMBER(-MID(D2492,1,{1,2,3,4,5})),{1,2,3,4,5})+1,9),'Hue codes'!$A$1:$B$10,2,FALSE)</f>
        <v>60</v>
      </c>
      <c r="C2492">
        <f t="shared" si="38"/>
        <v>62.5</v>
      </c>
      <c r="D2492" t="s">
        <v>45</v>
      </c>
      <c r="E2492">
        <v>8</v>
      </c>
      <c r="F2492">
        <v>8</v>
      </c>
      <c r="G2492">
        <v>0.22639999999999999</v>
      </c>
      <c r="H2492">
        <v>0.2923</v>
      </c>
      <c r="I2492">
        <v>59.1</v>
      </c>
    </row>
    <row r="2493" spans="1:9" x14ac:dyDescent="0.3">
      <c r="A2493">
        <f>LOOKUP(9E+307,--MID(D2493,1,{1,2,3,4,5}))</f>
        <v>2.5</v>
      </c>
      <c r="B2493">
        <f>VLOOKUP(MID(D2493,LOOKUP(2,1/ISNUMBER(-MID(D2493,1,{1,2,3,4,5})),{1,2,3,4,5})+1,9),'Hue codes'!$A$1:$B$10,2,FALSE)</f>
        <v>60</v>
      </c>
      <c r="C2493">
        <f t="shared" si="38"/>
        <v>62.5</v>
      </c>
      <c r="D2493" t="s">
        <v>45</v>
      </c>
      <c r="E2493">
        <v>8</v>
      </c>
      <c r="F2493">
        <v>10</v>
      </c>
      <c r="G2493">
        <v>0.20660000000000001</v>
      </c>
      <c r="H2493">
        <v>0.28389999999999999</v>
      </c>
      <c r="I2493">
        <v>59.1</v>
      </c>
    </row>
    <row r="2494" spans="1:9" x14ac:dyDescent="0.3">
      <c r="A2494">
        <f>LOOKUP(9E+307,--MID(D2494,1,{1,2,3,4,5}))</f>
        <v>2.5</v>
      </c>
      <c r="B2494">
        <f>VLOOKUP(MID(D2494,LOOKUP(2,1/ISNUMBER(-MID(D2494,1,{1,2,3,4,5})),{1,2,3,4,5})+1,9),'Hue codes'!$A$1:$B$10,2,FALSE)</f>
        <v>60</v>
      </c>
      <c r="C2494">
        <f t="shared" si="38"/>
        <v>62.5</v>
      </c>
      <c r="D2494" t="s">
        <v>45</v>
      </c>
      <c r="E2494">
        <v>8</v>
      </c>
      <c r="F2494">
        <v>12</v>
      </c>
      <c r="G2494">
        <v>0.18770000000000001</v>
      </c>
      <c r="H2494">
        <v>0.2752</v>
      </c>
      <c r="I2494">
        <v>59.1</v>
      </c>
    </row>
    <row r="2495" spans="1:9" x14ac:dyDescent="0.3">
      <c r="A2495">
        <f>LOOKUP(9E+307,--MID(D2495,1,{1,2,3,4,5}))</f>
        <v>5</v>
      </c>
      <c r="B2495">
        <f>VLOOKUP(MID(D2495,LOOKUP(2,1/ISNUMBER(-MID(D2495,1,{1,2,3,4,5})),{1,2,3,4,5})+1,9),'Hue codes'!$A$1:$B$10,2,FALSE)</f>
        <v>60</v>
      </c>
      <c r="C2495">
        <f t="shared" si="38"/>
        <v>65</v>
      </c>
      <c r="D2495" t="s">
        <v>46</v>
      </c>
      <c r="E2495">
        <v>8</v>
      </c>
      <c r="F2495">
        <v>2</v>
      </c>
      <c r="G2495">
        <v>0.2908</v>
      </c>
      <c r="H2495">
        <v>0.30959999999999999</v>
      </c>
      <c r="I2495">
        <v>59.1</v>
      </c>
    </row>
    <row r="2496" spans="1:9" x14ac:dyDescent="0.3">
      <c r="A2496">
        <f>LOOKUP(9E+307,--MID(D2496,1,{1,2,3,4,5}))</f>
        <v>5</v>
      </c>
      <c r="B2496">
        <f>VLOOKUP(MID(D2496,LOOKUP(2,1/ISNUMBER(-MID(D2496,1,{1,2,3,4,5})),{1,2,3,4,5})+1,9),'Hue codes'!$A$1:$B$10,2,FALSE)</f>
        <v>60</v>
      </c>
      <c r="C2496">
        <f t="shared" si="38"/>
        <v>65</v>
      </c>
      <c r="D2496" t="s">
        <v>46</v>
      </c>
      <c r="E2496">
        <v>8</v>
      </c>
      <c r="F2496">
        <v>4</v>
      </c>
      <c r="G2496">
        <v>0.2671</v>
      </c>
      <c r="H2496">
        <v>0.29980000000000001</v>
      </c>
      <c r="I2496">
        <v>59.1</v>
      </c>
    </row>
    <row r="2497" spans="1:9" x14ac:dyDescent="0.3">
      <c r="A2497">
        <f>LOOKUP(9E+307,--MID(D2497,1,{1,2,3,4,5}))</f>
        <v>5</v>
      </c>
      <c r="B2497">
        <f>VLOOKUP(MID(D2497,LOOKUP(2,1/ISNUMBER(-MID(D2497,1,{1,2,3,4,5})),{1,2,3,4,5})+1,9),'Hue codes'!$A$1:$B$10,2,FALSE)</f>
        <v>60</v>
      </c>
      <c r="C2497">
        <f t="shared" si="38"/>
        <v>65</v>
      </c>
      <c r="D2497" t="s">
        <v>46</v>
      </c>
      <c r="E2497">
        <v>8</v>
      </c>
      <c r="F2497">
        <v>6</v>
      </c>
      <c r="G2497">
        <v>0.2457</v>
      </c>
      <c r="H2497">
        <v>0.2888</v>
      </c>
      <c r="I2497">
        <v>59.1</v>
      </c>
    </row>
    <row r="2498" spans="1:9" x14ac:dyDescent="0.3">
      <c r="A2498">
        <f>LOOKUP(9E+307,--MID(D2498,1,{1,2,3,4,5}))</f>
        <v>5</v>
      </c>
      <c r="B2498">
        <f>VLOOKUP(MID(D2498,LOOKUP(2,1/ISNUMBER(-MID(D2498,1,{1,2,3,4,5})),{1,2,3,4,5})+1,9),'Hue codes'!$A$1:$B$10,2,FALSE)</f>
        <v>60</v>
      </c>
      <c r="C2498">
        <f t="shared" si="38"/>
        <v>65</v>
      </c>
      <c r="D2498" t="s">
        <v>46</v>
      </c>
      <c r="E2498">
        <v>8</v>
      </c>
      <c r="F2498">
        <v>8</v>
      </c>
      <c r="G2498">
        <v>0.22370000000000001</v>
      </c>
      <c r="H2498">
        <v>0.27610000000000001</v>
      </c>
      <c r="I2498">
        <v>59.1</v>
      </c>
    </row>
    <row r="2499" spans="1:9" x14ac:dyDescent="0.3">
      <c r="A2499">
        <f>LOOKUP(9E+307,--MID(D2499,1,{1,2,3,4,5}))</f>
        <v>7.5</v>
      </c>
      <c r="B2499">
        <f>VLOOKUP(MID(D2499,LOOKUP(2,1/ISNUMBER(-MID(D2499,1,{1,2,3,4,5})),{1,2,3,4,5})+1,9),'Hue codes'!$A$1:$B$10,2,FALSE)</f>
        <v>60</v>
      </c>
      <c r="C2499">
        <f t="shared" ref="C2499:C2562" si="39">IF(A2499+B2499=100,0,A2499+B2499)</f>
        <v>67.5</v>
      </c>
      <c r="D2499" t="s">
        <v>47</v>
      </c>
      <c r="E2499">
        <v>8</v>
      </c>
      <c r="F2499">
        <v>2</v>
      </c>
      <c r="G2499">
        <v>0.29220000000000002</v>
      </c>
      <c r="H2499">
        <v>0.30769999999999997</v>
      </c>
      <c r="I2499">
        <v>59.1</v>
      </c>
    </row>
    <row r="2500" spans="1:9" x14ac:dyDescent="0.3">
      <c r="A2500">
        <f>LOOKUP(9E+307,--MID(D2500,1,{1,2,3,4,5}))</f>
        <v>7.5</v>
      </c>
      <c r="B2500">
        <f>VLOOKUP(MID(D2500,LOOKUP(2,1/ISNUMBER(-MID(D2500,1,{1,2,3,4,5})),{1,2,3,4,5})+1,9),'Hue codes'!$A$1:$B$10,2,FALSE)</f>
        <v>60</v>
      </c>
      <c r="C2500">
        <f t="shared" si="39"/>
        <v>67.5</v>
      </c>
      <c r="D2500" t="s">
        <v>47</v>
      </c>
      <c r="E2500">
        <v>8</v>
      </c>
      <c r="F2500">
        <v>4</v>
      </c>
      <c r="G2500">
        <v>0.26879999999999998</v>
      </c>
      <c r="H2500">
        <v>0.29559999999999997</v>
      </c>
      <c r="I2500">
        <v>59.1</v>
      </c>
    </row>
    <row r="2501" spans="1:9" x14ac:dyDescent="0.3">
      <c r="A2501">
        <f>LOOKUP(9E+307,--MID(D2501,1,{1,2,3,4,5}))</f>
        <v>7.5</v>
      </c>
      <c r="B2501">
        <f>VLOOKUP(MID(D2501,LOOKUP(2,1/ISNUMBER(-MID(D2501,1,{1,2,3,4,5})),{1,2,3,4,5})+1,9),'Hue codes'!$A$1:$B$10,2,FALSE)</f>
        <v>60</v>
      </c>
      <c r="C2501">
        <f t="shared" si="39"/>
        <v>67.5</v>
      </c>
      <c r="D2501" t="s">
        <v>47</v>
      </c>
      <c r="E2501">
        <v>8</v>
      </c>
      <c r="F2501">
        <v>6</v>
      </c>
      <c r="G2501">
        <v>0.2472</v>
      </c>
      <c r="H2501">
        <v>0.28210000000000002</v>
      </c>
      <c r="I2501">
        <v>59.1</v>
      </c>
    </row>
    <row r="2502" spans="1:9" x14ac:dyDescent="0.3">
      <c r="A2502">
        <f>LOOKUP(9E+307,--MID(D2502,1,{1,2,3,4,5}))</f>
        <v>7.5</v>
      </c>
      <c r="B2502">
        <f>VLOOKUP(MID(D2502,LOOKUP(2,1/ISNUMBER(-MID(D2502,1,{1,2,3,4,5})),{1,2,3,4,5})+1,9),'Hue codes'!$A$1:$B$10,2,FALSE)</f>
        <v>60</v>
      </c>
      <c r="C2502">
        <f t="shared" si="39"/>
        <v>67.5</v>
      </c>
      <c r="D2502" t="s">
        <v>47</v>
      </c>
      <c r="E2502">
        <v>8</v>
      </c>
      <c r="F2502">
        <v>8</v>
      </c>
      <c r="G2502">
        <v>0.22520000000000001</v>
      </c>
      <c r="H2502">
        <v>0.26679999999999998</v>
      </c>
      <c r="I2502">
        <v>59.1</v>
      </c>
    </row>
    <row r="2503" spans="1:9" x14ac:dyDescent="0.3">
      <c r="A2503">
        <f>LOOKUP(9E+307,--MID(D2503,1,{1,2,3,4,5}))</f>
        <v>10</v>
      </c>
      <c r="B2503">
        <f>VLOOKUP(MID(D2503,LOOKUP(2,1/ISNUMBER(-MID(D2503,1,{1,2,3,4,5})),{1,2,3,4,5})+1,9),'Hue codes'!$A$1:$B$10,2,FALSE)</f>
        <v>60</v>
      </c>
      <c r="C2503">
        <f t="shared" si="39"/>
        <v>70</v>
      </c>
      <c r="D2503" t="s">
        <v>48</v>
      </c>
      <c r="E2503">
        <v>8</v>
      </c>
      <c r="F2503">
        <v>2</v>
      </c>
      <c r="G2503">
        <v>0.29349999999999998</v>
      </c>
      <c r="H2503">
        <v>0.30620000000000003</v>
      </c>
      <c r="I2503">
        <v>59.1</v>
      </c>
    </row>
    <row r="2504" spans="1:9" x14ac:dyDescent="0.3">
      <c r="A2504">
        <f>LOOKUP(9E+307,--MID(D2504,1,{1,2,3,4,5}))</f>
        <v>10</v>
      </c>
      <c r="B2504">
        <f>VLOOKUP(MID(D2504,LOOKUP(2,1/ISNUMBER(-MID(D2504,1,{1,2,3,4,5})),{1,2,3,4,5})+1,9),'Hue codes'!$A$1:$B$10,2,FALSE)</f>
        <v>60</v>
      </c>
      <c r="C2504">
        <f t="shared" si="39"/>
        <v>70</v>
      </c>
      <c r="D2504" t="s">
        <v>48</v>
      </c>
      <c r="E2504">
        <v>8</v>
      </c>
      <c r="F2504">
        <v>4</v>
      </c>
      <c r="G2504">
        <v>0.27179999999999999</v>
      </c>
      <c r="H2504">
        <v>0.29110000000000003</v>
      </c>
      <c r="I2504">
        <v>59.1</v>
      </c>
    </row>
    <row r="2505" spans="1:9" x14ac:dyDescent="0.3">
      <c r="A2505">
        <f>LOOKUP(9E+307,--MID(D2505,1,{1,2,3,4,5}))</f>
        <v>10</v>
      </c>
      <c r="B2505">
        <f>VLOOKUP(MID(D2505,LOOKUP(2,1/ISNUMBER(-MID(D2505,1,{1,2,3,4,5})),{1,2,3,4,5})+1,9),'Hue codes'!$A$1:$B$10,2,FALSE)</f>
        <v>60</v>
      </c>
      <c r="C2505">
        <f t="shared" si="39"/>
        <v>70</v>
      </c>
      <c r="D2505" t="s">
        <v>48</v>
      </c>
      <c r="E2505">
        <v>8</v>
      </c>
      <c r="F2505">
        <v>6</v>
      </c>
      <c r="G2505">
        <v>0.25119999999999998</v>
      </c>
      <c r="H2505">
        <v>0.27600000000000002</v>
      </c>
      <c r="I2505">
        <v>59.1</v>
      </c>
    </row>
    <row r="2506" spans="1:9" x14ac:dyDescent="0.3">
      <c r="A2506">
        <f>LOOKUP(9E+307,--MID(D2506,1,{1,2,3,4,5}))</f>
        <v>10</v>
      </c>
      <c r="B2506">
        <f>VLOOKUP(MID(D2506,LOOKUP(2,1/ISNUMBER(-MID(D2506,1,{1,2,3,4,5})),{1,2,3,4,5})+1,9),'Hue codes'!$A$1:$B$10,2,FALSE)</f>
        <v>60</v>
      </c>
      <c r="C2506">
        <f t="shared" si="39"/>
        <v>70</v>
      </c>
      <c r="D2506" t="s">
        <v>48</v>
      </c>
      <c r="E2506">
        <v>8</v>
      </c>
      <c r="F2506">
        <v>8</v>
      </c>
      <c r="G2506">
        <v>0.22939999999999999</v>
      </c>
      <c r="H2506">
        <v>0.25869999999999999</v>
      </c>
      <c r="I2506">
        <v>59.1</v>
      </c>
    </row>
    <row r="2507" spans="1:9" x14ac:dyDescent="0.3">
      <c r="A2507">
        <f>LOOKUP(9E+307,--MID(D2507,1,{1,2,3,4,5}))</f>
        <v>2.5</v>
      </c>
      <c r="B2507">
        <f>VLOOKUP(MID(D2507,LOOKUP(2,1/ISNUMBER(-MID(D2507,1,{1,2,3,4,5})),{1,2,3,4,5})+1,9),'Hue codes'!$A$1:$B$10,2,FALSE)</f>
        <v>70</v>
      </c>
      <c r="C2507">
        <f t="shared" si="39"/>
        <v>72.5</v>
      </c>
      <c r="D2507" t="s">
        <v>49</v>
      </c>
      <c r="E2507">
        <v>8</v>
      </c>
      <c r="F2507">
        <v>2</v>
      </c>
      <c r="G2507">
        <v>0.29570000000000002</v>
      </c>
      <c r="H2507">
        <v>0.30470000000000003</v>
      </c>
      <c r="I2507">
        <v>59.1</v>
      </c>
    </row>
    <row r="2508" spans="1:9" x14ac:dyDescent="0.3">
      <c r="A2508">
        <f>LOOKUP(9E+307,--MID(D2508,1,{1,2,3,4,5}))</f>
        <v>2.5</v>
      </c>
      <c r="B2508">
        <f>VLOOKUP(MID(D2508,LOOKUP(2,1/ISNUMBER(-MID(D2508,1,{1,2,3,4,5})),{1,2,3,4,5})+1,9),'Hue codes'!$A$1:$B$10,2,FALSE)</f>
        <v>70</v>
      </c>
      <c r="C2508">
        <f t="shared" si="39"/>
        <v>72.5</v>
      </c>
      <c r="D2508" t="s">
        <v>49</v>
      </c>
      <c r="E2508">
        <v>8</v>
      </c>
      <c r="F2508">
        <v>4</v>
      </c>
      <c r="G2508">
        <v>0.27579999999999999</v>
      </c>
      <c r="H2508">
        <v>0.28789999999999999</v>
      </c>
      <c r="I2508">
        <v>59.1</v>
      </c>
    </row>
    <row r="2509" spans="1:9" x14ac:dyDescent="0.3">
      <c r="A2509">
        <f>LOOKUP(9E+307,--MID(D2509,1,{1,2,3,4,5}))</f>
        <v>2.5</v>
      </c>
      <c r="B2509">
        <f>VLOOKUP(MID(D2509,LOOKUP(2,1/ISNUMBER(-MID(D2509,1,{1,2,3,4,5})),{1,2,3,4,5})+1,9),'Hue codes'!$A$1:$B$10,2,FALSE)</f>
        <v>70</v>
      </c>
      <c r="C2509">
        <f t="shared" si="39"/>
        <v>72.5</v>
      </c>
      <c r="D2509" t="s">
        <v>49</v>
      </c>
      <c r="E2509">
        <v>8</v>
      </c>
      <c r="F2509">
        <v>6</v>
      </c>
      <c r="G2509">
        <v>0.25619999999999998</v>
      </c>
      <c r="H2509">
        <v>0.27089999999999997</v>
      </c>
      <c r="I2509">
        <v>59.1</v>
      </c>
    </row>
    <row r="2510" spans="1:9" x14ac:dyDescent="0.3">
      <c r="A2510">
        <f>LOOKUP(9E+307,--MID(D2510,1,{1,2,3,4,5}))</f>
        <v>5</v>
      </c>
      <c r="B2510">
        <f>VLOOKUP(MID(D2510,LOOKUP(2,1/ISNUMBER(-MID(D2510,1,{1,2,3,4,5})),{1,2,3,4,5})+1,9),'Hue codes'!$A$1:$B$10,2,FALSE)</f>
        <v>70</v>
      </c>
      <c r="C2510">
        <f t="shared" si="39"/>
        <v>75</v>
      </c>
      <c r="D2510" t="s">
        <v>50</v>
      </c>
      <c r="E2510">
        <v>8</v>
      </c>
      <c r="F2510">
        <v>2</v>
      </c>
      <c r="G2510">
        <v>0.2974</v>
      </c>
      <c r="H2510">
        <v>0.3039</v>
      </c>
      <c r="I2510">
        <v>59.1</v>
      </c>
    </row>
    <row r="2511" spans="1:9" x14ac:dyDescent="0.3">
      <c r="A2511">
        <f>LOOKUP(9E+307,--MID(D2511,1,{1,2,3,4,5}))</f>
        <v>5</v>
      </c>
      <c r="B2511">
        <f>VLOOKUP(MID(D2511,LOOKUP(2,1/ISNUMBER(-MID(D2511,1,{1,2,3,4,5})),{1,2,3,4,5})+1,9),'Hue codes'!$A$1:$B$10,2,FALSE)</f>
        <v>70</v>
      </c>
      <c r="C2511">
        <f t="shared" si="39"/>
        <v>75</v>
      </c>
      <c r="D2511" t="s">
        <v>50</v>
      </c>
      <c r="E2511">
        <v>8</v>
      </c>
      <c r="F2511">
        <v>4</v>
      </c>
      <c r="G2511">
        <v>0.27979999999999999</v>
      </c>
      <c r="H2511">
        <v>0.28610000000000002</v>
      </c>
      <c r="I2511">
        <v>59.1</v>
      </c>
    </row>
    <row r="2512" spans="1:9" x14ac:dyDescent="0.3">
      <c r="A2512">
        <f>LOOKUP(9E+307,--MID(D2512,1,{1,2,3,4,5}))</f>
        <v>5</v>
      </c>
      <c r="B2512">
        <f>VLOOKUP(MID(D2512,LOOKUP(2,1/ISNUMBER(-MID(D2512,1,{1,2,3,4,5})),{1,2,3,4,5})+1,9),'Hue codes'!$A$1:$B$10,2,FALSE)</f>
        <v>70</v>
      </c>
      <c r="C2512">
        <f t="shared" si="39"/>
        <v>75</v>
      </c>
      <c r="D2512" t="s">
        <v>50</v>
      </c>
      <c r="E2512">
        <v>8</v>
      </c>
      <c r="F2512">
        <v>6</v>
      </c>
      <c r="G2512">
        <v>0.26140000000000002</v>
      </c>
      <c r="H2512">
        <v>0.26700000000000002</v>
      </c>
      <c r="I2512">
        <v>59.1</v>
      </c>
    </row>
    <row r="2513" spans="1:9" x14ac:dyDescent="0.3">
      <c r="A2513">
        <f>LOOKUP(9E+307,--MID(D2513,1,{1,2,3,4,5}))</f>
        <v>7.5</v>
      </c>
      <c r="B2513">
        <f>VLOOKUP(MID(D2513,LOOKUP(2,1/ISNUMBER(-MID(D2513,1,{1,2,3,4,5})),{1,2,3,4,5})+1,9),'Hue codes'!$A$1:$B$10,2,FALSE)</f>
        <v>70</v>
      </c>
      <c r="C2513">
        <f t="shared" si="39"/>
        <v>77.5</v>
      </c>
      <c r="D2513" t="s">
        <v>51</v>
      </c>
      <c r="E2513">
        <v>8</v>
      </c>
      <c r="F2513">
        <v>2</v>
      </c>
      <c r="G2513">
        <v>0.30030000000000001</v>
      </c>
      <c r="H2513">
        <v>0.3034</v>
      </c>
      <c r="I2513">
        <v>59.1</v>
      </c>
    </row>
    <row r="2514" spans="1:9" x14ac:dyDescent="0.3">
      <c r="A2514">
        <f>LOOKUP(9E+307,--MID(D2514,1,{1,2,3,4,5}))</f>
        <v>7.5</v>
      </c>
      <c r="B2514">
        <f>VLOOKUP(MID(D2514,LOOKUP(2,1/ISNUMBER(-MID(D2514,1,{1,2,3,4,5})),{1,2,3,4,5})+1,9),'Hue codes'!$A$1:$B$10,2,FALSE)</f>
        <v>70</v>
      </c>
      <c r="C2514">
        <f t="shared" si="39"/>
        <v>77.5</v>
      </c>
      <c r="D2514" t="s">
        <v>51</v>
      </c>
      <c r="E2514">
        <v>8</v>
      </c>
      <c r="F2514">
        <v>4</v>
      </c>
      <c r="G2514">
        <v>0.28560000000000002</v>
      </c>
      <c r="H2514">
        <v>0.28460000000000002</v>
      </c>
      <c r="I2514">
        <v>59.1</v>
      </c>
    </row>
    <row r="2515" spans="1:9" x14ac:dyDescent="0.3">
      <c r="A2515">
        <f>LOOKUP(9E+307,--MID(D2515,1,{1,2,3,4,5}))</f>
        <v>7.5</v>
      </c>
      <c r="B2515">
        <f>VLOOKUP(MID(D2515,LOOKUP(2,1/ISNUMBER(-MID(D2515,1,{1,2,3,4,5})),{1,2,3,4,5})+1,9),'Hue codes'!$A$1:$B$10,2,FALSE)</f>
        <v>70</v>
      </c>
      <c r="C2515">
        <f t="shared" si="39"/>
        <v>77.5</v>
      </c>
      <c r="D2515" t="s">
        <v>51</v>
      </c>
      <c r="E2515">
        <v>8</v>
      </c>
      <c r="F2515">
        <v>6</v>
      </c>
      <c r="G2515">
        <v>0.2702</v>
      </c>
      <c r="H2515">
        <v>0.26479999999999998</v>
      </c>
      <c r="I2515">
        <v>59.1</v>
      </c>
    </row>
    <row r="2516" spans="1:9" x14ac:dyDescent="0.3">
      <c r="A2516">
        <f>LOOKUP(9E+307,--MID(D2516,1,{1,2,3,4,5}))</f>
        <v>10</v>
      </c>
      <c r="B2516">
        <f>VLOOKUP(MID(D2516,LOOKUP(2,1/ISNUMBER(-MID(D2516,1,{1,2,3,4,5})),{1,2,3,4,5})+1,9),'Hue codes'!$A$1:$B$10,2,FALSE)</f>
        <v>70</v>
      </c>
      <c r="C2516">
        <f t="shared" si="39"/>
        <v>80</v>
      </c>
      <c r="D2516" t="s">
        <v>52</v>
      </c>
      <c r="E2516">
        <v>8</v>
      </c>
      <c r="F2516">
        <v>2</v>
      </c>
      <c r="G2516">
        <v>0.30270000000000002</v>
      </c>
      <c r="H2516">
        <v>0.30349999999999999</v>
      </c>
      <c r="I2516">
        <v>59.1</v>
      </c>
    </row>
    <row r="2517" spans="1:9" x14ac:dyDescent="0.3">
      <c r="A2517">
        <f>LOOKUP(9E+307,--MID(D2517,1,{1,2,3,4,5}))</f>
        <v>10</v>
      </c>
      <c r="B2517">
        <f>VLOOKUP(MID(D2517,LOOKUP(2,1/ISNUMBER(-MID(D2517,1,{1,2,3,4,5})),{1,2,3,4,5})+1,9),'Hue codes'!$A$1:$B$10,2,FALSE)</f>
        <v>70</v>
      </c>
      <c r="C2517">
        <f t="shared" si="39"/>
        <v>80</v>
      </c>
      <c r="D2517" t="s">
        <v>52</v>
      </c>
      <c r="E2517">
        <v>8</v>
      </c>
      <c r="F2517">
        <v>4</v>
      </c>
      <c r="G2517">
        <v>0.29110000000000003</v>
      </c>
      <c r="H2517">
        <v>0.2848</v>
      </c>
      <c r="I2517">
        <v>59.1</v>
      </c>
    </row>
    <row r="2518" spans="1:9" x14ac:dyDescent="0.3">
      <c r="A2518">
        <f>LOOKUP(9E+307,--MID(D2518,1,{1,2,3,4,5}))</f>
        <v>10</v>
      </c>
      <c r="B2518">
        <f>VLOOKUP(MID(D2518,LOOKUP(2,1/ISNUMBER(-MID(D2518,1,{1,2,3,4,5})),{1,2,3,4,5})+1,9),'Hue codes'!$A$1:$B$10,2,FALSE)</f>
        <v>70</v>
      </c>
      <c r="C2518">
        <f t="shared" si="39"/>
        <v>80</v>
      </c>
      <c r="D2518" t="s">
        <v>52</v>
      </c>
      <c r="E2518">
        <v>8</v>
      </c>
      <c r="F2518">
        <v>6</v>
      </c>
      <c r="G2518">
        <v>0.2792</v>
      </c>
      <c r="H2518">
        <v>0.26490000000000002</v>
      </c>
      <c r="I2518">
        <v>59.1</v>
      </c>
    </row>
    <row r="2519" spans="1:9" x14ac:dyDescent="0.3">
      <c r="A2519">
        <f>LOOKUP(9E+307,--MID(D2519,1,{1,2,3,4,5}))</f>
        <v>10</v>
      </c>
      <c r="B2519">
        <f>VLOOKUP(MID(D2519,LOOKUP(2,1/ISNUMBER(-MID(D2519,1,{1,2,3,4,5})),{1,2,3,4,5})+1,9),'Hue codes'!$A$1:$B$10,2,FALSE)</f>
        <v>70</v>
      </c>
      <c r="C2519">
        <f t="shared" si="39"/>
        <v>80</v>
      </c>
      <c r="D2519" t="s">
        <v>52</v>
      </c>
      <c r="E2519">
        <v>8</v>
      </c>
      <c r="F2519">
        <v>8</v>
      </c>
      <c r="G2519">
        <v>0.26769999999999999</v>
      </c>
      <c r="H2519">
        <v>0.24429999999999999</v>
      </c>
      <c r="I2519">
        <v>59.1</v>
      </c>
    </row>
    <row r="2520" spans="1:9" x14ac:dyDescent="0.3">
      <c r="A2520">
        <f>LOOKUP(9E+307,--MID(D2520,1,{1,2,3,4,5}))</f>
        <v>2.5</v>
      </c>
      <c r="B2520">
        <f>VLOOKUP(MID(D2520,LOOKUP(2,1/ISNUMBER(-MID(D2520,1,{1,2,3,4,5})),{1,2,3,4,5})+1,9),'Hue codes'!$A$1:$B$10,2,FALSE)</f>
        <v>80</v>
      </c>
      <c r="C2520">
        <f t="shared" si="39"/>
        <v>82.5</v>
      </c>
      <c r="D2520" t="s">
        <v>53</v>
      </c>
      <c r="E2520">
        <v>8</v>
      </c>
      <c r="F2520">
        <v>2</v>
      </c>
      <c r="G2520">
        <v>0.30480000000000002</v>
      </c>
      <c r="H2520">
        <v>0.30399999999999999</v>
      </c>
      <c r="I2520">
        <v>59.1</v>
      </c>
    </row>
    <row r="2521" spans="1:9" x14ac:dyDescent="0.3">
      <c r="A2521">
        <f>LOOKUP(9E+307,--MID(D2521,1,{1,2,3,4,5}))</f>
        <v>2.5</v>
      </c>
      <c r="B2521">
        <f>VLOOKUP(MID(D2521,LOOKUP(2,1/ISNUMBER(-MID(D2521,1,{1,2,3,4,5})),{1,2,3,4,5})+1,9),'Hue codes'!$A$1:$B$10,2,FALSE)</f>
        <v>80</v>
      </c>
      <c r="C2521">
        <f t="shared" si="39"/>
        <v>82.5</v>
      </c>
      <c r="D2521" t="s">
        <v>53</v>
      </c>
      <c r="E2521">
        <v>8</v>
      </c>
      <c r="F2521">
        <v>4</v>
      </c>
      <c r="G2521">
        <v>0.29620000000000002</v>
      </c>
      <c r="H2521">
        <v>0.28499999999999998</v>
      </c>
      <c r="I2521">
        <v>59.1</v>
      </c>
    </row>
    <row r="2522" spans="1:9" x14ac:dyDescent="0.3">
      <c r="A2522">
        <f>LOOKUP(9E+307,--MID(D2522,1,{1,2,3,4,5}))</f>
        <v>2.5</v>
      </c>
      <c r="B2522">
        <f>VLOOKUP(MID(D2522,LOOKUP(2,1/ISNUMBER(-MID(D2522,1,{1,2,3,4,5})),{1,2,3,4,5})+1,9),'Hue codes'!$A$1:$B$10,2,FALSE)</f>
        <v>80</v>
      </c>
      <c r="C2522">
        <f t="shared" si="39"/>
        <v>82.5</v>
      </c>
      <c r="D2522" t="s">
        <v>53</v>
      </c>
      <c r="E2522">
        <v>8</v>
      </c>
      <c r="F2522">
        <v>6</v>
      </c>
      <c r="G2522">
        <v>0.28810000000000002</v>
      </c>
      <c r="H2522">
        <v>0.2671</v>
      </c>
      <c r="I2522">
        <v>59.1</v>
      </c>
    </row>
    <row r="2523" spans="1:9" x14ac:dyDescent="0.3">
      <c r="A2523">
        <f>LOOKUP(9E+307,--MID(D2523,1,{1,2,3,4,5}))</f>
        <v>2.5</v>
      </c>
      <c r="B2523">
        <f>VLOOKUP(MID(D2523,LOOKUP(2,1/ISNUMBER(-MID(D2523,1,{1,2,3,4,5})),{1,2,3,4,5})+1,9),'Hue codes'!$A$1:$B$10,2,FALSE)</f>
        <v>80</v>
      </c>
      <c r="C2523">
        <f t="shared" si="39"/>
        <v>82.5</v>
      </c>
      <c r="D2523" t="s">
        <v>53</v>
      </c>
      <c r="E2523">
        <v>8</v>
      </c>
      <c r="F2523">
        <v>8</v>
      </c>
      <c r="G2523">
        <v>0.28000000000000003</v>
      </c>
      <c r="H2523">
        <v>0.24879999999999999</v>
      </c>
      <c r="I2523">
        <v>59.1</v>
      </c>
    </row>
    <row r="2524" spans="1:9" x14ac:dyDescent="0.3">
      <c r="A2524">
        <f>LOOKUP(9E+307,--MID(D2524,1,{1,2,3,4,5}))</f>
        <v>5</v>
      </c>
      <c r="B2524">
        <f>VLOOKUP(MID(D2524,LOOKUP(2,1/ISNUMBER(-MID(D2524,1,{1,2,3,4,5})),{1,2,3,4,5})+1,9),'Hue codes'!$A$1:$B$10,2,FALSE)</f>
        <v>80</v>
      </c>
      <c r="C2524">
        <f t="shared" si="39"/>
        <v>85</v>
      </c>
      <c r="D2524" t="s">
        <v>54</v>
      </c>
      <c r="E2524">
        <v>8</v>
      </c>
      <c r="F2524">
        <v>2</v>
      </c>
      <c r="G2524">
        <v>0.30649999999999999</v>
      </c>
      <c r="H2524">
        <v>0.30470000000000003</v>
      </c>
      <c r="I2524">
        <v>59.1</v>
      </c>
    </row>
    <row r="2525" spans="1:9" x14ac:dyDescent="0.3">
      <c r="A2525">
        <f>LOOKUP(9E+307,--MID(D2525,1,{1,2,3,4,5}))</f>
        <v>5</v>
      </c>
      <c r="B2525">
        <f>VLOOKUP(MID(D2525,LOOKUP(2,1/ISNUMBER(-MID(D2525,1,{1,2,3,4,5})),{1,2,3,4,5})+1,9),'Hue codes'!$A$1:$B$10,2,FALSE)</f>
        <v>80</v>
      </c>
      <c r="C2525">
        <f t="shared" si="39"/>
        <v>85</v>
      </c>
      <c r="D2525" t="s">
        <v>54</v>
      </c>
      <c r="E2525">
        <v>8</v>
      </c>
      <c r="F2525">
        <v>4</v>
      </c>
      <c r="G2525">
        <v>0.30120000000000002</v>
      </c>
      <c r="H2525">
        <v>0.2868</v>
      </c>
      <c r="I2525">
        <v>59.1</v>
      </c>
    </row>
    <row r="2526" spans="1:9" x14ac:dyDescent="0.3">
      <c r="A2526">
        <f>LOOKUP(9E+307,--MID(D2526,1,{1,2,3,4,5}))</f>
        <v>5</v>
      </c>
      <c r="B2526">
        <f>VLOOKUP(MID(D2526,LOOKUP(2,1/ISNUMBER(-MID(D2526,1,{1,2,3,4,5})),{1,2,3,4,5})+1,9),'Hue codes'!$A$1:$B$10,2,FALSE)</f>
        <v>80</v>
      </c>
      <c r="C2526">
        <f t="shared" si="39"/>
        <v>85</v>
      </c>
      <c r="D2526" t="s">
        <v>54</v>
      </c>
      <c r="E2526">
        <v>8</v>
      </c>
      <c r="F2526">
        <v>6</v>
      </c>
      <c r="G2526">
        <v>0.29630000000000001</v>
      </c>
      <c r="H2526">
        <v>0.27039999999999997</v>
      </c>
      <c r="I2526">
        <v>59.1</v>
      </c>
    </row>
    <row r="2527" spans="1:9" x14ac:dyDescent="0.3">
      <c r="A2527">
        <f>LOOKUP(9E+307,--MID(D2527,1,{1,2,3,4,5}))</f>
        <v>5</v>
      </c>
      <c r="B2527">
        <f>VLOOKUP(MID(D2527,LOOKUP(2,1/ISNUMBER(-MID(D2527,1,{1,2,3,4,5})),{1,2,3,4,5})+1,9),'Hue codes'!$A$1:$B$10,2,FALSE)</f>
        <v>80</v>
      </c>
      <c r="C2527">
        <f t="shared" si="39"/>
        <v>85</v>
      </c>
      <c r="D2527" t="s">
        <v>54</v>
      </c>
      <c r="E2527">
        <v>8</v>
      </c>
      <c r="F2527">
        <v>8</v>
      </c>
      <c r="G2527">
        <v>0.29139999999999999</v>
      </c>
      <c r="H2527">
        <v>0.25340000000000001</v>
      </c>
      <c r="I2527">
        <v>59.1</v>
      </c>
    </row>
    <row r="2528" spans="1:9" x14ac:dyDescent="0.3">
      <c r="A2528">
        <f>LOOKUP(9E+307,--MID(D2528,1,{1,2,3,4,5}))</f>
        <v>5</v>
      </c>
      <c r="B2528">
        <f>VLOOKUP(MID(D2528,LOOKUP(2,1/ISNUMBER(-MID(D2528,1,{1,2,3,4,5})),{1,2,3,4,5})+1,9),'Hue codes'!$A$1:$B$10,2,FALSE)</f>
        <v>80</v>
      </c>
      <c r="C2528">
        <f t="shared" si="39"/>
        <v>85</v>
      </c>
      <c r="D2528" t="s">
        <v>54</v>
      </c>
      <c r="E2528">
        <v>8</v>
      </c>
      <c r="F2528">
        <v>10</v>
      </c>
      <c r="G2528">
        <v>0.28699999999999998</v>
      </c>
      <c r="H2528">
        <v>0.23799999999999999</v>
      </c>
      <c r="I2528">
        <v>59.1</v>
      </c>
    </row>
    <row r="2529" spans="1:9" x14ac:dyDescent="0.3">
      <c r="A2529">
        <f>LOOKUP(9E+307,--MID(D2529,1,{1,2,3,4,5}))</f>
        <v>7.5</v>
      </c>
      <c r="B2529">
        <f>VLOOKUP(MID(D2529,LOOKUP(2,1/ISNUMBER(-MID(D2529,1,{1,2,3,4,5})),{1,2,3,4,5})+1,9),'Hue codes'!$A$1:$B$10,2,FALSE)</f>
        <v>80</v>
      </c>
      <c r="C2529">
        <f t="shared" si="39"/>
        <v>87.5</v>
      </c>
      <c r="D2529" t="s">
        <v>55</v>
      </c>
      <c r="E2529">
        <v>8</v>
      </c>
      <c r="F2529">
        <v>2</v>
      </c>
      <c r="G2529">
        <v>0.31069999999999998</v>
      </c>
      <c r="H2529">
        <v>0.307</v>
      </c>
      <c r="I2529">
        <v>59.1</v>
      </c>
    </row>
    <row r="2530" spans="1:9" x14ac:dyDescent="0.3">
      <c r="A2530">
        <f>LOOKUP(9E+307,--MID(D2530,1,{1,2,3,4,5}))</f>
        <v>7.5</v>
      </c>
      <c r="B2530">
        <f>VLOOKUP(MID(D2530,LOOKUP(2,1/ISNUMBER(-MID(D2530,1,{1,2,3,4,5})),{1,2,3,4,5})+1,9),'Hue codes'!$A$1:$B$10,2,FALSE)</f>
        <v>80</v>
      </c>
      <c r="C2530">
        <f t="shared" si="39"/>
        <v>87.5</v>
      </c>
      <c r="D2530" t="s">
        <v>55</v>
      </c>
      <c r="E2530">
        <v>8</v>
      </c>
      <c r="F2530">
        <v>4</v>
      </c>
      <c r="G2530">
        <v>0.31140000000000001</v>
      </c>
      <c r="H2530">
        <v>0.29149999999999998</v>
      </c>
      <c r="I2530">
        <v>59.1</v>
      </c>
    </row>
    <row r="2531" spans="1:9" x14ac:dyDescent="0.3">
      <c r="A2531">
        <f>LOOKUP(9E+307,--MID(D2531,1,{1,2,3,4,5}))</f>
        <v>7.5</v>
      </c>
      <c r="B2531">
        <f>VLOOKUP(MID(D2531,LOOKUP(2,1/ISNUMBER(-MID(D2531,1,{1,2,3,4,5})),{1,2,3,4,5})+1,9),'Hue codes'!$A$1:$B$10,2,FALSE)</f>
        <v>80</v>
      </c>
      <c r="C2531">
        <f t="shared" si="39"/>
        <v>87.5</v>
      </c>
      <c r="D2531" t="s">
        <v>55</v>
      </c>
      <c r="E2531">
        <v>8</v>
      </c>
      <c r="F2531">
        <v>6</v>
      </c>
      <c r="G2531">
        <v>0.31140000000000001</v>
      </c>
      <c r="H2531">
        <v>0.27850000000000003</v>
      </c>
      <c r="I2531">
        <v>59.1</v>
      </c>
    </row>
    <row r="2532" spans="1:9" x14ac:dyDescent="0.3">
      <c r="A2532">
        <f>LOOKUP(9E+307,--MID(D2532,1,{1,2,3,4,5}))</f>
        <v>7.5</v>
      </c>
      <c r="B2532">
        <f>VLOOKUP(MID(D2532,LOOKUP(2,1/ISNUMBER(-MID(D2532,1,{1,2,3,4,5})),{1,2,3,4,5})+1,9),'Hue codes'!$A$1:$B$10,2,FALSE)</f>
        <v>80</v>
      </c>
      <c r="C2532">
        <f t="shared" si="39"/>
        <v>87.5</v>
      </c>
      <c r="D2532" t="s">
        <v>55</v>
      </c>
      <c r="E2532">
        <v>8</v>
      </c>
      <c r="F2532">
        <v>8</v>
      </c>
      <c r="G2532">
        <v>0.31159999999999999</v>
      </c>
      <c r="H2532">
        <v>0.2626</v>
      </c>
      <c r="I2532">
        <v>59.1</v>
      </c>
    </row>
    <row r="2533" spans="1:9" x14ac:dyDescent="0.3">
      <c r="A2533">
        <f>LOOKUP(9E+307,--MID(D2533,1,{1,2,3,4,5}))</f>
        <v>7.5</v>
      </c>
      <c r="B2533">
        <f>VLOOKUP(MID(D2533,LOOKUP(2,1/ISNUMBER(-MID(D2533,1,{1,2,3,4,5})),{1,2,3,4,5})+1,9),'Hue codes'!$A$1:$B$10,2,FALSE)</f>
        <v>80</v>
      </c>
      <c r="C2533">
        <f t="shared" si="39"/>
        <v>87.5</v>
      </c>
      <c r="D2533" t="s">
        <v>55</v>
      </c>
      <c r="E2533">
        <v>8</v>
      </c>
      <c r="F2533">
        <v>10</v>
      </c>
      <c r="G2533">
        <v>0.31159999999999999</v>
      </c>
      <c r="H2533">
        <v>0.24970000000000001</v>
      </c>
      <c r="I2533">
        <v>59.1</v>
      </c>
    </row>
    <row r="2534" spans="1:9" x14ac:dyDescent="0.3">
      <c r="A2534">
        <f>LOOKUP(9E+307,--MID(D2534,1,{1,2,3,4,5}))</f>
        <v>7.5</v>
      </c>
      <c r="B2534">
        <f>VLOOKUP(MID(D2534,LOOKUP(2,1/ISNUMBER(-MID(D2534,1,{1,2,3,4,5})),{1,2,3,4,5})+1,9),'Hue codes'!$A$1:$B$10,2,FALSE)</f>
        <v>80</v>
      </c>
      <c r="C2534">
        <f t="shared" si="39"/>
        <v>87.5</v>
      </c>
      <c r="D2534" t="s">
        <v>55</v>
      </c>
      <c r="E2534">
        <v>8</v>
      </c>
      <c r="F2534">
        <v>12</v>
      </c>
      <c r="G2534">
        <v>0.31169999999999998</v>
      </c>
      <c r="H2534">
        <v>0.23699999999999999</v>
      </c>
      <c r="I2534">
        <v>59.1</v>
      </c>
    </row>
    <row r="2535" spans="1:9" x14ac:dyDescent="0.3">
      <c r="A2535">
        <f>LOOKUP(9E+307,--MID(D2535,1,{1,2,3,4,5}))</f>
        <v>10</v>
      </c>
      <c r="B2535">
        <f>VLOOKUP(MID(D2535,LOOKUP(2,1/ISNUMBER(-MID(D2535,1,{1,2,3,4,5})),{1,2,3,4,5})+1,9),'Hue codes'!$A$1:$B$10,2,FALSE)</f>
        <v>80</v>
      </c>
      <c r="C2535">
        <f t="shared" si="39"/>
        <v>90</v>
      </c>
      <c r="D2535" t="s">
        <v>56</v>
      </c>
      <c r="E2535">
        <v>8</v>
      </c>
      <c r="F2535">
        <v>2</v>
      </c>
      <c r="G2535">
        <v>0.31309999999999999</v>
      </c>
      <c r="H2535">
        <v>0.30840000000000001</v>
      </c>
      <c r="I2535">
        <v>59.1</v>
      </c>
    </row>
    <row r="2536" spans="1:9" x14ac:dyDescent="0.3">
      <c r="A2536">
        <f>LOOKUP(9E+307,--MID(D2536,1,{1,2,3,4,5}))</f>
        <v>10</v>
      </c>
      <c r="B2536">
        <f>VLOOKUP(MID(D2536,LOOKUP(2,1/ISNUMBER(-MID(D2536,1,{1,2,3,4,5})),{1,2,3,4,5})+1,9),'Hue codes'!$A$1:$B$10,2,FALSE)</f>
        <v>80</v>
      </c>
      <c r="C2536">
        <f t="shared" si="39"/>
        <v>90</v>
      </c>
      <c r="D2536" t="s">
        <v>56</v>
      </c>
      <c r="E2536">
        <v>8</v>
      </c>
      <c r="F2536">
        <v>4</v>
      </c>
      <c r="G2536">
        <v>0.3175</v>
      </c>
      <c r="H2536">
        <v>0.29549999999999998</v>
      </c>
      <c r="I2536">
        <v>59.1</v>
      </c>
    </row>
    <row r="2537" spans="1:9" x14ac:dyDescent="0.3">
      <c r="A2537">
        <f>LOOKUP(9E+307,--MID(D2537,1,{1,2,3,4,5}))</f>
        <v>10</v>
      </c>
      <c r="B2537">
        <f>VLOOKUP(MID(D2537,LOOKUP(2,1/ISNUMBER(-MID(D2537,1,{1,2,3,4,5})),{1,2,3,4,5})+1,9),'Hue codes'!$A$1:$B$10,2,FALSE)</f>
        <v>80</v>
      </c>
      <c r="C2537">
        <f t="shared" si="39"/>
        <v>90</v>
      </c>
      <c r="D2537" t="s">
        <v>56</v>
      </c>
      <c r="E2537">
        <v>8</v>
      </c>
      <c r="F2537">
        <v>6</v>
      </c>
      <c r="G2537">
        <v>0.32129999999999997</v>
      </c>
      <c r="H2537">
        <v>0.28289999999999998</v>
      </c>
      <c r="I2537">
        <v>59.1</v>
      </c>
    </row>
    <row r="2538" spans="1:9" x14ac:dyDescent="0.3">
      <c r="A2538">
        <f>LOOKUP(9E+307,--MID(D2538,1,{1,2,3,4,5}))</f>
        <v>10</v>
      </c>
      <c r="B2538">
        <f>VLOOKUP(MID(D2538,LOOKUP(2,1/ISNUMBER(-MID(D2538,1,{1,2,3,4,5})),{1,2,3,4,5})+1,9),'Hue codes'!$A$1:$B$10,2,FALSE)</f>
        <v>80</v>
      </c>
      <c r="C2538">
        <f t="shared" si="39"/>
        <v>90</v>
      </c>
      <c r="D2538" t="s">
        <v>56</v>
      </c>
      <c r="E2538">
        <v>8</v>
      </c>
      <c r="F2538">
        <v>8</v>
      </c>
      <c r="G2538">
        <v>0.32500000000000001</v>
      </c>
      <c r="H2538">
        <v>0.27</v>
      </c>
      <c r="I2538">
        <v>59.1</v>
      </c>
    </row>
    <row r="2539" spans="1:9" x14ac:dyDescent="0.3">
      <c r="A2539">
        <f>LOOKUP(9E+307,--MID(D2539,1,{1,2,3,4,5}))</f>
        <v>10</v>
      </c>
      <c r="B2539">
        <f>VLOOKUP(MID(D2539,LOOKUP(2,1/ISNUMBER(-MID(D2539,1,{1,2,3,4,5})),{1,2,3,4,5})+1,9),'Hue codes'!$A$1:$B$10,2,FALSE)</f>
        <v>80</v>
      </c>
      <c r="C2539">
        <f t="shared" si="39"/>
        <v>90</v>
      </c>
      <c r="D2539" t="s">
        <v>56</v>
      </c>
      <c r="E2539">
        <v>8</v>
      </c>
      <c r="F2539">
        <v>10</v>
      </c>
      <c r="G2539">
        <v>0.32819999999999999</v>
      </c>
      <c r="H2539">
        <v>0.25819999999999999</v>
      </c>
      <c r="I2539">
        <v>59.1</v>
      </c>
    </row>
    <row r="2540" spans="1:9" x14ac:dyDescent="0.3">
      <c r="A2540">
        <f>LOOKUP(9E+307,--MID(D2540,1,{1,2,3,4,5}))</f>
        <v>10</v>
      </c>
      <c r="B2540">
        <f>VLOOKUP(MID(D2540,LOOKUP(2,1/ISNUMBER(-MID(D2540,1,{1,2,3,4,5})),{1,2,3,4,5})+1,9),'Hue codes'!$A$1:$B$10,2,FALSE)</f>
        <v>80</v>
      </c>
      <c r="C2540">
        <f t="shared" si="39"/>
        <v>90</v>
      </c>
      <c r="D2540" t="s">
        <v>56</v>
      </c>
      <c r="E2540">
        <v>8</v>
      </c>
      <c r="F2540">
        <v>12</v>
      </c>
      <c r="G2540">
        <v>0.33119999999999999</v>
      </c>
      <c r="H2540">
        <v>0.247</v>
      </c>
      <c r="I2540">
        <v>59.1</v>
      </c>
    </row>
    <row r="2541" spans="1:9" x14ac:dyDescent="0.3">
      <c r="A2541">
        <f>LOOKUP(9E+307,--MID(D2541,1,{1,2,3,4,5}))</f>
        <v>10</v>
      </c>
      <c r="B2541">
        <f>VLOOKUP(MID(D2541,LOOKUP(2,1/ISNUMBER(-MID(D2541,1,{1,2,3,4,5})),{1,2,3,4,5})+1,9),'Hue codes'!$A$1:$B$10,2,FALSE)</f>
        <v>80</v>
      </c>
      <c r="C2541">
        <f t="shared" si="39"/>
        <v>90</v>
      </c>
      <c r="D2541" t="s">
        <v>56</v>
      </c>
      <c r="E2541">
        <v>8</v>
      </c>
      <c r="F2541">
        <v>14</v>
      </c>
      <c r="G2541">
        <v>0.3342</v>
      </c>
      <c r="H2541">
        <v>0.2349</v>
      </c>
      <c r="I2541">
        <v>59.1</v>
      </c>
    </row>
    <row r="2542" spans="1:9" x14ac:dyDescent="0.3">
      <c r="A2542">
        <f>LOOKUP(9E+307,--MID(D2542,1,{1,2,3,4,5}))</f>
        <v>2.5</v>
      </c>
      <c r="B2542">
        <f>VLOOKUP(MID(D2542,LOOKUP(2,1/ISNUMBER(-MID(D2542,1,{1,2,3,4,5})),{1,2,3,4,5})+1,9),'Hue codes'!$A$1:$B$10,2,FALSE)</f>
        <v>90</v>
      </c>
      <c r="C2542">
        <f t="shared" si="39"/>
        <v>92.5</v>
      </c>
      <c r="D2542" t="s">
        <v>57</v>
      </c>
      <c r="E2542">
        <v>8</v>
      </c>
      <c r="F2542">
        <v>2</v>
      </c>
      <c r="G2542">
        <v>0.31540000000000001</v>
      </c>
      <c r="H2542">
        <v>0.31</v>
      </c>
      <c r="I2542">
        <v>59.1</v>
      </c>
    </row>
    <row r="2543" spans="1:9" x14ac:dyDescent="0.3">
      <c r="A2543">
        <f>LOOKUP(9E+307,--MID(D2543,1,{1,2,3,4,5}))</f>
        <v>2.5</v>
      </c>
      <c r="B2543">
        <f>VLOOKUP(MID(D2543,LOOKUP(2,1/ISNUMBER(-MID(D2543,1,{1,2,3,4,5})),{1,2,3,4,5})+1,9),'Hue codes'!$A$1:$B$10,2,FALSE)</f>
        <v>90</v>
      </c>
      <c r="C2543">
        <f t="shared" si="39"/>
        <v>92.5</v>
      </c>
      <c r="D2543" t="s">
        <v>57</v>
      </c>
      <c r="E2543">
        <v>8</v>
      </c>
      <c r="F2543">
        <v>4</v>
      </c>
      <c r="G2543">
        <v>0.32390000000000002</v>
      </c>
      <c r="H2543">
        <v>0.3</v>
      </c>
      <c r="I2543">
        <v>59.1</v>
      </c>
    </row>
    <row r="2544" spans="1:9" x14ac:dyDescent="0.3">
      <c r="A2544">
        <f>LOOKUP(9E+307,--MID(D2544,1,{1,2,3,4,5}))</f>
        <v>2.5</v>
      </c>
      <c r="B2544">
        <f>VLOOKUP(MID(D2544,LOOKUP(2,1/ISNUMBER(-MID(D2544,1,{1,2,3,4,5})),{1,2,3,4,5})+1,9),'Hue codes'!$A$1:$B$10,2,FALSE)</f>
        <v>90</v>
      </c>
      <c r="C2544">
        <f t="shared" si="39"/>
        <v>92.5</v>
      </c>
      <c r="D2544" t="s">
        <v>57</v>
      </c>
      <c r="E2544">
        <v>8</v>
      </c>
      <c r="F2544">
        <v>6</v>
      </c>
      <c r="G2544">
        <v>0.3327</v>
      </c>
      <c r="H2544">
        <v>0.2898</v>
      </c>
      <c r="I2544">
        <v>59.1</v>
      </c>
    </row>
    <row r="2545" spans="1:9" x14ac:dyDescent="0.3">
      <c r="A2545">
        <f>LOOKUP(9E+307,--MID(D2545,1,{1,2,3,4,5}))</f>
        <v>2.5</v>
      </c>
      <c r="B2545">
        <f>VLOOKUP(MID(D2545,LOOKUP(2,1/ISNUMBER(-MID(D2545,1,{1,2,3,4,5})),{1,2,3,4,5})+1,9),'Hue codes'!$A$1:$B$10,2,FALSE)</f>
        <v>90</v>
      </c>
      <c r="C2545">
        <f t="shared" si="39"/>
        <v>92.5</v>
      </c>
      <c r="D2545" t="s">
        <v>57</v>
      </c>
      <c r="E2545">
        <v>8</v>
      </c>
      <c r="F2545">
        <v>8</v>
      </c>
      <c r="G2545">
        <v>0.34060000000000001</v>
      </c>
      <c r="H2545">
        <v>0.27929999999999999</v>
      </c>
      <c r="I2545">
        <v>59.1</v>
      </c>
    </row>
    <row r="2546" spans="1:9" x14ac:dyDescent="0.3">
      <c r="A2546">
        <f>LOOKUP(9E+307,--MID(D2546,1,{1,2,3,4,5}))</f>
        <v>2.5</v>
      </c>
      <c r="B2546">
        <f>VLOOKUP(MID(D2546,LOOKUP(2,1/ISNUMBER(-MID(D2546,1,{1,2,3,4,5})),{1,2,3,4,5})+1,9),'Hue codes'!$A$1:$B$10,2,FALSE)</f>
        <v>90</v>
      </c>
      <c r="C2546">
        <f t="shared" si="39"/>
        <v>92.5</v>
      </c>
      <c r="D2546" t="s">
        <v>57</v>
      </c>
      <c r="E2546">
        <v>8</v>
      </c>
      <c r="F2546">
        <v>10</v>
      </c>
      <c r="G2546">
        <v>0.34789999999999999</v>
      </c>
      <c r="H2546">
        <v>0.26989999999999997</v>
      </c>
      <c r="I2546">
        <v>59.1</v>
      </c>
    </row>
    <row r="2547" spans="1:9" x14ac:dyDescent="0.3">
      <c r="A2547">
        <f>LOOKUP(9E+307,--MID(D2547,1,{1,2,3,4,5}))</f>
        <v>2.5</v>
      </c>
      <c r="B2547">
        <f>VLOOKUP(MID(D2547,LOOKUP(2,1/ISNUMBER(-MID(D2547,1,{1,2,3,4,5})),{1,2,3,4,5})+1,9),'Hue codes'!$A$1:$B$10,2,FALSE)</f>
        <v>90</v>
      </c>
      <c r="C2547">
        <f t="shared" si="39"/>
        <v>92.5</v>
      </c>
      <c r="D2547" t="s">
        <v>57</v>
      </c>
      <c r="E2547">
        <v>8</v>
      </c>
      <c r="F2547">
        <v>12</v>
      </c>
      <c r="G2547">
        <v>0.35520000000000002</v>
      </c>
      <c r="H2547">
        <v>0.25940000000000002</v>
      </c>
      <c r="I2547">
        <v>59.1</v>
      </c>
    </row>
    <row r="2548" spans="1:9" x14ac:dyDescent="0.3">
      <c r="A2548">
        <f>LOOKUP(9E+307,--MID(D2548,1,{1,2,3,4,5}))</f>
        <v>2.5</v>
      </c>
      <c r="B2548">
        <f>VLOOKUP(MID(D2548,LOOKUP(2,1/ISNUMBER(-MID(D2548,1,{1,2,3,4,5})),{1,2,3,4,5})+1,9),'Hue codes'!$A$1:$B$10,2,FALSE)</f>
        <v>90</v>
      </c>
      <c r="C2548">
        <f t="shared" si="39"/>
        <v>92.5</v>
      </c>
      <c r="D2548" t="s">
        <v>57</v>
      </c>
      <c r="E2548">
        <v>8</v>
      </c>
      <c r="F2548">
        <v>14</v>
      </c>
      <c r="G2548">
        <v>0.36209999999999998</v>
      </c>
      <c r="H2548">
        <v>0.24959999999999999</v>
      </c>
      <c r="I2548">
        <v>59.1</v>
      </c>
    </row>
    <row r="2549" spans="1:9" x14ac:dyDescent="0.3">
      <c r="A2549">
        <f>LOOKUP(9E+307,--MID(D2549,1,{1,2,3,4,5}))</f>
        <v>5</v>
      </c>
      <c r="B2549">
        <f>VLOOKUP(MID(D2549,LOOKUP(2,1/ISNUMBER(-MID(D2549,1,{1,2,3,4,5})),{1,2,3,4,5})+1,9),'Hue codes'!$A$1:$B$10,2,FALSE)</f>
        <v>90</v>
      </c>
      <c r="C2549">
        <f t="shared" si="39"/>
        <v>95</v>
      </c>
      <c r="D2549" t="s">
        <v>58</v>
      </c>
      <c r="E2549">
        <v>8</v>
      </c>
      <c r="F2549">
        <v>2</v>
      </c>
      <c r="G2549">
        <v>0.318</v>
      </c>
      <c r="H2549">
        <v>0.312</v>
      </c>
      <c r="I2549">
        <v>59.1</v>
      </c>
    </row>
    <row r="2550" spans="1:9" x14ac:dyDescent="0.3">
      <c r="A2550">
        <f>LOOKUP(9E+307,--MID(D2550,1,{1,2,3,4,5}))</f>
        <v>5</v>
      </c>
      <c r="B2550">
        <f>VLOOKUP(MID(D2550,LOOKUP(2,1/ISNUMBER(-MID(D2550,1,{1,2,3,4,5})),{1,2,3,4,5})+1,9),'Hue codes'!$A$1:$B$10,2,FALSE)</f>
        <v>90</v>
      </c>
      <c r="C2550">
        <f t="shared" si="39"/>
        <v>95</v>
      </c>
      <c r="D2550" t="s">
        <v>58</v>
      </c>
      <c r="E2550">
        <v>8</v>
      </c>
      <c r="F2550">
        <v>4</v>
      </c>
      <c r="G2550">
        <v>0.33079999999999998</v>
      </c>
      <c r="H2550">
        <v>0.30520000000000003</v>
      </c>
      <c r="I2550">
        <v>59.1</v>
      </c>
    </row>
    <row r="2551" spans="1:9" x14ac:dyDescent="0.3">
      <c r="A2551">
        <f>LOOKUP(9E+307,--MID(D2551,1,{1,2,3,4,5}))</f>
        <v>5</v>
      </c>
      <c r="B2551">
        <f>VLOOKUP(MID(D2551,LOOKUP(2,1/ISNUMBER(-MID(D2551,1,{1,2,3,4,5})),{1,2,3,4,5})+1,9),'Hue codes'!$A$1:$B$10,2,FALSE)</f>
        <v>90</v>
      </c>
      <c r="C2551">
        <f t="shared" si="39"/>
        <v>95</v>
      </c>
      <c r="D2551" t="s">
        <v>58</v>
      </c>
      <c r="E2551">
        <v>8</v>
      </c>
      <c r="F2551">
        <v>6</v>
      </c>
      <c r="G2551">
        <v>0.34399999999999997</v>
      </c>
      <c r="H2551">
        <v>0.29780000000000001</v>
      </c>
      <c r="I2551">
        <v>59.1</v>
      </c>
    </row>
    <row r="2552" spans="1:9" x14ac:dyDescent="0.3">
      <c r="A2552">
        <f>LOOKUP(9E+307,--MID(D2552,1,{1,2,3,4,5}))</f>
        <v>5</v>
      </c>
      <c r="B2552">
        <f>VLOOKUP(MID(D2552,LOOKUP(2,1/ISNUMBER(-MID(D2552,1,{1,2,3,4,5})),{1,2,3,4,5})+1,9),'Hue codes'!$A$1:$B$10,2,FALSE)</f>
        <v>90</v>
      </c>
      <c r="C2552">
        <f t="shared" si="39"/>
        <v>95</v>
      </c>
      <c r="D2552" t="s">
        <v>58</v>
      </c>
      <c r="E2552">
        <v>8</v>
      </c>
      <c r="F2552">
        <v>8</v>
      </c>
      <c r="G2552">
        <v>0.35699999999999998</v>
      </c>
      <c r="H2552">
        <v>0.28999999999999998</v>
      </c>
      <c r="I2552">
        <v>59.1</v>
      </c>
    </row>
    <row r="2553" spans="1:9" x14ac:dyDescent="0.3">
      <c r="A2553">
        <f>LOOKUP(9E+307,--MID(D2553,1,{1,2,3,4,5}))</f>
        <v>5</v>
      </c>
      <c r="B2553">
        <f>VLOOKUP(MID(D2553,LOOKUP(2,1/ISNUMBER(-MID(D2553,1,{1,2,3,4,5})),{1,2,3,4,5})+1,9),'Hue codes'!$A$1:$B$10,2,FALSE)</f>
        <v>90</v>
      </c>
      <c r="C2553">
        <f t="shared" si="39"/>
        <v>95</v>
      </c>
      <c r="D2553" t="s">
        <v>58</v>
      </c>
      <c r="E2553">
        <v>8</v>
      </c>
      <c r="F2553">
        <v>10</v>
      </c>
      <c r="G2553">
        <v>0.36849999999999999</v>
      </c>
      <c r="H2553">
        <v>0.2828</v>
      </c>
      <c r="I2553">
        <v>59.1</v>
      </c>
    </row>
    <row r="2554" spans="1:9" x14ac:dyDescent="0.3">
      <c r="A2554">
        <f>LOOKUP(9E+307,--MID(D2554,1,{1,2,3,4,5}))</f>
        <v>5</v>
      </c>
      <c r="B2554">
        <f>VLOOKUP(MID(D2554,LOOKUP(2,1/ISNUMBER(-MID(D2554,1,{1,2,3,4,5})),{1,2,3,4,5})+1,9),'Hue codes'!$A$1:$B$10,2,FALSE)</f>
        <v>90</v>
      </c>
      <c r="C2554">
        <f t="shared" si="39"/>
        <v>95</v>
      </c>
      <c r="D2554" t="s">
        <v>58</v>
      </c>
      <c r="E2554">
        <v>8</v>
      </c>
      <c r="F2554">
        <v>12</v>
      </c>
      <c r="G2554">
        <v>0.38179999999999997</v>
      </c>
      <c r="H2554">
        <v>0.2742</v>
      </c>
      <c r="I2554">
        <v>59.1</v>
      </c>
    </row>
    <row r="2555" spans="1:9" x14ac:dyDescent="0.3">
      <c r="A2555">
        <f>LOOKUP(9E+307,--MID(D2555,1,{1,2,3,4,5}))</f>
        <v>7.5</v>
      </c>
      <c r="B2555">
        <f>VLOOKUP(MID(D2555,LOOKUP(2,1/ISNUMBER(-MID(D2555,1,{1,2,3,4,5})),{1,2,3,4,5})+1,9),'Hue codes'!$A$1:$B$10,2,FALSE)</f>
        <v>90</v>
      </c>
      <c r="C2555">
        <f t="shared" si="39"/>
        <v>97.5</v>
      </c>
      <c r="D2555" t="s">
        <v>59</v>
      </c>
      <c r="E2555">
        <v>8</v>
      </c>
      <c r="F2555">
        <v>2</v>
      </c>
      <c r="G2555">
        <v>0.32</v>
      </c>
      <c r="H2555">
        <v>0.31359999999999999</v>
      </c>
      <c r="I2555">
        <v>59.1</v>
      </c>
    </row>
    <row r="2556" spans="1:9" x14ac:dyDescent="0.3">
      <c r="A2556">
        <f>LOOKUP(9E+307,--MID(D2556,1,{1,2,3,4,5}))</f>
        <v>7.5</v>
      </c>
      <c r="B2556">
        <f>VLOOKUP(MID(D2556,LOOKUP(2,1/ISNUMBER(-MID(D2556,1,{1,2,3,4,5})),{1,2,3,4,5})+1,9),'Hue codes'!$A$1:$B$10,2,FALSE)</f>
        <v>90</v>
      </c>
      <c r="C2556">
        <f t="shared" si="39"/>
        <v>97.5</v>
      </c>
      <c r="D2556" t="s">
        <v>59</v>
      </c>
      <c r="E2556">
        <v>8</v>
      </c>
      <c r="F2556">
        <v>4</v>
      </c>
      <c r="G2556">
        <v>0.33600000000000002</v>
      </c>
      <c r="H2556">
        <v>0.30919999999999997</v>
      </c>
      <c r="I2556">
        <v>59.1</v>
      </c>
    </row>
    <row r="2557" spans="1:9" x14ac:dyDescent="0.3">
      <c r="A2557">
        <f>LOOKUP(9E+307,--MID(D2557,1,{1,2,3,4,5}))</f>
        <v>7.5</v>
      </c>
      <c r="B2557">
        <f>VLOOKUP(MID(D2557,LOOKUP(2,1/ISNUMBER(-MID(D2557,1,{1,2,3,4,5})),{1,2,3,4,5})+1,9),'Hue codes'!$A$1:$B$10,2,FALSE)</f>
        <v>90</v>
      </c>
      <c r="C2557">
        <f t="shared" si="39"/>
        <v>97.5</v>
      </c>
      <c r="D2557" t="s">
        <v>59</v>
      </c>
      <c r="E2557">
        <v>8</v>
      </c>
      <c r="F2557">
        <v>6</v>
      </c>
      <c r="G2557">
        <v>0.35210000000000002</v>
      </c>
      <c r="H2557">
        <v>0.30420000000000003</v>
      </c>
      <c r="I2557">
        <v>59.1</v>
      </c>
    </row>
    <row r="2558" spans="1:9" x14ac:dyDescent="0.3">
      <c r="A2558">
        <f>LOOKUP(9E+307,--MID(D2558,1,{1,2,3,4,5}))</f>
        <v>7.5</v>
      </c>
      <c r="B2558">
        <f>VLOOKUP(MID(D2558,LOOKUP(2,1/ISNUMBER(-MID(D2558,1,{1,2,3,4,5})),{1,2,3,4,5})+1,9),'Hue codes'!$A$1:$B$10,2,FALSE)</f>
        <v>90</v>
      </c>
      <c r="C2558">
        <f t="shared" si="39"/>
        <v>97.5</v>
      </c>
      <c r="D2558" t="s">
        <v>59</v>
      </c>
      <c r="E2558">
        <v>8</v>
      </c>
      <c r="F2558">
        <v>8</v>
      </c>
      <c r="G2558">
        <v>0.36820000000000003</v>
      </c>
      <c r="H2558">
        <v>0.29830000000000001</v>
      </c>
      <c r="I2558">
        <v>59.1</v>
      </c>
    </row>
    <row r="2559" spans="1:9" x14ac:dyDescent="0.3">
      <c r="A2559">
        <f>LOOKUP(9E+307,--MID(D2559,1,{1,2,3,4,5}))</f>
        <v>7.5</v>
      </c>
      <c r="B2559">
        <f>VLOOKUP(MID(D2559,LOOKUP(2,1/ISNUMBER(-MID(D2559,1,{1,2,3,4,5})),{1,2,3,4,5})+1,9),'Hue codes'!$A$1:$B$10,2,FALSE)</f>
        <v>90</v>
      </c>
      <c r="C2559">
        <f t="shared" si="39"/>
        <v>97.5</v>
      </c>
      <c r="D2559" t="s">
        <v>59</v>
      </c>
      <c r="E2559">
        <v>8</v>
      </c>
      <c r="F2559">
        <v>10</v>
      </c>
      <c r="G2559">
        <v>0.38300000000000001</v>
      </c>
      <c r="H2559">
        <v>0.29299999999999998</v>
      </c>
      <c r="I2559">
        <v>59.1</v>
      </c>
    </row>
    <row r="2560" spans="1:9" x14ac:dyDescent="0.3">
      <c r="A2560">
        <f>LOOKUP(9E+307,--MID(D2560,1,{1,2,3,4,5}))</f>
        <v>7.5</v>
      </c>
      <c r="B2560">
        <f>VLOOKUP(MID(D2560,LOOKUP(2,1/ISNUMBER(-MID(D2560,1,{1,2,3,4,5})),{1,2,3,4,5})+1,9),'Hue codes'!$A$1:$B$10,2,FALSE)</f>
        <v>90</v>
      </c>
      <c r="C2560">
        <f t="shared" si="39"/>
        <v>97.5</v>
      </c>
      <c r="D2560" t="s">
        <v>59</v>
      </c>
      <c r="E2560">
        <v>8</v>
      </c>
      <c r="F2560">
        <v>12</v>
      </c>
      <c r="G2560">
        <v>0.4002</v>
      </c>
      <c r="H2560">
        <v>0.28589999999999999</v>
      </c>
      <c r="I2560">
        <v>59.1</v>
      </c>
    </row>
    <row r="2561" spans="1:9" x14ac:dyDescent="0.3">
      <c r="A2561">
        <f>LOOKUP(9E+307,--MID(D2561,1,{1,2,3,4,5}))</f>
        <v>10</v>
      </c>
      <c r="B2561">
        <f>VLOOKUP(MID(D2561,LOOKUP(2,1/ISNUMBER(-MID(D2561,1,{1,2,3,4,5})),{1,2,3,4,5})+1,9),'Hue codes'!$A$1:$B$10,2,FALSE)</f>
        <v>90</v>
      </c>
      <c r="C2561">
        <f t="shared" si="39"/>
        <v>0</v>
      </c>
      <c r="D2561" t="s">
        <v>20</v>
      </c>
      <c r="E2561">
        <v>9</v>
      </c>
      <c r="F2561">
        <v>2</v>
      </c>
      <c r="G2561">
        <v>0.32050000000000001</v>
      </c>
      <c r="H2561">
        <v>0.3155</v>
      </c>
      <c r="I2561">
        <v>78.66</v>
      </c>
    </row>
    <row r="2562" spans="1:9" x14ac:dyDescent="0.3">
      <c r="A2562">
        <f>LOOKUP(9E+307,--MID(D2562,1,{1,2,3,4,5}))</f>
        <v>10</v>
      </c>
      <c r="B2562">
        <f>VLOOKUP(MID(D2562,LOOKUP(2,1/ISNUMBER(-MID(D2562,1,{1,2,3,4,5})),{1,2,3,4,5})+1,9),'Hue codes'!$A$1:$B$10,2,FALSE)</f>
        <v>90</v>
      </c>
      <c r="C2562">
        <f t="shared" si="39"/>
        <v>0</v>
      </c>
      <c r="D2562" t="s">
        <v>20</v>
      </c>
      <c r="E2562">
        <v>9</v>
      </c>
      <c r="F2562">
        <v>4</v>
      </c>
      <c r="G2562">
        <v>0.34</v>
      </c>
      <c r="H2562">
        <v>0.314</v>
      </c>
      <c r="I2562">
        <v>78.66</v>
      </c>
    </row>
    <row r="2563" spans="1:9" x14ac:dyDescent="0.3">
      <c r="A2563">
        <f>LOOKUP(9E+307,--MID(D2563,1,{1,2,3,4,5}))</f>
        <v>10</v>
      </c>
      <c r="B2563">
        <f>VLOOKUP(MID(D2563,LOOKUP(2,1/ISNUMBER(-MID(D2563,1,{1,2,3,4,5})),{1,2,3,4,5})+1,9),'Hue codes'!$A$1:$B$10,2,FALSE)</f>
        <v>90</v>
      </c>
      <c r="C2563">
        <f t="shared" ref="C2563:C2626" si="40">IF(A2563+B2563=100,0,A2563+B2563)</f>
        <v>0</v>
      </c>
      <c r="D2563" t="s">
        <v>20</v>
      </c>
      <c r="E2563">
        <v>9</v>
      </c>
      <c r="F2563">
        <v>6</v>
      </c>
      <c r="G2563">
        <v>0.35899999999999999</v>
      </c>
      <c r="H2563">
        <v>0.31180000000000002</v>
      </c>
      <c r="I2563">
        <v>78.66</v>
      </c>
    </row>
    <row r="2564" spans="1:9" x14ac:dyDescent="0.3">
      <c r="A2564">
        <f>LOOKUP(9E+307,--MID(D2564,1,{1,2,3,4,5}))</f>
        <v>2.5</v>
      </c>
      <c r="B2564">
        <f>VLOOKUP(MID(D2564,LOOKUP(2,1/ISNUMBER(-MID(D2564,1,{1,2,3,4,5})),{1,2,3,4,5})+1,9),'Hue codes'!$A$1:$B$10,2,FALSE)</f>
        <v>0</v>
      </c>
      <c r="C2564">
        <f t="shared" si="40"/>
        <v>2.5</v>
      </c>
      <c r="D2564" t="s">
        <v>21</v>
      </c>
      <c r="E2564">
        <v>9</v>
      </c>
      <c r="F2564">
        <v>2</v>
      </c>
      <c r="G2564">
        <v>0.32100000000000001</v>
      </c>
      <c r="H2564">
        <v>0.31680000000000003</v>
      </c>
      <c r="I2564">
        <v>78.66</v>
      </c>
    </row>
    <row r="2565" spans="1:9" x14ac:dyDescent="0.3">
      <c r="A2565">
        <f>LOOKUP(9E+307,--MID(D2565,1,{1,2,3,4,5}))</f>
        <v>2.5</v>
      </c>
      <c r="B2565">
        <f>VLOOKUP(MID(D2565,LOOKUP(2,1/ISNUMBER(-MID(D2565,1,{1,2,3,4,5})),{1,2,3,4,5})+1,9),'Hue codes'!$A$1:$B$10,2,FALSE)</f>
        <v>0</v>
      </c>
      <c r="C2565">
        <f t="shared" si="40"/>
        <v>2.5</v>
      </c>
      <c r="D2565" t="s">
        <v>21</v>
      </c>
      <c r="E2565">
        <v>9</v>
      </c>
      <c r="F2565">
        <v>4</v>
      </c>
      <c r="G2565">
        <v>0.34449999999999997</v>
      </c>
      <c r="H2565">
        <v>0.31790000000000002</v>
      </c>
      <c r="I2565">
        <v>78.66</v>
      </c>
    </row>
    <row r="2566" spans="1:9" x14ac:dyDescent="0.3">
      <c r="A2566">
        <f>LOOKUP(9E+307,--MID(D2566,1,{1,2,3,4,5}))</f>
        <v>2.5</v>
      </c>
      <c r="B2566">
        <f>VLOOKUP(MID(D2566,LOOKUP(2,1/ISNUMBER(-MID(D2566,1,{1,2,3,4,5})),{1,2,3,4,5})+1,9),'Hue codes'!$A$1:$B$10,2,FALSE)</f>
        <v>0</v>
      </c>
      <c r="C2566">
        <f t="shared" si="40"/>
        <v>2.5</v>
      </c>
      <c r="D2566" t="s">
        <v>21</v>
      </c>
      <c r="E2566">
        <v>9</v>
      </c>
      <c r="F2566">
        <v>6</v>
      </c>
      <c r="G2566">
        <v>0.36649999999999999</v>
      </c>
      <c r="H2566">
        <v>0.31830000000000003</v>
      </c>
      <c r="I2566">
        <v>78.66</v>
      </c>
    </row>
    <row r="2567" spans="1:9" x14ac:dyDescent="0.3">
      <c r="A2567">
        <f>LOOKUP(9E+307,--MID(D2567,1,{1,2,3,4,5}))</f>
        <v>5</v>
      </c>
      <c r="B2567">
        <f>VLOOKUP(MID(D2567,LOOKUP(2,1/ISNUMBER(-MID(D2567,1,{1,2,3,4,5})),{1,2,3,4,5})+1,9),'Hue codes'!$A$1:$B$10,2,FALSE)</f>
        <v>0</v>
      </c>
      <c r="C2567">
        <f t="shared" si="40"/>
        <v>5</v>
      </c>
      <c r="D2567" t="s">
        <v>22</v>
      </c>
      <c r="E2567">
        <v>9</v>
      </c>
      <c r="F2567">
        <v>2</v>
      </c>
      <c r="G2567">
        <v>0.32400000000000001</v>
      </c>
      <c r="H2567">
        <v>0.31879999999999997</v>
      </c>
      <c r="I2567">
        <v>78.66</v>
      </c>
    </row>
    <row r="2568" spans="1:9" x14ac:dyDescent="0.3">
      <c r="A2568">
        <f>LOOKUP(9E+307,--MID(D2568,1,{1,2,3,4,5}))</f>
        <v>5</v>
      </c>
      <c r="B2568">
        <f>VLOOKUP(MID(D2568,LOOKUP(2,1/ISNUMBER(-MID(D2568,1,{1,2,3,4,5})),{1,2,3,4,5})+1,9),'Hue codes'!$A$1:$B$10,2,FALSE)</f>
        <v>0</v>
      </c>
      <c r="C2568">
        <f t="shared" si="40"/>
        <v>5</v>
      </c>
      <c r="D2568" t="s">
        <v>22</v>
      </c>
      <c r="E2568">
        <v>9</v>
      </c>
      <c r="F2568">
        <v>4</v>
      </c>
      <c r="G2568">
        <v>0.34949999999999998</v>
      </c>
      <c r="H2568">
        <v>0.3226</v>
      </c>
      <c r="I2568">
        <v>78.66</v>
      </c>
    </row>
    <row r="2569" spans="1:9" x14ac:dyDescent="0.3">
      <c r="A2569">
        <f>LOOKUP(9E+307,--MID(D2569,1,{1,2,3,4,5}))</f>
        <v>5</v>
      </c>
      <c r="B2569">
        <f>VLOOKUP(MID(D2569,LOOKUP(2,1/ISNUMBER(-MID(D2569,1,{1,2,3,4,5})),{1,2,3,4,5})+1,9),'Hue codes'!$A$1:$B$10,2,FALSE)</f>
        <v>0</v>
      </c>
      <c r="C2569">
        <f t="shared" si="40"/>
        <v>5</v>
      </c>
      <c r="D2569" t="s">
        <v>22</v>
      </c>
      <c r="E2569">
        <v>9</v>
      </c>
      <c r="F2569">
        <v>6</v>
      </c>
      <c r="G2569">
        <v>0.37340000000000001</v>
      </c>
      <c r="H2569">
        <v>0.3256</v>
      </c>
      <c r="I2569">
        <v>78.66</v>
      </c>
    </row>
    <row r="2570" spans="1:9" x14ac:dyDescent="0.3">
      <c r="A2570">
        <f>LOOKUP(9E+307,--MID(D2570,1,{1,2,3,4,5}))</f>
        <v>7.5</v>
      </c>
      <c r="B2570">
        <f>VLOOKUP(MID(D2570,LOOKUP(2,1/ISNUMBER(-MID(D2570,1,{1,2,3,4,5})),{1,2,3,4,5})+1,9),'Hue codes'!$A$1:$B$10,2,FALSE)</f>
        <v>0</v>
      </c>
      <c r="C2570">
        <f t="shared" si="40"/>
        <v>7.5</v>
      </c>
      <c r="D2570" t="s">
        <v>23</v>
      </c>
      <c r="E2570">
        <v>9</v>
      </c>
      <c r="F2570">
        <v>2</v>
      </c>
      <c r="G2570">
        <v>0.32629999999999998</v>
      </c>
      <c r="H2570">
        <v>0.32100000000000001</v>
      </c>
      <c r="I2570">
        <v>78.66</v>
      </c>
    </row>
    <row r="2571" spans="1:9" x14ac:dyDescent="0.3">
      <c r="A2571">
        <f>LOOKUP(9E+307,--MID(D2571,1,{1,2,3,4,5}))</f>
        <v>7.5</v>
      </c>
      <c r="B2571">
        <f>VLOOKUP(MID(D2571,LOOKUP(2,1/ISNUMBER(-MID(D2571,1,{1,2,3,4,5})),{1,2,3,4,5})+1,9),'Hue codes'!$A$1:$B$10,2,FALSE)</f>
        <v>0</v>
      </c>
      <c r="C2571">
        <f t="shared" si="40"/>
        <v>7.5</v>
      </c>
      <c r="D2571" t="s">
        <v>23</v>
      </c>
      <c r="E2571">
        <v>9</v>
      </c>
      <c r="F2571">
        <v>4</v>
      </c>
      <c r="G2571">
        <v>0.35510000000000003</v>
      </c>
      <c r="H2571">
        <v>0.32829999999999998</v>
      </c>
      <c r="I2571">
        <v>78.66</v>
      </c>
    </row>
    <row r="2572" spans="1:9" x14ac:dyDescent="0.3">
      <c r="A2572">
        <f>LOOKUP(9E+307,--MID(D2572,1,{1,2,3,4,5}))</f>
        <v>7.5</v>
      </c>
      <c r="B2572">
        <f>VLOOKUP(MID(D2572,LOOKUP(2,1/ISNUMBER(-MID(D2572,1,{1,2,3,4,5})),{1,2,3,4,5})+1,9),'Hue codes'!$A$1:$B$10,2,FALSE)</f>
        <v>0</v>
      </c>
      <c r="C2572">
        <f t="shared" si="40"/>
        <v>7.5</v>
      </c>
      <c r="D2572" t="s">
        <v>23</v>
      </c>
      <c r="E2572">
        <v>9</v>
      </c>
      <c r="F2572">
        <v>6</v>
      </c>
      <c r="G2572">
        <v>0.38119999999999998</v>
      </c>
      <c r="H2572">
        <v>0.33479999999999999</v>
      </c>
      <c r="I2572">
        <v>78.66</v>
      </c>
    </row>
    <row r="2573" spans="1:9" x14ac:dyDescent="0.3">
      <c r="A2573">
        <f>LOOKUP(9E+307,--MID(D2573,1,{1,2,3,4,5}))</f>
        <v>10</v>
      </c>
      <c r="B2573">
        <f>VLOOKUP(MID(D2573,LOOKUP(2,1/ISNUMBER(-MID(D2573,1,{1,2,3,4,5})),{1,2,3,4,5})+1,9),'Hue codes'!$A$1:$B$10,2,FALSE)</f>
        <v>0</v>
      </c>
      <c r="C2573">
        <f t="shared" si="40"/>
        <v>10</v>
      </c>
      <c r="D2573" t="s">
        <v>24</v>
      </c>
      <c r="E2573">
        <v>9</v>
      </c>
      <c r="F2573">
        <v>2</v>
      </c>
      <c r="G2573">
        <v>0.32840000000000003</v>
      </c>
      <c r="H2573">
        <v>0.32329999999999998</v>
      </c>
      <c r="I2573">
        <v>78.66</v>
      </c>
    </row>
    <row r="2574" spans="1:9" x14ac:dyDescent="0.3">
      <c r="A2574">
        <f>LOOKUP(9E+307,--MID(D2574,1,{1,2,3,4,5}))</f>
        <v>10</v>
      </c>
      <c r="B2574">
        <f>VLOOKUP(MID(D2574,LOOKUP(2,1/ISNUMBER(-MID(D2574,1,{1,2,3,4,5})),{1,2,3,4,5})+1,9),'Hue codes'!$A$1:$B$10,2,FALSE)</f>
        <v>0</v>
      </c>
      <c r="C2574">
        <f t="shared" si="40"/>
        <v>10</v>
      </c>
      <c r="D2574" t="s">
        <v>24</v>
      </c>
      <c r="E2574">
        <v>9</v>
      </c>
      <c r="F2574">
        <v>4</v>
      </c>
      <c r="G2574">
        <v>0.36</v>
      </c>
      <c r="H2574">
        <v>0.33479999999999999</v>
      </c>
      <c r="I2574">
        <v>78.66</v>
      </c>
    </row>
    <row r="2575" spans="1:9" x14ac:dyDescent="0.3">
      <c r="A2575">
        <f>LOOKUP(9E+307,--MID(D2575,1,{1,2,3,4,5}))</f>
        <v>10</v>
      </c>
      <c r="B2575">
        <f>VLOOKUP(MID(D2575,LOOKUP(2,1/ISNUMBER(-MID(D2575,1,{1,2,3,4,5})),{1,2,3,4,5})+1,9),'Hue codes'!$A$1:$B$10,2,FALSE)</f>
        <v>0</v>
      </c>
      <c r="C2575">
        <f t="shared" si="40"/>
        <v>10</v>
      </c>
      <c r="D2575" t="s">
        <v>24</v>
      </c>
      <c r="E2575">
        <v>9</v>
      </c>
      <c r="F2575">
        <v>6</v>
      </c>
      <c r="G2575">
        <v>0.38800000000000001</v>
      </c>
      <c r="H2575">
        <v>0.34389999999999998</v>
      </c>
      <c r="I2575">
        <v>78.66</v>
      </c>
    </row>
    <row r="2576" spans="1:9" x14ac:dyDescent="0.3">
      <c r="A2576">
        <f>LOOKUP(9E+307,--MID(D2576,1,{1,2,3,4,5}))</f>
        <v>2.5</v>
      </c>
      <c r="B2576">
        <f>VLOOKUP(MID(D2576,LOOKUP(2,1/ISNUMBER(-MID(D2576,1,{1,2,3,4,5})),{1,2,3,4,5})+1,9),'Hue codes'!$A$1:$B$10,2,FALSE)</f>
        <v>10</v>
      </c>
      <c r="C2576">
        <f t="shared" si="40"/>
        <v>12.5</v>
      </c>
      <c r="D2576" t="s">
        <v>25</v>
      </c>
      <c r="E2576">
        <v>9</v>
      </c>
      <c r="F2576">
        <v>2</v>
      </c>
      <c r="G2576">
        <v>0.33200000000000002</v>
      </c>
      <c r="H2576">
        <v>0.32729999999999998</v>
      </c>
      <c r="I2576">
        <v>78.66</v>
      </c>
    </row>
    <row r="2577" spans="1:9" x14ac:dyDescent="0.3">
      <c r="A2577">
        <f>LOOKUP(9E+307,--MID(D2577,1,{1,2,3,4,5}))</f>
        <v>2.5</v>
      </c>
      <c r="B2577">
        <f>VLOOKUP(MID(D2577,LOOKUP(2,1/ISNUMBER(-MID(D2577,1,{1,2,3,4,5})),{1,2,3,4,5})+1,9),'Hue codes'!$A$1:$B$10,2,FALSE)</f>
        <v>10</v>
      </c>
      <c r="C2577">
        <f t="shared" si="40"/>
        <v>12.5</v>
      </c>
      <c r="D2577" t="s">
        <v>25</v>
      </c>
      <c r="E2577">
        <v>9</v>
      </c>
      <c r="F2577">
        <v>4</v>
      </c>
      <c r="G2577">
        <v>0.36409999999999998</v>
      </c>
      <c r="H2577">
        <v>0.3422</v>
      </c>
      <c r="I2577">
        <v>78.66</v>
      </c>
    </row>
    <row r="2578" spans="1:9" x14ac:dyDescent="0.3">
      <c r="A2578">
        <f>LOOKUP(9E+307,--MID(D2578,1,{1,2,3,4,5}))</f>
        <v>2.5</v>
      </c>
      <c r="B2578">
        <f>VLOOKUP(MID(D2578,LOOKUP(2,1/ISNUMBER(-MID(D2578,1,{1,2,3,4,5})),{1,2,3,4,5})+1,9),'Hue codes'!$A$1:$B$10,2,FALSE)</f>
        <v>10</v>
      </c>
      <c r="C2578">
        <f t="shared" si="40"/>
        <v>12.5</v>
      </c>
      <c r="D2578" t="s">
        <v>25</v>
      </c>
      <c r="E2578">
        <v>9</v>
      </c>
      <c r="F2578">
        <v>6</v>
      </c>
      <c r="G2578">
        <v>0.39269999999999999</v>
      </c>
      <c r="H2578">
        <v>0.35499999999999998</v>
      </c>
      <c r="I2578">
        <v>78.66</v>
      </c>
    </row>
    <row r="2579" spans="1:9" x14ac:dyDescent="0.3">
      <c r="A2579">
        <f>LOOKUP(9E+307,--MID(D2579,1,{1,2,3,4,5}))</f>
        <v>5</v>
      </c>
      <c r="B2579">
        <f>VLOOKUP(MID(D2579,LOOKUP(2,1/ISNUMBER(-MID(D2579,1,{1,2,3,4,5})),{1,2,3,4,5})+1,9),'Hue codes'!$A$1:$B$10,2,FALSE)</f>
        <v>10</v>
      </c>
      <c r="C2579">
        <f t="shared" si="40"/>
        <v>15</v>
      </c>
      <c r="D2579" t="s">
        <v>26</v>
      </c>
      <c r="E2579">
        <v>9</v>
      </c>
      <c r="F2579">
        <v>2</v>
      </c>
      <c r="G2579">
        <v>0.33529999999999999</v>
      </c>
      <c r="H2579">
        <v>0.33250000000000002</v>
      </c>
      <c r="I2579">
        <v>78.66</v>
      </c>
    </row>
    <row r="2580" spans="1:9" x14ac:dyDescent="0.3">
      <c r="A2580">
        <f>LOOKUP(9E+307,--MID(D2580,1,{1,2,3,4,5}))</f>
        <v>5</v>
      </c>
      <c r="B2580">
        <f>VLOOKUP(MID(D2580,LOOKUP(2,1/ISNUMBER(-MID(D2580,1,{1,2,3,4,5})),{1,2,3,4,5})+1,9),'Hue codes'!$A$1:$B$10,2,FALSE)</f>
        <v>10</v>
      </c>
      <c r="C2580">
        <f t="shared" si="40"/>
        <v>15</v>
      </c>
      <c r="D2580" t="s">
        <v>26</v>
      </c>
      <c r="E2580">
        <v>9</v>
      </c>
      <c r="F2580">
        <v>4</v>
      </c>
      <c r="G2580">
        <v>0.36680000000000001</v>
      </c>
      <c r="H2580">
        <v>0.35089999999999999</v>
      </c>
      <c r="I2580">
        <v>78.66</v>
      </c>
    </row>
    <row r="2581" spans="1:9" x14ac:dyDescent="0.3">
      <c r="A2581">
        <f>LOOKUP(9E+307,--MID(D2581,1,{1,2,3,4,5}))</f>
        <v>5</v>
      </c>
      <c r="B2581">
        <f>VLOOKUP(MID(D2581,LOOKUP(2,1/ISNUMBER(-MID(D2581,1,{1,2,3,4,5})),{1,2,3,4,5})+1,9),'Hue codes'!$A$1:$B$10,2,FALSE)</f>
        <v>10</v>
      </c>
      <c r="C2581">
        <f t="shared" si="40"/>
        <v>15</v>
      </c>
      <c r="D2581" t="s">
        <v>26</v>
      </c>
      <c r="E2581">
        <v>9</v>
      </c>
      <c r="F2581">
        <v>6</v>
      </c>
      <c r="G2581">
        <v>0.39479999999999998</v>
      </c>
      <c r="H2581">
        <v>0.3659</v>
      </c>
      <c r="I2581">
        <v>78.66</v>
      </c>
    </row>
    <row r="2582" spans="1:9" x14ac:dyDescent="0.3">
      <c r="A2582">
        <f>LOOKUP(9E+307,--MID(D2582,1,{1,2,3,4,5}))</f>
        <v>7.5</v>
      </c>
      <c r="B2582">
        <f>VLOOKUP(MID(D2582,LOOKUP(2,1/ISNUMBER(-MID(D2582,1,{1,2,3,4,5})),{1,2,3,4,5})+1,9),'Hue codes'!$A$1:$B$10,2,FALSE)</f>
        <v>10</v>
      </c>
      <c r="C2582">
        <f t="shared" si="40"/>
        <v>17.5</v>
      </c>
      <c r="D2582" t="s">
        <v>27</v>
      </c>
      <c r="E2582">
        <v>9</v>
      </c>
      <c r="F2582">
        <v>2</v>
      </c>
      <c r="G2582">
        <v>0.33800000000000002</v>
      </c>
      <c r="H2582">
        <v>0.3377</v>
      </c>
      <c r="I2582">
        <v>78.66</v>
      </c>
    </row>
    <row r="2583" spans="1:9" x14ac:dyDescent="0.3">
      <c r="A2583">
        <f>LOOKUP(9E+307,--MID(D2583,1,{1,2,3,4,5}))</f>
        <v>7.5</v>
      </c>
      <c r="B2583">
        <f>VLOOKUP(MID(D2583,LOOKUP(2,1/ISNUMBER(-MID(D2583,1,{1,2,3,4,5})),{1,2,3,4,5})+1,9),'Hue codes'!$A$1:$B$10,2,FALSE)</f>
        <v>10</v>
      </c>
      <c r="C2583">
        <f t="shared" si="40"/>
        <v>17.5</v>
      </c>
      <c r="D2583" t="s">
        <v>27</v>
      </c>
      <c r="E2583">
        <v>9</v>
      </c>
      <c r="F2583">
        <v>4</v>
      </c>
      <c r="G2583">
        <v>0.3679</v>
      </c>
      <c r="H2583">
        <v>0.35849999999999999</v>
      </c>
      <c r="I2583">
        <v>78.66</v>
      </c>
    </row>
    <row r="2584" spans="1:9" x14ac:dyDescent="0.3">
      <c r="A2584">
        <f>LOOKUP(9E+307,--MID(D2584,1,{1,2,3,4,5}))</f>
        <v>7.5</v>
      </c>
      <c r="B2584">
        <f>VLOOKUP(MID(D2584,LOOKUP(2,1/ISNUMBER(-MID(D2584,1,{1,2,3,4,5})),{1,2,3,4,5})+1,9),'Hue codes'!$A$1:$B$10,2,FALSE)</f>
        <v>10</v>
      </c>
      <c r="C2584">
        <f t="shared" si="40"/>
        <v>17.5</v>
      </c>
      <c r="D2584" t="s">
        <v>27</v>
      </c>
      <c r="E2584">
        <v>9</v>
      </c>
      <c r="F2584">
        <v>6</v>
      </c>
      <c r="G2584">
        <v>0.39500000000000002</v>
      </c>
      <c r="H2584">
        <v>0.37630000000000002</v>
      </c>
      <c r="I2584">
        <v>78.66</v>
      </c>
    </row>
    <row r="2585" spans="1:9" x14ac:dyDescent="0.3">
      <c r="A2585">
        <f>LOOKUP(9E+307,--MID(D2585,1,{1,2,3,4,5}))</f>
        <v>7.5</v>
      </c>
      <c r="B2585">
        <f>VLOOKUP(MID(D2585,LOOKUP(2,1/ISNUMBER(-MID(D2585,1,{1,2,3,4,5})),{1,2,3,4,5})+1,9),'Hue codes'!$A$1:$B$10,2,FALSE)</f>
        <v>10</v>
      </c>
      <c r="C2585">
        <f t="shared" si="40"/>
        <v>17.5</v>
      </c>
      <c r="D2585" t="s">
        <v>27</v>
      </c>
      <c r="E2585">
        <v>9</v>
      </c>
      <c r="F2585">
        <v>8</v>
      </c>
      <c r="G2585">
        <v>0.42199999999999999</v>
      </c>
      <c r="H2585">
        <v>0.39300000000000002</v>
      </c>
      <c r="I2585">
        <v>78.66</v>
      </c>
    </row>
    <row r="2586" spans="1:9" x14ac:dyDescent="0.3">
      <c r="A2586">
        <f>LOOKUP(9E+307,--MID(D2586,1,{1,2,3,4,5}))</f>
        <v>10</v>
      </c>
      <c r="B2586">
        <f>VLOOKUP(MID(D2586,LOOKUP(2,1/ISNUMBER(-MID(D2586,1,{1,2,3,4,5})),{1,2,3,4,5})+1,9),'Hue codes'!$A$1:$B$10,2,FALSE)</f>
        <v>10</v>
      </c>
      <c r="C2586">
        <f t="shared" si="40"/>
        <v>20</v>
      </c>
      <c r="D2586" t="s">
        <v>28</v>
      </c>
      <c r="E2586">
        <v>9</v>
      </c>
      <c r="F2586">
        <v>2</v>
      </c>
      <c r="G2586">
        <v>0.3392</v>
      </c>
      <c r="H2586">
        <v>0.34300000000000003</v>
      </c>
      <c r="I2586">
        <v>78.66</v>
      </c>
    </row>
    <row r="2587" spans="1:9" x14ac:dyDescent="0.3">
      <c r="A2587">
        <f>LOOKUP(9E+307,--MID(D2587,1,{1,2,3,4,5}))</f>
        <v>10</v>
      </c>
      <c r="B2587">
        <f>VLOOKUP(MID(D2587,LOOKUP(2,1/ISNUMBER(-MID(D2587,1,{1,2,3,4,5})),{1,2,3,4,5})+1,9),'Hue codes'!$A$1:$B$10,2,FALSE)</f>
        <v>10</v>
      </c>
      <c r="C2587">
        <f t="shared" si="40"/>
        <v>20</v>
      </c>
      <c r="D2587" t="s">
        <v>28</v>
      </c>
      <c r="E2587">
        <v>9</v>
      </c>
      <c r="F2587">
        <v>4</v>
      </c>
      <c r="G2587">
        <v>0.36770000000000003</v>
      </c>
      <c r="H2587">
        <v>0.36680000000000001</v>
      </c>
      <c r="I2587">
        <v>78.66</v>
      </c>
    </row>
    <row r="2588" spans="1:9" x14ac:dyDescent="0.3">
      <c r="A2588">
        <f>LOOKUP(9E+307,--MID(D2588,1,{1,2,3,4,5}))</f>
        <v>10</v>
      </c>
      <c r="B2588">
        <f>VLOOKUP(MID(D2588,LOOKUP(2,1/ISNUMBER(-MID(D2588,1,{1,2,3,4,5})),{1,2,3,4,5})+1,9),'Hue codes'!$A$1:$B$10,2,FALSE)</f>
        <v>10</v>
      </c>
      <c r="C2588">
        <f t="shared" si="40"/>
        <v>20</v>
      </c>
      <c r="D2588" t="s">
        <v>28</v>
      </c>
      <c r="E2588">
        <v>9</v>
      </c>
      <c r="F2588">
        <v>6</v>
      </c>
      <c r="G2588">
        <v>0.39410000000000001</v>
      </c>
      <c r="H2588">
        <v>0.38769999999999999</v>
      </c>
      <c r="I2588">
        <v>78.66</v>
      </c>
    </row>
    <row r="2589" spans="1:9" x14ac:dyDescent="0.3">
      <c r="A2589">
        <f>LOOKUP(9E+307,--MID(D2589,1,{1,2,3,4,5}))</f>
        <v>10</v>
      </c>
      <c r="B2589">
        <f>VLOOKUP(MID(D2589,LOOKUP(2,1/ISNUMBER(-MID(D2589,1,{1,2,3,4,5})),{1,2,3,4,5})+1,9),'Hue codes'!$A$1:$B$10,2,FALSE)</f>
        <v>10</v>
      </c>
      <c r="C2589">
        <f t="shared" si="40"/>
        <v>20</v>
      </c>
      <c r="D2589" t="s">
        <v>28</v>
      </c>
      <c r="E2589">
        <v>9</v>
      </c>
      <c r="F2589">
        <v>8</v>
      </c>
      <c r="G2589">
        <v>0.4199</v>
      </c>
      <c r="H2589">
        <v>0.40689999999999998</v>
      </c>
      <c r="I2589">
        <v>78.66</v>
      </c>
    </row>
    <row r="2590" spans="1:9" x14ac:dyDescent="0.3">
      <c r="A2590">
        <f>LOOKUP(9E+307,--MID(D2590,1,{1,2,3,4,5}))</f>
        <v>2.5</v>
      </c>
      <c r="B2590">
        <f>VLOOKUP(MID(D2590,LOOKUP(2,1/ISNUMBER(-MID(D2590,1,{1,2,3,4,5})),{1,2,3,4,5})+1,9),'Hue codes'!$A$1:$B$10,2,FALSE)</f>
        <v>20</v>
      </c>
      <c r="C2590">
        <f t="shared" si="40"/>
        <v>22.5</v>
      </c>
      <c r="D2590" t="s">
        <v>29</v>
      </c>
      <c r="E2590">
        <v>9</v>
      </c>
      <c r="F2590">
        <v>2</v>
      </c>
      <c r="G2590">
        <v>0.33900000000000002</v>
      </c>
      <c r="H2590">
        <v>0.34720000000000001</v>
      </c>
      <c r="I2590">
        <v>78.66</v>
      </c>
    </row>
    <row r="2591" spans="1:9" x14ac:dyDescent="0.3">
      <c r="A2591">
        <f>LOOKUP(9E+307,--MID(D2591,1,{1,2,3,4,5}))</f>
        <v>2.5</v>
      </c>
      <c r="B2591">
        <f>VLOOKUP(MID(D2591,LOOKUP(2,1/ISNUMBER(-MID(D2591,1,{1,2,3,4,5})),{1,2,3,4,5})+1,9),'Hue codes'!$A$1:$B$10,2,FALSE)</f>
        <v>20</v>
      </c>
      <c r="C2591">
        <f t="shared" si="40"/>
        <v>22.5</v>
      </c>
      <c r="D2591" t="s">
        <v>29</v>
      </c>
      <c r="E2591">
        <v>9</v>
      </c>
      <c r="F2591">
        <v>4</v>
      </c>
      <c r="G2591">
        <v>0.36549999999999999</v>
      </c>
      <c r="H2591">
        <v>0.37380000000000002</v>
      </c>
      <c r="I2591">
        <v>78.66</v>
      </c>
    </row>
    <row r="2592" spans="1:9" x14ac:dyDescent="0.3">
      <c r="A2592">
        <f>LOOKUP(9E+307,--MID(D2592,1,{1,2,3,4,5}))</f>
        <v>2.5</v>
      </c>
      <c r="B2592">
        <f>VLOOKUP(MID(D2592,LOOKUP(2,1/ISNUMBER(-MID(D2592,1,{1,2,3,4,5})),{1,2,3,4,5})+1,9),'Hue codes'!$A$1:$B$10,2,FALSE)</f>
        <v>20</v>
      </c>
      <c r="C2592">
        <f t="shared" si="40"/>
        <v>22.5</v>
      </c>
      <c r="D2592" t="s">
        <v>29</v>
      </c>
      <c r="E2592">
        <v>9</v>
      </c>
      <c r="F2592">
        <v>6</v>
      </c>
      <c r="G2592">
        <v>0.39100000000000001</v>
      </c>
      <c r="H2592">
        <v>0.3972</v>
      </c>
      <c r="I2592">
        <v>78.66</v>
      </c>
    </row>
    <row r="2593" spans="1:9" x14ac:dyDescent="0.3">
      <c r="A2593">
        <f>LOOKUP(9E+307,--MID(D2593,1,{1,2,3,4,5}))</f>
        <v>2.5</v>
      </c>
      <c r="B2593">
        <f>VLOOKUP(MID(D2593,LOOKUP(2,1/ISNUMBER(-MID(D2593,1,{1,2,3,4,5})),{1,2,3,4,5})+1,9),'Hue codes'!$A$1:$B$10,2,FALSE)</f>
        <v>20</v>
      </c>
      <c r="C2593">
        <f t="shared" si="40"/>
        <v>22.5</v>
      </c>
      <c r="D2593" t="s">
        <v>29</v>
      </c>
      <c r="E2593">
        <v>9</v>
      </c>
      <c r="F2593">
        <v>8</v>
      </c>
      <c r="G2593">
        <v>0.41539999999999999</v>
      </c>
      <c r="H2593">
        <v>0.41860000000000003</v>
      </c>
      <c r="I2593">
        <v>78.66</v>
      </c>
    </row>
    <row r="2594" spans="1:9" x14ac:dyDescent="0.3">
      <c r="A2594">
        <f>LOOKUP(9E+307,--MID(D2594,1,{1,2,3,4,5}))</f>
        <v>2.5</v>
      </c>
      <c r="B2594">
        <f>VLOOKUP(MID(D2594,LOOKUP(2,1/ISNUMBER(-MID(D2594,1,{1,2,3,4,5})),{1,2,3,4,5})+1,9),'Hue codes'!$A$1:$B$10,2,FALSE)</f>
        <v>20</v>
      </c>
      <c r="C2594">
        <f t="shared" si="40"/>
        <v>22.5</v>
      </c>
      <c r="D2594" t="s">
        <v>29</v>
      </c>
      <c r="E2594">
        <v>9</v>
      </c>
      <c r="F2594">
        <v>10</v>
      </c>
      <c r="G2594">
        <v>0.437</v>
      </c>
      <c r="H2594">
        <v>0.43690000000000001</v>
      </c>
      <c r="I2594">
        <v>78.66</v>
      </c>
    </row>
    <row r="2595" spans="1:9" x14ac:dyDescent="0.3">
      <c r="A2595">
        <f>LOOKUP(9E+307,--MID(D2595,1,{1,2,3,4,5}))</f>
        <v>2.5</v>
      </c>
      <c r="B2595">
        <f>VLOOKUP(MID(D2595,LOOKUP(2,1/ISNUMBER(-MID(D2595,1,{1,2,3,4,5})),{1,2,3,4,5})+1,9),'Hue codes'!$A$1:$B$10,2,FALSE)</f>
        <v>20</v>
      </c>
      <c r="C2595">
        <f t="shared" si="40"/>
        <v>22.5</v>
      </c>
      <c r="D2595" t="s">
        <v>29</v>
      </c>
      <c r="E2595">
        <v>9</v>
      </c>
      <c r="F2595">
        <v>12</v>
      </c>
      <c r="G2595">
        <v>0.45689999999999997</v>
      </c>
      <c r="H2595">
        <v>0.45269999999999999</v>
      </c>
      <c r="I2595">
        <v>78.66</v>
      </c>
    </row>
    <row r="2596" spans="1:9" x14ac:dyDescent="0.3">
      <c r="A2596">
        <f>LOOKUP(9E+307,--MID(D2596,1,{1,2,3,4,5}))</f>
        <v>5</v>
      </c>
      <c r="B2596">
        <f>VLOOKUP(MID(D2596,LOOKUP(2,1/ISNUMBER(-MID(D2596,1,{1,2,3,4,5})),{1,2,3,4,5})+1,9),'Hue codes'!$A$1:$B$10,2,FALSE)</f>
        <v>20</v>
      </c>
      <c r="C2596">
        <f t="shared" si="40"/>
        <v>25</v>
      </c>
      <c r="D2596" t="s">
        <v>30</v>
      </c>
      <c r="E2596">
        <v>9</v>
      </c>
      <c r="F2596">
        <v>2</v>
      </c>
      <c r="G2596">
        <v>0.33779999999999999</v>
      </c>
      <c r="H2596">
        <v>0.35039999999999999</v>
      </c>
      <c r="I2596">
        <v>78.66</v>
      </c>
    </row>
    <row r="2597" spans="1:9" x14ac:dyDescent="0.3">
      <c r="A2597">
        <f>LOOKUP(9E+307,--MID(D2597,1,{1,2,3,4,5}))</f>
        <v>5</v>
      </c>
      <c r="B2597">
        <f>VLOOKUP(MID(D2597,LOOKUP(2,1/ISNUMBER(-MID(D2597,1,{1,2,3,4,5})),{1,2,3,4,5})+1,9),'Hue codes'!$A$1:$B$10,2,FALSE)</f>
        <v>20</v>
      </c>
      <c r="C2597">
        <f t="shared" si="40"/>
        <v>25</v>
      </c>
      <c r="D2597" t="s">
        <v>30</v>
      </c>
      <c r="E2597">
        <v>9</v>
      </c>
      <c r="F2597">
        <v>4</v>
      </c>
      <c r="G2597">
        <v>0.36209999999999998</v>
      </c>
      <c r="H2597">
        <v>0.37990000000000002</v>
      </c>
      <c r="I2597">
        <v>78.66</v>
      </c>
    </row>
    <row r="2598" spans="1:9" x14ac:dyDescent="0.3">
      <c r="A2598">
        <f>LOOKUP(9E+307,--MID(D2598,1,{1,2,3,4,5}))</f>
        <v>5</v>
      </c>
      <c r="B2598">
        <f>VLOOKUP(MID(D2598,LOOKUP(2,1/ISNUMBER(-MID(D2598,1,{1,2,3,4,5})),{1,2,3,4,5})+1,9),'Hue codes'!$A$1:$B$10,2,FALSE)</f>
        <v>20</v>
      </c>
      <c r="C2598">
        <f t="shared" si="40"/>
        <v>25</v>
      </c>
      <c r="D2598" t="s">
        <v>30</v>
      </c>
      <c r="E2598">
        <v>9</v>
      </c>
      <c r="F2598">
        <v>6</v>
      </c>
      <c r="G2598">
        <v>0.38579999999999998</v>
      </c>
      <c r="H2598">
        <v>0.40710000000000002</v>
      </c>
      <c r="I2598">
        <v>78.66</v>
      </c>
    </row>
    <row r="2599" spans="1:9" x14ac:dyDescent="0.3">
      <c r="A2599">
        <f>LOOKUP(9E+307,--MID(D2599,1,{1,2,3,4,5}))</f>
        <v>5</v>
      </c>
      <c r="B2599">
        <f>VLOOKUP(MID(D2599,LOOKUP(2,1/ISNUMBER(-MID(D2599,1,{1,2,3,4,5})),{1,2,3,4,5})+1,9),'Hue codes'!$A$1:$B$10,2,FALSE)</f>
        <v>20</v>
      </c>
      <c r="C2599">
        <f t="shared" si="40"/>
        <v>25</v>
      </c>
      <c r="D2599" t="s">
        <v>30</v>
      </c>
      <c r="E2599">
        <v>9</v>
      </c>
      <c r="F2599">
        <v>8</v>
      </c>
      <c r="G2599">
        <v>0.40799999999999997</v>
      </c>
      <c r="H2599">
        <v>0.43190000000000001</v>
      </c>
      <c r="I2599">
        <v>78.66</v>
      </c>
    </row>
    <row r="2600" spans="1:9" x14ac:dyDescent="0.3">
      <c r="A2600">
        <f>LOOKUP(9E+307,--MID(D2600,1,{1,2,3,4,5}))</f>
        <v>5</v>
      </c>
      <c r="B2600">
        <f>VLOOKUP(MID(D2600,LOOKUP(2,1/ISNUMBER(-MID(D2600,1,{1,2,3,4,5})),{1,2,3,4,5})+1,9),'Hue codes'!$A$1:$B$10,2,FALSE)</f>
        <v>20</v>
      </c>
      <c r="C2600">
        <f t="shared" si="40"/>
        <v>25</v>
      </c>
      <c r="D2600" t="s">
        <v>30</v>
      </c>
      <c r="E2600">
        <v>9</v>
      </c>
      <c r="F2600">
        <v>10</v>
      </c>
      <c r="G2600">
        <v>0.42749999999999999</v>
      </c>
      <c r="H2600">
        <v>0.45290000000000002</v>
      </c>
      <c r="I2600">
        <v>78.66</v>
      </c>
    </row>
    <row r="2601" spans="1:9" x14ac:dyDescent="0.3">
      <c r="A2601">
        <f>LOOKUP(9E+307,--MID(D2601,1,{1,2,3,4,5}))</f>
        <v>5</v>
      </c>
      <c r="B2601">
        <f>VLOOKUP(MID(D2601,LOOKUP(2,1/ISNUMBER(-MID(D2601,1,{1,2,3,4,5})),{1,2,3,4,5})+1,9),'Hue codes'!$A$1:$B$10,2,FALSE)</f>
        <v>20</v>
      </c>
      <c r="C2601">
        <f t="shared" si="40"/>
        <v>25</v>
      </c>
      <c r="D2601" t="s">
        <v>30</v>
      </c>
      <c r="E2601">
        <v>9</v>
      </c>
      <c r="F2601">
        <v>12</v>
      </c>
      <c r="G2601">
        <v>0.44550000000000001</v>
      </c>
      <c r="H2601">
        <v>0.47189999999999999</v>
      </c>
      <c r="I2601">
        <v>78.66</v>
      </c>
    </row>
    <row r="2602" spans="1:9" x14ac:dyDescent="0.3">
      <c r="A2602">
        <f>LOOKUP(9E+307,--MID(D2602,1,{1,2,3,4,5}))</f>
        <v>5</v>
      </c>
      <c r="B2602">
        <f>VLOOKUP(MID(D2602,LOOKUP(2,1/ISNUMBER(-MID(D2602,1,{1,2,3,4,5})),{1,2,3,4,5})+1,9),'Hue codes'!$A$1:$B$10,2,FALSE)</f>
        <v>20</v>
      </c>
      <c r="C2602">
        <f t="shared" si="40"/>
        <v>25</v>
      </c>
      <c r="D2602" t="s">
        <v>30</v>
      </c>
      <c r="E2602">
        <v>9</v>
      </c>
      <c r="F2602">
        <v>14</v>
      </c>
      <c r="G2602">
        <v>0.4602</v>
      </c>
      <c r="H2602">
        <v>0.4869</v>
      </c>
      <c r="I2602">
        <v>78.66</v>
      </c>
    </row>
    <row r="2603" spans="1:9" x14ac:dyDescent="0.3">
      <c r="A2603">
        <f>LOOKUP(9E+307,--MID(D2603,1,{1,2,3,4,5}))</f>
        <v>5</v>
      </c>
      <c r="B2603">
        <f>VLOOKUP(MID(D2603,LOOKUP(2,1/ISNUMBER(-MID(D2603,1,{1,2,3,4,5})),{1,2,3,4,5})+1,9),'Hue codes'!$A$1:$B$10,2,FALSE)</f>
        <v>20</v>
      </c>
      <c r="C2603">
        <f t="shared" si="40"/>
        <v>25</v>
      </c>
      <c r="D2603" t="s">
        <v>30</v>
      </c>
      <c r="E2603">
        <v>9</v>
      </c>
      <c r="F2603">
        <v>16</v>
      </c>
      <c r="G2603">
        <v>0.47110000000000002</v>
      </c>
      <c r="H2603">
        <v>0.49769999999999998</v>
      </c>
      <c r="I2603">
        <v>78.66</v>
      </c>
    </row>
    <row r="2604" spans="1:9" x14ac:dyDescent="0.3">
      <c r="A2604">
        <f>LOOKUP(9E+307,--MID(D2604,1,{1,2,3,4,5}))</f>
        <v>5</v>
      </c>
      <c r="B2604">
        <f>VLOOKUP(MID(D2604,LOOKUP(2,1/ISNUMBER(-MID(D2604,1,{1,2,3,4,5})),{1,2,3,4,5})+1,9),'Hue codes'!$A$1:$B$10,2,FALSE)</f>
        <v>20</v>
      </c>
      <c r="C2604">
        <f t="shared" si="40"/>
        <v>25</v>
      </c>
      <c r="D2604" t="s">
        <v>30</v>
      </c>
      <c r="E2604">
        <v>9</v>
      </c>
      <c r="F2604">
        <v>18</v>
      </c>
      <c r="G2604">
        <v>0.47820000000000001</v>
      </c>
      <c r="H2604">
        <v>0.50490000000000002</v>
      </c>
      <c r="I2604">
        <v>78.66</v>
      </c>
    </row>
    <row r="2605" spans="1:9" x14ac:dyDescent="0.3">
      <c r="A2605">
        <f>LOOKUP(9E+307,--MID(D2605,1,{1,2,3,4,5}))</f>
        <v>5</v>
      </c>
      <c r="B2605">
        <f>VLOOKUP(MID(D2605,LOOKUP(2,1/ISNUMBER(-MID(D2605,1,{1,2,3,4,5})),{1,2,3,4,5})+1,9),'Hue codes'!$A$1:$B$10,2,FALSE)</f>
        <v>20</v>
      </c>
      <c r="C2605">
        <f t="shared" si="40"/>
        <v>25</v>
      </c>
      <c r="D2605" t="s">
        <v>30</v>
      </c>
      <c r="E2605">
        <v>9</v>
      </c>
      <c r="F2605">
        <v>20</v>
      </c>
      <c r="G2605">
        <v>0.48299999999999998</v>
      </c>
      <c r="H2605">
        <v>0.50919999999999999</v>
      </c>
      <c r="I2605">
        <v>78.66</v>
      </c>
    </row>
    <row r="2606" spans="1:9" x14ac:dyDescent="0.3">
      <c r="A2606">
        <f>LOOKUP(9E+307,--MID(D2606,1,{1,2,3,4,5}))</f>
        <v>7.5</v>
      </c>
      <c r="B2606">
        <f>VLOOKUP(MID(D2606,LOOKUP(2,1/ISNUMBER(-MID(D2606,1,{1,2,3,4,5})),{1,2,3,4,5})+1,9),'Hue codes'!$A$1:$B$10,2,FALSE)</f>
        <v>20</v>
      </c>
      <c r="C2606">
        <f t="shared" si="40"/>
        <v>27.5</v>
      </c>
      <c r="D2606" t="s">
        <v>31</v>
      </c>
      <c r="E2606">
        <v>9</v>
      </c>
      <c r="F2606">
        <v>2</v>
      </c>
      <c r="G2606">
        <v>0.33650000000000002</v>
      </c>
      <c r="H2606">
        <v>0.35270000000000001</v>
      </c>
      <c r="I2606">
        <v>78.66</v>
      </c>
    </row>
    <row r="2607" spans="1:9" x14ac:dyDescent="0.3">
      <c r="A2607">
        <f>LOOKUP(9E+307,--MID(D2607,1,{1,2,3,4,5}))</f>
        <v>7.5</v>
      </c>
      <c r="B2607">
        <f>VLOOKUP(MID(D2607,LOOKUP(2,1/ISNUMBER(-MID(D2607,1,{1,2,3,4,5})),{1,2,3,4,5})+1,9),'Hue codes'!$A$1:$B$10,2,FALSE)</f>
        <v>20</v>
      </c>
      <c r="C2607">
        <f t="shared" si="40"/>
        <v>27.5</v>
      </c>
      <c r="D2607" t="s">
        <v>31</v>
      </c>
      <c r="E2607">
        <v>9</v>
      </c>
      <c r="F2607">
        <v>4</v>
      </c>
      <c r="G2607">
        <v>0.35909999999999997</v>
      </c>
      <c r="H2607">
        <v>0.38319999999999999</v>
      </c>
      <c r="I2607">
        <v>78.66</v>
      </c>
    </row>
    <row r="2608" spans="1:9" x14ac:dyDescent="0.3">
      <c r="A2608">
        <f>LOOKUP(9E+307,--MID(D2608,1,{1,2,3,4,5}))</f>
        <v>7.5</v>
      </c>
      <c r="B2608">
        <f>VLOOKUP(MID(D2608,LOOKUP(2,1/ISNUMBER(-MID(D2608,1,{1,2,3,4,5})),{1,2,3,4,5})+1,9),'Hue codes'!$A$1:$B$10,2,FALSE)</f>
        <v>20</v>
      </c>
      <c r="C2608">
        <f t="shared" si="40"/>
        <v>27.5</v>
      </c>
      <c r="D2608" t="s">
        <v>31</v>
      </c>
      <c r="E2608">
        <v>9</v>
      </c>
      <c r="F2608">
        <v>6</v>
      </c>
      <c r="G2608">
        <v>0.38109999999999999</v>
      </c>
      <c r="H2608">
        <v>0.4123</v>
      </c>
      <c r="I2608">
        <v>78.66</v>
      </c>
    </row>
    <row r="2609" spans="1:9" x14ac:dyDescent="0.3">
      <c r="A2609">
        <f>LOOKUP(9E+307,--MID(D2609,1,{1,2,3,4,5}))</f>
        <v>7.5</v>
      </c>
      <c r="B2609">
        <f>VLOOKUP(MID(D2609,LOOKUP(2,1/ISNUMBER(-MID(D2609,1,{1,2,3,4,5})),{1,2,3,4,5})+1,9),'Hue codes'!$A$1:$B$10,2,FALSE)</f>
        <v>20</v>
      </c>
      <c r="C2609">
        <f t="shared" si="40"/>
        <v>27.5</v>
      </c>
      <c r="D2609" t="s">
        <v>31</v>
      </c>
      <c r="E2609">
        <v>9</v>
      </c>
      <c r="F2609">
        <v>8</v>
      </c>
      <c r="G2609">
        <v>0.40189999999999998</v>
      </c>
      <c r="H2609">
        <v>0.43919999999999998</v>
      </c>
      <c r="I2609">
        <v>78.66</v>
      </c>
    </row>
    <row r="2610" spans="1:9" x14ac:dyDescent="0.3">
      <c r="A2610">
        <f>LOOKUP(9E+307,--MID(D2610,1,{1,2,3,4,5}))</f>
        <v>7.5</v>
      </c>
      <c r="B2610">
        <f>VLOOKUP(MID(D2610,LOOKUP(2,1/ISNUMBER(-MID(D2610,1,{1,2,3,4,5})),{1,2,3,4,5})+1,9),'Hue codes'!$A$1:$B$10,2,FALSE)</f>
        <v>20</v>
      </c>
      <c r="C2610">
        <f t="shared" si="40"/>
        <v>27.5</v>
      </c>
      <c r="D2610" t="s">
        <v>31</v>
      </c>
      <c r="E2610">
        <v>9</v>
      </c>
      <c r="F2610">
        <v>10</v>
      </c>
      <c r="G2610">
        <v>0.42009999999999997</v>
      </c>
      <c r="H2610">
        <v>0.4622</v>
      </c>
      <c r="I2610">
        <v>78.66</v>
      </c>
    </row>
    <row r="2611" spans="1:9" x14ac:dyDescent="0.3">
      <c r="A2611">
        <f>LOOKUP(9E+307,--MID(D2611,1,{1,2,3,4,5}))</f>
        <v>7.5</v>
      </c>
      <c r="B2611">
        <f>VLOOKUP(MID(D2611,LOOKUP(2,1/ISNUMBER(-MID(D2611,1,{1,2,3,4,5})),{1,2,3,4,5})+1,9),'Hue codes'!$A$1:$B$10,2,FALSE)</f>
        <v>20</v>
      </c>
      <c r="C2611">
        <f t="shared" si="40"/>
        <v>27.5</v>
      </c>
      <c r="D2611" t="s">
        <v>31</v>
      </c>
      <c r="E2611">
        <v>9</v>
      </c>
      <c r="F2611">
        <v>12</v>
      </c>
      <c r="G2611">
        <v>0.43690000000000001</v>
      </c>
      <c r="H2611">
        <v>0.4829</v>
      </c>
      <c r="I2611">
        <v>78.66</v>
      </c>
    </row>
    <row r="2612" spans="1:9" x14ac:dyDescent="0.3">
      <c r="A2612">
        <f>LOOKUP(9E+307,--MID(D2612,1,{1,2,3,4,5}))</f>
        <v>7.5</v>
      </c>
      <c r="B2612">
        <f>VLOOKUP(MID(D2612,LOOKUP(2,1/ISNUMBER(-MID(D2612,1,{1,2,3,4,5})),{1,2,3,4,5})+1,9),'Hue codes'!$A$1:$B$10,2,FALSE)</f>
        <v>20</v>
      </c>
      <c r="C2612">
        <f t="shared" si="40"/>
        <v>27.5</v>
      </c>
      <c r="D2612" t="s">
        <v>31</v>
      </c>
      <c r="E2612">
        <v>9</v>
      </c>
      <c r="F2612">
        <v>14</v>
      </c>
      <c r="G2612">
        <v>0.45029999999999998</v>
      </c>
      <c r="H2612">
        <v>0.49930000000000002</v>
      </c>
      <c r="I2612">
        <v>78.66</v>
      </c>
    </row>
    <row r="2613" spans="1:9" x14ac:dyDescent="0.3">
      <c r="A2613">
        <f>LOOKUP(9E+307,--MID(D2613,1,{1,2,3,4,5}))</f>
        <v>7.5</v>
      </c>
      <c r="B2613">
        <f>VLOOKUP(MID(D2613,LOOKUP(2,1/ISNUMBER(-MID(D2613,1,{1,2,3,4,5})),{1,2,3,4,5})+1,9),'Hue codes'!$A$1:$B$10,2,FALSE)</f>
        <v>20</v>
      </c>
      <c r="C2613">
        <f t="shared" si="40"/>
        <v>27.5</v>
      </c>
      <c r="D2613" t="s">
        <v>31</v>
      </c>
      <c r="E2613">
        <v>9</v>
      </c>
      <c r="F2613">
        <v>16</v>
      </c>
      <c r="G2613">
        <v>0.45950000000000002</v>
      </c>
      <c r="H2613">
        <v>0.51039999999999996</v>
      </c>
      <c r="I2613">
        <v>78.66</v>
      </c>
    </row>
    <row r="2614" spans="1:9" x14ac:dyDescent="0.3">
      <c r="A2614">
        <f>LOOKUP(9E+307,--MID(D2614,1,{1,2,3,4,5}))</f>
        <v>7.5</v>
      </c>
      <c r="B2614">
        <f>VLOOKUP(MID(D2614,LOOKUP(2,1/ISNUMBER(-MID(D2614,1,{1,2,3,4,5})),{1,2,3,4,5})+1,9),'Hue codes'!$A$1:$B$10,2,FALSE)</f>
        <v>20</v>
      </c>
      <c r="C2614">
        <f t="shared" si="40"/>
        <v>27.5</v>
      </c>
      <c r="D2614" t="s">
        <v>31</v>
      </c>
      <c r="E2614">
        <v>9</v>
      </c>
      <c r="F2614">
        <v>18</v>
      </c>
      <c r="G2614">
        <v>0.46629999999999999</v>
      </c>
      <c r="H2614">
        <v>0.51880000000000004</v>
      </c>
      <c r="I2614">
        <v>78.66</v>
      </c>
    </row>
    <row r="2615" spans="1:9" x14ac:dyDescent="0.3">
      <c r="A2615">
        <f>LOOKUP(9E+307,--MID(D2615,1,{1,2,3,4,5}))</f>
        <v>10</v>
      </c>
      <c r="B2615">
        <f>VLOOKUP(MID(D2615,LOOKUP(2,1/ISNUMBER(-MID(D2615,1,{1,2,3,4,5})),{1,2,3,4,5})+1,9),'Hue codes'!$A$1:$B$10,2,FALSE)</f>
        <v>20</v>
      </c>
      <c r="C2615">
        <f t="shared" si="40"/>
        <v>30</v>
      </c>
      <c r="D2615" t="s">
        <v>32</v>
      </c>
      <c r="E2615">
        <v>9</v>
      </c>
      <c r="F2615">
        <v>2</v>
      </c>
      <c r="G2615">
        <v>0.33489999999999998</v>
      </c>
      <c r="H2615">
        <v>0.35370000000000001</v>
      </c>
      <c r="I2615">
        <v>78.66</v>
      </c>
    </row>
    <row r="2616" spans="1:9" x14ac:dyDescent="0.3">
      <c r="A2616">
        <f>LOOKUP(9E+307,--MID(D2616,1,{1,2,3,4,5}))</f>
        <v>10</v>
      </c>
      <c r="B2616">
        <f>VLOOKUP(MID(D2616,LOOKUP(2,1/ISNUMBER(-MID(D2616,1,{1,2,3,4,5})),{1,2,3,4,5})+1,9),'Hue codes'!$A$1:$B$10,2,FALSE)</f>
        <v>20</v>
      </c>
      <c r="C2616">
        <f t="shared" si="40"/>
        <v>30</v>
      </c>
      <c r="D2616" t="s">
        <v>32</v>
      </c>
      <c r="E2616">
        <v>9</v>
      </c>
      <c r="F2616">
        <v>4</v>
      </c>
      <c r="G2616">
        <v>0.35580000000000001</v>
      </c>
      <c r="H2616">
        <v>0.38519999999999999</v>
      </c>
      <c r="I2616">
        <v>78.66</v>
      </c>
    </row>
    <row r="2617" spans="1:9" x14ac:dyDescent="0.3">
      <c r="A2617">
        <f>LOOKUP(9E+307,--MID(D2617,1,{1,2,3,4,5}))</f>
        <v>10</v>
      </c>
      <c r="B2617">
        <f>VLOOKUP(MID(D2617,LOOKUP(2,1/ISNUMBER(-MID(D2617,1,{1,2,3,4,5})),{1,2,3,4,5})+1,9),'Hue codes'!$A$1:$B$10,2,FALSE)</f>
        <v>20</v>
      </c>
      <c r="C2617">
        <f t="shared" si="40"/>
        <v>30</v>
      </c>
      <c r="D2617" t="s">
        <v>32</v>
      </c>
      <c r="E2617">
        <v>9</v>
      </c>
      <c r="F2617">
        <v>6</v>
      </c>
      <c r="G2617">
        <v>0.37609999999999999</v>
      </c>
      <c r="H2617">
        <v>0.41549999999999998</v>
      </c>
      <c r="I2617">
        <v>78.66</v>
      </c>
    </row>
    <row r="2618" spans="1:9" x14ac:dyDescent="0.3">
      <c r="A2618">
        <f>LOOKUP(9E+307,--MID(D2618,1,{1,2,3,4,5}))</f>
        <v>10</v>
      </c>
      <c r="B2618">
        <f>VLOOKUP(MID(D2618,LOOKUP(2,1/ISNUMBER(-MID(D2618,1,{1,2,3,4,5})),{1,2,3,4,5})+1,9),'Hue codes'!$A$1:$B$10,2,FALSE)</f>
        <v>20</v>
      </c>
      <c r="C2618">
        <f t="shared" si="40"/>
        <v>30</v>
      </c>
      <c r="D2618" t="s">
        <v>32</v>
      </c>
      <c r="E2618">
        <v>9</v>
      </c>
      <c r="F2618">
        <v>8</v>
      </c>
      <c r="G2618">
        <v>0.3957</v>
      </c>
      <c r="H2618">
        <v>0.44500000000000001</v>
      </c>
      <c r="I2618">
        <v>78.66</v>
      </c>
    </row>
    <row r="2619" spans="1:9" x14ac:dyDescent="0.3">
      <c r="A2619">
        <f>LOOKUP(9E+307,--MID(D2619,1,{1,2,3,4,5}))</f>
        <v>10</v>
      </c>
      <c r="B2619">
        <f>VLOOKUP(MID(D2619,LOOKUP(2,1/ISNUMBER(-MID(D2619,1,{1,2,3,4,5})),{1,2,3,4,5})+1,9),'Hue codes'!$A$1:$B$10,2,FALSE)</f>
        <v>20</v>
      </c>
      <c r="C2619">
        <f t="shared" si="40"/>
        <v>30</v>
      </c>
      <c r="D2619" t="s">
        <v>32</v>
      </c>
      <c r="E2619">
        <v>9</v>
      </c>
      <c r="F2619">
        <v>10</v>
      </c>
      <c r="G2619">
        <v>0.41199999999999998</v>
      </c>
      <c r="H2619">
        <v>0.46939999999999998</v>
      </c>
      <c r="I2619">
        <v>78.66</v>
      </c>
    </row>
    <row r="2620" spans="1:9" x14ac:dyDescent="0.3">
      <c r="A2620">
        <f>LOOKUP(9E+307,--MID(D2620,1,{1,2,3,4,5}))</f>
        <v>10</v>
      </c>
      <c r="B2620">
        <f>VLOOKUP(MID(D2620,LOOKUP(2,1/ISNUMBER(-MID(D2620,1,{1,2,3,4,5})),{1,2,3,4,5})+1,9),'Hue codes'!$A$1:$B$10,2,FALSE)</f>
        <v>20</v>
      </c>
      <c r="C2620">
        <f t="shared" si="40"/>
        <v>30</v>
      </c>
      <c r="D2620" t="s">
        <v>32</v>
      </c>
      <c r="E2620">
        <v>9</v>
      </c>
      <c r="F2620">
        <v>12</v>
      </c>
      <c r="G2620">
        <v>0.42709999999999998</v>
      </c>
      <c r="H2620">
        <v>0.49199999999999999</v>
      </c>
      <c r="I2620">
        <v>78.66</v>
      </c>
    </row>
    <row r="2621" spans="1:9" x14ac:dyDescent="0.3">
      <c r="A2621">
        <f>LOOKUP(9E+307,--MID(D2621,1,{1,2,3,4,5}))</f>
        <v>10</v>
      </c>
      <c r="B2621">
        <f>VLOOKUP(MID(D2621,LOOKUP(2,1/ISNUMBER(-MID(D2621,1,{1,2,3,4,5})),{1,2,3,4,5})+1,9),'Hue codes'!$A$1:$B$10,2,FALSE)</f>
        <v>20</v>
      </c>
      <c r="C2621">
        <f t="shared" si="40"/>
        <v>30</v>
      </c>
      <c r="D2621" t="s">
        <v>32</v>
      </c>
      <c r="E2621">
        <v>9</v>
      </c>
      <c r="F2621">
        <v>14</v>
      </c>
      <c r="G2621">
        <v>0.43930000000000002</v>
      </c>
      <c r="H2621">
        <v>0.5101</v>
      </c>
      <c r="I2621">
        <v>78.66</v>
      </c>
    </row>
    <row r="2622" spans="1:9" x14ac:dyDescent="0.3">
      <c r="A2622">
        <f>LOOKUP(9E+307,--MID(D2622,1,{1,2,3,4,5}))</f>
        <v>10</v>
      </c>
      <c r="B2622">
        <f>VLOOKUP(MID(D2622,LOOKUP(2,1/ISNUMBER(-MID(D2622,1,{1,2,3,4,5})),{1,2,3,4,5})+1,9),'Hue codes'!$A$1:$B$10,2,FALSE)</f>
        <v>20</v>
      </c>
      <c r="C2622">
        <f t="shared" si="40"/>
        <v>30</v>
      </c>
      <c r="D2622" t="s">
        <v>32</v>
      </c>
      <c r="E2622">
        <v>9</v>
      </c>
      <c r="F2622">
        <v>16</v>
      </c>
      <c r="G2622">
        <v>0.44769999999999999</v>
      </c>
      <c r="H2622">
        <v>0.52249999999999996</v>
      </c>
      <c r="I2622">
        <v>78.66</v>
      </c>
    </row>
    <row r="2623" spans="1:9" x14ac:dyDescent="0.3">
      <c r="A2623">
        <f>LOOKUP(9E+307,--MID(D2623,1,{1,2,3,4,5}))</f>
        <v>10</v>
      </c>
      <c r="B2623">
        <f>VLOOKUP(MID(D2623,LOOKUP(2,1/ISNUMBER(-MID(D2623,1,{1,2,3,4,5})),{1,2,3,4,5})+1,9),'Hue codes'!$A$1:$B$10,2,FALSE)</f>
        <v>20</v>
      </c>
      <c r="C2623">
        <f t="shared" si="40"/>
        <v>30</v>
      </c>
      <c r="D2623" t="s">
        <v>32</v>
      </c>
      <c r="E2623">
        <v>9</v>
      </c>
      <c r="F2623">
        <v>18</v>
      </c>
      <c r="G2623">
        <v>0.45400000000000001</v>
      </c>
      <c r="H2623">
        <v>0.53200000000000003</v>
      </c>
      <c r="I2623">
        <v>78.66</v>
      </c>
    </row>
    <row r="2624" spans="1:9" x14ac:dyDescent="0.3">
      <c r="A2624">
        <f>LOOKUP(9E+307,--MID(D2624,1,{1,2,3,4,5}))</f>
        <v>2.5</v>
      </c>
      <c r="B2624">
        <f>VLOOKUP(MID(D2624,LOOKUP(2,1/ISNUMBER(-MID(D2624,1,{1,2,3,4,5})),{1,2,3,4,5})+1,9),'Hue codes'!$A$1:$B$10,2,FALSE)</f>
        <v>30</v>
      </c>
      <c r="C2624">
        <f t="shared" si="40"/>
        <v>32.5</v>
      </c>
      <c r="D2624" t="s">
        <v>33</v>
      </c>
      <c r="E2624">
        <v>9</v>
      </c>
      <c r="F2624">
        <v>2</v>
      </c>
      <c r="G2624">
        <v>0.33210000000000001</v>
      </c>
      <c r="H2624">
        <v>0.35389999999999999</v>
      </c>
      <c r="I2624">
        <v>78.66</v>
      </c>
    </row>
    <row r="2625" spans="1:9" x14ac:dyDescent="0.3">
      <c r="A2625">
        <f>LOOKUP(9E+307,--MID(D2625,1,{1,2,3,4,5}))</f>
        <v>2.5</v>
      </c>
      <c r="B2625">
        <f>VLOOKUP(MID(D2625,LOOKUP(2,1/ISNUMBER(-MID(D2625,1,{1,2,3,4,5})),{1,2,3,4,5})+1,9),'Hue codes'!$A$1:$B$10,2,FALSE)</f>
        <v>30</v>
      </c>
      <c r="C2625">
        <f t="shared" si="40"/>
        <v>32.5</v>
      </c>
      <c r="D2625" t="s">
        <v>33</v>
      </c>
      <c r="E2625">
        <v>9</v>
      </c>
      <c r="F2625">
        <v>4</v>
      </c>
      <c r="G2625">
        <v>0.34989999999999999</v>
      </c>
      <c r="H2625">
        <v>0.3866</v>
      </c>
      <c r="I2625">
        <v>78.66</v>
      </c>
    </row>
    <row r="2626" spans="1:9" x14ac:dyDescent="0.3">
      <c r="A2626">
        <f>LOOKUP(9E+307,--MID(D2626,1,{1,2,3,4,5}))</f>
        <v>2.5</v>
      </c>
      <c r="B2626">
        <f>VLOOKUP(MID(D2626,LOOKUP(2,1/ISNUMBER(-MID(D2626,1,{1,2,3,4,5})),{1,2,3,4,5})+1,9),'Hue codes'!$A$1:$B$10,2,FALSE)</f>
        <v>30</v>
      </c>
      <c r="C2626">
        <f t="shared" si="40"/>
        <v>32.5</v>
      </c>
      <c r="D2626" t="s">
        <v>33</v>
      </c>
      <c r="E2626">
        <v>9</v>
      </c>
      <c r="F2626">
        <v>6</v>
      </c>
      <c r="G2626">
        <v>0.36699999999999999</v>
      </c>
      <c r="H2626">
        <v>0.4178</v>
      </c>
      <c r="I2626">
        <v>78.66</v>
      </c>
    </row>
    <row r="2627" spans="1:9" x14ac:dyDescent="0.3">
      <c r="A2627">
        <f>LOOKUP(9E+307,--MID(D2627,1,{1,2,3,4,5}))</f>
        <v>2.5</v>
      </c>
      <c r="B2627">
        <f>VLOOKUP(MID(D2627,LOOKUP(2,1/ISNUMBER(-MID(D2627,1,{1,2,3,4,5})),{1,2,3,4,5})+1,9),'Hue codes'!$A$1:$B$10,2,FALSE)</f>
        <v>30</v>
      </c>
      <c r="C2627">
        <f t="shared" ref="C2627:C2690" si="41">IF(A2627+B2627=100,0,A2627+B2627)</f>
        <v>32.5</v>
      </c>
      <c r="D2627" t="s">
        <v>33</v>
      </c>
      <c r="E2627">
        <v>9</v>
      </c>
      <c r="F2627">
        <v>8</v>
      </c>
      <c r="G2627">
        <v>0.38340000000000002</v>
      </c>
      <c r="H2627">
        <v>0.44900000000000001</v>
      </c>
      <c r="I2627">
        <v>78.66</v>
      </c>
    </row>
    <row r="2628" spans="1:9" x14ac:dyDescent="0.3">
      <c r="A2628">
        <f>LOOKUP(9E+307,--MID(D2628,1,{1,2,3,4,5}))</f>
        <v>2.5</v>
      </c>
      <c r="B2628">
        <f>VLOOKUP(MID(D2628,LOOKUP(2,1/ISNUMBER(-MID(D2628,1,{1,2,3,4,5})),{1,2,3,4,5})+1,9),'Hue codes'!$A$1:$B$10,2,FALSE)</f>
        <v>30</v>
      </c>
      <c r="C2628">
        <f t="shared" si="41"/>
        <v>32.5</v>
      </c>
      <c r="D2628" t="s">
        <v>33</v>
      </c>
      <c r="E2628">
        <v>9</v>
      </c>
      <c r="F2628">
        <v>10</v>
      </c>
      <c r="G2628">
        <v>0.39729999999999999</v>
      </c>
      <c r="H2628">
        <v>0.47610000000000002</v>
      </c>
      <c r="I2628">
        <v>78.66</v>
      </c>
    </row>
    <row r="2629" spans="1:9" x14ac:dyDescent="0.3">
      <c r="A2629">
        <f>LOOKUP(9E+307,--MID(D2629,1,{1,2,3,4,5}))</f>
        <v>2.5</v>
      </c>
      <c r="B2629">
        <f>VLOOKUP(MID(D2629,LOOKUP(2,1/ISNUMBER(-MID(D2629,1,{1,2,3,4,5})),{1,2,3,4,5})+1,9),'Hue codes'!$A$1:$B$10,2,FALSE)</f>
        <v>30</v>
      </c>
      <c r="C2629">
        <f t="shared" si="41"/>
        <v>32.5</v>
      </c>
      <c r="D2629" t="s">
        <v>33</v>
      </c>
      <c r="E2629">
        <v>9</v>
      </c>
      <c r="F2629">
        <v>12</v>
      </c>
      <c r="G2629">
        <v>0.4108</v>
      </c>
      <c r="H2629">
        <v>0.50280000000000002</v>
      </c>
      <c r="I2629">
        <v>78.66</v>
      </c>
    </row>
    <row r="2630" spans="1:9" x14ac:dyDescent="0.3">
      <c r="A2630">
        <f>LOOKUP(9E+307,--MID(D2630,1,{1,2,3,4,5}))</f>
        <v>2.5</v>
      </c>
      <c r="B2630">
        <f>VLOOKUP(MID(D2630,LOOKUP(2,1/ISNUMBER(-MID(D2630,1,{1,2,3,4,5})),{1,2,3,4,5})+1,9),'Hue codes'!$A$1:$B$10,2,FALSE)</f>
        <v>30</v>
      </c>
      <c r="C2630">
        <f t="shared" si="41"/>
        <v>32.5</v>
      </c>
      <c r="D2630" t="s">
        <v>33</v>
      </c>
      <c r="E2630">
        <v>9</v>
      </c>
      <c r="F2630">
        <v>14</v>
      </c>
      <c r="G2630">
        <v>0.42120000000000002</v>
      </c>
      <c r="H2630">
        <v>0.52370000000000005</v>
      </c>
      <c r="I2630">
        <v>78.66</v>
      </c>
    </row>
    <row r="2631" spans="1:9" x14ac:dyDescent="0.3">
      <c r="A2631">
        <f>LOOKUP(9E+307,--MID(D2631,1,{1,2,3,4,5}))</f>
        <v>2.5</v>
      </c>
      <c r="B2631">
        <f>VLOOKUP(MID(D2631,LOOKUP(2,1/ISNUMBER(-MID(D2631,1,{1,2,3,4,5})),{1,2,3,4,5})+1,9),'Hue codes'!$A$1:$B$10,2,FALSE)</f>
        <v>30</v>
      </c>
      <c r="C2631">
        <f t="shared" si="41"/>
        <v>32.5</v>
      </c>
      <c r="D2631" t="s">
        <v>33</v>
      </c>
      <c r="E2631">
        <v>9</v>
      </c>
      <c r="F2631">
        <v>16</v>
      </c>
      <c r="G2631">
        <v>0.42880000000000001</v>
      </c>
      <c r="H2631">
        <v>0.5383</v>
      </c>
      <c r="I2631">
        <v>78.66</v>
      </c>
    </row>
    <row r="2632" spans="1:9" x14ac:dyDescent="0.3">
      <c r="A2632">
        <f>LOOKUP(9E+307,--MID(D2632,1,{1,2,3,4,5}))</f>
        <v>2.5</v>
      </c>
      <c r="B2632">
        <f>VLOOKUP(MID(D2632,LOOKUP(2,1/ISNUMBER(-MID(D2632,1,{1,2,3,4,5})),{1,2,3,4,5})+1,9),'Hue codes'!$A$1:$B$10,2,FALSE)</f>
        <v>30</v>
      </c>
      <c r="C2632">
        <f t="shared" si="41"/>
        <v>32.5</v>
      </c>
      <c r="D2632" t="s">
        <v>33</v>
      </c>
      <c r="E2632">
        <v>9</v>
      </c>
      <c r="F2632">
        <v>18</v>
      </c>
      <c r="G2632">
        <v>0.43540000000000001</v>
      </c>
      <c r="H2632">
        <v>0.55079999999999996</v>
      </c>
      <c r="I2632">
        <v>78.66</v>
      </c>
    </row>
    <row r="2633" spans="1:9" x14ac:dyDescent="0.3">
      <c r="A2633">
        <f>LOOKUP(9E+307,--MID(D2633,1,{1,2,3,4,5}))</f>
        <v>5</v>
      </c>
      <c r="B2633">
        <f>VLOOKUP(MID(D2633,LOOKUP(2,1/ISNUMBER(-MID(D2633,1,{1,2,3,4,5})),{1,2,3,4,5})+1,9),'Hue codes'!$A$1:$B$10,2,FALSE)</f>
        <v>30</v>
      </c>
      <c r="C2633">
        <f t="shared" si="41"/>
        <v>35</v>
      </c>
      <c r="D2633" t="s">
        <v>34</v>
      </c>
      <c r="E2633">
        <v>9</v>
      </c>
      <c r="F2633">
        <v>2</v>
      </c>
      <c r="G2633">
        <v>0.32840000000000003</v>
      </c>
      <c r="H2633">
        <v>0.35339999999999999</v>
      </c>
      <c r="I2633">
        <v>78.66</v>
      </c>
    </row>
    <row r="2634" spans="1:9" x14ac:dyDescent="0.3">
      <c r="A2634">
        <f>LOOKUP(9E+307,--MID(D2634,1,{1,2,3,4,5}))</f>
        <v>5</v>
      </c>
      <c r="B2634">
        <f>VLOOKUP(MID(D2634,LOOKUP(2,1/ISNUMBER(-MID(D2634,1,{1,2,3,4,5})),{1,2,3,4,5})+1,9),'Hue codes'!$A$1:$B$10,2,FALSE)</f>
        <v>30</v>
      </c>
      <c r="C2634">
        <f t="shared" si="41"/>
        <v>35</v>
      </c>
      <c r="D2634" t="s">
        <v>34</v>
      </c>
      <c r="E2634">
        <v>9</v>
      </c>
      <c r="F2634">
        <v>4</v>
      </c>
      <c r="G2634">
        <v>0.34370000000000001</v>
      </c>
      <c r="H2634">
        <v>0.3861</v>
      </c>
      <c r="I2634">
        <v>78.66</v>
      </c>
    </row>
    <row r="2635" spans="1:9" x14ac:dyDescent="0.3">
      <c r="A2635">
        <f>LOOKUP(9E+307,--MID(D2635,1,{1,2,3,4,5}))</f>
        <v>5</v>
      </c>
      <c r="B2635">
        <f>VLOOKUP(MID(D2635,LOOKUP(2,1/ISNUMBER(-MID(D2635,1,{1,2,3,4,5})),{1,2,3,4,5})+1,9),'Hue codes'!$A$1:$B$10,2,FALSE)</f>
        <v>30</v>
      </c>
      <c r="C2635">
        <f t="shared" si="41"/>
        <v>35</v>
      </c>
      <c r="D2635" t="s">
        <v>34</v>
      </c>
      <c r="E2635">
        <v>9</v>
      </c>
      <c r="F2635">
        <v>6</v>
      </c>
      <c r="G2635">
        <v>0.35720000000000002</v>
      </c>
      <c r="H2635">
        <v>0.41789999999999999</v>
      </c>
      <c r="I2635">
        <v>78.66</v>
      </c>
    </row>
    <row r="2636" spans="1:9" x14ac:dyDescent="0.3">
      <c r="A2636">
        <f>LOOKUP(9E+307,--MID(D2636,1,{1,2,3,4,5}))</f>
        <v>5</v>
      </c>
      <c r="B2636">
        <f>VLOOKUP(MID(D2636,LOOKUP(2,1/ISNUMBER(-MID(D2636,1,{1,2,3,4,5})),{1,2,3,4,5})+1,9),'Hue codes'!$A$1:$B$10,2,FALSE)</f>
        <v>30</v>
      </c>
      <c r="C2636">
        <f t="shared" si="41"/>
        <v>35</v>
      </c>
      <c r="D2636" t="s">
        <v>34</v>
      </c>
      <c r="E2636">
        <v>9</v>
      </c>
      <c r="F2636">
        <v>8</v>
      </c>
      <c r="G2636">
        <v>0.36980000000000002</v>
      </c>
      <c r="H2636">
        <v>0.44969999999999999</v>
      </c>
      <c r="I2636">
        <v>78.66</v>
      </c>
    </row>
    <row r="2637" spans="1:9" x14ac:dyDescent="0.3">
      <c r="A2637">
        <f>LOOKUP(9E+307,--MID(D2637,1,{1,2,3,4,5}))</f>
        <v>5</v>
      </c>
      <c r="B2637">
        <f>VLOOKUP(MID(D2637,LOOKUP(2,1/ISNUMBER(-MID(D2637,1,{1,2,3,4,5})),{1,2,3,4,5})+1,9),'Hue codes'!$A$1:$B$10,2,FALSE)</f>
        <v>30</v>
      </c>
      <c r="C2637">
        <f t="shared" si="41"/>
        <v>35</v>
      </c>
      <c r="D2637" t="s">
        <v>34</v>
      </c>
      <c r="E2637">
        <v>9</v>
      </c>
      <c r="F2637">
        <v>10</v>
      </c>
      <c r="G2637">
        <v>0.38100000000000001</v>
      </c>
      <c r="H2637">
        <v>0.47910000000000003</v>
      </c>
      <c r="I2637">
        <v>78.66</v>
      </c>
    </row>
    <row r="2638" spans="1:9" x14ac:dyDescent="0.3">
      <c r="A2638">
        <f>LOOKUP(9E+307,--MID(D2638,1,{1,2,3,4,5}))</f>
        <v>5</v>
      </c>
      <c r="B2638">
        <f>VLOOKUP(MID(D2638,LOOKUP(2,1/ISNUMBER(-MID(D2638,1,{1,2,3,4,5})),{1,2,3,4,5})+1,9),'Hue codes'!$A$1:$B$10,2,FALSE)</f>
        <v>30</v>
      </c>
      <c r="C2638">
        <f t="shared" si="41"/>
        <v>35</v>
      </c>
      <c r="D2638" t="s">
        <v>34</v>
      </c>
      <c r="E2638">
        <v>9</v>
      </c>
      <c r="F2638">
        <v>12</v>
      </c>
      <c r="G2638">
        <v>0.3911</v>
      </c>
      <c r="H2638">
        <v>0.50819999999999999</v>
      </c>
      <c r="I2638">
        <v>78.66</v>
      </c>
    </row>
    <row r="2639" spans="1:9" x14ac:dyDescent="0.3">
      <c r="A2639">
        <f>LOOKUP(9E+307,--MID(D2639,1,{1,2,3,4,5}))</f>
        <v>5</v>
      </c>
      <c r="B2639">
        <f>VLOOKUP(MID(D2639,LOOKUP(2,1/ISNUMBER(-MID(D2639,1,{1,2,3,4,5})),{1,2,3,4,5})+1,9),'Hue codes'!$A$1:$B$10,2,FALSE)</f>
        <v>30</v>
      </c>
      <c r="C2639">
        <f t="shared" si="41"/>
        <v>35</v>
      </c>
      <c r="D2639" t="s">
        <v>34</v>
      </c>
      <c r="E2639">
        <v>9</v>
      </c>
      <c r="F2639">
        <v>14</v>
      </c>
      <c r="G2639">
        <v>0.39929999999999999</v>
      </c>
      <c r="H2639">
        <v>0.53290000000000004</v>
      </c>
      <c r="I2639">
        <v>78.66</v>
      </c>
    </row>
    <row r="2640" spans="1:9" x14ac:dyDescent="0.3">
      <c r="A2640">
        <f>LOOKUP(9E+307,--MID(D2640,1,{1,2,3,4,5}))</f>
        <v>5</v>
      </c>
      <c r="B2640">
        <f>VLOOKUP(MID(D2640,LOOKUP(2,1/ISNUMBER(-MID(D2640,1,{1,2,3,4,5})),{1,2,3,4,5})+1,9),'Hue codes'!$A$1:$B$10,2,FALSE)</f>
        <v>30</v>
      </c>
      <c r="C2640">
        <f t="shared" si="41"/>
        <v>35</v>
      </c>
      <c r="D2640" t="s">
        <v>34</v>
      </c>
      <c r="E2640">
        <v>9</v>
      </c>
      <c r="F2640">
        <v>16</v>
      </c>
      <c r="G2640">
        <v>0.40579999999999999</v>
      </c>
      <c r="H2640">
        <v>0.55410000000000004</v>
      </c>
      <c r="I2640">
        <v>78.66</v>
      </c>
    </row>
    <row r="2641" spans="1:9" x14ac:dyDescent="0.3">
      <c r="A2641">
        <f>LOOKUP(9E+307,--MID(D2641,1,{1,2,3,4,5}))</f>
        <v>5</v>
      </c>
      <c r="B2641">
        <f>VLOOKUP(MID(D2641,LOOKUP(2,1/ISNUMBER(-MID(D2641,1,{1,2,3,4,5})),{1,2,3,4,5})+1,9),'Hue codes'!$A$1:$B$10,2,FALSE)</f>
        <v>30</v>
      </c>
      <c r="C2641">
        <f t="shared" si="41"/>
        <v>35</v>
      </c>
      <c r="D2641" t="s">
        <v>34</v>
      </c>
      <c r="E2641">
        <v>9</v>
      </c>
      <c r="F2641">
        <v>18</v>
      </c>
      <c r="G2641">
        <v>0.4108</v>
      </c>
      <c r="H2641">
        <v>0.56989999999999996</v>
      </c>
      <c r="I2641">
        <v>78.66</v>
      </c>
    </row>
    <row r="2642" spans="1:9" x14ac:dyDescent="0.3">
      <c r="A2642">
        <f>LOOKUP(9E+307,--MID(D2642,1,{1,2,3,4,5}))</f>
        <v>7.5</v>
      </c>
      <c r="B2642">
        <f>VLOOKUP(MID(D2642,LOOKUP(2,1/ISNUMBER(-MID(D2642,1,{1,2,3,4,5})),{1,2,3,4,5})+1,9),'Hue codes'!$A$1:$B$10,2,FALSE)</f>
        <v>30</v>
      </c>
      <c r="C2642">
        <f t="shared" si="41"/>
        <v>37.5</v>
      </c>
      <c r="D2642" t="s">
        <v>35</v>
      </c>
      <c r="E2642">
        <v>9</v>
      </c>
      <c r="F2642">
        <v>2</v>
      </c>
      <c r="G2642">
        <v>0.31979999999999997</v>
      </c>
      <c r="H2642">
        <v>0.35</v>
      </c>
      <c r="I2642">
        <v>78.66</v>
      </c>
    </row>
    <row r="2643" spans="1:9" x14ac:dyDescent="0.3">
      <c r="A2643">
        <f>LOOKUP(9E+307,--MID(D2643,1,{1,2,3,4,5}))</f>
        <v>7.5</v>
      </c>
      <c r="B2643">
        <f>VLOOKUP(MID(D2643,LOOKUP(2,1/ISNUMBER(-MID(D2643,1,{1,2,3,4,5})),{1,2,3,4,5})+1,9),'Hue codes'!$A$1:$B$10,2,FALSE)</f>
        <v>30</v>
      </c>
      <c r="C2643">
        <f t="shared" si="41"/>
        <v>37.5</v>
      </c>
      <c r="D2643" t="s">
        <v>35</v>
      </c>
      <c r="E2643">
        <v>9</v>
      </c>
      <c r="F2643">
        <v>4</v>
      </c>
      <c r="G2643">
        <v>0.32740000000000002</v>
      </c>
      <c r="H2643">
        <v>0.37930000000000003</v>
      </c>
      <c r="I2643">
        <v>78.66</v>
      </c>
    </row>
    <row r="2644" spans="1:9" x14ac:dyDescent="0.3">
      <c r="A2644">
        <f>LOOKUP(9E+307,--MID(D2644,1,{1,2,3,4,5}))</f>
        <v>7.5</v>
      </c>
      <c r="B2644">
        <f>VLOOKUP(MID(D2644,LOOKUP(2,1/ISNUMBER(-MID(D2644,1,{1,2,3,4,5})),{1,2,3,4,5})+1,9),'Hue codes'!$A$1:$B$10,2,FALSE)</f>
        <v>30</v>
      </c>
      <c r="C2644">
        <f t="shared" si="41"/>
        <v>37.5</v>
      </c>
      <c r="D2644" t="s">
        <v>35</v>
      </c>
      <c r="E2644">
        <v>9</v>
      </c>
      <c r="F2644">
        <v>6</v>
      </c>
      <c r="G2644">
        <v>0.33510000000000001</v>
      </c>
      <c r="H2644">
        <v>0.41110000000000002</v>
      </c>
      <c r="I2644">
        <v>78.66</v>
      </c>
    </row>
    <row r="2645" spans="1:9" x14ac:dyDescent="0.3">
      <c r="A2645">
        <f>LOOKUP(9E+307,--MID(D2645,1,{1,2,3,4,5}))</f>
        <v>7.5</v>
      </c>
      <c r="B2645">
        <f>VLOOKUP(MID(D2645,LOOKUP(2,1/ISNUMBER(-MID(D2645,1,{1,2,3,4,5})),{1,2,3,4,5})+1,9),'Hue codes'!$A$1:$B$10,2,FALSE)</f>
        <v>30</v>
      </c>
      <c r="C2645">
        <f t="shared" si="41"/>
        <v>37.5</v>
      </c>
      <c r="D2645" t="s">
        <v>35</v>
      </c>
      <c r="E2645">
        <v>9</v>
      </c>
      <c r="F2645">
        <v>8</v>
      </c>
      <c r="G2645">
        <v>0.34139999999999998</v>
      </c>
      <c r="H2645">
        <v>0.4415</v>
      </c>
      <c r="I2645">
        <v>78.66</v>
      </c>
    </row>
    <row r="2646" spans="1:9" x14ac:dyDescent="0.3">
      <c r="A2646">
        <f>LOOKUP(9E+307,--MID(D2646,1,{1,2,3,4,5}))</f>
        <v>7.5</v>
      </c>
      <c r="B2646">
        <f>VLOOKUP(MID(D2646,LOOKUP(2,1/ISNUMBER(-MID(D2646,1,{1,2,3,4,5})),{1,2,3,4,5})+1,9),'Hue codes'!$A$1:$B$10,2,FALSE)</f>
        <v>30</v>
      </c>
      <c r="C2646">
        <f t="shared" si="41"/>
        <v>37.5</v>
      </c>
      <c r="D2646" t="s">
        <v>35</v>
      </c>
      <c r="E2646">
        <v>9</v>
      </c>
      <c r="F2646">
        <v>10</v>
      </c>
      <c r="G2646">
        <v>0.34710000000000002</v>
      </c>
      <c r="H2646">
        <v>0.47349999999999998</v>
      </c>
      <c r="I2646">
        <v>78.66</v>
      </c>
    </row>
    <row r="2647" spans="1:9" x14ac:dyDescent="0.3">
      <c r="A2647">
        <f>LOOKUP(9E+307,--MID(D2647,1,{1,2,3,4,5}))</f>
        <v>7.5</v>
      </c>
      <c r="B2647">
        <f>VLOOKUP(MID(D2647,LOOKUP(2,1/ISNUMBER(-MID(D2647,1,{1,2,3,4,5})),{1,2,3,4,5})+1,9),'Hue codes'!$A$1:$B$10,2,FALSE)</f>
        <v>30</v>
      </c>
      <c r="C2647">
        <f t="shared" si="41"/>
        <v>37.5</v>
      </c>
      <c r="D2647" t="s">
        <v>35</v>
      </c>
      <c r="E2647">
        <v>9</v>
      </c>
      <c r="F2647">
        <v>12</v>
      </c>
      <c r="G2647">
        <v>0.3518</v>
      </c>
      <c r="H2647">
        <v>0.50419999999999998</v>
      </c>
      <c r="I2647">
        <v>78.66</v>
      </c>
    </row>
    <row r="2648" spans="1:9" x14ac:dyDescent="0.3">
      <c r="A2648">
        <f>LOOKUP(9E+307,--MID(D2648,1,{1,2,3,4,5}))</f>
        <v>7.5</v>
      </c>
      <c r="B2648">
        <f>VLOOKUP(MID(D2648,LOOKUP(2,1/ISNUMBER(-MID(D2648,1,{1,2,3,4,5})),{1,2,3,4,5})+1,9),'Hue codes'!$A$1:$B$10,2,FALSE)</f>
        <v>30</v>
      </c>
      <c r="C2648">
        <f t="shared" si="41"/>
        <v>37.5</v>
      </c>
      <c r="D2648" t="s">
        <v>35</v>
      </c>
      <c r="E2648">
        <v>9</v>
      </c>
      <c r="F2648">
        <v>14</v>
      </c>
      <c r="G2648">
        <v>0.35510000000000003</v>
      </c>
      <c r="H2648">
        <v>0.53390000000000004</v>
      </c>
      <c r="I2648">
        <v>78.66</v>
      </c>
    </row>
    <row r="2649" spans="1:9" x14ac:dyDescent="0.3">
      <c r="A2649">
        <f>LOOKUP(9E+307,--MID(D2649,1,{1,2,3,4,5}))</f>
        <v>7.5</v>
      </c>
      <c r="B2649">
        <f>VLOOKUP(MID(D2649,LOOKUP(2,1/ISNUMBER(-MID(D2649,1,{1,2,3,4,5})),{1,2,3,4,5})+1,9),'Hue codes'!$A$1:$B$10,2,FALSE)</f>
        <v>30</v>
      </c>
      <c r="C2649">
        <f t="shared" si="41"/>
        <v>37.5</v>
      </c>
      <c r="D2649" t="s">
        <v>35</v>
      </c>
      <c r="E2649">
        <v>9</v>
      </c>
      <c r="F2649">
        <v>16</v>
      </c>
      <c r="G2649">
        <v>0.35809999999999997</v>
      </c>
      <c r="H2649">
        <v>0.56540000000000001</v>
      </c>
      <c r="I2649">
        <v>78.66</v>
      </c>
    </row>
    <row r="2650" spans="1:9" x14ac:dyDescent="0.3">
      <c r="A2650">
        <f>LOOKUP(9E+307,--MID(D2650,1,{1,2,3,4,5}))</f>
        <v>7.5</v>
      </c>
      <c r="B2650">
        <f>VLOOKUP(MID(D2650,LOOKUP(2,1/ISNUMBER(-MID(D2650,1,{1,2,3,4,5})),{1,2,3,4,5})+1,9),'Hue codes'!$A$1:$B$10,2,FALSE)</f>
        <v>30</v>
      </c>
      <c r="C2650">
        <f t="shared" si="41"/>
        <v>37.5</v>
      </c>
      <c r="D2650" t="s">
        <v>35</v>
      </c>
      <c r="E2650">
        <v>9</v>
      </c>
      <c r="F2650">
        <v>18</v>
      </c>
      <c r="G2650">
        <v>0.36020000000000002</v>
      </c>
      <c r="H2650">
        <v>0.59199999999999997</v>
      </c>
      <c r="I2650">
        <v>78.66</v>
      </c>
    </row>
    <row r="2651" spans="1:9" x14ac:dyDescent="0.3">
      <c r="A2651">
        <f>LOOKUP(9E+307,--MID(D2651,1,{1,2,3,4,5}))</f>
        <v>10</v>
      </c>
      <c r="B2651">
        <f>VLOOKUP(MID(D2651,LOOKUP(2,1/ISNUMBER(-MID(D2651,1,{1,2,3,4,5})),{1,2,3,4,5})+1,9),'Hue codes'!$A$1:$B$10,2,FALSE)</f>
        <v>30</v>
      </c>
      <c r="C2651">
        <f t="shared" si="41"/>
        <v>40</v>
      </c>
      <c r="D2651" t="s">
        <v>36</v>
      </c>
      <c r="E2651">
        <v>9</v>
      </c>
      <c r="F2651">
        <v>2</v>
      </c>
      <c r="G2651">
        <v>0.31240000000000001</v>
      </c>
      <c r="H2651">
        <v>0.34539999999999998</v>
      </c>
      <c r="I2651">
        <v>78.66</v>
      </c>
    </row>
    <row r="2652" spans="1:9" x14ac:dyDescent="0.3">
      <c r="A2652">
        <f>LOOKUP(9E+307,--MID(D2652,1,{1,2,3,4,5}))</f>
        <v>10</v>
      </c>
      <c r="B2652">
        <f>VLOOKUP(MID(D2652,LOOKUP(2,1/ISNUMBER(-MID(D2652,1,{1,2,3,4,5})),{1,2,3,4,5})+1,9),'Hue codes'!$A$1:$B$10,2,FALSE)</f>
        <v>30</v>
      </c>
      <c r="C2652">
        <f t="shared" si="41"/>
        <v>40</v>
      </c>
      <c r="D2652" t="s">
        <v>36</v>
      </c>
      <c r="E2652">
        <v>9</v>
      </c>
      <c r="F2652">
        <v>4</v>
      </c>
      <c r="G2652">
        <v>0.31440000000000001</v>
      </c>
      <c r="H2652">
        <v>0.37109999999999999</v>
      </c>
      <c r="I2652">
        <v>78.66</v>
      </c>
    </row>
    <row r="2653" spans="1:9" x14ac:dyDescent="0.3">
      <c r="A2653">
        <f>LOOKUP(9E+307,--MID(D2653,1,{1,2,3,4,5}))</f>
        <v>10</v>
      </c>
      <c r="B2653">
        <f>VLOOKUP(MID(D2653,LOOKUP(2,1/ISNUMBER(-MID(D2653,1,{1,2,3,4,5})),{1,2,3,4,5})+1,9),'Hue codes'!$A$1:$B$10,2,FALSE)</f>
        <v>30</v>
      </c>
      <c r="C2653">
        <f t="shared" si="41"/>
        <v>40</v>
      </c>
      <c r="D2653" t="s">
        <v>36</v>
      </c>
      <c r="E2653">
        <v>9</v>
      </c>
      <c r="F2653">
        <v>6</v>
      </c>
      <c r="G2653">
        <v>0.31530000000000002</v>
      </c>
      <c r="H2653">
        <v>0.40079999999999999</v>
      </c>
      <c r="I2653">
        <v>78.66</v>
      </c>
    </row>
    <row r="2654" spans="1:9" x14ac:dyDescent="0.3">
      <c r="A2654">
        <f>LOOKUP(9E+307,--MID(D2654,1,{1,2,3,4,5}))</f>
        <v>10</v>
      </c>
      <c r="B2654">
        <f>VLOOKUP(MID(D2654,LOOKUP(2,1/ISNUMBER(-MID(D2654,1,{1,2,3,4,5})),{1,2,3,4,5})+1,9),'Hue codes'!$A$1:$B$10,2,FALSE)</f>
        <v>30</v>
      </c>
      <c r="C2654">
        <f t="shared" si="41"/>
        <v>40</v>
      </c>
      <c r="D2654" t="s">
        <v>36</v>
      </c>
      <c r="E2654">
        <v>9</v>
      </c>
      <c r="F2654">
        <v>8</v>
      </c>
      <c r="G2654">
        <v>0.31569999999999998</v>
      </c>
      <c r="H2654">
        <v>0.4259</v>
      </c>
      <c r="I2654">
        <v>78.66</v>
      </c>
    </row>
    <row r="2655" spans="1:9" x14ac:dyDescent="0.3">
      <c r="A2655">
        <f>LOOKUP(9E+307,--MID(D2655,1,{1,2,3,4,5}))</f>
        <v>10</v>
      </c>
      <c r="B2655">
        <f>VLOOKUP(MID(D2655,LOOKUP(2,1/ISNUMBER(-MID(D2655,1,{1,2,3,4,5})),{1,2,3,4,5})+1,9),'Hue codes'!$A$1:$B$10,2,FALSE)</f>
        <v>30</v>
      </c>
      <c r="C2655">
        <f t="shared" si="41"/>
        <v>40</v>
      </c>
      <c r="D2655" t="s">
        <v>36</v>
      </c>
      <c r="E2655">
        <v>9</v>
      </c>
      <c r="F2655">
        <v>10</v>
      </c>
      <c r="G2655">
        <v>0.3155</v>
      </c>
      <c r="H2655">
        <v>0.45579999999999998</v>
      </c>
      <c r="I2655">
        <v>78.66</v>
      </c>
    </row>
    <row r="2656" spans="1:9" x14ac:dyDescent="0.3">
      <c r="A2656">
        <f>LOOKUP(9E+307,--MID(D2656,1,{1,2,3,4,5}))</f>
        <v>10</v>
      </c>
      <c r="B2656">
        <f>VLOOKUP(MID(D2656,LOOKUP(2,1/ISNUMBER(-MID(D2656,1,{1,2,3,4,5})),{1,2,3,4,5})+1,9),'Hue codes'!$A$1:$B$10,2,FALSE)</f>
        <v>30</v>
      </c>
      <c r="C2656">
        <f t="shared" si="41"/>
        <v>40</v>
      </c>
      <c r="D2656" t="s">
        <v>36</v>
      </c>
      <c r="E2656">
        <v>9</v>
      </c>
      <c r="F2656">
        <v>12</v>
      </c>
      <c r="G2656">
        <v>0.31390000000000001</v>
      </c>
      <c r="H2656">
        <v>0.4829</v>
      </c>
      <c r="I2656">
        <v>78.66</v>
      </c>
    </row>
    <row r="2657" spans="1:9" x14ac:dyDescent="0.3">
      <c r="A2657">
        <f>LOOKUP(9E+307,--MID(D2657,1,{1,2,3,4,5}))</f>
        <v>10</v>
      </c>
      <c r="B2657">
        <f>VLOOKUP(MID(D2657,LOOKUP(2,1/ISNUMBER(-MID(D2657,1,{1,2,3,4,5})),{1,2,3,4,5})+1,9),'Hue codes'!$A$1:$B$10,2,FALSE)</f>
        <v>30</v>
      </c>
      <c r="C2657">
        <f t="shared" si="41"/>
        <v>40</v>
      </c>
      <c r="D2657" t="s">
        <v>36</v>
      </c>
      <c r="E2657">
        <v>9</v>
      </c>
      <c r="F2657">
        <v>14</v>
      </c>
      <c r="G2657">
        <v>0.3115</v>
      </c>
      <c r="H2657">
        <v>0.51290000000000002</v>
      </c>
      <c r="I2657">
        <v>78.66</v>
      </c>
    </row>
    <row r="2658" spans="1:9" x14ac:dyDescent="0.3">
      <c r="A2658">
        <f>LOOKUP(9E+307,--MID(D2658,1,{1,2,3,4,5}))</f>
        <v>10</v>
      </c>
      <c r="B2658">
        <f>VLOOKUP(MID(D2658,LOOKUP(2,1/ISNUMBER(-MID(D2658,1,{1,2,3,4,5})),{1,2,3,4,5})+1,9),'Hue codes'!$A$1:$B$10,2,FALSE)</f>
        <v>30</v>
      </c>
      <c r="C2658">
        <f t="shared" si="41"/>
        <v>40</v>
      </c>
      <c r="D2658" t="s">
        <v>36</v>
      </c>
      <c r="E2658">
        <v>9</v>
      </c>
      <c r="F2658">
        <v>16</v>
      </c>
      <c r="G2658">
        <v>0.30790000000000001</v>
      </c>
      <c r="H2658">
        <v>0.54400000000000004</v>
      </c>
      <c r="I2658">
        <v>78.66</v>
      </c>
    </row>
    <row r="2659" spans="1:9" x14ac:dyDescent="0.3">
      <c r="A2659">
        <f>LOOKUP(9E+307,--MID(D2659,1,{1,2,3,4,5}))</f>
        <v>10</v>
      </c>
      <c r="B2659">
        <f>VLOOKUP(MID(D2659,LOOKUP(2,1/ISNUMBER(-MID(D2659,1,{1,2,3,4,5})),{1,2,3,4,5})+1,9),'Hue codes'!$A$1:$B$10,2,FALSE)</f>
        <v>30</v>
      </c>
      <c r="C2659">
        <f t="shared" si="41"/>
        <v>40</v>
      </c>
      <c r="D2659" t="s">
        <v>36</v>
      </c>
      <c r="E2659">
        <v>9</v>
      </c>
      <c r="F2659">
        <v>18</v>
      </c>
      <c r="G2659">
        <v>0.30320000000000003</v>
      </c>
      <c r="H2659">
        <v>0.57479999999999998</v>
      </c>
      <c r="I2659">
        <v>78.66</v>
      </c>
    </row>
    <row r="2660" spans="1:9" x14ac:dyDescent="0.3">
      <c r="A2660">
        <f>LOOKUP(9E+307,--MID(D2660,1,{1,2,3,4,5}))</f>
        <v>2.5</v>
      </c>
      <c r="B2660">
        <f>VLOOKUP(MID(D2660,LOOKUP(2,1/ISNUMBER(-MID(D2660,1,{1,2,3,4,5})),{1,2,3,4,5})+1,9),'Hue codes'!$A$1:$B$10,2,FALSE)</f>
        <v>40</v>
      </c>
      <c r="C2660">
        <f t="shared" si="41"/>
        <v>42.5</v>
      </c>
      <c r="D2660" t="s">
        <v>37</v>
      </c>
      <c r="E2660">
        <v>9</v>
      </c>
      <c r="F2660">
        <v>2</v>
      </c>
      <c r="G2660">
        <v>0.30580000000000002</v>
      </c>
      <c r="H2660">
        <v>0.34</v>
      </c>
      <c r="I2660">
        <v>78.66</v>
      </c>
    </row>
    <row r="2661" spans="1:9" x14ac:dyDescent="0.3">
      <c r="A2661">
        <f>LOOKUP(9E+307,--MID(D2661,1,{1,2,3,4,5}))</f>
        <v>2.5</v>
      </c>
      <c r="B2661">
        <f>VLOOKUP(MID(D2661,LOOKUP(2,1/ISNUMBER(-MID(D2661,1,{1,2,3,4,5})),{1,2,3,4,5})+1,9),'Hue codes'!$A$1:$B$10,2,FALSE)</f>
        <v>40</v>
      </c>
      <c r="C2661">
        <f t="shared" si="41"/>
        <v>42.5</v>
      </c>
      <c r="D2661" t="s">
        <v>37</v>
      </c>
      <c r="E2661">
        <v>9</v>
      </c>
      <c r="F2661">
        <v>4</v>
      </c>
      <c r="G2661">
        <v>0.30180000000000001</v>
      </c>
      <c r="H2661">
        <v>0.36059999999999998</v>
      </c>
      <c r="I2661">
        <v>78.66</v>
      </c>
    </row>
    <row r="2662" spans="1:9" x14ac:dyDescent="0.3">
      <c r="A2662">
        <f>LOOKUP(9E+307,--MID(D2662,1,{1,2,3,4,5}))</f>
        <v>2.5</v>
      </c>
      <c r="B2662">
        <f>VLOOKUP(MID(D2662,LOOKUP(2,1/ISNUMBER(-MID(D2662,1,{1,2,3,4,5})),{1,2,3,4,5})+1,9),'Hue codes'!$A$1:$B$10,2,FALSE)</f>
        <v>40</v>
      </c>
      <c r="C2662">
        <f t="shared" si="41"/>
        <v>42.5</v>
      </c>
      <c r="D2662" t="s">
        <v>37</v>
      </c>
      <c r="E2662">
        <v>9</v>
      </c>
      <c r="F2662">
        <v>6</v>
      </c>
      <c r="G2662">
        <v>0.29659999999999997</v>
      </c>
      <c r="H2662">
        <v>0.3846</v>
      </c>
      <c r="I2662">
        <v>78.66</v>
      </c>
    </row>
    <row r="2663" spans="1:9" x14ac:dyDescent="0.3">
      <c r="A2663">
        <f>LOOKUP(9E+307,--MID(D2663,1,{1,2,3,4,5}))</f>
        <v>2.5</v>
      </c>
      <c r="B2663">
        <f>VLOOKUP(MID(D2663,LOOKUP(2,1/ISNUMBER(-MID(D2663,1,{1,2,3,4,5})),{1,2,3,4,5})+1,9),'Hue codes'!$A$1:$B$10,2,FALSE)</f>
        <v>40</v>
      </c>
      <c r="C2663">
        <f t="shared" si="41"/>
        <v>42.5</v>
      </c>
      <c r="D2663" t="s">
        <v>37</v>
      </c>
      <c r="E2663">
        <v>9</v>
      </c>
      <c r="F2663">
        <v>8</v>
      </c>
      <c r="G2663">
        <v>0.29120000000000001</v>
      </c>
      <c r="H2663">
        <v>0.40539999999999998</v>
      </c>
      <c r="I2663">
        <v>78.66</v>
      </c>
    </row>
    <row r="2664" spans="1:9" x14ac:dyDescent="0.3">
      <c r="A2664">
        <f>LOOKUP(9E+307,--MID(D2664,1,{1,2,3,4,5}))</f>
        <v>2.5</v>
      </c>
      <c r="B2664">
        <f>VLOOKUP(MID(D2664,LOOKUP(2,1/ISNUMBER(-MID(D2664,1,{1,2,3,4,5})),{1,2,3,4,5})+1,9),'Hue codes'!$A$1:$B$10,2,FALSE)</f>
        <v>40</v>
      </c>
      <c r="C2664">
        <f t="shared" si="41"/>
        <v>42.5</v>
      </c>
      <c r="D2664" t="s">
        <v>37</v>
      </c>
      <c r="E2664">
        <v>9</v>
      </c>
      <c r="F2664">
        <v>10</v>
      </c>
      <c r="G2664">
        <v>0.28510000000000002</v>
      </c>
      <c r="H2664">
        <v>0.42749999999999999</v>
      </c>
      <c r="I2664">
        <v>78.66</v>
      </c>
    </row>
    <row r="2665" spans="1:9" x14ac:dyDescent="0.3">
      <c r="A2665">
        <f>LOOKUP(9E+307,--MID(D2665,1,{1,2,3,4,5}))</f>
        <v>2.5</v>
      </c>
      <c r="B2665">
        <f>VLOOKUP(MID(D2665,LOOKUP(2,1/ISNUMBER(-MID(D2665,1,{1,2,3,4,5})),{1,2,3,4,5})+1,9),'Hue codes'!$A$1:$B$10,2,FALSE)</f>
        <v>40</v>
      </c>
      <c r="C2665">
        <f t="shared" si="41"/>
        <v>42.5</v>
      </c>
      <c r="D2665" t="s">
        <v>37</v>
      </c>
      <c r="E2665">
        <v>9</v>
      </c>
      <c r="F2665">
        <v>12</v>
      </c>
      <c r="G2665">
        <v>0.27860000000000001</v>
      </c>
      <c r="H2665">
        <v>0.4491</v>
      </c>
      <c r="I2665">
        <v>78.66</v>
      </c>
    </row>
    <row r="2666" spans="1:9" x14ac:dyDescent="0.3">
      <c r="A2666">
        <f>LOOKUP(9E+307,--MID(D2666,1,{1,2,3,4,5}))</f>
        <v>2.5</v>
      </c>
      <c r="B2666">
        <f>VLOOKUP(MID(D2666,LOOKUP(2,1/ISNUMBER(-MID(D2666,1,{1,2,3,4,5})),{1,2,3,4,5})+1,9),'Hue codes'!$A$1:$B$10,2,FALSE)</f>
        <v>40</v>
      </c>
      <c r="C2666">
        <f t="shared" si="41"/>
        <v>42.5</v>
      </c>
      <c r="D2666" t="s">
        <v>37</v>
      </c>
      <c r="E2666">
        <v>9</v>
      </c>
      <c r="F2666">
        <v>14</v>
      </c>
      <c r="G2666">
        <v>0.27110000000000001</v>
      </c>
      <c r="H2666">
        <v>0.47260000000000002</v>
      </c>
      <c r="I2666">
        <v>78.66</v>
      </c>
    </row>
    <row r="2667" spans="1:9" x14ac:dyDescent="0.3">
      <c r="A2667">
        <f>LOOKUP(9E+307,--MID(D2667,1,{1,2,3,4,5}))</f>
        <v>2.5</v>
      </c>
      <c r="B2667">
        <f>VLOOKUP(MID(D2667,LOOKUP(2,1/ISNUMBER(-MID(D2667,1,{1,2,3,4,5})),{1,2,3,4,5})+1,9),'Hue codes'!$A$1:$B$10,2,FALSE)</f>
        <v>40</v>
      </c>
      <c r="C2667">
        <f t="shared" si="41"/>
        <v>42.5</v>
      </c>
      <c r="D2667" t="s">
        <v>37</v>
      </c>
      <c r="E2667">
        <v>9</v>
      </c>
      <c r="F2667">
        <v>16</v>
      </c>
      <c r="G2667">
        <v>0.26300000000000001</v>
      </c>
      <c r="H2667">
        <v>0.49659999999999999</v>
      </c>
      <c r="I2667">
        <v>78.66</v>
      </c>
    </row>
    <row r="2668" spans="1:9" x14ac:dyDescent="0.3">
      <c r="A2668">
        <f>LOOKUP(9E+307,--MID(D2668,1,{1,2,3,4,5}))</f>
        <v>5</v>
      </c>
      <c r="B2668">
        <f>VLOOKUP(MID(D2668,LOOKUP(2,1/ISNUMBER(-MID(D2668,1,{1,2,3,4,5})),{1,2,3,4,5})+1,9),'Hue codes'!$A$1:$B$10,2,FALSE)</f>
        <v>40</v>
      </c>
      <c r="C2668">
        <f t="shared" si="41"/>
        <v>45</v>
      </c>
      <c r="D2668" t="s">
        <v>38</v>
      </c>
      <c r="E2668">
        <v>9</v>
      </c>
      <c r="F2668">
        <v>2</v>
      </c>
      <c r="G2668">
        <v>0.30170000000000002</v>
      </c>
      <c r="H2668">
        <v>0.3357</v>
      </c>
      <c r="I2668">
        <v>78.66</v>
      </c>
    </row>
    <row r="2669" spans="1:9" x14ac:dyDescent="0.3">
      <c r="A2669">
        <f>LOOKUP(9E+307,--MID(D2669,1,{1,2,3,4,5}))</f>
        <v>5</v>
      </c>
      <c r="B2669">
        <f>VLOOKUP(MID(D2669,LOOKUP(2,1/ISNUMBER(-MID(D2669,1,{1,2,3,4,5})),{1,2,3,4,5})+1,9),'Hue codes'!$A$1:$B$10,2,FALSE)</f>
        <v>40</v>
      </c>
      <c r="C2669">
        <f t="shared" si="41"/>
        <v>45</v>
      </c>
      <c r="D2669" t="s">
        <v>38</v>
      </c>
      <c r="E2669">
        <v>9</v>
      </c>
      <c r="F2669">
        <v>4</v>
      </c>
      <c r="G2669">
        <v>0.29330000000000001</v>
      </c>
      <c r="H2669">
        <v>0.35189999999999999</v>
      </c>
      <c r="I2669">
        <v>78.66</v>
      </c>
    </row>
    <row r="2670" spans="1:9" x14ac:dyDescent="0.3">
      <c r="A2670">
        <f>LOOKUP(9E+307,--MID(D2670,1,{1,2,3,4,5}))</f>
        <v>5</v>
      </c>
      <c r="B2670">
        <f>VLOOKUP(MID(D2670,LOOKUP(2,1/ISNUMBER(-MID(D2670,1,{1,2,3,4,5})),{1,2,3,4,5})+1,9),'Hue codes'!$A$1:$B$10,2,FALSE)</f>
        <v>40</v>
      </c>
      <c r="C2670">
        <f t="shared" si="41"/>
        <v>45</v>
      </c>
      <c r="D2670" t="s">
        <v>38</v>
      </c>
      <c r="E2670">
        <v>9</v>
      </c>
      <c r="F2670">
        <v>6</v>
      </c>
      <c r="G2670">
        <v>0.28320000000000001</v>
      </c>
      <c r="H2670">
        <v>0.36969999999999997</v>
      </c>
      <c r="I2670">
        <v>78.66</v>
      </c>
    </row>
    <row r="2671" spans="1:9" x14ac:dyDescent="0.3">
      <c r="A2671">
        <f>LOOKUP(9E+307,--MID(D2671,1,{1,2,3,4,5}))</f>
        <v>5</v>
      </c>
      <c r="B2671">
        <f>VLOOKUP(MID(D2671,LOOKUP(2,1/ISNUMBER(-MID(D2671,1,{1,2,3,4,5})),{1,2,3,4,5})+1,9),'Hue codes'!$A$1:$B$10,2,FALSE)</f>
        <v>40</v>
      </c>
      <c r="C2671">
        <f t="shared" si="41"/>
        <v>45</v>
      </c>
      <c r="D2671" t="s">
        <v>38</v>
      </c>
      <c r="E2671">
        <v>9</v>
      </c>
      <c r="F2671">
        <v>8</v>
      </c>
      <c r="G2671">
        <v>0.27350000000000002</v>
      </c>
      <c r="H2671">
        <v>0.38540000000000002</v>
      </c>
      <c r="I2671">
        <v>78.66</v>
      </c>
    </row>
    <row r="2672" spans="1:9" x14ac:dyDescent="0.3">
      <c r="A2672">
        <f>LOOKUP(9E+307,--MID(D2672,1,{1,2,3,4,5}))</f>
        <v>5</v>
      </c>
      <c r="B2672">
        <f>VLOOKUP(MID(D2672,LOOKUP(2,1/ISNUMBER(-MID(D2672,1,{1,2,3,4,5})),{1,2,3,4,5})+1,9),'Hue codes'!$A$1:$B$10,2,FALSE)</f>
        <v>40</v>
      </c>
      <c r="C2672">
        <f t="shared" si="41"/>
        <v>45</v>
      </c>
      <c r="D2672" t="s">
        <v>38</v>
      </c>
      <c r="E2672">
        <v>9</v>
      </c>
      <c r="F2672">
        <v>10</v>
      </c>
      <c r="G2672">
        <v>0.26390000000000002</v>
      </c>
      <c r="H2672">
        <v>0.40010000000000001</v>
      </c>
      <c r="I2672">
        <v>78.66</v>
      </c>
    </row>
    <row r="2673" spans="1:9" x14ac:dyDescent="0.3">
      <c r="A2673">
        <f>LOOKUP(9E+307,--MID(D2673,1,{1,2,3,4,5}))</f>
        <v>5</v>
      </c>
      <c r="B2673">
        <f>VLOOKUP(MID(D2673,LOOKUP(2,1/ISNUMBER(-MID(D2673,1,{1,2,3,4,5})),{1,2,3,4,5})+1,9),'Hue codes'!$A$1:$B$10,2,FALSE)</f>
        <v>40</v>
      </c>
      <c r="C2673">
        <f t="shared" si="41"/>
        <v>45</v>
      </c>
      <c r="D2673" t="s">
        <v>38</v>
      </c>
      <c r="E2673">
        <v>9</v>
      </c>
      <c r="F2673">
        <v>12</v>
      </c>
      <c r="G2673">
        <v>0.25280000000000002</v>
      </c>
      <c r="H2673">
        <v>0.41599999999999998</v>
      </c>
      <c r="I2673">
        <v>78.66</v>
      </c>
    </row>
    <row r="2674" spans="1:9" x14ac:dyDescent="0.3">
      <c r="A2674">
        <f>LOOKUP(9E+307,--MID(D2674,1,{1,2,3,4,5}))</f>
        <v>7.5</v>
      </c>
      <c r="B2674">
        <f>VLOOKUP(MID(D2674,LOOKUP(2,1/ISNUMBER(-MID(D2674,1,{1,2,3,4,5})),{1,2,3,4,5})+1,9),'Hue codes'!$A$1:$B$10,2,FALSE)</f>
        <v>40</v>
      </c>
      <c r="C2674">
        <f t="shared" si="41"/>
        <v>47.5</v>
      </c>
      <c r="D2674" t="s">
        <v>39</v>
      </c>
      <c r="E2674">
        <v>9</v>
      </c>
      <c r="F2674">
        <v>2</v>
      </c>
      <c r="G2674">
        <v>0.29870000000000002</v>
      </c>
      <c r="H2674">
        <v>0.33229999999999998</v>
      </c>
      <c r="I2674">
        <v>78.66</v>
      </c>
    </row>
    <row r="2675" spans="1:9" x14ac:dyDescent="0.3">
      <c r="A2675">
        <f>LOOKUP(9E+307,--MID(D2675,1,{1,2,3,4,5}))</f>
        <v>7.5</v>
      </c>
      <c r="B2675">
        <f>VLOOKUP(MID(D2675,LOOKUP(2,1/ISNUMBER(-MID(D2675,1,{1,2,3,4,5})),{1,2,3,4,5})+1,9),'Hue codes'!$A$1:$B$10,2,FALSE)</f>
        <v>40</v>
      </c>
      <c r="C2675">
        <f t="shared" si="41"/>
        <v>47.5</v>
      </c>
      <c r="D2675" t="s">
        <v>39</v>
      </c>
      <c r="E2675">
        <v>9</v>
      </c>
      <c r="F2675">
        <v>4</v>
      </c>
      <c r="G2675">
        <v>0.28820000000000001</v>
      </c>
      <c r="H2675">
        <v>0.34610000000000002</v>
      </c>
      <c r="I2675">
        <v>78.66</v>
      </c>
    </row>
    <row r="2676" spans="1:9" x14ac:dyDescent="0.3">
      <c r="A2676">
        <f>LOOKUP(9E+307,--MID(D2676,1,{1,2,3,4,5}))</f>
        <v>7.5</v>
      </c>
      <c r="B2676">
        <f>VLOOKUP(MID(D2676,LOOKUP(2,1/ISNUMBER(-MID(D2676,1,{1,2,3,4,5})),{1,2,3,4,5})+1,9),'Hue codes'!$A$1:$B$10,2,FALSE)</f>
        <v>40</v>
      </c>
      <c r="C2676">
        <f t="shared" si="41"/>
        <v>47.5</v>
      </c>
      <c r="D2676" t="s">
        <v>39</v>
      </c>
      <c r="E2676">
        <v>9</v>
      </c>
      <c r="F2676">
        <v>6</v>
      </c>
      <c r="G2676">
        <v>0.27629999999999999</v>
      </c>
      <c r="H2676">
        <v>0.36070000000000002</v>
      </c>
      <c r="I2676">
        <v>78.66</v>
      </c>
    </row>
    <row r="2677" spans="1:9" x14ac:dyDescent="0.3">
      <c r="A2677">
        <f>LOOKUP(9E+307,--MID(D2677,1,{1,2,3,4,5}))</f>
        <v>7.5</v>
      </c>
      <c r="B2677">
        <f>VLOOKUP(MID(D2677,LOOKUP(2,1/ISNUMBER(-MID(D2677,1,{1,2,3,4,5})),{1,2,3,4,5})+1,9),'Hue codes'!$A$1:$B$10,2,FALSE)</f>
        <v>40</v>
      </c>
      <c r="C2677">
        <f t="shared" si="41"/>
        <v>47.5</v>
      </c>
      <c r="D2677" t="s">
        <v>39</v>
      </c>
      <c r="E2677">
        <v>9</v>
      </c>
      <c r="F2677">
        <v>8</v>
      </c>
      <c r="G2677">
        <v>0.26519999999999999</v>
      </c>
      <c r="H2677">
        <v>0.37380000000000002</v>
      </c>
      <c r="I2677">
        <v>78.66</v>
      </c>
    </row>
    <row r="2678" spans="1:9" x14ac:dyDescent="0.3">
      <c r="A2678">
        <f>LOOKUP(9E+307,--MID(D2678,1,{1,2,3,4,5}))</f>
        <v>7.5</v>
      </c>
      <c r="B2678">
        <f>VLOOKUP(MID(D2678,LOOKUP(2,1/ISNUMBER(-MID(D2678,1,{1,2,3,4,5})),{1,2,3,4,5})+1,9),'Hue codes'!$A$1:$B$10,2,FALSE)</f>
        <v>40</v>
      </c>
      <c r="C2678">
        <f t="shared" si="41"/>
        <v>47.5</v>
      </c>
      <c r="D2678" t="s">
        <v>39</v>
      </c>
      <c r="E2678">
        <v>9</v>
      </c>
      <c r="F2678">
        <v>10</v>
      </c>
      <c r="G2678">
        <v>0.2545</v>
      </c>
      <c r="H2678">
        <v>0.38550000000000001</v>
      </c>
      <c r="I2678">
        <v>78.66</v>
      </c>
    </row>
    <row r="2679" spans="1:9" x14ac:dyDescent="0.3">
      <c r="A2679">
        <f>LOOKUP(9E+307,--MID(D2679,1,{1,2,3,4,5}))</f>
        <v>7.5</v>
      </c>
      <c r="B2679">
        <f>VLOOKUP(MID(D2679,LOOKUP(2,1/ISNUMBER(-MID(D2679,1,{1,2,3,4,5})),{1,2,3,4,5})+1,9),'Hue codes'!$A$1:$B$10,2,FALSE)</f>
        <v>40</v>
      </c>
      <c r="C2679">
        <f t="shared" si="41"/>
        <v>47.5</v>
      </c>
      <c r="D2679" t="s">
        <v>39</v>
      </c>
      <c r="E2679">
        <v>9</v>
      </c>
      <c r="F2679">
        <v>12</v>
      </c>
      <c r="G2679">
        <v>0.2419</v>
      </c>
      <c r="H2679">
        <v>0.39850000000000002</v>
      </c>
      <c r="I2679">
        <v>78.66</v>
      </c>
    </row>
    <row r="2680" spans="1:9" x14ac:dyDescent="0.3">
      <c r="A2680">
        <f>LOOKUP(9E+307,--MID(D2680,1,{1,2,3,4,5}))</f>
        <v>10</v>
      </c>
      <c r="B2680">
        <f>VLOOKUP(MID(D2680,LOOKUP(2,1/ISNUMBER(-MID(D2680,1,{1,2,3,4,5})),{1,2,3,4,5})+1,9),'Hue codes'!$A$1:$B$10,2,FALSE)</f>
        <v>40</v>
      </c>
      <c r="C2680">
        <f t="shared" si="41"/>
        <v>50</v>
      </c>
      <c r="D2680" t="s">
        <v>40</v>
      </c>
      <c r="E2680">
        <v>9</v>
      </c>
      <c r="F2680">
        <v>2</v>
      </c>
      <c r="G2680">
        <v>0.29649999999999999</v>
      </c>
      <c r="H2680">
        <v>0.32929999999999998</v>
      </c>
      <c r="I2680">
        <v>78.66</v>
      </c>
    </row>
    <row r="2681" spans="1:9" x14ac:dyDescent="0.3">
      <c r="A2681">
        <f>LOOKUP(9E+307,--MID(D2681,1,{1,2,3,4,5}))</f>
        <v>10</v>
      </c>
      <c r="B2681">
        <f>VLOOKUP(MID(D2681,LOOKUP(2,1/ISNUMBER(-MID(D2681,1,{1,2,3,4,5})),{1,2,3,4,5})+1,9),'Hue codes'!$A$1:$B$10,2,FALSE)</f>
        <v>40</v>
      </c>
      <c r="C2681">
        <f t="shared" si="41"/>
        <v>50</v>
      </c>
      <c r="D2681" t="s">
        <v>40</v>
      </c>
      <c r="E2681">
        <v>9</v>
      </c>
      <c r="F2681">
        <v>4</v>
      </c>
      <c r="G2681">
        <v>0.28399999999999997</v>
      </c>
      <c r="H2681">
        <v>0.3402</v>
      </c>
      <c r="I2681">
        <v>78.66</v>
      </c>
    </row>
    <row r="2682" spans="1:9" x14ac:dyDescent="0.3">
      <c r="A2682">
        <f>LOOKUP(9E+307,--MID(D2682,1,{1,2,3,4,5}))</f>
        <v>10</v>
      </c>
      <c r="B2682">
        <f>VLOOKUP(MID(D2682,LOOKUP(2,1/ISNUMBER(-MID(D2682,1,{1,2,3,4,5})),{1,2,3,4,5})+1,9),'Hue codes'!$A$1:$B$10,2,FALSE)</f>
        <v>40</v>
      </c>
      <c r="C2682">
        <f t="shared" si="41"/>
        <v>50</v>
      </c>
      <c r="D2682" t="s">
        <v>40</v>
      </c>
      <c r="E2682">
        <v>9</v>
      </c>
      <c r="F2682">
        <v>6</v>
      </c>
      <c r="G2682">
        <v>0.27029999999999998</v>
      </c>
      <c r="H2682">
        <v>0.3513</v>
      </c>
      <c r="I2682">
        <v>78.66</v>
      </c>
    </row>
    <row r="2683" spans="1:9" x14ac:dyDescent="0.3">
      <c r="A2683">
        <f>LOOKUP(9E+307,--MID(D2683,1,{1,2,3,4,5}))</f>
        <v>10</v>
      </c>
      <c r="B2683">
        <f>VLOOKUP(MID(D2683,LOOKUP(2,1/ISNUMBER(-MID(D2683,1,{1,2,3,4,5})),{1,2,3,4,5})+1,9),'Hue codes'!$A$1:$B$10,2,FALSE)</f>
        <v>40</v>
      </c>
      <c r="C2683">
        <f t="shared" si="41"/>
        <v>50</v>
      </c>
      <c r="D2683" t="s">
        <v>40</v>
      </c>
      <c r="E2683">
        <v>9</v>
      </c>
      <c r="F2683">
        <v>8</v>
      </c>
      <c r="G2683">
        <v>0.25740000000000002</v>
      </c>
      <c r="H2683">
        <v>0.36180000000000001</v>
      </c>
      <c r="I2683">
        <v>78.66</v>
      </c>
    </row>
    <row r="2684" spans="1:9" x14ac:dyDescent="0.3">
      <c r="A2684">
        <f>LOOKUP(9E+307,--MID(D2684,1,{1,2,3,4,5}))</f>
        <v>10</v>
      </c>
      <c r="B2684">
        <f>VLOOKUP(MID(D2684,LOOKUP(2,1/ISNUMBER(-MID(D2684,1,{1,2,3,4,5})),{1,2,3,4,5})+1,9),'Hue codes'!$A$1:$B$10,2,FALSE)</f>
        <v>40</v>
      </c>
      <c r="C2684">
        <f t="shared" si="41"/>
        <v>50</v>
      </c>
      <c r="D2684" t="s">
        <v>40</v>
      </c>
      <c r="E2684">
        <v>9</v>
      </c>
      <c r="F2684">
        <v>10</v>
      </c>
      <c r="G2684">
        <v>0.2457</v>
      </c>
      <c r="H2684">
        <v>0.37019999999999997</v>
      </c>
      <c r="I2684">
        <v>78.66</v>
      </c>
    </row>
    <row r="2685" spans="1:9" x14ac:dyDescent="0.3">
      <c r="A2685">
        <f>LOOKUP(9E+307,--MID(D2685,1,{1,2,3,4,5}))</f>
        <v>10</v>
      </c>
      <c r="B2685">
        <f>VLOOKUP(MID(D2685,LOOKUP(2,1/ISNUMBER(-MID(D2685,1,{1,2,3,4,5})),{1,2,3,4,5})+1,9),'Hue codes'!$A$1:$B$10,2,FALSE)</f>
        <v>40</v>
      </c>
      <c r="C2685">
        <f t="shared" si="41"/>
        <v>50</v>
      </c>
      <c r="D2685" t="s">
        <v>40</v>
      </c>
      <c r="E2685">
        <v>9</v>
      </c>
      <c r="F2685">
        <v>12</v>
      </c>
      <c r="G2685">
        <v>0.23250000000000001</v>
      </c>
      <c r="H2685">
        <v>0.37959999999999999</v>
      </c>
      <c r="I2685">
        <v>78.66</v>
      </c>
    </row>
    <row r="2686" spans="1:9" x14ac:dyDescent="0.3">
      <c r="A2686">
        <f>LOOKUP(9E+307,--MID(D2686,1,{1,2,3,4,5}))</f>
        <v>2.5</v>
      </c>
      <c r="B2686">
        <f>VLOOKUP(MID(D2686,LOOKUP(2,1/ISNUMBER(-MID(D2686,1,{1,2,3,4,5})),{1,2,3,4,5})+1,9),'Hue codes'!$A$1:$B$10,2,FALSE)</f>
        <v>50</v>
      </c>
      <c r="C2686">
        <f t="shared" si="41"/>
        <v>52.5</v>
      </c>
      <c r="D2686" t="s">
        <v>41</v>
      </c>
      <c r="E2686">
        <v>9</v>
      </c>
      <c r="F2686">
        <v>2</v>
      </c>
      <c r="G2686">
        <v>0.29470000000000002</v>
      </c>
      <c r="H2686">
        <v>0.32669999999999999</v>
      </c>
      <c r="I2686">
        <v>78.66</v>
      </c>
    </row>
    <row r="2687" spans="1:9" x14ac:dyDescent="0.3">
      <c r="A2687">
        <f>LOOKUP(9E+307,--MID(D2687,1,{1,2,3,4,5}))</f>
        <v>2.5</v>
      </c>
      <c r="B2687">
        <f>VLOOKUP(MID(D2687,LOOKUP(2,1/ISNUMBER(-MID(D2687,1,{1,2,3,4,5})),{1,2,3,4,5})+1,9),'Hue codes'!$A$1:$B$10,2,FALSE)</f>
        <v>50</v>
      </c>
      <c r="C2687">
        <f t="shared" si="41"/>
        <v>52.5</v>
      </c>
      <c r="D2687" t="s">
        <v>41</v>
      </c>
      <c r="E2687">
        <v>9</v>
      </c>
      <c r="F2687">
        <v>4</v>
      </c>
      <c r="G2687">
        <v>0.28050000000000003</v>
      </c>
      <c r="H2687">
        <v>0.33489999999999998</v>
      </c>
      <c r="I2687">
        <v>78.66</v>
      </c>
    </row>
    <row r="2688" spans="1:9" x14ac:dyDescent="0.3">
      <c r="A2688">
        <f>LOOKUP(9E+307,--MID(D2688,1,{1,2,3,4,5}))</f>
        <v>2.5</v>
      </c>
      <c r="B2688">
        <f>VLOOKUP(MID(D2688,LOOKUP(2,1/ISNUMBER(-MID(D2688,1,{1,2,3,4,5})),{1,2,3,4,5})+1,9),'Hue codes'!$A$1:$B$10,2,FALSE)</f>
        <v>50</v>
      </c>
      <c r="C2688">
        <f t="shared" si="41"/>
        <v>52.5</v>
      </c>
      <c r="D2688" t="s">
        <v>41</v>
      </c>
      <c r="E2688">
        <v>9</v>
      </c>
      <c r="F2688">
        <v>6</v>
      </c>
      <c r="G2688">
        <v>0.26519999999999999</v>
      </c>
      <c r="H2688">
        <v>0.34329999999999999</v>
      </c>
      <c r="I2688">
        <v>78.66</v>
      </c>
    </row>
    <row r="2689" spans="1:9" x14ac:dyDescent="0.3">
      <c r="A2689">
        <f>LOOKUP(9E+307,--MID(D2689,1,{1,2,3,4,5}))</f>
        <v>2.5</v>
      </c>
      <c r="B2689">
        <f>VLOOKUP(MID(D2689,LOOKUP(2,1/ISNUMBER(-MID(D2689,1,{1,2,3,4,5})),{1,2,3,4,5})+1,9),'Hue codes'!$A$1:$B$10,2,FALSE)</f>
        <v>50</v>
      </c>
      <c r="C2689">
        <f t="shared" si="41"/>
        <v>52.5</v>
      </c>
      <c r="D2689" t="s">
        <v>41</v>
      </c>
      <c r="E2689">
        <v>9</v>
      </c>
      <c r="F2689">
        <v>8</v>
      </c>
      <c r="G2689">
        <v>0.25090000000000001</v>
      </c>
      <c r="H2689">
        <v>0.35070000000000001</v>
      </c>
      <c r="I2689">
        <v>78.66</v>
      </c>
    </row>
    <row r="2690" spans="1:9" x14ac:dyDescent="0.3">
      <c r="A2690">
        <f>LOOKUP(9E+307,--MID(D2690,1,{1,2,3,4,5}))</f>
        <v>2.5</v>
      </c>
      <c r="B2690">
        <f>VLOOKUP(MID(D2690,LOOKUP(2,1/ISNUMBER(-MID(D2690,1,{1,2,3,4,5})),{1,2,3,4,5})+1,9),'Hue codes'!$A$1:$B$10,2,FALSE)</f>
        <v>50</v>
      </c>
      <c r="C2690">
        <f t="shared" si="41"/>
        <v>52.5</v>
      </c>
      <c r="D2690" t="s">
        <v>41</v>
      </c>
      <c r="E2690">
        <v>9</v>
      </c>
      <c r="F2690">
        <v>10</v>
      </c>
      <c r="G2690">
        <v>0.2382</v>
      </c>
      <c r="H2690">
        <v>0.35680000000000001</v>
      </c>
      <c r="I2690">
        <v>78.66</v>
      </c>
    </row>
    <row r="2691" spans="1:9" x14ac:dyDescent="0.3">
      <c r="A2691">
        <f>LOOKUP(9E+307,--MID(D2691,1,{1,2,3,4,5}))</f>
        <v>5</v>
      </c>
      <c r="B2691">
        <f>VLOOKUP(MID(D2691,LOOKUP(2,1/ISNUMBER(-MID(D2691,1,{1,2,3,4,5})),{1,2,3,4,5})+1,9),'Hue codes'!$A$1:$B$10,2,FALSE)</f>
        <v>50</v>
      </c>
      <c r="C2691">
        <f t="shared" ref="C2691:C2735" si="42">IF(A2691+B2691=100,0,A2691+B2691)</f>
        <v>55</v>
      </c>
      <c r="D2691" t="s">
        <v>42</v>
      </c>
      <c r="E2691">
        <v>9</v>
      </c>
      <c r="F2691">
        <v>2</v>
      </c>
      <c r="G2691">
        <v>0.29299999999999998</v>
      </c>
      <c r="H2691">
        <v>0.32319999999999999</v>
      </c>
      <c r="I2691">
        <v>78.66</v>
      </c>
    </row>
    <row r="2692" spans="1:9" x14ac:dyDescent="0.3">
      <c r="A2692">
        <f>LOOKUP(9E+307,--MID(D2692,1,{1,2,3,4,5}))</f>
        <v>5</v>
      </c>
      <c r="B2692">
        <f>VLOOKUP(MID(D2692,LOOKUP(2,1/ISNUMBER(-MID(D2692,1,{1,2,3,4,5})),{1,2,3,4,5})+1,9),'Hue codes'!$A$1:$B$10,2,FALSE)</f>
        <v>50</v>
      </c>
      <c r="C2692">
        <f t="shared" si="42"/>
        <v>55</v>
      </c>
      <c r="D2692" t="s">
        <v>42</v>
      </c>
      <c r="E2692">
        <v>9</v>
      </c>
      <c r="F2692">
        <v>4</v>
      </c>
      <c r="G2692">
        <v>0.27679999999999999</v>
      </c>
      <c r="H2692">
        <v>0.32869999999999999</v>
      </c>
      <c r="I2692">
        <v>78.66</v>
      </c>
    </row>
    <row r="2693" spans="1:9" x14ac:dyDescent="0.3">
      <c r="A2693">
        <f>LOOKUP(9E+307,--MID(D2693,1,{1,2,3,4,5}))</f>
        <v>5</v>
      </c>
      <c r="B2693">
        <f>VLOOKUP(MID(D2693,LOOKUP(2,1/ISNUMBER(-MID(D2693,1,{1,2,3,4,5})),{1,2,3,4,5})+1,9),'Hue codes'!$A$1:$B$10,2,FALSE)</f>
        <v>50</v>
      </c>
      <c r="C2693">
        <f t="shared" si="42"/>
        <v>55</v>
      </c>
      <c r="D2693" t="s">
        <v>42</v>
      </c>
      <c r="E2693">
        <v>9</v>
      </c>
      <c r="F2693">
        <v>6</v>
      </c>
      <c r="G2693">
        <v>0.25990000000000002</v>
      </c>
      <c r="H2693">
        <v>0.33379999999999999</v>
      </c>
      <c r="I2693">
        <v>78.66</v>
      </c>
    </row>
    <row r="2694" spans="1:9" x14ac:dyDescent="0.3">
      <c r="A2694">
        <f>LOOKUP(9E+307,--MID(D2694,1,{1,2,3,4,5}))</f>
        <v>5</v>
      </c>
      <c r="B2694">
        <f>VLOOKUP(MID(D2694,LOOKUP(2,1/ISNUMBER(-MID(D2694,1,{1,2,3,4,5})),{1,2,3,4,5})+1,9),'Hue codes'!$A$1:$B$10,2,FALSE)</f>
        <v>50</v>
      </c>
      <c r="C2694">
        <f t="shared" si="42"/>
        <v>55</v>
      </c>
      <c r="D2694" t="s">
        <v>42</v>
      </c>
      <c r="E2694">
        <v>9</v>
      </c>
      <c r="F2694">
        <v>8</v>
      </c>
      <c r="G2694">
        <v>0.2437</v>
      </c>
      <c r="H2694">
        <v>0.33779999999999999</v>
      </c>
      <c r="I2694">
        <v>78.66</v>
      </c>
    </row>
    <row r="2695" spans="1:9" x14ac:dyDescent="0.3">
      <c r="A2695">
        <f>LOOKUP(9E+307,--MID(D2695,1,{1,2,3,4,5}))</f>
        <v>5</v>
      </c>
      <c r="B2695">
        <f>VLOOKUP(MID(D2695,LOOKUP(2,1/ISNUMBER(-MID(D2695,1,{1,2,3,4,5})),{1,2,3,4,5})+1,9),'Hue codes'!$A$1:$B$10,2,FALSE)</f>
        <v>50</v>
      </c>
      <c r="C2695">
        <f t="shared" si="42"/>
        <v>55</v>
      </c>
      <c r="D2695" t="s">
        <v>42</v>
      </c>
      <c r="E2695">
        <v>9</v>
      </c>
      <c r="F2695">
        <v>10</v>
      </c>
      <c r="G2695">
        <v>0.2301</v>
      </c>
      <c r="H2695">
        <v>0.34050000000000002</v>
      </c>
      <c r="I2695">
        <v>78.66</v>
      </c>
    </row>
    <row r="2696" spans="1:9" x14ac:dyDescent="0.3">
      <c r="A2696">
        <f>LOOKUP(9E+307,--MID(D2696,1,{1,2,3,4,5}))</f>
        <v>7.5</v>
      </c>
      <c r="B2696">
        <f>VLOOKUP(MID(D2696,LOOKUP(2,1/ISNUMBER(-MID(D2696,1,{1,2,3,4,5})),{1,2,3,4,5})+1,9),'Hue codes'!$A$1:$B$10,2,FALSE)</f>
        <v>50</v>
      </c>
      <c r="C2696">
        <f t="shared" si="42"/>
        <v>57.5</v>
      </c>
      <c r="D2696" t="s">
        <v>43</v>
      </c>
      <c r="E2696">
        <v>9</v>
      </c>
      <c r="F2696">
        <v>2</v>
      </c>
      <c r="G2696">
        <v>0.29110000000000003</v>
      </c>
      <c r="H2696">
        <v>0.31879999999999997</v>
      </c>
      <c r="I2696">
        <v>78.66</v>
      </c>
    </row>
    <row r="2697" spans="1:9" x14ac:dyDescent="0.3">
      <c r="A2697">
        <f>LOOKUP(9E+307,--MID(D2697,1,{1,2,3,4,5}))</f>
        <v>7.5</v>
      </c>
      <c r="B2697">
        <f>VLOOKUP(MID(D2697,LOOKUP(2,1/ISNUMBER(-MID(D2697,1,{1,2,3,4,5})),{1,2,3,4,5})+1,9),'Hue codes'!$A$1:$B$10,2,FALSE)</f>
        <v>50</v>
      </c>
      <c r="C2697">
        <f t="shared" si="42"/>
        <v>57.5</v>
      </c>
      <c r="D2697" t="s">
        <v>43</v>
      </c>
      <c r="E2697">
        <v>9</v>
      </c>
      <c r="F2697">
        <v>4</v>
      </c>
      <c r="G2697">
        <v>0.27279999999999999</v>
      </c>
      <c r="H2697">
        <v>0.32079999999999997</v>
      </c>
      <c r="I2697">
        <v>78.66</v>
      </c>
    </row>
    <row r="2698" spans="1:9" x14ac:dyDescent="0.3">
      <c r="A2698">
        <f>LOOKUP(9E+307,--MID(D2698,1,{1,2,3,4,5}))</f>
        <v>7.5</v>
      </c>
      <c r="B2698">
        <f>VLOOKUP(MID(D2698,LOOKUP(2,1/ISNUMBER(-MID(D2698,1,{1,2,3,4,5})),{1,2,3,4,5})+1,9),'Hue codes'!$A$1:$B$10,2,FALSE)</f>
        <v>50</v>
      </c>
      <c r="C2698">
        <f t="shared" si="42"/>
        <v>57.5</v>
      </c>
      <c r="D2698" t="s">
        <v>43</v>
      </c>
      <c r="E2698">
        <v>9</v>
      </c>
      <c r="F2698">
        <v>6</v>
      </c>
      <c r="G2698">
        <v>0.25430000000000003</v>
      </c>
      <c r="H2698">
        <v>0.32200000000000001</v>
      </c>
      <c r="I2698">
        <v>78.66</v>
      </c>
    </row>
    <row r="2699" spans="1:9" x14ac:dyDescent="0.3">
      <c r="A2699">
        <f>LOOKUP(9E+307,--MID(D2699,1,{1,2,3,4,5}))</f>
        <v>7.5</v>
      </c>
      <c r="B2699">
        <f>VLOOKUP(MID(D2699,LOOKUP(2,1/ISNUMBER(-MID(D2699,1,{1,2,3,4,5})),{1,2,3,4,5})+1,9),'Hue codes'!$A$1:$B$10,2,FALSE)</f>
        <v>50</v>
      </c>
      <c r="C2699">
        <f t="shared" si="42"/>
        <v>57.5</v>
      </c>
      <c r="D2699" t="s">
        <v>43</v>
      </c>
      <c r="E2699">
        <v>9</v>
      </c>
      <c r="F2699">
        <v>8</v>
      </c>
      <c r="G2699">
        <v>0.2361</v>
      </c>
      <c r="H2699">
        <v>0.32250000000000001</v>
      </c>
      <c r="I2699">
        <v>78.66</v>
      </c>
    </row>
    <row r="2700" spans="1:9" x14ac:dyDescent="0.3">
      <c r="A2700">
        <f>LOOKUP(9E+307,--MID(D2700,1,{1,2,3,4,5}))</f>
        <v>7.5</v>
      </c>
      <c r="B2700">
        <f>VLOOKUP(MID(D2700,LOOKUP(2,1/ISNUMBER(-MID(D2700,1,{1,2,3,4,5})),{1,2,3,4,5})+1,9),'Hue codes'!$A$1:$B$10,2,FALSE)</f>
        <v>50</v>
      </c>
      <c r="C2700">
        <f t="shared" si="42"/>
        <v>57.5</v>
      </c>
      <c r="D2700" t="s">
        <v>43</v>
      </c>
      <c r="E2700">
        <v>9</v>
      </c>
      <c r="F2700">
        <v>10</v>
      </c>
      <c r="G2700">
        <v>0.2215</v>
      </c>
      <c r="H2700">
        <v>0.3226</v>
      </c>
      <c r="I2700">
        <v>78.66</v>
      </c>
    </row>
    <row r="2701" spans="1:9" x14ac:dyDescent="0.3">
      <c r="A2701">
        <f>LOOKUP(9E+307,--MID(D2701,1,{1,2,3,4,5}))</f>
        <v>10</v>
      </c>
      <c r="B2701">
        <f>VLOOKUP(MID(D2701,LOOKUP(2,1/ISNUMBER(-MID(D2701,1,{1,2,3,4,5})),{1,2,3,4,5})+1,9),'Hue codes'!$A$1:$B$10,2,FALSE)</f>
        <v>50</v>
      </c>
      <c r="C2701">
        <f t="shared" si="42"/>
        <v>60</v>
      </c>
      <c r="D2701" t="s">
        <v>44</v>
      </c>
      <c r="E2701">
        <v>9</v>
      </c>
      <c r="F2701">
        <v>2</v>
      </c>
      <c r="G2701">
        <v>0.29070000000000001</v>
      </c>
      <c r="H2701">
        <v>0.31590000000000001</v>
      </c>
      <c r="I2701">
        <v>78.66</v>
      </c>
    </row>
    <row r="2702" spans="1:9" x14ac:dyDescent="0.3">
      <c r="A2702">
        <f>LOOKUP(9E+307,--MID(D2702,1,{1,2,3,4,5}))</f>
        <v>10</v>
      </c>
      <c r="B2702">
        <f>VLOOKUP(MID(D2702,LOOKUP(2,1/ISNUMBER(-MID(D2702,1,{1,2,3,4,5})),{1,2,3,4,5})+1,9),'Hue codes'!$A$1:$B$10,2,FALSE)</f>
        <v>50</v>
      </c>
      <c r="C2702">
        <f t="shared" si="42"/>
        <v>60</v>
      </c>
      <c r="D2702" t="s">
        <v>44</v>
      </c>
      <c r="E2702">
        <v>9</v>
      </c>
      <c r="F2702">
        <v>4</v>
      </c>
      <c r="G2702">
        <v>0.27</v>
      </c>
      <c r="H2702">
        <v>0.314</v>
      </c>
      <c r="I2702">
        <v>78.66</v>
      </c>
    </row>
    <row r="2703" spans="1:9" x14ac:dyDescent="0.3">
      <c r="A2703">
        <f>LOOKUP(9E+307,--MID(D2703,1,{1,2,3,4,5}))</f>
        <v>10</v>
      </c>
      <c r="B2703">
        <f>VLOOKUP(MID(D2703,LOOKUP(2,1/ISNUMBER(-MID(D2703,1,{1,2,3,4,5})),{1,2,3,4,5})+1,9),'Hue codes'!$A$1:$B$10,2,FALSE)</f>
        <v>50</v>
      </c>
      <c r="C2703">
        <f t="shared" si="42"/>
        <v>60</v>
      </c>
      <c r="D2703" t="s">
        <v>44</v>
      </c>
      <c r="E2703">
        <v>9</v>
      </c>
      <c r="F2703">
        <v>6</v>
      </c>
      <c r="G2703">
        <v>0.25009999999999999</v>
      </c>
      <c r="H2703">
        <v>0.31180000000000002</v>
      </c>
      <c r="I2703">
        <v>78.66</v>
      </c>
    </row>
    <row r="2704" spans="1:9" x14ac:dyDescent="0.3">
      <c r="A2704">
        <f>LOOKUP(9E+307,--MID(D2704,1,{1,2,3,4,5}))</f>
        <v>2.5</v>
      </c>
      <c r="B2704">
        <f>VLOOKUP(MID(D2704,LOOKUP(2,1/ISNUMBER(-MID(D2704,1,{1,2,3,4,5})),{1,2,3,4,5})+1,9),'Hue codes'!$A$1:$B$10,2,FALSE)</f>
        <v>60</v>
      </c>
      <c r="C2704">
        <f t="shared" si="42"/>
        <v>62.5</v>
      </c>
      <c r="D2704" t="s">
        <v>45</v>
      </c>
      <c r="E2704">
        <v>9</v>
      </c>
      <c r="F2704">
        <v>2</v>
      </c>
      <c r="G2704">
        <v>0.29089999999999999</v>
      </c>
      <c r="H2704">
        <v>0.3125</v>
      </c>
      <c r="I2704">
        <v>78.66</v>
      </c>
    </row>
    <row r="2705" spans="1:9" x14ac:dyDescent="0.3">
      <c r="A2705">
        <f>LOOKUP(9E+307,--MID(D2705,1,{1,2,3,4,5}))</f>
        <v>2.5</v>
      </c>
      <c r="B2705">
        <f>VLOOKUP(MID(D2705,LOOKUP(2,1/ISNUMBER(-MID(D2705,1,{1,2,3,4,5})),{1,2,3,4,5})+1,9),'Hue codes'!$A$1:$B$10,2,FALSE)</f>
        <v>60</v>
      </c>
      <c r="C2705">
        <f t="shared" si="42"/>
        <v>62.5</v>
      </c>
      <c r="D2705" t="s">
        <v>45</v>
      </c>
      <c r="E2705">
        <v>9</v>
      </c>
      <c r="F2705">
        <v>4</v>
      </c>
      <c r="G2705">
        <v>0.26800000000000002</v>
      </c>
      <c r="H2705">
        <v>0.30730000000000002</v>
      </c>
      <c r="I2705">
        <v>78.66</v>
      </c>
    </row>
    <row r="2706" spans="1:9" x14ac:dyDescent="0.3">
      <c r="A2706">
        <f>LOOKUP(9E+307,--MID(D2706,1,{1,2,3,4,5}))</f>
        <v>5</v>
      </c>
      <c r="B2706">
        <f>VLOOKUP(MID(D2706,LOOKUP(2,1/ISNUMBER(-MID(D2706,1,{1,2,3,4,5})),{1,2,3,4,5})+1,9),'Hue codes'!$A$1:$B$10,2,FALSE)</f>
        <v>60</v>
      </c>
      <c r="C2706">
        <f t="shared" si="42"/>
        <v>65</v>
      </c>
      <c r="D2706" t="s">
        <v>46</v>
      </c>
      <c r="E2706">
        <v>9</v>
      </c>
      <c r="F2706">
        <v>2</v>
      </c>
      <c r="G2706">
        <v>0.29189999999999999</v>
      </c>
      <c r="H2706">
        <v>0.31019999999999998</v>
      </c>
      <c r="I2706">
        <v>78.66</v>
      </c>
    </row>
    <row r="2707" spans="1:9" x14ac:dyDescent="0.3">
      <c r="A2707">
        <f>LOOKUP(9E+307,--MID(D2707,1,{1,2,3,4,5}))</f>
        <v>5</v>
      </c>
      <c r="B2707">
        <f>VLOOKUP(MID(D2707,LOOKUP(2,1/ISNUMBER(-MID(D2707,1,{1,2,3,4,5})),{1,2,3,4,5})+1,9),'Hue codes'!$A$1:$B$10,2,FALSE)</f>
        <v>60</v>
      </c>
      <c r="C2707">
        <f t="shared" si="42"/>
        <v>65</v>
      </c>
      <c r="D2707" t="s">
        <v>46</v>
      </c>
      <c r="E2707">
        <v>9</v>
      </c>
      <c r="F2707">
        <v>4</v>
      </c>
      <c r="G2707">
        <v>0.26750000000000002</v>
      </c>
      <c r="H2707">
        <v>0.30049999999999999</v>
      </c>
      <c r="I2707">
        <v>78.66</v>
      </c>
    </row>
    <row r="2708" spans="1:9" x14ac:dyDescent="0.3">
      <c r="A2708">
        <f>LOOKUP(9E+307,--MID(D2708,1,{1,2,3,4,5}))</f>
        <v>7.5</v>
      </c>
      <c r="B2708">
        <f>VLOOKUP(MID(D2708,LOOKUP(2,1/ISNUMBER(-MID(D2708,1,{1,2,3,4,5})),{1,2,3,4,5})+1,9),'Hue codes'!$A$1:$B$10,2,FALSE)</f>
        <v>60</v>
      </c>
      <c r="C2708">
        <f t="shared" si="42"/>
        <v>67.5</v>
      </c>
      <c r="D2708" t="s">
        <v>47</v>
      </c>
      <c r="E2708">
        <v>9</v>
      </c>
      <c r="F2708">
        <v>2</v>
      </c>
      <c r="G2708">
        <v>0.29370000000000002</v>
      </c>
      <c r="H2708">
        <v>0.30869999999999997</v>
      </c>
      <c r="I2708">
        <v>78.66</v>
      </c>
    </row>
    <row r="2709" spans="1:9" x14ac:dyDescent="0.3">
      <c r="A2709">
        <f>LOOKUP(9E+307,--MID(D2709,1,{1,2,3,4,5}))</f>
        <v>7.5</v>
      </c>
      <c r="B2709">
        <f>VLOOKUP(MID(D2709,LOOKUP(2,1/ISNUMBER(-MID(D2709,1,{1,2,3,4,5})),{1,2,3,4,5})+1,9),'Hue codes'!$A$1:$B$10,2,FALSE)</f>
        <v>60</v>
      </c>
      <c r="C2709">
        <f t="shared" si="42"/>
        <v>67.5</v>
      </c>
      <c r="D2709" t="s">
        <v>47</v>
      </c>
      <c r="E2709">
        <v>9</v>
      </c>
      <c r="F2709">
        <v>4</v>
      </c>
      <c r="G2709">
        <v>0.26879999999999998</v>
      </c>
      <c r="H2709">
        <v>0.29609999999999997</v>
      </c>
      <c r="I2709">
        <v>78.66</v>
      </c>
    </row>
    <row r="2710" spans="1:9" x14ac:dyDescent="0.3">
      <c r="A2710">
        <f>LOOKUP(9E+307,--MID(D2710,1,{1,2,3,4,5}))</f>
        <v>10</v>
      </c>
      <c r="B2710">
        <f>VLOOKUP(MID(D2710,LOOKUP(2,1/ISNUMBER(-MID(D2710,1,{1,2,3,4,5})),{1,2,3,4,5})+1,9),'Hue codes'!$A$1:$B$10,2,FALSE)</f>
        <v>60</v>
      </c>
      <c r="C2710">
        <f t="shared" si="42"/>
        <v>70</v>
      </c>
      <c r="D2710" t="s">
        <v>48</v>
      </c>
      <c r="E2710">
        <v>9</v>
      </c>
      <c r="F2710">
        <v>2</v>
      </c>
      <c r="G2710">
        <v>0.2949</v>
      </c>
      <c r="H2710">
        <v>0.30759999999999998</v>
      </c>
      <c r="I2710">
        <v>78.66</v>
      </c>
    </row>
    <row r="2711" spans="1:9" x14ac:dyDescent="0.3">
      <c r="A2711">
        <f>LOOKUP(9E+307,--MID(D2711,1,{1,2,3,4,5}))</f>
        <v>10</v>
      </c>
      <c r="B2711">
        <f>VLOOKUP(MID(D2711,LOOKUP(2,1/ISNUMBER(-MID(D2711,1,{1,2,3,4,5})),{1,2,3,4,5})+1,9),'Hue codes'!$A$1:$B$10,2,FALSE)</f>
        <v>60</v>
      </c>
      <c r="C2711">
        <f t="shared" si="42"/>
        <v>70</v>
      </c>
      <c r="D2711" t="s">
        <v>48</v>
      </c>
      <c r="E2711">
        <v>9</v>
      </c>
      <c r="F2711">
        <v>4</v>
      </c>
      <c r="G2711">
        <v>0.2712</v>
      </c>
      <c r="H2711">
        <v>0.29239999999999999</v>
      </c>
      <c r="I2711">
        <v>78.66</v>
      </c>
    </row>
    <row r="2712" spans="1:9" x14ac:dyDescent="0.3">
      <c r="A2712">
        <f>LOOKUP(9E+307,--MID(D2712,1,{1,2,3,4,5}))</f>
        <v>2.5</v>
      </c>
      <c r="B2712">
        <f>VLOOKUP(MID(D2712,LOOKUP(2,1/ISNUMBER(-MID(D2712,1,{1,2,3,4,5})),{1,2,3,4,5})+1,9),'Hue codes'!$A$1:$B$10,2,FALSE)</f>
        <v>70</v>
      </c>
      <c r="C2712">
        <f t="shared" si="42"/>
        <v>72.5</v>
      </c>
      <c r="D2712" t="s">
        <v>49</v>
      </c>
      <c r="E2712">
        <v>9</v>
      </c>
      <c r="F2712">
        <v>2</v>
      </c>
      <c r="G2712">
        <v>0.29749999999999999</v>
      </c>
      <c r="H2712">
        <v>0.30630000000000002</v>
      </c>
      <c r="I2712">
        <v>78.66</v>
      </c>
    </row>
    <row r="2713" spans="1:9" x14ac:dyDescent="0.3">
      <c r="A2713">
        <f>LOOKUP(9E+307,--MID(D2713,1,{1,2,3,4,5}))</f>
        <v>5</v>
      </c>
      <c r="B2713">
        <f>VLOOKUP(MID(D2713,LOOKUP(2,1/ISNUMBER(-MID(D2713,1,{1,2,3,4,5})),{1,2,3,4,5})+1,9),'Hue codes'!$A$1:$B$10,2,FALSE)</f>
        <v>70</v>
      </c>
      <c r="C2713">
        <f t="shared" si="42"/>
        <v>75</v>
      </c>
      <c r="D2713" t="s">
        <v>50</v>
      </c>
      <c r="E2713">
        <v>9</v>
      </c>
      <c r="F2713">
        <v>2</v>
      </c>
      <c r="G2713">
        <v>0.29909999999999998</v>
      </c>
      <c r="H2713">
        <v>0.30570000000000003</v>
      </c>
      <c r="I2713">
        <v>78.66</v>
      </c>
    </row>
    <row r="2714" spans="1:9" x14ac:dyDescent="0.3">
      <c r="A2714">
        <f>LOOKUP(9E+307,--MID(D2714,1,{1,2,3,4,5}))</f>
        <v>7.5</v>
      </c>
      <c r="B2714">
        <f>VLOOKUP(MID(D2714,LOOKUP(2,1/ISNUMBER(-MID(D2714,1,{1,2,3,4,5})),{1,2,3,4,5})+1,9),'Hue codes'!$A$1:$B$10,2,FALSE)</f>
        <v>70</v>
      </c>
      <c r="C2714">
        <f t="shared" si="42"/>
        <v>77.5</v>
      </c>
      <c r="D2714" t="s">
        <v>51</v>
      </c>
      <c r="E2714">
        <v>9</v>
      </c>
      <c r="F2714">
        <v>2</v>
      </c>
      <c r="G2714">
        <v>0.30149999999999999</v>
      </c>
      <c r="H2714">
        <v>0.30520000000000003</v>
      </c>
      <c r="I2714">
        <v>78.66</v>
      </c>
    </row>
    <row r="2715" spans="1:9" x14ac:dyDescent="0.3">
      <c r="A2715">
        <f>LOOKUP(9E+307,--MID(D2715,1,{1,2,3,4,5}))</f>
        <v>10</v>
      </c>
      <c r="B2715">
        <f>VLOOKUP(MID(D2715,LOOKUP(2,1/ISNUMBER(-MID(D2715,1,{1,2,3,4,5})),{1,2,3,4,5})+1,9),'Hue codes'!$A$1:$B$10,2,FALSE)</f>
        <v>70</v>
      </c>
      <c r="C2715">
        <f t="shared" si="42"/>
        <v>80</v>
      </c>
      <c r="D2715" t="s">
        <v>52</v>
      </c>
      <c r="E2715">
        <v>9</v>
      </c>
      <c r="F2715">
        <v>2</v>
      </c>
      <c r="G2715">
        <v>0.30380000000000001</v>
      </c>
      <c r="H2715">
        <v>0.3054</v>
      </c>
      <c r="I2715">
        <v>78.66</v>
      </c>
    </row>
    <row r="2716" spans="1:9" x14ac:dyDescent="0.3">
      <c r="A2716">
        <f>LOOKUP(9E+307,--MID(D2716,1,{1,2,3,4,5}))</f>
        <v>10</v>
      </c>
      <c r="B2716">
        <f>VLOOKUP(MID(D2716,LOOKUP(2,1/ISNUMBER(-MID(D2716,1,{1,2,3,4,5})),{1,2,3,4,5})+1,9),'Hue codes'!$A$1:$B$10,2,FALSE)</f>
        <v>70</v>
      </c>
      <c r="C2716">
        <f t="shared" si="42"/>
        <v>80</v>
      </c>
      <c r="D2716" t="s">
        <v>52</v>
      </c>
      <c r="E2716">
        <v>9</v>
      </c>
      <c r="F2716">
        <v>4</v>
      </c>
      <c r="G2716">
        <v>0.29099999999999998</v>
      </c>
      <c r="H2716">
        <v>0.28499999999999998</v>
      </c>
      <c r="I2716">
        <v>78.66</v>
      </c>
    </row>
    <row r="2717" spans="1:9" x14ac:dyDescent="0.3">
      <c r="A2717">
        <f>LOOKUP(9E+307,--MID(D2717,1,{1,2,3,4,5}))</f>
        <v>2.5</v>
      </c>
      <c r="B2717">
        <f>VLOOKUP(MID(D2717,LOOKUP(2,1/ISNUMBER(-MID(D2717,1,{1,2,3,4,5})),{1,2,3,4,5})+1,9),'Hue codes'!$A$1:$B$10,2,FALSE)</f>
        <v>80</v>
      </c>
      <c r="C2717">
        <f t="shared" si="42"/>
        <v>82.5</v>
      </c>
      <c r="D2717" t="s">
        <v>53</v>
      </c>
      <c r="E2717">
        <v>9</v>
      </c>
      <c r="F2717">
        <v>2</v>
      </c>
      <c r="G2717">
        <v>0.30499999999999999</v>
      </c>
      <c r="H2717">
        <v>0.30509999999999998</v>
      </c>
      <c r="I2717">
        <v>78.66</v>
      </c>
    </row>
    <row r="2718" spans="1:9" x14ac:dyDescent="0.3">
      <c r="A2718">
        <f>LOOKUP(9E+307,--MID(D2718,1,{1,2,3,4,5}))</f>
        <v>2.5</v>
      </c>
      <c r="B2718">
        <f>VLOOKUP(MID(D2718,LOOKUP(2,1/ISNUMBER(-MID(D2718,1,{1,2,3,4,5})),{1,2,3,4,5})+1,9),'Hue codes'!$A$1:$B$10,2,FALSE)</f>
        <v>80</v>
      </c>
      <c r="C2718">
        <f t="shared" si="42"/>
        <v>82.5</v>
      </c>
      <c r="D2718" t="s">
        <v>53</v>
      </c>
      <c r="E2718">
        <v>9</v>
      </c>
      <c r="F2718">
        <v>4</v>
      </c>
      <c r="G2718">
        <v>0.29630000000000001</v>
      </c>
      <c r="H2718">
        <v>0.28649999999999998</v>
      </c>
      <c r="I2718">
        <v>78.66</v>
      </c>
    </row>
    <row r="2719" spans="1:9" x14ac:dyDescent="0.3">
      <c r="A2719">
        <f>LOOKUP(9E+307,--MID(D2719,1,{1,2,3,4,5}))</f>
        <v>5</v>
      </c>
      <c r="B2719">
        <f>VLOOKUP(MID(D2719,LOOKUP(2,1/ISNUMBER(-MID(D2719,1,{1,2,3,4,5})),{1,2,3,4,5})+1,9),'Hue codes'!$A$1:$B$10,2,FALSE)</f>
        <v>80</v>
      </c>
      <c r="C2719">
        <f t="shared" si="42"/>
        <v>85</v>
      </c>
      <c r="D2719" t="s">
        <v>54</v>
      </c>
      <c r="E2719">
        <v>9</v>
      </c>
      <c r="F2719">
        <v>2</v>
      </c>
      <c r="G2719">
        <v>0.30669999999999997</v>
      </c>
      <c r="H2719">
        <v>0.30599999999999999</v>
      </c>
      <c r="I2719">
        <v>78.66</v>
      </c>
    </row>
    <row r="2720" spans="1:9" x14ac:dyDescent="0.3">
      <c r="A2720">
        <f>LOOKUP(9E+307,--MID(D2720,1,{1,2,3,4,5}))</f>
        <v>5</v>
      </c>
      <c r="B2720">
        <f>VLOOKUP(MID(D2720,LOOKUP(2,1/ISNUMBER(-MID(D2720,1,{1,2,3,4,5})),{1,2,3,4,5})+1,9),'Hue codes'!$A$1:$B$10,2,FALSE)</f>
        <v>80</v>
      </c>
      <c r="C2720">
        <f t="shared" si="42"/>
        <v>85</v>
      </c>
      <c r="D2720" t="s">
        <v>54</v>
      </c>
      <c r="E2720">
        <v>9</v>
      </c>
      <c r="F2720">
        <v>4</v>
      </c>
      <c r="G2720">
        <v>0.30030000000000001</v>
      </c>
      <c r="H2720">
        <v>0.28699999999999998</v>
      </c>
      <c r="I2720">
        <v>78.66</v>
      </c>
    </row>
    <row r="2721" spans="1:9" x14ac:dyDescent="0.3">
      <c r="A2721">
        <f>LOOKUP(9E+307,--MID(D2721,1,{1,2,3,4,5}))</f>
        <v>7.5</v>
      </c>
      <c r="B2721">
        <f>VLOOKUP(MID(D2721,LOOKUP(2,1/ISNUMBER(-MID(D2721,1,{1,2,3,4,5})),{1,2,3,4,5})+1,9),'Hue codes'!$A$1:$B$10,2,FALSE)</f>
        <v>80</v>
      </c>
      <c r="C2721">
        <f t="shared" si="42"/>
        <v>87.5</v>
      </c>
      <c r="D2721" t="s">
        <v>55</v>
      </c>
      <c r="E2721">
        <v>9</v>
      </c>
      <c r="F2721">
        <v>2</v>
      </c>
      <c r="G2721">
        <v>0.31069999999999998</v>
      </c>
      <c r="H2721">
        <v>0.30809999999999998</v>
      </c>
      <c r="I2721">
        <v>78.66</v>
      </c>
    </row>
    <row r="2722" spans="1:9" x14ac:dyDescent="0.3">
      <c r="A2722">
        <f>LOOKUP(9E+307,--MID(D2722,1,{1,2,3,4,5}))</f>
        <v>7.5</v>
      </c>
      <c r="B2722">
        <f>VLOOKUP(MID(D2722,LOOKUP(2,1/ISNUMBER(-MID(D2722,1,{1,2,3,4,5})),{1,2,3,4,5})+1,9),'Hue codes'!$A$1:$B$10,2,FALSE)</f>
        <v>80</v>
      </c>
      <c r="C2722">
        <f t="shared" si="42"/>
        <v>87.5</v>
      </c>
      <c r="D2722" t="s">
        <v>55</v>
      </c>
      <c r="E2722">
        <v>9</v>
      </c>
      <c r="F2722">
        <v>4</v>
      </c>
      <c r="G2722">
        <v>0.31169999999999998</v>
      </c>
      <c r="H2722">
        <v>0.2928</v>
      </c>
      <c r="I2722">
        <v>78.66</v>
      </c>
    </row>
    <row r="2723" spans="1:9" x14ac:dyDescent="0.3">
      <c r="A2723">
        <f>LOOKUP(9E+307,--MID(D2723,1,{1,2,3,4,5}))</f>
        <v>7.5</v>
      </c>
      <c r="B2723">
        <f>VLOOKUP(MID(D2723,LOOKUP(2,1/ISNUMBER(-MID(D2723,1,{1,2,3,4,5})),{1,2,3,4,5})+1,9),'Hue codes'!$A$1:$B$10,2,FALSE)</f>
        <v>80</v>
      </c>
      <c r="C2723">
        <f t="shared" si="42"/>
        <v>87.5</v>
      </c>
      <c r="D2723" t="s">
        <v>55</v>
      </c>
      <c r="E2723">
        <v>9</v>
      </c>
      <c r="F2723">
        <v>6</v>
      </c>
      <c r="G2723">
        <v>0.312</v>
      </c>
      <c r="H2723">
        <v>0.27879999999999999</v>
      </c>
      <c r="I2723">
        <v>78.66</v>
      </c>
    </row>
    <row r="2724" spans="1:9" x14ac:dyDescent="0.3">
      <c r="A2724">
        <f>LOOKUP(9E+307,--MID(D2724,1,{1,2,3,4,5}))</f>
        <v>10</v>
      </c>
      <c r="B2724">
        <f>VLOOKUP(MID(D2724,LOOKUP(2,1/ISNUMBER(-MID(D2724,1,{1,2,3,4,5})),{1,2,3,4,5})+1,9),'Hue codes'!$A$1:$B$10,2,FALSE)</f>
        <v>80</v>
      </c>
      <c r="C2724">
        <f t="shared" si="42"/>
        <v>90</v>
      </c>
      <c r="D2724" t="s">
        <v>56</v>
      </c>
      <c r="E2724">
        <v>9</v>
      </c>
      <c r="F2724">
        <v>2</v>
      </c>
      <c r="G2724">
        <v>0.31280000000000002</v>
      </c>
      <c r="H2724">
        <v>0.30940000000000001</v>
      </c>
      <c r="I2724">
        <v>78.66</v>
      </c>
    </row>
    <row r="2725" spans="1:9" x14ac:dyDescent="0.3">
      <c r="A2725">
        <f>LOOKUP(9E+307,--MID(D2725,1,{1,2,3,4,5}))</f>
        <v>10</v>
      </c>
      <c r="B2725">
        <f>VLOOKUP(MID(D2725,LOOKUP(2,1/ISNUMBER(-MID(D2725,1,{1,2,3,4,5})),{1,2,3,4,5})+1,9),'Hue codes'!$A$1:$B$10,2,FALSE)</f>
        <v>80</v>
      </c>
      <c r="C2725">
        <f t="shared" si="42"/>
        <v>90</v>
      </c>
      <c r="D2725" t="s">
        <v>56</v>
      </c>
      <c r="E2725">
        <v>9</v>
      </c>
      <c r="F2725">
        <v>4</v>
      </c>
      <c r="G2725">
        <v>0.31759999999999999</v>
      </c>
      <c r="H2725">
        <v>0.29659999999999997</v>
      </c>
      <c r="I2725">
        <v>78.66</v>
      </c>
    </row>
    <row r="2726" spans="1:9" x14ac:dyDescent="0.3">
      <c r="A2726">
        <f>LOOKUP(9E+307,--MID(D2726,1,{1,2,3,4,5}))</f>
        <v>10</v>
      </c>
      <c r="B2726">
        <f>VLOOKUP(MID(D2726,LOOKUP(2,1/ISNUMBER(-MID(D2726,1,{1,2,3,4,5})),{1,2,3,4,5})+1,9),'Hue codes'!$A$1:$B$10,2,FALSE)</f>
        <v>80</v>
      </c>
      <c r="C2726">
        <f t="shared" si="42"/>
        <v>90</v>
      </c>
      <c r="D2726" t="s">
        <v>56</v>
      </c>
      <c r="E2726">
        <v>9</v>
      </c>
      <c r="F2726">
        <v>6</v>
      </c>
      <c r="G2726">
        <v>0.32179999999999997</v>
      </c>
      <c r="H2726">
        <v>0.28449999999999998</v>
      </c>
      <c r="I2726">
        <v>78.66</v>
      </c>
    </row>
    <row r="2727" spans="1:9" x14ac:dyDescent="0.3">
      <c r="A2727">
        <f>LOOKUP(9E+307,--MID(D2727,1,{1,2,3,4,5}))</f>
        <v>2.5</v>
      </c>
      <c r="B2727">
        <f>VLOOKUP(MID(D2727,LOOKUP(2,1/ISNUMBER(-MID(D2727,1,{1,2,3,4,5})),{1,2,3,4,5})+1,9),'Hue codes'!$A$1:$B$10,2,FALSE)</f>
        <v>90</v>
      </c>
      <c r="C2727">
        <f t="shared" si="42"/>
        <v>92.5</v>
      </c>
      <c r="D2727" t="s">
        <v>57</v>
      </c>
      <c r="E2727">
        <v>9</v>
      </c>
      <c r="F2727">
        <v>2</v>
      </c>
      <c r="G2727">
        <v>0.31490000000000001</v>
      </c>
      <c r="H2727">
        <v>0.31080000000000002</v>
      </c>
      <c r="I2727">
        <v>78.66</v>
      </c>
    </row>
    <row r="2728" spans="1:9" x14ac:dyDescent="0.3">
      <c r="A2728">
        <f>LOOKUP(9E+307,--MID(D2728,1,{1,2,3,4,5}))</f>
        <v>2.5</v>
      </c>
      <c r="B2728">
        <f>VLOOKUP(MID(D2728,LOOKUP(2,1/ISNUMBER(-MID(D2728,1,{1,2,3,4,5})),{1,2,3,4,5})+1,9),'Hue codes'!$A$1:$B$10,2,FALSE)</f>
        <v>90</v>
      </c>
      <c r="C2728">
        <f t="shared" si="42"/>
        <v>92.5</v>
      </c>
      <c r="D2728" t="s">
        <v>57</v>
      </c>
      <c r="E2728">
        <v>9</v>
      </c>
      <c r="F2728">
        <v>4</v>
      </c>
      <c r="G2728">
        <v>0.32340000000000002</v>
      </c>
      <c r="H2728">
        <v>0.30099999999999999</v>
      </c>
      <c r="I2728">
        <v>78.66</v>
      </c>
    </row>
    <row r="2729" spans="1:9" x14ac:dyDescent="0.3">
      <c r="A2729">
        <f>LOOKUP(9E+307,--MID(D2729,1,{1,2,3,4,5}))</f>
        <v>2.5</v>
      </c>
      <c r="B2729">
        <f>VLOOKUP(MID(D2729,LOOKUP(2,1/ISNUMBER(-MID(D2729,1,{1,2,3,4,5})),{1,2,3,4,5})+1,9),'Hue codes'!$A$1:$B$10,2,FALSE)</f>
        <v>90</v>
      </c>
      <c r="C2729">
        <f t="shared" si="42"/>
        <v>92.5</v>
      </c>
      <c r="D2729" t="s">
        <v>57</v>
      </c>
      <c r="E2729">
        <v>9</v>
      </c>
      <c r="F2729">
        <v>6</v>
      </c>
      <c r="G2729">
        <v>0.3322</v>
      </c>
      <c r="H2729">
        <v>0.29099999999999998</v>
      </c>
      <c r="I2729">
        <v>78.66</v>
      </c>
    </row>
    <row r="2730" spans="1:9" x14ac:dyDescent="0.3">
      <c r="A2730">
        <f>LOOKUP(9E+307,--MID(D2730,1,{1,2,3,4,5}))</f>
        <v>5</v>
      </c>
      <c r="B2730">
        <f>VLOOKUP(MID(D2730,LOOKUP(2,1/ISNUMBER(-MID(D2730,1,{1,2,3,4,5})),{1,2,3,4,5})+1,9),'Hue codes'!$A$1:$B$10,2,FALSE)</f>
        <v>90</v>
      </c>
      <c r="C2730">
        <f t="shared" si="42"/>
        <v>95</v>
      </c>
      <c r="D2730" t="s">
        <v>58</v>
      </c>
      <c r="E2730">
        <v>9</v>
      </c>
      <c r="F2730">
        <v>2</v>
      </c>
      <c r="G2730">
        <v>0.31719999999999998</v>
      </c>
      <c r="H2730">
        <v>0.31259999999999999</v>
      </c>
      <c r="I2730">
        <v>78.66</v>
      </c>
    </row>
    <row r="2731" spans="1:9" x14ac:dyDescent="0.3">
      <c r="A2731">
        <f>LOOKUP(9E+307,--MID(D2731,1,{1,2,3,4,5}))</f>
        <v>5</v>
      </c>
      <c r="B2731">
        <f>VLOOKUP(MID(D2731,LOOKUP(2,1/ISNUMBER(-MID(D2731,1,{1,2,3,4,5})),{1,2,3,4,5})+1,9),'Hue codes'!$A$1:$B$10,2,FALSE)</f>
        <v>90</v>
      </c>
      <c r="C2731">
        <f t="shared" si="42"/>
        <v>95</v>
      </c>
      <c r="D2731" t="s">
        <v>58</v>
      </c>
      <c r="E2731">
        <v>9</v>
      </c>
      <c r="F2731">
        <v>4</v>
      </c>
      <c r="G2731">
        <v>0.3301</v>
      </c>
      <c r="H2731">
        <v>0.30599999999999999</v>
      </c>
      <c r="I2731">
        <v>78.66</v>
      </c>
    </row>
    <row r="2732" spans="1:9" x14ac:dyDescent="0.3">
      <c r="A2732">
        <f>LOOKUP(9E+307,--MID(D2732,1,{1,2,3,4,5}))</f>
        <v>5</v>
      </c>
      <c r="B2732">
        <f>VLOOKUP(MID(D2732,LOOKUP(2,1/ISNUMBER(-MID(D2732,1,{1,2,3,4,5})),{1,2,3,4,5})+1,9),'Hue codes'!$A$1:$B$10,2,FALSE)</f>
        <v>90</v>
      </c>
      <c r="C2732">
        <f t="shared" si="42"/>
        <v>95</v>
      </c>
      <c r="D2732" t="s">
        <v>58</v>
      </c>
      <c r="E2732">
        <v>9</v>
      </c>
      <c r="F2732">
        <v>6</v>
      </c>
      <c r="G2732">
        <v>0.34310000000000002</v>
      </c>
      <c r="H2732">
        <v>0.29880000000000001</v>
      </c>
      <c r="I2732">
        <v>78.66</v>
      </c>
    </row>
    <row r="2733" spans="1:9" x14ac:dyDescent="0.3">
      <c r="A2733">
        <f>LOOKUP(9E+307,--MID(D2733,1,{1,2,3,4,5}))</f>
        <v>7.5</v>
      </c>
      <c r="B2733">
        <f>VLOOKUP(MID(D2733,LOOKUP(2,1/ISNUMBER(-MID(D2733,1,{1,2,3,4,5})),{1,2,3,4,5})+1,9),'Hue codes'!$A$1:$B$10,2,FALSE)</f>
        <v>90</v>
      </c>
      <c r="C2733">
        <f t="shared" si="42"/>
        <v>97.5</v>
      </c>
      <c r="D2733" t="s">
        <v>59</v>
      </c>
      <c r="E2733">
        <v>9</v>
      </c>
      <c r="F2733">
        <v>2</v>
      </c>
      <c r="G2733">
        <v>0.31900000000000001</v>
      </c>
      <c r="H2733">
        <v>0.31409999999999999</v>
      </c>
      <c r="I2733">
        <v>78.66</v>
      </c>
    </row>
    <row r="2734" spans="1:9" x14ac:dyDescent="0.3">
      <c r="A2734">
        <f>LOOKUP(9E+307,--MID(D2734,1,{1,2,3,4,5}))</f>
        <v>7.5</v>
      </c>
      <c r="B2734">
        <f>VLOOKUP(MID(D2734,LOOKUP(2,1/ISNUMBER(-MID(D2734,1,{1,2,3,4,5})),{1,2,3,4,5})+1,9),'Hue codes'!$A$1:$B$10,2,FALSE)</f>
        <v>90</v>
      </c>
      <c r="C2734">
        <f t="shared" si="42"/>
        <v>97.5</v>
      </c>
      <c r="D2734" t="s">
        <v>59</v>
      </c>
      <c r="E2734">
        <v>9</v>
      </c>
      <c r="F2734">
        <v>4</v>
      </c>
      <c r="G2734">
        <v>0.33500000000000002</v>
      </c>
      <c r="H2734">
        <v>0.30990000000000001</v>
      </c>
      <c r="I2734">
        <v>78.66</v>
      </c>
    </row>
    <row r="2735" spans="1:9" x14ac:dyDescent="0.3">
      <c r="A2735">
        <f>LOOKUP(9E+307,--MID(D2735,1,{1,2,3,4,5}))</f>
        <v>7.5</v>
      </c>
      <c r="B2735">
        <f>VLOOKUP(MID(D2735,LOOKUP(2,1/ISNUMBER(-MID(D2735,1,{1,2,3,4,5})),{1,2,3,4,5})+1,9),'Hue codes'!$A$1:$B$10,2,FALSE)</f>
        <v>90</v>
      </c>
      <c r="C2735">
        <f t="shared" si="42"/>
        <v>97.5</v>
      </c>
      <c r="D2735" t="s">
        <v>59</v>
      </c>
      <c r="E2735">
        <v>9</v>
      </c>
      <c r="F2735">
        <v>6</v>
      </c>
      <c r="G2735">
        <v>0.35120000000000001</v>
      </c>
      <c r="H2735">
        <v>0.30520000000000003</v>
      </c>
      <c r="I2735">
        <v>78.66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selection activeCell="D1" sqref="D1:I12"/>
    </sheetView>
  </sheetViews>
  <sheetFormatPr defaultRowHeight="14.4" x14ac:dyDescent="0.3"/>
  <sheetData>
    <row r="1" spans="1:9" x14ac:dyDescent="0.3">
      <c r="A1" t="s">
        <v>10</v>
      </c>
      <c r="B1" t="s">
        <v>11</v>
      </c>
      <c r="C1" t="s">
        <v>12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4</v>
      </c>
    </row>
    <row r="2" spans="1:9" x14ac:dyDescent="0.3">
      <c r="A2" t="e">
        <v>#N/A</v>
      </c>
      <c r="B2" t="e">
        <v>#N/A</v>
      </c>
      <c r="C2" t="e">
        <v>#N/A</v>
      </c>
      <c r="D2" t="e">
        <v>#N/A</v>
      </c>
      <c r="E2">
        <v>0</v>
      </c>
      <c r="F2">
        <v>0</v>
      </c>
      <c r="G2">
        <v>0.31269999999999998</v>
      </c>
      <c r="H2">
        <v>0.32900000000000001</v>
      </c>
      <c r="I2">
        <v>0</v>
      </c>
    </row>
    <row r="3" spans="1:9" x14ac:dyDescent="0.3">
      <c r="A3" t="e">
        <v>#N/A</v>
      </c>
      <c r="B3" t="e">
        <v>#N/A</v>
      </c>
      <c r="C3" t="e">
        <v>#N/A</v>
      </c>
      <c r="D3" t="e">
        <v>#N/A</v>
      </c>
      <c r="E3">
        <v>1</v>
      </c>
      <c r="F3">
        <v>0</v>
      </c>
      <c r="G3">
        <v>0.31269999999999998</v>
      </c>
      <c r="H3">
        <v>0.32900000000000001</v>
      </c>
      <c r="I3">
        <v>1.21</v>
      </c>
    </row>
    <row r="4" spans="1:9" x14ac:dyDescent="0.3">
      <c r="A4" t="e">
        <v>#N/A</v>
      </c>
      <c r="B4" t="e">
        <v>#N/A</v>
      </c>
      <c r="C4" t="e">
        <v>#N/A</v>
      </c>
      <c r="D4" t="e">
        <v>#N/A</v>
      </c>
      <c r="E4">
        <v>2</v>
      </c>
      <c r="F4">
        <v>0</v>
      </c>
      <c r="G4">
        <v>0.31269999999999998</v>
      </c>
      <c r="H4">
        <v>0.32900000000000001</v>
      </c>
      <c r="I4">
        <v>3.1259999999999999</v>
      </c>
    </row>
    <row r="5" spans="1:9" x14ac:dyDescent="0.3">
      <c r="A5" t="e">
        <v>#N/A</v>
      </c>
      <c r="B5" t="e">
        <v>#N/A</v>
      </c>
      <c r="C5" t="e">
        <v>#N/A</v>
      </c>
      <c r="D5" t="e">
        <v>#N/A</v>
      </c>
      <c r="E5">
        <v>3</v>
      </c>
      <c r="F5">
        <v>0</v>
      </c>
      <c r="G5">
        <v>0.31269999999999998</v>
      </c>
      <c r="H5">
        <v>0.32900000000000001</v>
      </c>
      <c r="I5">
        <v>6.5549999999999997</v>
      </c>
    </row>
    <row r="6" spans="1:9" x14ac:dyDescent="0.3">
      <c r="A6" t="e">
        <v>#N/A</v>
      </c>
      <c r="B6" t="e">
        <v>#N/A</v>
      </c>
      <c r="C6" t="e">
        <v>#N/A</v>
      </c>
      <c r="D6" t="e">
        <v>#N/A</v>
      </c>
      <c r="E6">
        <v>4</v>
      </c>
      <c r="F6">
        <v>0</v>
      </c>
      <c r="G6">
        <v>0.31269999999999998</v>
      </c>
      <c r="H6">
        <v>0.32900000000000001</v>
      </c>
      <c r="I6">
        <v>12</v>
      </c>
    </row>
    <row r="7" spans="1:9" x14ac:dyDescent="0.3">
      <c r="A7" t="e">
        <v>#N/A</v>
      </c>
      <c r="B7" t="e">
        <v>#N/A</v>
      </c>
      <c r="C7" t="e">
        <v>#N/A</v>
      </c>
      <c r="D7" t="e">
        <v>#N/A</v>
      </c>
      <c r="E7">
        <v>5</v>
      </c>
      <c r="F7">
        <v>0</v>
      </c>
      <c r="G7">
        <v>0.31269999999999998</v>
      </c>
      <c r="H7">
        <v>0.32900000000000001</v>
      </c>
      <c r="I7">
        <v>19.77</v>
      </c>
    </row>
    <row r="8" spans="1:9" x14ac:dyDescent="0.3">
      <c r="A8" t="e">
        <v>#N/A</v>
      </c>
      <c r="B8" t="e">
        <v>#N/A</v>
      </c>
      <c r="C8" t="e">
        <v>#N/A</v>
      </c>
      <c r="D8" t="e">
        <v>#N/A</v>
      </c>
      <c r="E8">
        <v>6</v>
      </c>
      <c r="F8">
        <v>0</v>
      </c>
      <c r="G8">
        <v>0.31269999999999998</v>
      </c>
      <c r="H8">
        <v>0.32900000000000001</v>
      </c>
      <c r="I8">
        <v>30.05</v>
      </c>
    </row>
    <row r="9" spans="1:9" x14ac:dyDescent="0.3">
      <c r="A9" t="e">
        <v>#N/A</v>
      </c>
      <c r="B9" t="e">
        <v>#N/A</v>
      </c>
      <c r="C9" t="e">
        <v>#N/A</v>
      </c>
      <c r="D9" t="e">
        <v>#N/A</v>
      </c>
      <c r="E9">
        <v>7</v>
      </c>
      <c r="F9">
        <v>0</v>
      </c>
      <c r="G9">
        <v>0.31269999999999998</v>
      </c>
      <c r="H9">
        <v>0.32900000000000001</v>
      </c>
      <c r="I9">
        <v>43.06</v>
      </c>
    </row>
    <row r="10" spans="1:9" x14ac:dyDescent="0.3">
      <c r="A10" t="e">
        <v>#N/A</v>
      </c>
      <c r="B10" t="e">
        <v>#N/A</v>
      </c>
      <c r="C10" t="e">
        <v>#N/A</v>
      </c>
      <c r="D10" t="e">
        <v>#N/A</v>
      </c>
      <c r="E10">
        <v>8</v>
      </c>
      <c r="F10">
        <v>0</v>
      </c>
      <c r="G10">
        <v>0.31269999999999998</v>
      </c>
      <c r="H10">
        <v>0.32900000000000001</v>
      </c>
      <c r="I10">
        <v>59.1</v>
      </c>
    </row>
    <row r="11" spans="1:9" x14ac:dyDescent="0.3">
      <c r="A11" t="e">
        <v>#N/A</v>
      </c>
      <c r="B11" t="e">
        <v>#N/A</v>
      </c>
      <c r="C11" t="e">
        <v>#N/A</v>
      </c>
      <c r="D11" t="e">
        <v>#N/A</v>
      </c>
      <c r="E11">
        <v>9</v>
      </c>
      <c r="F11">
        <v>0</v>
      </c>
      <c r="G11">
        <v>0.31269999999999998</v>
      </c>
      <c r="H11">
        <v>0.32900000000000001</v>
      </c>
      <c r="I11">
        <v>78.66</v>
      </c>
    </row>
    <row r="12" spans="1:9" x14ac:dyDescent="0.3">
      <c r="A12" t="e">
        <v>#N/A</v>
      </c>
      <c r="B12" t="e">
        <v>#N/A</v>
      </c>
      <c r="C12" t="e">
        <v>#N/A</v>
      </c>
      <c r="D12" t="e">
        <v>#N/A</v>
      </c>
      <c r="E12">
        <v>10</v>
      </c>
      <c r="F12">
        <v>0</v>
      </c>
      <c r="G12">
        <v>0.31269999999999998</v>
      </c>
      <c r="H12">
        <v>0.32900000000000001</v>
      </c>
      <c r="I12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workbookViewId="0">
      <selection activeCell="E11" sqref="E11"/>
    </sheetView>
  </sheetViews>
  <sheetFormatPr defaultRowHeight="14.4" x14ac:dyDescent="0.3"/>
  <sheetData>
    <row r="1" spans="1:2" x14ac:dyDescent="0.3">
      <c r="A1" t="s">
        <v>0</v>
      </c>
      <c r="B1">
        <v>0</v>
      </c>
    </row>
    <row r="2" spans="1:2" x14ac:dyDescent="0.3">
      <c r="A2" t="s">
        <v>3</v>
      </c>
      <c r="B2">
        <v>10</v>
      </c>
    </row>
    <row r="3" spans="1:2" x14ac:dyDescent="0.3">
      <c r="A3" t="s">
        <v>4</v>
      </c>
      <c r="B3">
        <v>20</v>
      </c>
    </row>
    <row r="4" spans="1:2" x14ac:dyDescent="0.3">
      <c r="A4" t="s">
        <v>5</v>
      </c>
      <c r="B4">
        <v>30</v>
      </c>
    </row>
    <row r="5" spans="1:2" x14ac:dyDescent="0.3">
      <c r="A5" t="s">
        <v>1</v>
      </c>
      <c r="B5">
        <v>40</v>
      </c>
    </row>
    <row r="6" spans="1:2" x14ac:dyDescent="0.3">
      <c r="A6" t="s">
        <v>6</v>
      </c>
      <c r="B6">
        <v>50</v>
      </c>
    </row>
    <row r="7" spans="1:2" x14ac:dyDescent="0.3">
      <c r="A7" t="s">
        <v>2</v>
      </c>
      <c r="B7">
        <v>60</v>
      </c>
    </row>
    <row r="8" spans="1:2" x14ac:dyDescent="0.3">
      <c r="A8" t="s">
        <v>7</v>
      </c>
      <c r="B8">
        <v>70</v>
      </c>
    </row>
    <row r="9" spans="1:2" x14ac:dyDescent="0.3">
      <c r="A9" t="s">
        <v>8</v>
      </c>
      <c r="B9">
        <v>80</v>
      </c>
    </row>
    <row r="10" spans="1:2" x14ac:dyDescent="0.3">
      <c r="A10" t="s">
        <v>9</v>
      </c>
      <c r="B10">
        <v>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tabSelected="1" workbookViewId="0">
      <selection activeCell="B14" sqref="B14"/>
    </sheetView>
  </sheetViews>
  <sheetFormatPr defaultRowHeight="14.4" x14ac:dyDescent="0.3"/>
  <sheetData>
    <row r="1" spans="1:6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4</v>
      </c>
    </row>
    <row r="2" spans="1:6" x14ac:dyDescent="0.3">
      <c r="A2">
        <v>0</v>
      </c>
      <c r="B2">
        <v>0</v>
      </c>
      <c r="C2">
        <v>0</v>
      </c>
      <c r="D2">
        <v>0.31269999999999998</v>
      </c>
      <c r="E2">
        <v>0.32900000000000001</v>
      </c>
      <c r="F2">
        <v>0</v>
      </c>
    </row>
    <row r="3" spans="1:6" x14ac:dyDescent="0.3">
      <c r="A3">
        <v>0</v>
      </c>
      <c r="B3">
        <v>1</v>
      </c>
      <c r="C3">
        <v>0</v>
      </c>
      <c r="D3">
        <v>0.31269999999999998</v>
      </c>
      <c r="E3">
        <v>0.32900000000000001</v>
      </c>
      <c r="F3">
        <v>1.21</v>
      </c>
    </row>
    <row r="4" spans="1:6" x14ac:dyDescent="0.3">
      <c r="A4">
        <v>0</v>
      </c>
      <c r="B4">
        <v>2</v>
      </c>
      <c r="C4">
        <v>0</v>
      </c>
      <c r="D4">
        <v>0.31269999999999998</v>
      </c>
      <c r="E4">
        <v>0.32900000000000001</v>
      </c>
      <c r="F4">
        <v>3.1259999999999999</v>
      </c>
    </row>
    <row r="5" spans="1:6" x14ac:dyDescent="0.3">
      <c r="A5">
        <v>0</v>
      </c>
      <c r="B5">
        <v>3</v>
      </c>
      <c r="C5">
        <v>0</v>
      </c>
      <c r="D5">
        <v>0.31269999999999998</v>
      </c>
      <c r="E5">
        <v>0.32900000000000001</v>
      </c>
      <c r="F5">
        <v>6.5549999999999997</v>
      </c>
    </row>
    <row r="6" spans="1:6" x14ac:dyDescent="0.3">
      <c r="A6">
        <v>0</v>
      </c>
      <c r="B6">
        <v>4</v>
      </c>
      <c r="C6">
        <v>0</v>
      </c>
      <c r="D6">
        <v>0.31269999999999998</v>
      </c>
      <c r="E6">
        <v>0.32900000000000001</v>
      </c>
      <c r="F6">
        <v>12</v>
      </c>
    </row>
    <row r="7" spans="1:6" x14ac:dyDescent="0.3">
      <c r="A7">
        <v>0</v>
      </c>
      <c r="B7">
        <v>5</v>
      </c>
      <c r="C7">
        <v>0</v>
      </c>
      <c r="D7">
        <v>0.31269999999999998</v>
      </c>
      <c r="E7">
        <v>0.32900000000000001</v>
      </c>
      <c r="F7">
        <v>19.77</v>
      </c>
    </row>
    <row r="8" spans="1:6" x14ac:dyDescent="0.3">
      <c r="A8">
        <v>0</v>
      </c>
      <c r="B8">
        <v>6</v>
      </c>
      <c r="C8">
        <v>0</v>
      </c>
      <c r="D8">
        <v>0.31269999999999998</v>
      </c>
      <c r="E8">
        <v>0.32900000000000001</v>
      </c>
      <c r="F8">
        <v>30.05</v>
      </c>
    </row>
    <row r="9" spans="1:6" x14ac:dyDescent="0.3">
      <c r="A9">
        <v>0</v>
      </c>
      <c r="B9">
        <v>7</v>
      </c>
      <c r="C9">
        <v>0</v>
      </c>
      <c r="D9">
        <v>0.31269999999999998</v>
      </c>
      <c r="E9">
        <v>0.32900000000000001</v>
      </c>
      <c r="F9">
        <v>43.06</v>
      </c>
    </row>
    <row r="10" spans="1:6" x14ac:dyDescent="0.3">
      <c r="A10">
        <v>0</v>
      </c>
      <c r="B10">
        <v>8</v>
      </c>
      <c r="C10">
        <v>0</v>
      </c>
      <c r="D10">
        <v>0.31269999999999998</v>
      </c>
      <c r="E10">
        <v>0.32900000000000001</v>
      </c>
      <c r="F10">
        <v>59.1</v>
      </c>
    </row>
    <row r="11" spans="1:6" x14ac:dyDescent="0.3">
      <c r="A11">
        <v>0</v>
      </c>
      <c r="B11">
        <v>9</v>
      </c>
      <c r="C11">
        <v>0</v>
      </c>
      <c r="D11">
        <v>0.31269999999999998</v>
      </c>
      <c r="E11">
        <v>0.32900000000000001</v>
      </c>
      <c r="F11">
        <v>78.66</v>
      </c>
    </row>
    <row r="12" spans="1:6" x14ac:dyDescent="0.3">
      <c r="A12">
        <v>0</v>
      </c>
      <c r="B12">
        <v>10</v>
      </c>
      <c r="C12">
        <v>0</v>
      </c>
      <c r="D12">
        <v>0.31269999999999998</v>
      </c>
      <c r="E12">
        <v>0.32900000000000001</v>
      </c>
      <c r="F12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sRGB colors</vt:lpstr>
      <vt:lpstr>sRGB grays</vt:lpstr>
      <vt:lpstr>Real colors</vt:lpstr>
      <vt:lpstr>Real grays</vt:lpstr>
      <vt:lpstr>Hue codes</vt:lpstr>
      <vt:lpstr>Clipboard</vt:lpstr>
      <vt:lpstr>'Real colors'!real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Mike-7PRO</dc:creator>
  <cp:lastModifiedBy>Mike-7PRO</cp:lastModifiedBy>
  <dcterms:created xsi:type="dcterms:W3CDTF">2018-08-15T19:46:10Z</dcterms:created>
  <dcterms:modified xsi:type="dcterms:W3CDTF">2018-08-23T23:07:03Z</dcterms:modified>
</cp:coreProperties>
</file>